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mo\6-APA\新建文件夹\"/>
    </mc:Choice>
  </mc:AlternateContent>
  <xr:revisionPtr revIDLastSave="0" documentId="13_ncr:1_{A0E90980-2FFB-41E0-AB54-07DCA8C0FB7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关系明细" sheetId="2" r:id="rId1"/>
    <sheet name="说明" sheetId="1" r:id="rId2"/>
    <sheet name="全流程工段衔接" sheetId="3" r:id="rId3"/>
    <sheet name="实体字典" sheetId="4" r:id="rId4"/>
    <sheet name="关系分类与统计(Overview)" sheetId="5" r:id="rId5"/>
    <sheet name="OWL_Turtle代码规范" sheetId="6" r:id="rId6"/>
    <sheet name="v1→v2修订记录" sheetId="7" r:id="rId7"/>
    <sheet name="原关系明细(v1存档)" sheetId="8" r:id="rId8"/>
  </sheets>
  <definedNames>
    <definedName name="_xlnm._FilterDatabase" localSheetId="0" hidden="1">关系明细!$A$1:$T$2253</definedName>
    <definedName name="_xlnm._FilterDatabase" localSheetId="3" hidden="1">实体字典!$A$3:$I$1177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6" i="5" l="1"/>
  <c r="I56" i="5"/>
  <c r="H56" i="5"/>
  <c r="G56" i="5"/>
  <c r="F56" i="5"/>
  <c r="E56" i="5"/>
  <c r="D56" i="5"/>
  <c r="C56" i="5"/>
  <c r="K56" i="5" s="1"/>
  <c r="L56" i="5" s="1"/>
  <c r="J55" i="5"/>
  <c r="I55" i="5"/>
  <c r="H55" i="5"/>
  <c r="G55" i="5"/>
  <c r="F55" i="5"/>
  <c r="E55" i="5"/>
  <c r="D55" i="5"/>
  <c r="C55" i="5"/>
  <c r="K55" i="5" s="1"/>
  <c r="L55" i="5" s="1"/>
  <c r="J54" i="5"/>
  <c r="I54" i="5"/>
  <c r="H54" i="5"/>
  <c r="G54" i="5"/>
  <c r="F54" i="5"/>
  <c r="E54" i="5"/>
  <c r="D54" i="5"/>
  <c r="C54" i="5"/>
  <c r="K54" i="5" s="1"/>
  <c r="L54" i="5" s="1"/>
  <c r="J53" i="5"/>
  <c r="I53" i="5"/>
  <c r="H53" i="5"/>
  <c r="G53" i="5"/>
  <c r="F53" i="5"/>
  <c r="E53" i="5"/>
  <c r="D53" i="5"/>
  <c r="C53" i="5"/>
  <c r="K53" i="5" s="1"/>
  <c r="L53" i="5" s="1"/>
  <c r="J52" i="5"/>
  <c r="I52" i="5"/>
  <c r="H52" i="5"/>
  <c r="G52" i="5"/>
  <c r="F52" i="5"/>
  <c r="E52" i="5"/>
  <c r="D52" i="5"/>
  <c r="C52" i="5"/>
  <c r="K52" i="5" s="1"/>
  <c r="L52" i="5" s="1"/>
  <c r="J51" i="5"/>
  <c r="I51" i="5"/>
  <c r="H51" i="5"/>
  <c r="G51" i="5"/>
  <c r="F51" i="5"/>
  <c r="E51" i="5"/>
  <c r="D51" i="5"/>
  <c r="C51" i="5"/>
  <c r="K51" i="5" s="1"/>
  <c r="L51" i="5" s="1"/>
  <c r="J50" i="5"/>
  <c r="I50" i="5"/>
  <c r="H50" i="5"/>
  <c r="G50" i="5"/>
  <c r="F50" i="5"/>
  <c r="E50" i="5"/>
  <c r="D50" i="5"/>
  <c r="C50" i="5"/>
  <c r="K50" i="5" s="1"/>
  <c r="L50" i="5" s="1"/>
  <c r="J49" i="5"/>
  <c r="I49" i="5"/>
  <c r="H49" i="5"/>
  <c r="G49" i="5"/>
  <c r="F49" i="5"/>
  <c r="E49" i="5"/>
  <c r="D49" i="5"/>
  <c r="C49" i="5"/>
  <c r="K49" i="5" s="1"/>
  <c r="L49" i="5" s="1"/>
  <c r="J48" i="5"/>
  <c r="I48" i="5"/>
  <c r="H48" i="5"/>
  <c r="G48" i="5"/>
  <c r="F48" i="5"/>
  <c r="E48" i="5"/>
  <c r="D48" i="5"/>
  <c r="C48" i="5"/>
  <c r="K48" i="5" s="1"/>
  <c r="L48" i="5" s="1"/>
  <c r="J47" i="5"/>
  <c r="I47" i="5"/>
  <c r="H47" i="5"/>
  <c r="G47" i="5"/>
  <c r="F47" i="5"/>
  <c r="E47" i="5"/>
  <c r="D47" i="5"/>
  <c r="C47" i="5"/>
  <c r="K47" i="5" s="1"/>
  <c r="L47" i="5" s="1"/>
  <c r="J46" i="5"/>
  <c r="I46" i="5"/>
  <c r="H46" i="5"/>
  <c r="G46" i="5"/>
  <c r="F46" i="5"/>
  <c r="E46" i="5"/>
  <c r="D46" i="5"/>
  <c r="C46" i="5"/>
  <c r="K46" i="5" s="1"/>
  <c r="L46" i="5" s="1"/>
  <c r="J45" i="5"/>
  <c r="I45" i="5"/>
  <c r="H45" i="5"/>
  <c r="G45" i="5"/>
  <c r="F45" i="5"/>
  <c r="E45" i="5"/>
  <c r="D45" i="5"/>
  <c r="C45" i="5"/>
  <c r="K45" i="5" s="1"/>
  <c r="L45" i="5" s="1"/>
  <c r="J44" i="5"/>
  <c r="I44" i="5"/>
  <c r="H44" i="5"/>
  <c r="G44" i="5"/>
  <c r="F44" i="5"/>
  <c r="E44" i="5"/>
  <c r="D44" i="5"/>
  <c r="C44" i="5"/>
  <c r="K44" i="5" s="1"/>
  <c r="L44" i="5" s="1"/>
  <c r="J43" i="5"/>
  <c r="I43" i="5"/>
  <c r="H43" i="5"/>
  <c r="G43" i="5"/>
  <c r="F43" i="5"/>
  <c r="E43" i="5"/>
  <c r="D43" i="5"/>
  <c r="C43" i="5"/>
  <c r="K43" i="5" s="1"/>
  <c r="L43" i="5" s="1"/>
  <c r="J42" i="5"/>
  <c r="I42" i="5"/>
  <c r="H42" i="5"/>
  <c r="G42" i="5"/>
  <c r="F42" i="5"/>
  <c r="E42" i="5"/>
  <c r="D42" i="5"/>
  <c r="C42" i="5"/>
  <c r="K42" i="5" s="1"/>
  <c r="L42" i="5" s="1"/>
  <c r="J41" i="5"/>
  <c r="I41" i="5"/>
  <c r="H41" i="5"/>
  <c r="G41" i="5"/>
  <c r="F41" i="5"/>
  <c r="E41" i="5"/>
  <c r="D41" i="5"/>
  <c r="C41" i="5"/>
  <c r="K41" i="5" s="1"/>
  <c r="L41" i="5" s="1"/>
  <c r="J40" i="5"/>
  <c r="I40" i="5"/>
  <c r="H40" i="5"/>
  <c r="G40" i="5"/>
  <c r="F40" i="5"/>
  <c r="E40" i="5"/>
  <c r="D40" i="5"/>
  <c r="C40" i="5"/>
  <c r="K40" i="5" s="1"/>
  <c r="L40" i="5" s="1"/>
  <c r="J39" i="5"/>
  <c r="I39" i="5"/>
  <c r="H39" i="5"/>
  <c r="G39" i="5"/>
  <c r="F39" i="5"/>
  <c r="E39" i="5"/>
  <c r="D39" i="5"/>
  <c r="C39" i="5"/>
  <c r="K39" i="5" s="1"/>
  <c r="L39" i="5" s="1"/>
  <c r="J38" i="5"/>
  <c r="I38" i="5"/>
  <c r="H38" i="5"/>
  <c r="G38" i="5"/>
  <c r="F38" i="5"/>
  <c r="E38" i="5"/>
  <c r="D38" i="5"/>
  <c r="C38" i="5"/>
  <c r="K38" i="5" s="1"/>
  <c r="L38" i="5" s="1"/>
  <c r="J37" i="5"/>
  <c r="I37" i="5"/>
  <c r="H37" i="5"/>
  <c r="G37" i="5"/>
  <c r="F37" i="5"/>
  <c r="E37" i="5"/>
  <c r="D37" i="5"/>
  <c r="C37" i="5"/>
  <c r="K37" i="5" s="1"/>
  <c r="L37" i="5" s="1"/>
  <c r="J36" i="5"/>
  <c r="I36" i="5"/>
  <c r="H36" i="5"/>
  <c r="G36" i="5"/>
  <c r="F36" i="5"/>
  <c r="E36" i="5"/>
  <c r="D36" i="5"/>
  <c r="C36" i="5"/>
  <c r="K36" i="5" s="1"/>
  <c r="L36" i="5" s="1"/>
  <c r="J35" i="5"/>
  <c r="I35" i="5"/>
  <c r="H35" i="5"/>
  <c r="G35" i="5"/>
  <c r="F35" i="5"/>
  <c r="E35" i="5"/>
  <c r="D35" i="5"/>
  <c r="C35" i="5"/>
  <c r="K35" i="5" s="1"/>
  <c r="L35" i="5" s="1"/>
  <c r="J34" i="5"/>
  <c r="I34" i="5"/>
  <c r="H34" i="5"/>
  <c r="G34" i="5"/>
  <c r="F34" i="5"/>
  <c r="E34" i="5"/>
  <c r="D34" i="5"/>
  <c r="C34" i="5"/>
  <c r="K34" i="5" s="1"/>
  <c r="L34" i="5" s="1"/>
  <c r="J33" i="5"/>
  <c r="I33" i="5"/>
  <c r="H33" i="5"/>
  <c r="G33" i="5"/>
  <c r="F33" i="5"/>
  <c r="E33" i="5"/>
  <c r="D33" i="5"/>
  <c r="C33" i="5"/>
  <c r="K33" i="5" s="1"/>
  <c r="F29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28" i="5" s="1"/>
  <c r="I1177" i="4"/>
  <c r="H1177" i="4"/>
  <c r="I1176" i="4"/>
  <c r="H1176" i="4"/>
  <c r="I1175" i="4"/>
  <c r="H1175" i="4"/>
  <c r="I1174" i="4"/>
  <c r="H1174" i="4"/>
  <c r="I1173" i="4"/>
  <c r="H1173" i="4"/>
  <c r="I1172" i="4"/>
  <c r="H1172" i="4"/>
  <c r="I1171" i="4"/>
  <c r="H1171" i="4"/>
  <c r="I1170" i="4"/>
  <c r="H1170" i="4"/>
  <c r="I1169" i="4"/>
  <c r="H1169" i="4"/>
  <c r="I1168" i="4"/>
  <c r="H1168" i="4"/>
  <c r="I1167" i="4"/>
  <c r="H1167" i="4"/>
  <c r="I1166" i="4"/>
  <c r="H1166" i="4"/>
  <c r="I1165" i="4"/>
  <c r="H1165" i="4"/>
  <c r="I1164" i="4"/>
  <c r="H1164" i="4"/>
  <c r="I1163" i="4"/>
  <c r="H1163" i="4"/>
  <c r="I1162" i="4"/>
  <c r="H1162" i="4"/>
  <c r="I1161" i="4"/>
  <c r="H1161" i="4"/>
  <c r="I1160" i="4"/>
  <c r="H1160" i="4"/>
  <c r="I1159" i="4"/>
  <c r="H1159" i="4"/>
  <c r="I1158" i="4"/>
  <c r="H1158" i="4"/>
  <c r="I1157" i="4"/>
  <c r="H1157" i="4"/>
  <c r="I1156" i="4"/>
  <c r="H1156" i="4"/>
  <c r="I1155" i="4"/>
  <c r="H1155" i="4"/>
  <c r="I1154" i="4"/>
  <c r="H1154" i="4"/>
  <c r="I1153" i="4"/>
  <c r="H1153" i="4"/>
  <c r="I1152" i="4"/>
  <c r="H1152" i="4"/>
  <c r="I1151" i="4"/>
  <c r="H1151" i="4"/>
  <c r="I1150" i="4"/>
  <c r="H1150" i="4"/>
  <c r="I1149" i="4"/>
  <c r="H1149" i="4"/>
  <c r="I1148" i="4"/>
  <c r="H1148" i="4"/>
  <c r="I1147" i="4"/>
  <c r="H1147" i="4"/>
  <c r="I1146" i="4"/>
  <c r="H1146" i="4"/>
  <c r="I1145" i="4"/>
  <c r="H1145" i="4"/>
  <c r="I1144" i="4"/>
  <c r="H1144" i="4"/>
  <c r="I1143" i="4"/>
  <c r="H1143" i="4"/>
  <c r="I1142" i="4"/>
  <c r="H1142" i="4"/>
  <c r="I1141" i="4"/>
  <c r="H1141" i="4"/>
  <c r="I1140" i="4"/>
  <c r="H1140" i="4"/>
  <c r="I1139" i="4"/>
  <c r="H1139" i="4"/>
  <c r="I1138" i="4"/>
  <c r="H1138" i="4"/>
  <c r="I1137" i="4"/>
  <c r="H1137" i="4"/>
  <c r="I1136" i="4"/>
  <c r="H1136" i="4"/>
  <c r="I1135" i="4"/>
  <c r="H1135" i="4"/>
  <c r="I1134" i="4"/>
  <c r="H1134" i="4"/>
  <c r="I1133" i="4"/>
  <c r="H1133" i="4"/>
  <c r="I1132" i="4"/>
  <c r="H1132" i="4"/>
  <c r="I1131" i="4"/>
  <c r="H1131" i="4"/>
  <c r="I1130" i="4"/>
  <c r="H1130" i="4"/>
  <c r="I1129" i="4"/>
  <c r="H1129" i="4"/>
  <c r="I1128" i="4"/>
  <c r="H1128" i="4"/>
  <c r="I1127" i="4"/>
  <c r="H1127" i="4"/>
  <c r="I1126" i="4"/>
  <c r="H1126" i="4"/>
  <c r="I1125" i="4"/>
  <c r="H1125" i="4"/>
  <c r="I1124" i="4"/>
  <c r="H1124" i="4"/>
  <c r="I1123" i="4"/>
  <c r="H1123" i="4"/>
  <c r="I1122" i="4"/>
  <c r="H1122" i="4"/>
  <c r="I1121" i="4"/>
  <c r="H1121" i="4"/>
  <c r="I1120" i="4"/>
  <c r="H1120" i="4"/>
  <c r="I1119" i="4"/>
  <c r="H1119" i="4"/>
  <c r="I1118" i="4"/>
  <c r="H1118" i="4"/>
  <c r="I1117" i="4"/>
  <c r="H1117" i="4"/>
  <c r="I1116" i="4"/>
  <c r="H1116" i="4"/>
  <c r="I1115" i="4"/>
  <c r="H1115" i="4"/>
  <c r="I1114" i="4"/>
  <c r="H1114" i="4"/>
  <c r="I1113" i="4"/>
  <c r="H1113" i="4"/>
  <c r="I1112" i="4"/>
  <c r="H1112" i="4"/>
  <c r="I1111" i="4"/>
  <c r="H1111" i="4"/>
  <c r="I1110" i="4"/>
  <c r="H1110" i="4"/>
  <c r="I1109" i="4"/>
  <c r="H1109" i="4"/>
  <c r="I1108" i="4"/>
  <c r="H1108" i="4"/>
  <c r="I1107" i="4"/>
  <c r="H1107" i="4"/>
  <c r="I1106" i="4"/>
  <c r="H1106" i="4"/>
  <c r="I1105" i="4"/>
  <c r="H1105" i="4"/>
  <c r="I1104" i="4"/>
  <c r="H1104" i="4"/>
  <c r="I1103" i="4"/>
  <c r="H1103" i="4"/>
  <c r="I1102" i="4"/>
  <c r="H1102" i="4"/>
  <c r="I1101" i="4"/>
  <c r="H1101" i="4"/>
  <c r="I1100" i="4"/>
  <c r="H1100" i="4"/>
  <c r="I1099" i="4"/>
  <c r="H1099" i="4"/>
  <c r="I1098" i="4"/>
  <c r="H1098" i="4"/>
  <c r="I1097" i="4"/>
  <c r="H1097" i="4"/>
  <c r="I1096" i="4"/>
  <c r="H1096" i="4"/>
  <c r="I1095" i="4"/>
  <c r="H1095" i="4"/>
  <c r="I1094" i="4"/>
  <c r="H1094" i="4"/>
  <c r="I1093" i="4"/>
  <c r="H1093" i="4"/>
  <c r="I1092" i="4"/>
  <c r="H1092" i="4"/>
  <c r="I1091" i="4"/>
  <c r="H1091" i="4"/>
  <c r="I1090" i="4"/>
  <c r="H1090" i="4"/>
  <c r="I1089" i="4"/>
  <c r="H1089" i="4"/>
  <c r="I1088" i="4"/>
  <c r="H1088" i="4"/>
  <c r="I1087" i="4"/>
  <c r="H1087" i="4"/>
  <c r="I1086" i="4"/>
  <c r="H1086" i="4"/>
  <c r="I1085" i="4"/>
  <c r="H1085" i="4"/>
  <c r="I1084" i="4"/>
  <c r="H1084" i="4"/>
  <c r="I1083" i="4"/>
  <c r="H1083" i="4"/>
  <c r="I1082" i="4"/>
  <c r="H1082" i="4"/>
  <c r="I1081" i="4"/>
  <c r="H1081" i="4"/>
  <c r="I1080" i="4"/>
  <c r="H1080" i="4"/>
  <c r="I1079" i="4"/>
  <c r="H1079" i="4"/>
  <c r="I1078" i="4"/>
  <c r="H1078" i="4"/>
  <c r="I1077" i="4"/>
  <c r="H1077" i="4"/>
  <c r="I1076" i="4"/>
  <c r="H1076" i="4"/>
  <c r="I1075" i="4"/>
  <c r="H1075" i="4"/>
  <c r="I1074" i="4"/>
  <c r="H1074" i="4"/>
  <c r="I1073" i="4"/>
  <c r="H1073" i="4"/>
  <c r="I1072" i="4"/>
  <c r="H1072" i="4"/>
  <c r="I1071" i="4"/>
  <c r="H1071" i="4"/>
  <c r="I1070" i="4"/>
  <c r="H1070" i="4"/>
  <c r="I1069" i="4"/>
  <c r="H1069" i="4"/>
  <c r="I1068" i="4"/>
  <c r="H1068" i="4"/>
  <c r="I1067" i="4"/>
  <c r="H1067" i="4"/>
  <c r="I1066" i="4"/>
  <c r="H1066" i="4"/>
  <c r="I1065" i="4"/>
  <c r="H1065" i="4"/>
  <c r="I1064" i="4"/>
  <c r="H1064" i="4"/>
  <c r="I1063" i="4"/>
  <c r="H1063" i="4"/>
  <c r="I1062" i="4"/>
  <c r="H1062" i="4"/>
  <c r="I1061" i="4"/>
  <c r="H1061" i="4"/>
  <c r="I1060" i="4"/>
  <c r="H1060" i="4"/>
  <c r="I1059" i="4"/>
  <c r="H1059" i="4"/>
  <c r="I1058" i="4"/>
  <c r="H1058" i="4"/>
  <c r="I1057" i="4"/>
  <c r="H1057" i="4"/>
  <c r="I1056" i="4"/>
  <c r="H1056" i="4"/>
  <c r="I1055" i="4"/>
  <c r="H1055" i="4"/>
  <c r="I1054" i="4"/>
  <c r="H1054" i="4"/>
  <c r="I1053" i="4"/>
  <c r="H1053" i="4"/>
  <c r="I1052" i="4"/>
  <c r="H1052" i="4"/>
  <c r="I1051" i="4"/>
  <c r="H1051" i="4"/>
  <c r="I1050" i="4"/>
  <c r="H1050" i="4"/>
  <c r="I1049" i="4"/>
  <c r="H1049" i="4"/>
  <c r="I1048" i="4"/>
  <c r="H1048" i="4"/>
  <c r="I1047" i="4"/>
  <c r="H1047" i="4"/>
  <c r="I1046" i="4"/>
  <c r="H1046" i="4"/>
  <c r="I1045" i="4"/>
  <c r="H1045" i="4"/>
  <c r="I1044" i="4"/>
  <c r="H1044" i="4"/>
  <c r="I1043" i="4"/>
  <c r="H1043" i="4"/>
  <c r="I1042" i="4"/>
  <c r="H1042" i="4"/>
  <c r="I1041" i="4"/>
  <c r="H1041" i="4"/>
  <c r="I1040" i="4"/>
  <c r="H1040" i="4"/>
  <c r="I1039" i="4"/>
  <c r="H1039" i="4"/>
  <c r="I1038" i="4"/>
  <c r="H1038" i="4"/>
  <c r="I1037" i="4"/>
  <c r="H1037" i="4"/>
  <c r="I1036" i="4"/>
  <c r="H1036" i="4"/>
  <c r="I1035" i="4"/>
  <c r="H1035" i="4"/>
  <c r="I1034" i="4"/>
  <c r="H1034" i="4"/>
  <c r="I1033" i="4"/>
  <c r="H1033" i="4"/>
  <c r="I1032" i="4"/>
  <c r="H1032" i="4"/>
  <c r="I1031" i="4"/>
  <c r="H1031" i="4"/>
  <c r="I1030" i="4"/>
  <c r="H1030" i="4"/>
  <c r="I1029" i="4"/>
  <c r="H1029" i="4"/>
  <c r="I1028" i="4"/>
  <c r="H1028" i="4"/>
  <c r="I1027" i="4"/>
  <c r="H1027" i="4"/>
  <c r="I1026" i="4"/>
  <c r="H1026" i="4"/>
  <c r="I1025" i="4"/>
  <c r="H1025" i="4"/>
  <c r="I1024" i="4"/>
  <c r="H1024" i="4"/>
  <c r="I1023" i="4"/>
  <c r="H1023" i="4"/>
  <c r="I1022" i="4"/>
  <c r="H1022" i="4"/>
  <c r="I1021" i="4"/>
  <c r="H1021" i="4"/>
  <c r="I1020" i="4"/>
  <c r="H1020" i="4"/>
  <c r="I1019" i="4"/>
  <c r="H1019" i="4"/>
  <c r="I1018" i="4"/>
  <c r="H1018" i="4"/>
  <c r="I1017" i="4"/>
  <c r="H1017" i="4"/>
  <c r="I1016" i="4"/>
  <c r="H1016" i="4"/>
  <c r="I1015" i="4"/>
  <c r="H1015" i="4"/>
  <c r="I1014" i="4"/>
  <c r="H1014" i="4"/>
  <c r="I1013" i="4"/>
  <c r="H1013" i="4"/>
  <c r="I1012" i="4"/>
  <c r="H1012" i="4"/>
  <c r="I1011" i="4"/>
  <c r="H1011" i="4"/>
  <c r="I1010" i="4"/>
  <c r="H1010" i="4"/>
  <c r="I1009" i="4"/>
  <c r="H1009" i="4"/>
  <c r="I1008" i="4"/>
  <c r="H1008" i="4"/>
  <c r="I1007" i="4"/>
  <c r="H1007" i="4"/>
  <c r="I1006" i="4"/>
  <c r="H1006" i="4"/>
  <c r="I1005" i="4"/>
  <c r="H1005" i="4"/>
  <c r="I1004" i="4"/>
  <c r="H1004" i="4"/>
  <c r="I1003" i="4"/>
  <c r="H1003" i="4"/>
  <c r="I1002" i="4"/>
  <c r="H1002" i="4"/>
  <c r="I1001" i="4"/>
  <c r="H1001" i="4"/>
  <c r="I1000" i="4"/>
  <c r="H1000" i="4"/>
  <c r="I999" i="4"/>
  <c r="H999" i="4"/>
  <c r="I998" i="4"/>
  <c r="H998" i="4"/>
  <c r="I997" i="4"/>
  <c r="H997" i="4"/>
  <c r="I996" i="4"/>
  <c r="H996" i="4"/>
  <c r="I995" i="4"/>
  <c r="H995" i="4"/>
  <c r="I994" i="4"/>
  <c r="H994" i="4"/>
  <c r="I993" i="4"/>
  <c r="H993" i="4"/>
  <c r="I992" i="4"/>
  <c r="H992" i="4"/>
  <c r="I991" i="4"/>
  <c r="H991" i="4"/>
  <c r="I990" i="4"/>
  <c r="H990" i="4"/>
  <c r="I989" i="4"/>
  <c r="H989" i="4"/>
  <c r="I988" i="4"/>
  <c r="H988" i="4"/>
  <c r="I987" i="4"/>
  <c r="H987" i="4"/>
  <c r="I986" i="4"/>
  <c r="H986" i="4"/>
  <c r="I985" i="4"/>
  <c r="H985" i="4"/>
  <c r="I984" i="4"/>
  <c r="H984" i="4"/>
  <c r="I983" i="4"/>
  <c r="H983" i="4"/>
  <c r="I982" i="4"/>
  <c r="H982" i="4"/>
  <c r="I981" i="4"/>
  <c r="H981" i="4"/>
  <c r="I980" i="4"/>
  <c r="H980" i="4"/>
  <c r="I979" i="4"/>
  <c r="H979" i="4"/>
  <c r="I978" i="4"/>
  <c r="H978" i="4"/>
  <c r="I977" i="4"/>
  <c r="H977" i="4"/>
  <c r="I976" i="4"/>
  <c r="H976" i="4"/>
  <c r="I975" i="4"/>
  <c r="H975" i="4"/>
  <c r="I974" i="4"/>
  <c r="H974" i="4"/>
  <c r="I973" i="4"/>
  <c r="H973" i="4"/>
  <c r="I972" i="4"/>
  <c r="H972" i="4"/>
  <c r="I971" i="4"/>
  <c r="H971" i="4"/>
  <c r="I970" i="4"/>
  <c r="H970" i="4"/>
  <c r="I969" i="4"/>
  <c r="H969" i="4"/>
  <c r="I968" i="4"/>
  <c r="H968" i="4"/>
  <c r="I967" i="4"/>
  <c r="H967" i="4"/>
  <c r="I966" i="4"/>
  <c r="H966" i="4"/>
  <c r="I965" i="4"/>
  <c r="H965" i="4"/>
  <c r="I964" i="4"/>
  <c r="H964" i="4"/>
  <c r="I963" i="4"/>
  <c r="H963" i="4"/>
  <c r="I962" i="4"/>
  <c r="H962" i="4"/>
  <c r="I961" i="4"/>
  <c r="H961" i="4"/>
  <c r="I960" i="4"/>
  <c r="H960" i="4"/>
  <c r="I959" i="4"/>
  <c r="H959" i="4"/>
  <c r="I958" i="4"/>
  <c r="H958" i="4"/>
  <c r="I957" i="4"/>
  <c r="H957" i="4"/>
  <c r="I956" i="4"/>
  <c r="H956" i="4"/>
  <c r="I955" i="4"/>
  <c r="H955" i="4"/>
  <c r="I954" i="4"/>
  <c r="H954" i="4"/>
  <c r="I953" i="4"/>
  <c r="H953" i="4"/>
  <c r="I952" i="4"/>
  <c r="H952" i="4"/>
  <c r="I951" i="4"/>
  <c r="H951" i="4"/>
  <c r="I950" i="4"/>
  <c r="H950" i="4"/>
  <c r="I949" i="4"/>
  <c r="H949" i="4"/>
  <c r="I948" i="4"/>
  <c r="H948" i="4"/>
  <c r="I947" i="4"/>
  <c r="H947" i="4"/>
  <c r="I946" i="4"/>
  <c r="H946" i="4"/>
  <c r="I945" i="4"/>
  <c r="H945" i="4"/>
  <c r="I944" i="4"/>
  <c r="H944" i="4"/>
  <c r="I943" i="4"/>
  <c r="H943" i="4"/>
  <c r="I942" i="4"/>
  <c r="H942" i="4"/>
  <c r="I941" i="4"/>
  <c r="H941" i="4"/>
  <c r="I940" i="4"/>
  <c r="H940" i="4"/>
  <c r="I939" i="4"/>
  <c r="H939" i="4"/>
  <c r="I938" i="4"/>
  <c r="H938" i="4"/>
  <c r="I937" i="4"/>
  <c r="H937" i="4"/>
  <c r="I936" i="4"/>
  <c r="H936" i="4"/>
  <c r="I935" i="4"/>
  <c r="H935" i="4"/>
  <c r="I934" i="4"/>
  <c r="H934" i="4"/>
  <c r="I933" i="4"/>
  <c r="H933" i="4"/>
  <c r="I932" i="4"/>
  <c r="H932" i="4"/>
  <c r="I931" i="4"/>
  <c r="H931" i="4"/>
  <c r="I930" i="4"/>
  <c r="H930" i="4"/>
  <c r="I929" i="4"/>
  <c r="H929" i="4"/>
  <c r="I928" i="4"/>
  <c r="H928" i="4"/>
  <c r="I927" i="4"/>
  <c r="H927" i="4"/>
  <c r="I926" i="4"/>
  <c r="H926" i="4"/>
  <c r="I925" i="4"/>
  <c r="H925" i="4"/>
  <c r="I924" i="4"/>
  <c r="H924" i="4"/>
  <c r="I923" i="4"/>
  <c r="H923" i="4"/>
  <c r="I922" i="4"/>
  <c r="H922" i="4"/>
  <c r="I921" i="4"/>
  <c r="H921" i="4"/>
  <c r="I920" i="4"/>
  <c r="H920" i="4"/>
  <c r="I919" i="4"/>
  <c r="H919" i="4"/>
  <c r="I918" i="4"/>
  <c r="H918" i="4"/>
  <c r="I917" i="4"/>
  <c r="H917" i="4"/>
  <c r="I916" i="4"/>
  <c r="H916" i="4"/>
  <c r="I915" i="4"/>
  <c r="H915" i="4"/>
  <c r="I914" i="4"/>
  <c r="H914" i="4"/>
  <c r="I913" i="4"/>
  <c r="H913" i="4"/>
  <c r="I912" i="4"/>
  <c r="H912" i="4"/>
  <c r="I911" i="4"/>
  <c r="H911" i="4"/>
  <c r="I910" i="4"/>
  <c r="H910" i="4"/>
  <c r="I909" i="4"/>
  <c r="H909" i="4"/>
  <c r="I908" i="4"/>
  <c r="H908" i="4"/>
  <c r="I907" i="4"/>
  <c r="H907" i="4"/>
  <c r="I906" i="4"/>
  <c r="H906" i="4"/>
  <c r="I905" i="4"/>
  <c r="H905" i="4"/>
  <c r="I904" i="4"/>
  <c r="H904" i="4"/>
  <c r="I903" i="4"/>
  <c r="H903" i="4"/>
  <c r="I902" i="4"/>
  <c r="H902" i="4"/>
  <c r="I901" i="4"/>
  <c r="H901" i="4"/>
  <c r="I900" i="4"/>
  <c r="H900" i="4"/>
  <c r="I899" i="4"/>
  <c r="H899" i="4"/>
  <c r="I898" i="4"/>
  <c r="H898" i="4"/>
  <c r="I897" i="4"/>
  <c r="H897" i="4"/>
  <c r="I896" i="4"/>
  <c r="H896" i="4"/>
  <c r="I895" i="4"/>
  <c r="H895" i="4"/>
  <c r="I894" i="4"/>
  <c r="H894" i="4"/>
  <c r="I893" i="4"/>
  <c r="H893" i="4"/>
  <c r="I892" i="4"/>
  <c r="H892" i="4"/>
  <c r="I891" i="4"/>
  <c r="H891" i="4"/>
  <c r="I890" i="4"/>
  <c r="H890" i="4"/>
  <c r="I889" i="4"/>
  <c r="H889" i="4"/>
  <c r="I888" i="4"/>
  <c r="H888" i="4"/>
  <c r="I887" i="4"/>
  <c r="H887" i="4"/>
  <c r="I886" i="4"/>
  <c r="H886" i="4"/>
  <c r="I885" i="4"/>
  <c r="H885" i="4"/>
  <c r="I884" i="4"/>
  <c r="H884" i="4"/>
  <c r="I883" i="4"/>
  <c r="H883" i="4"/>
  <c r="I882" i="4"/>
  <c r="H882" i="4"/>
  <c r="I881" i="4"/>
  <c r="H881" i="4"/>
  <c r="I880" i="4"/>
  <c r="H880" i="4"/>
  <c r="I879" i="4"/>
  <c r="H879" i="4"/>
  <c r="I878" i="4"/>
  <c r="H878" i="4"/>
  <c r="I877" i="4"/>
  <c r="H877" i="4"/>
  <c r="I876" i="4"/>
  <c r="H876" i="4"/>
  <c r="I875" i="4"/>
  <c r="H875" i="4"/>
  <c r="I874" i="4"/>
  <c r="H874" i="4"/>
  <c r="I873" i="4"/>
  <c r="H873" i="4"/>
  <c r="I872" i="4"/>
  <c r="H872" i="4"/>
  <c r="I871" i="4"/>
  <c r="H871" i="4"/>
  <c r="I870" i="4"/>
  <c r="H870" i="4"/>
  <c r="I869" i="4"/>
  <c r="H869" i="4"/>
  <c r="I868" i="4"/>
  <c r="H868" i="4"/>
  <c r="I867" i="4"/>
  <c r="H867" i="4"/>
  <c r="I866" i="4"/>
  <c r="H866" i="4"/>
  <c r="I865" i="4"/>
  <c r="H865" i="4"/>
  <c r="I864" i="4"/>
  <c r="H864" i="4"/>
  <c r="I863" i="4"/>
  <c r="H863" i="4"/>
  <c r="I862" i="4"/>
  <c r="H862" i="4"/>
  <c r="I861" i="4"/>
  <c r="H861" i="4"/>
  <c r="I860" i="4"/>
  <c r="H860" i="4"/>
  <c r="I859" i="4"/>
  <c r="H859" i="4"/>
  <c r="I858" i="4"/>
  <c r="H858" i="4"/>
  <c r="I857" i="4"/>
  <c r="H857" i="4"/>
  <c r="I856" i="4"/>
  <c r="H856" i="4"/>
  <c r="I855" i="4"/>
  <c r="H855" i="4"/>
  <c r="I854" i="4"/>
  <c r="H854" i="4"/>
  <c r="I853" i="4"/>
  <c r="H853" i="4"/>
  <c r="I852" i="4"/>
  <c r="H852" i="4"/>
  <c r="I851" i="4"/>
  <c r="H851" i="4"/>
  <c r="I850" i="4"/>
  <c r="H850" i="4"/>
  <c r="I849" i="4"/>
  <c r="H849" i="4"/>
  <c r="I848" i="4"/>
  <c r="H848" i="4"/>
  <c r="I847" i="4"/>
  <c r="H847" i="4"/>
  <c r="I846" i="4"/>
  <c r="H846" i="4"/>
  <c r="I845" i="4"/>
  <c r="H845" i="4"/>
  <c r="I844" i="4"/>
  <c r="H844" i="4"/>
  <c r="I843" i="4"/>
  <c r="H843" i="4"/>
  <c r="I842" i="4"/>
  <c r="H842" i="4"/>
  <c r="I841" i="4"/>
  <c r="H841" i="4"/>
  <c r="I840" i="4"/>
  <c r="H840" i="4"/>
  <c r="I839" i="4"/>
  <c r="H839" i="4"/>
  <c r="I838" i="4"/>
  <c r="H838" i="4"/>
  <c r="I837" i="4"/>
  <c r="H837" i="4"/>
  <c r="I836" i="4"/>
  <c r="H836" i="4"/>
  <c r="I835" i="4"/>
  <c r="H835" i="4"/>
  <c r="I834" i="4"/>
  <c r="H834" i="4"/>
  <c r="I833" i="4"/>
  <c r="H833" i="4"/>
  <c r="I832" i="4"/>
  <c r="H832" i="4"/>
  <c r="I831" i="4"/>
  <c r="H831" i="4"/>
  <c r="I830" i="4"/>
  <c r="H830" i="4"/>
  <c r="I829" i="4"/>
  <c r="H829" i="4"/>
  <c r="I828" i="4"/>
  <c r="H828" i="4"/>
  <c r="I827" i="4"/>
  <c r="H827" i="4"/>
  <c r="I826" i="4"/>
  <c r="H826" i="4"/>
  <c r="I825" i="4"/>
  <c r="H825" i="4"/>
  <c r="I824" i="4"/>
  <c r="H824" i="4"/>
  <c r="I823" i="4"/>
  <c r="H823" i="4"/>
  <c r="I822" i="4"/>
  <c r="H822" i="4"/>
  <c r="I821" i="4"/>
  <c r="H821" i="4"/>
  <c r="I820" i="4"/>
  <c r="H820" i="4"/>
  <c r="I819" i="4"/>
  <c r="H819" i="4"/>
  <c r="I818" i="4"/>
  <c r="H818" i="4"/>
  <c r="I817" i="4"/>
  <c r="H817" i="4"/>
  <c r="I816" i="4"/>
  <c r="H816" i="4"/>
  <c r="I815" i="4"/>
  <c r="H815" i="4"/>
  <c r="I814" i="4"/>
  <c r="H814" i="4"/>
  <c r="I813" i="4"/>
  <c r="H813" i="4"/>
  <c r="I812" i="4"/>
  <c r="H812" i="4"/>
  <c r="I811" i="4"/>
  <c r="H811" i="4"/>
  <c r="I810" i="4"/>
  <c r="H810" i="4"/>
  <c r="I809" i="4"/>
  <c r="H809" i="4"/>
  <c r="I808" i="4"/>
  <c r="H808" i="4"/>
  <c r="I807" i="4"/>
  <c r="H807" i="4"/>
  <c r="I806" i="4"/>
  <c r="H806" i="4"/>
  <c r="I805" i="4"/>
  <c r="H805" i="4"/>
  <c r="I804" i="4"/>
  <c r="H804" i="4"/>
  <c r="I803" i="4"/>
  <c r="H803" i="4"/>
  <c r="I802" i="4"/>
  <c r="H802" i="4"/>
  <c r="I801" i="4"/>
  <c r="H801" i="4"/>
  <c r="I800" i="4"/>
  <c r="H800" i="4"/>
  <c r="I799" i="4"/>
  <c r="H799" i="4"/>
  <c r="I798" i="4"/>
  <c r="H798" i="4"/>
  <c r="I797" i="4"/>
  <c r="H797" i="4"/>
  <c r="I796" i="4"/>
  <c r="H796" i="4"/>
  <c r="I795" i="4"/>
  <c r="H795" i="4"/>
  <c r="I794" i="4"/>
  <c r="H794" i="4"/>
  <c r="I793" i="4"/>
  <c r="H793" i="4"/>
  <c r="I792" i="4"/>
  <c r="H792" i="4"/>
  <c r="I791" i="4"/>
  <c r="H791" i="4"/>
  <c r="I790" i="4"/>
  <c r="H790" i="4"/>
  <c r="I789" i="4"/>
  <c r="H789" i="4"/>
  <c r="I788" i="4"/>
  <c r="H788" i="4"/>
  <c r="I787" i="4"/>
  <c r="H787" i="4"/>
  <c r="I786" i="4"/>
  <c r="H786" i="4"/>
  <c r="I785" i="4"/>
  <c r="H785" i="4"/>
  <c r="I784" i="4"/>
  <c r="H784" i="4"/>
  <c r="I783" i="4"/>
  <c r="H783" i="4"/>
  <c r="I782" i="4"/>
  <c r="H782" i="4"/>
  <c r="I781" i="4"/>
  <c r="H781" i="4"/>
  <c r="I780" i="4"/>
  <c r="H780" i="4"/>
  <c r="I779" i="4"/>
  <c r="H779" i="4"/>
  <c r="I778" i="4"/>
  <c r="H778" i="4"/>
  <c r="I777" i="4"/>
  <c r="H777" i="4"/>
  <c r="I776" i="4"/>
  <c r="H776" i="4"/>
  <c r="I775" i="4"/>
  <c r="H775" i="4"/>
  <c r="I774" i="4"/>
  <c r="H774" i="4"/>
  <c r="I773" i="4"/>
  <c r="H773" i="4"/>
  <c r="I772" i="4"/>
  <c r="H772" i="4"/>
  <c r="I771" i="4"/>
  <c r="H771" i="4"/>
  <c r="I770" i="4"/>
  <c r="H770" i="4"/>
  <c r="I769" i="4"/>
  <c r="H769" i="4"/>
  <c r="I768" i="4"/>
  <c r="H768" i="4"/>
  <c r="I767" i="4"/>
  <c r="H767" i="4"/>
  <c r="I766" i="4"/>
  <c r="H766" i="4"/>
  <c r="I765" i="4"/>
  <c r="H765" i="4"/>
  <c r="I764" i="4"/>
  <c r="H764" i="4"/>
  <c r="I763" i="4"/>
  <c r="H763" i="4"/>
  <c r="I762" i="4"/>
  <c r="H762" i="4"/>
  <c r="I761" i="4"/>
  <c r="H761" i="4"/>
  <c r="I760" i="4"/>
  <c r="H760" i="4"/>
  <c r="I759" i="4"/>
  <c r="H759" i="4"/>
  <c r="I758" i="4"/>
  <c r="H758" i="4"/>
  <c r="I757" i="4"/>
  <c r="H757" i="4"/>
  <c r="I756" i="4"/>
  <c r="H756" i="4"/>
  <c r="I755" i="4"/>
  <c r="H755" i="4"/>
  <c r="I754" i="4"/>
  <c r="H754" i="4"/>
  <c r="I753" i="4"/>
  <c r="H753" i="4"/>
  <c r="I752" i="4"/>
  <c r="H752" i="4"/>
  <c r="I751" i="4"/>
  <c r="H751" i="4"/>
  <c r="I750" i="4"/>
  <c r="H750" i="4"/>
  <c r="I749" i="4"/>
  <c r="H749" i="4"/>
  <c r="I748" i="4"/>
  <c r="H748" i="4"/>
  <c r="I747" i="4"/>
  <c r="H747" i="4"/>
  <c r="I746" i="4"/>
  <c r="H746" i="4"/>
  <c r="I745" i="4"/>
  <c r="H745" i="4"/>
  <c r="I744" i="4"/>
  <c r="H744" i="4"/>
  <c r="I743" i="4"/>
  <c r="H743" i="4"/>
  <c r="I742" i="4"/>
  <c r="H742" i="4"/>
  <c r="I741" i="4"/>
  <c r="H741" i="4"/>
  <c r="I740" i="4"/>
  <c r="H740" i="4"/>
  <c r="I739" i="4"/>
  <c r="H739" i="4"/>
  <c r="I738" i="4"/>
  <c r="H738" i="4"/>
  <c r="I737" i="4"/>
  <c r="H737" i="4"/>
  <c r="I736" i="4"/>
  <c r="H736" i="4"/>
  <c r="I735" i="4"/>
  <c r="H735" i="4"/>
  <c r="I734" i="4"/>
  <c r="H734" i="4"/>
  <c r="I733" i="4"/>
  <c r="H733" i="4"/>
  <c r="I732" i="4"/>
  <c r="H732" i="4"/>
  <c r="I731" i="4"/>
  <c r="H731" i="4"/>
  <c r="I730" i="4"/>
  <c r="H730" i="4"/>
  <c r="I729" i="4"/>
  <c r="H729" i="4"/>
  <c r="I728" i="4"/>
  <c r="H728" i="4"/>
  <c r="I727" i="4"/>
  <c r="H727" i="4"/>
  <c r="I726" i="4"/>
  <c r="H726" i="4"/>
  <c r="I725" i="4"/>
  <c r="H725" i="4"/>
  <c r="I724" i="4"/>
  <c r="H724" i="4"/>
  <c r="I723" i="4"/>
  <c r="H723" i="4"/>
  <c r="I722" i="4"/>
  <c r="H722" i="4"/>
  <c r="I721" i="4"/>
  <c r="H721" i="4"/>
  <c r="I720" i="4"/>
  <c r="H720" i="4"/>
  <c r="I719" i="4"/>
  <c r="H719" i="4"/>
  <c r="I718" i="4"/>
  <c r="H718" i="4"/>
  <c r="I717" i="4"/>
  <c r="H717" i="4"/>
  <c r="I716" i="4"/>
  <c r="H716" i="4"/>
  <c r="I715" i="4"/>
  <c r="H715" i="4"/>
  <c r="I714" i="4"/>
  <c r="H714" i="4"/>
  <c r="I713" i="4"/>
  <c r="H713" i="4"/>
  <c r="I712" i="4"/>
  <c r="H712" i="4"/>
  <c r="I711" i="4"/>
  <c r="H711" i="4"/>
  <c r="I710" i="4"/>
  <c r="H710" i="4"/>
  <c r="I709" i="4"/>
  <c r="H709" i="4"/>
  <c r="I708" i="4"/>
  <c r="H708" i="4"/>
  <c r="I707" i="4"/>
  <c r="H707" i="4"/>
  <c r="I706" i="4"/>
  <c r="H706" i="4"/>
  <c r="I705" i="4"/>
  <c r="H705" i="4"/>
  <c r="I704" i="4"/>
  <c r="H704" i="4"/>
  <c r="I703" i="4"/>
  <c r="H703" i="4"/>
  <c r="I702" i="4"/>
  <c r="H702" i="4"/>
  <c r="I701" i="4"/>
  <c r="H701" i="4"/>
  <c r="I700" i="4"/>
  <c r="H700" i="4"/>
  <c r="I699" i="4"/>
  <c r="H699" i="4"/>
  <c r="I698" i="4"/>
  <c r="H698" i="4"/>
  <c r="I697" i="4"/>
  <c r="H697" i="4"/>
  <c r="I696" i="4"/>
  <c r="H696" i="4"/>
  <c r="I695" i="4"/>
  <c r="H695" i="4"/>
  <c r="I694" i="4"/>
  <c r="H694" i="4"/>
  <c r="I693" i="4"/>
  <c r="H693" i="4"/>
  <c r="I692" i="4"/>
  <c r="H692" i="4"/>
  <c r="I691" i="4"/>
  <c r="H691" i="4"/>
  <c r="I690" i="4"/>
  <c r="H690" i="4"/>
  <c r="I689" i="4"/>
  <c r="H689" i="4"/>
  <c r="I688" i="4"/>
  <c r="H688" i="4"/>
  <c r="I687" i="4"/>
  <c r="H687" i="4"/>
  <c r="I686" i="4"/>
  <c r="H686" i="4"/>
  <c r="I685" i="4"/>
  <c r="H685" i="4"/>
  <c r="I684" i="4"/>
  <c r="H684" i="4"/>
  <c r="I683" i="4"/>
  <c r="H683" i="4"/>
  <c r="I682" i="4"/>
  <c r="H682" i="4"/>
  <c r="I681" i="4"/>
  <c r="H681" i="4"/>
  <c r="I680" i="4"/>
  <c r="H680" i="4"/>
  <c r="I679" i="4"/>
  <c r="H679" i="4"/>
  <c r="I678" i="4"/>
  <c r="H678" i="4"/>
  <c r="I677" i="4"/>
  <c r="H677" i="4"/>
  <c r="I676" i="4"/>
  <c r="H676" i="4"/>
  <c r="I675" i="4"/>
  <c r="H675" i="4"/>
  <c r="I674" i="4"/>
  <c r="H674" i="4"/>
  <c r="I673" i="4"/>
  <c r="H673" i="4"/>
  <c r="I672" i="4"/>
  <c r="H672" i="4"/>
  <c r="I671" i="4"/>
  <c r="H671" i="4"/>
  <c r="I670" i="4"/>
  <c r="H670" i="4"/>
  <c r="I669" i="4"/>
  <c r="H669" i="4"/>
  <c r="I668" i="4"/>
  <c r="H668" i="4"/>
  <c r="I667" i="4"/>
  <c r="H667" i="4"/>
  <c r="I666" i="4"/>
  <c r="H666" i="4"/>
  <c r="I665" i="4"/>
  <c r="H665" i="4"/>
  <c r="I664" i="4"/>
  <c r="H664" i="4"/>
  <c r="I663" i="4"/>
  <c r="H663" i="4"/>
  <c r="I662" i="4"/>
  <c r="H662" i="4"/>
  <c r="I661" i="4"/>
  <c r="H661" i="4"/>
  <c r="I660" i="4"/>
  <c r="H660" i="4"/>
  <c r="I659" i="4"/>
  <c r="H659" i="4"/>
  <c r="I658" i="4"/>
  <c r="H658" i="4"/>
  <c r="I657" i="4"/>
  <c r="H657" i="4"/>
  <c r="I656" i="4"/>
  <c r="H656" i="4"/>
  <c r="I655" i="4"/>
  <c r="H655" i="4"/>
  <c r="I654" i="4"/>
  <c r="H654" i="4"/>
  <c r="I653" i="4"/>
  <c r="H653" i="4"/>
  <c r="I652" i="4"/>
  <c r="H652" i="4"/>
  <c r="I651" i="4"/>
  <c r="H651" i="4"/>
  <c r="I650" i="4"/>
  <c r="H650" i="4"/>
  <c r="I649" i="4"/>
  <c r="H649" i="4"/>
  <c r="I648" i="4"/>
  <c r="H648" i="4"/>
  <c r="I647" i="4"/>
  <c r="H647" i="4"/>
  <c r="I646" i="4"/>
  <c r="H646" i="4"/>
  <c r="I645" i="4"/>
  <c r="H645" i="4"/>
  <c r="I644" i="4"/>
  <c r="H644" i="4"/>
  <c r="I643" i="4"/>
  <c r="H643" i="4"/>
  <c r="I642" i="4"/>
  <c r="H642" i="4"/>
  <c r="I641" i="4"/>
  <c r="H641" i="4"/>
  <c r="I640" i="4"/>
  <c r="H640" i="4"/>
  <c r="I639" i="4"/>
  <c r="H639" i="4"/>
  <c r="I638" i="4"/>
  <c r="H638" i="4"/>
  <c r="I637" i="4"/>
  <c r="H637" i="4"/>
  <c r="I636" i="4"/>
  <c r="H636" i="4"/>
  <c r="I635" i="4"/>
  <c r="H635" i="4"/>
  <c r="I634" i="4"/>
  <c r="H634" i="4"/>
  <c r="I633" i="4"/>
  <c r="H633" i="4"/>
  <c r="I632" i="4"/>
  <c r="H632" i="4"/>
  <c r="I631" i="4"/>
  <c r="H631" i="4"/>
  <c r="I630" i="4"/>
  <c r="H630" i="4"/>
  <c r="I629" i="4"/>
  <c r="H629" i="4"/>
  <c r="I628" i="4"/>
  <c r="H628" i="4"/>
  <c r="I627" i="4"/>
  <c r="H627" i="4"/>
  <c r="I626" i="4"/>
  <c r="H626" i="4"/>
  <c r="I625" i="4"/>
  <c r="H625" i="4"/>
  <c r="I624" i="4"/>
  <c r="H624" i="4"/>
  <c r="I623" i="4"/>
  <c r="H623" i="4"/>
  <c r="I622" i="4"/>
  <c r="H622" i="4"/>
  <c r="I621" i="4"/>
  <c r="H621" i="4"/>
  <c r="I620" i="4"/>
  <c r="H620" i="4"/>
  <c r="I619" i="4"/>
  <c r="H619" i="4"/>
  <c r="I618" i="4"/>
  <c r="H618" i="4"/>
  <c r="I617" i="4"/>
  <c r="H617" i="4"/>
  <c r="I616" i="4"/>
  <c r="H616" i="4"/>
  <c r="I615" i="4"/>
  <c r="H615" i="4"/>
  <c r="I614" i="4"/>
  <c r="H614" i="4"/>
  <c r="I613" i="4"/>
  <c r="H613" i="4"/>
  <c r="I612" i="4"/>
  <c r="H612" i="4"/>
  <c r="I611" i="4"/>
  <c r="H611" i="4"/>
  <c r="I610" i="4"/>
  <c r="H610" i="4"/>
  <c r="I609" i="4"/>
  <c r="H609" i="4"/>
  <c r="I608" i="4"/>
  <c r="H608" i="4"/>
  <c r="I607" i="4"/>
  <c r="H607" i="4"/>
  <c r="I606" i="4"/>
  <c r="H606" i="4"/>
  <c r="I605" i="4"/>
  <c r="H605" i="4"/>
  <c r="I604" i="4"/>
  <c r="H604" i="4"/>
  <c r="I603" i="4"/>
  <c r="H603" i="4"/>
  <c r="I602" i="4"/>
  <c r="H602" i="4"/>
  <c r="I601" i="4"/>
  <c r="H601" i="4"/>
  <c r="I600" i="4"/>
  <c r="H600" i="4"/>
  <c r="I599" i="4"/>
  <c r="H599" i="4"/>
  <c r="I598" i="4"/>
  <c r="H598" i="4"/>
  <c r="I597" i="4"/>
  <c r="H597" i="4"/>
  <c r="I596" i="4"/>
  <c r="H596" i="4"/>
  <c r="I595" i="4"/>
  <c r="H595" i="4"/>
  <c r="I594" i="4"/>
  <c r="H594" i="4"/>
  <c r="I593" i="4"/>
  <c r="H593" i="4"/>
  <c r="I592" i="4"/>
  <c r="H592" i="4"/>
  <c r="I591" i="4"/>
  <c r="H591" i="4"/>
  <c r="I590" i="4"/>
  <c r="H590" i="4"/>
  <c r="I589" i="4"/>
  <c r="H589" i="4"/>
  <c r="I588" i="4"/>
  <c r="H588" i="4"/>
  <c r="I587" i="4"/>
  <c r="H587" i="4"/>
  <c r="I586" i="4"/>
  <c r="H586" i="4"/>
  <c r="I585" i="4"/>
  <c r="H585" i="4"/>
  <c r="I584" i="4"/>
  <c r="H584" i="4"/>
  <c r="I583" i="4"/>
  <c r="H583" i="4"/>
  <c r="I582" i="4"/>
  <c r="H582" i="4"/>
  <c r="I581" i="4"/>
  <c r="H581" i="4"/>
  <c r="I580" i="4"/>
  <c r="H580" i="4"/>
  <c r="I579" i="4"/>
  <c r="H579" i="4"/>
  <c r="I578" i="4"/>
  <c r="H578" i="4"/>
  <c r="I577" i="4"/>
  <c r="H577" i="4"/>
  <c r="I576" i="4"/>
  <c r="H576" i="4"/>
  <c r="I575" i="4"/>
  <c r="H575" i="4"/>
  <c r="I574" i="4"/>
  <c r="H574" i="4"/>
  <c r="I573" i="4"/>
  <c r="H573" i="4"/>
  <c r="I572" i="4"/>
  <c r="H572" i="4"/>
  <c r="I571" i="4"/>
  <c r="H571" i="4"/>
  <c r="I570" i="4"/>
  <c r="H570" i="4"/>
  <c r="I569" i="4"/>
  <c r="H569" i="4"/>
  <c r="I568" i="4"/>
  <c r="H568" i="4"/>
  <c r="I567" i="4"/>
  <c r="H567" i="4"/>
  <c r="I566" i="4"/>
  <c r="H566" i="4"/>
  <c r="I565" i="4"/>
  <c r="H565" i="4"/>
  <c r="I564" i="4"/>
  <c r="H564" i="4"/>
  <c r="I563" i="4"/>
  <c r="H563" i="4"/>
  <c r="I562" i="4"/>
  <c r="H562" i="4"/>
  <c r="I561" i="4"/>
  <c r="H561" i="4"/>
  <c r="I560" i="4"/>
  <c r="H560" i="4"/>
  <c r="I559" i="4"/>
  <c r="H559" i="4"/>
  <c r="I558" i="4"/>
  <c r="H558" i="4"/>
  <c r="I557" i="4"/>
  <c r="H557" i="4"/>
  <c r="I556" i="4"/>
  <c r="H556" i="4"/>
  <c r="I555" i="4"/>
  <c r="H555" i="4"/>
  <c r="I554" i="4"/>
  <c r="H554" i="4"/>
  <c r="I553" i="4"/>
  <c r="H553" i="4"/>
  <c r="I552" i="4"/>
  <c r="H552" i="4"/>
  <c r="I551" i="4"/>
  <c r="H551" i="4"/>
  <c r="I550" i="4"/>
  <c r="H550" i="4"/>
  <c r="I549" i="4"/>
  <c r="H549" i="4"/>
  <c r="I548" i="4"/>
  <c r="H548" i="4"/>
  <c r="I547" i="4"/>
  <c r="H547" i="4"/>
  <c r="I546" i="4"/>
  <c r="H546" i="4"/>
  <c r="I545" i="4"/>
  <c r="H545" i="4"/>
  <c r="I544" i="4"/>
  <c r="H544" i="4"/>
  <c r="I543" i="4"/>
  <c r="H543" i="4"/>
  <c r="I542" i="4"/>
  <c r="H542" i="4"/>
  <c r="I541" i="4"/>
  <c r="H541" i="4"/>
  <c r="I540" i="4"/>
  <c r="H540" i="4"/>
  <c r="I539" i="4"/>
  <c r="H539" i="4"/>
  <c r="I538" i="4"/>
  <c r="H538" i="4"/>
  <c r="I537" i="4"/>
  <c r="H537" i="4"/>
  <c r="I536" i="4"/>
  <c r="H536" i="4"/>
  <c r="I535" i="4"/>
  <c r="H535" i="4"/>
  <c r="I534" i="4"/>
  <c r="H534" i="4"/>
  <c r="I533" i="4"/>
  <c r="H533" i="4"/>
  <c r="I532" i="4"/>
  <c r="H532" i="4"/>
  <c r="I531" i="4"/>
  <c r="H531" i="4"/>
  <c r="I530" i="4"/>
  <c r="H530" i="4"/>
  <c r="I529" i="4"/>
  <c r="H529" i="4"/>
  <c r="I528" i="4"/>
  <c r="H528" i="4"/>
  <c r="I527" i="4"/>
  <c r="H527" i="4"/>
  <c r="I526" i="4"/>
  <c r="H526" i="4"/>
  <c r="I525" i="4"/>
  <c r="H525" i="4"/>
  <c r="I524" i="4"/>
  <c r="H524" i="4"/>
  <c r="I523" i="4"/>
  <c r="H523" i="4"/>
  <c r="I522" i="4"/>
  <c r="H522" i="4"/>
  <c r="I521" i="4"/>
  <c r="H521" i="4"/>
  <c r="I520" i="4"/>
  <c r="H520" i="4"/>
  <c r="I519" i="4"/>
  <c r="H519" i="4"/>
  <c r="I518" i="4"/>
  <c r="H518" i="4"/>
  <c r="I517" i="4"/>
  <c r="H517" i="4"/>
  <c r="I516" i="4"/>
  <c r="H516" i="4"/>
  <c r="I515" i="4"/>
  <c r="H515" i="4"/>
  <c r="I514" i="4"/>
  <c r="H514" i="4"/>
  <c r="I513" i="4"/>
  <c r="H513" i="4"/>
  <c r="I512" i="4"/>
  <c r="H512" i="4"/>
  <c r="I511" i="4"/>
  <c r="H511" i="4"/>
  <c r="I510" i="4"/>
  <c r="H510" i="4"/>
  <c r="I509" i="4"/>
  <c r="H509" i="4"/>
  <c r="I508" i="4"/>
  <c r="H508" i="4"/>
  <c r="I507" i="4"/>
  <c r="H507" i="4"/>
  <c r="I506" i="4"/>
  <c r="H506" i="4"/>
  <c r="I505" i="4"/>
  <c r="H505" i="4"/>
  <c r="I504" i="4"/>
  <c r="H504" i="4"/>
  <c r="I503" i="4"/>
  <c r="H503" i="4"/>
  <c r="I502" i="4"/>
  <c r="H502" i="4"/>
  <c r="I501" i="4"/>
  <c r="H501" i="4"/>
  <c r="I500" i="4"/>
  <c r="H500" i="4"/>
  <c r="I499" i="4"/>
  <c r="H499" i="4"/>
  <c r="I498" i="4"/>
  <c r="H498" i="4"/>
  <c r="I497" i="4"/>
  <c r="H497" i="4"/>
  <c r="I496" i="4"/>
  <c r="H496" i="4"/>
  <c r="I495" i="4"/>
  <c r="H495" i="4"/>
  <c r="I494" i="4"/>
  <c r="H494" i="4"/>
  <c r="I493" i="4"/>
  <c r="H493" i="4"/>
  <c r="I492" i="4"/>
  <c r="H492" i="4"/>
  <c r="I491" i="4"/>
  <c r="H491" i="4"/>
  <c r="I490" i="4"/>
  <c r="H490" i="4"/>
  <c r="I489" i="4"/>
  <c r="H489" i="4"/>
  <c r="I488" i="4"/>
  <c r="H488" i="4"/>
  <c r="I487" i="4"/>
  <c r="H487" i="4"/>
  <c r="I486" i="4"/>
  <c r="H486" i="4"/>
  <c r="I485" i="4"/>
  <c r="H485" i="4"/>
  <c r="I484" i="4"/>
  <c r="H484" i="4"/>
  <c r="I483" i="4"/>
  <c r="H483" i="4"/>
  <c r="I482" i="4"/>
  <c r="H482" i="4"/>
  <c r="I481" i="4"/>
  <c r="H481" i="4"/>
  <c r="I480" i="4"/>
  <c r="H480" i="4"/>
  <c r="I479" i="4"/>
  <c r="H479" i="4"/>
  <c r="I478" i="4"/>
  <c r="H478" i="4"/>
  <c r="I477" i="4"/>
  <c r="H477" i="4"/>
  <c r="I476" i="4"/>
  <c r="H476" i="4"/>
  <c r="I475" i="4"/>
  <c r="H475" i="4"/>
  <c r="I474" i="4"/>
  <c r="H474" i="4"/>
  <c r="I473" i="4"/>
  <c r="H473" i="4"/>
  <c r="I472" i="4"/>
  <c r="H472" i="4"/>
  <c r="I471" i="4"/>
  <c r="H471" i="4"/>
  <c r="I470" i="4"/>
  <c r="H470" i="4"/>
  <c r="I469" i="4"/>
  <c r="H469" i="4"/>
  <c r="I468" i="4"/>
  <c r="H468" i="4"/>
  <c r="I467" i="4"/>
  <c r="H467" i="4"/>
  <c r="I466" i="4"/>
  <c r="H466" i="4"/>
  <c r="I465" i="4"/>
  <c r="H465" i="4"/>
  <c r="I464" i="4"/>
  <c r="H464" i="4"/>
  <c r="I463" i="4"/>
  <c r="H463" i="4"/>
  <c r="I462" i="4"/>
  <c r="H462" i="4"/>
  <c r="I461" i="4"/>
  <c r="H461" i="4"/>
  <c r="I460" i="4"/>
  <c r="H460" i="4"/>
  <c r="I459" i="4"/>
  <c r="H459" i="4"/>
  <c r="I458" i="4"/>
  <c r="H458" i="4"/>
  <c r="I457" i="4"/>
  <c r="H457" i="4"/>
  <c r="I456" i="4"/>
  <c r="H456" i="4"/>
  <c r="I455" i="4"/>
  <c r="H455" i="4"/>
  <c r="I454" i="4"/>
  <c r="H454" i="4"/>
  <c r="I453" i="4"/>
  <c r="H453" i="4"/>
  <c r="I452" i="4"/>
  <c r="H452" i="4"/>
  <c r="I451" i="4"/>
  <c r="H451" i="4"/>
  <c r="I450" i="4"/>
  <c r="H450" i="4"/>
  <c r="I449" i="4"/>
  <c r="H449" i="4"/>
  <c r="I448" i="4"/>
  <c r="H448" i="4"/>
  <c r="I447" i="4"/>
  <c r="H447" i="4"/>
  <c r="I446" i="4"/>
  <c r="H446" i="4"/>
  <c r="I445" i="4"/>
  <c r="H445" i="4"/>
  <c r="I444" i="4"/>
  <c r="H444" i="4"/>
  <c r="I443" i="4"/>
  <c r="H443" i="4"/>
  <c r="I442" i="4"/>
  <c r="H442" i="4"/>
  <c r="I441" i="4"/>
  <c r="H441" i="4"/>
  <c r="I440" i="4"/>
  <c r="H440" i="4"/>
  <c r="I439" i="4"/>
  <c r="H439" i="4"/>
  <c r="I438" i="4"/>
  <c r="H438" i="4"/>
  <c r="I437" i="4"/>
  <c r="H437" i="4"/>
  <c r="I436" i="4"/>
  <c r="H436" i="4"/>
  <c r="I435" i="4"/>
  <c r="H435" i="4"/>
  <c r="I434" i="4"/>
  <c r="H434" i="4"/>
  <c r="I433" i="4"/>
  <c r="H433" i="4"/>
  <c r="I432" i="4"/>
  <c r="H432" i="4"/>
  <c r="I431" i="4"/>
  <c r="H431" i="4"/>
  <c r="I430" i="4"/>
  <c r="H430" i="4"/>
  <c r="I429" i="4"/>
  <c r="H429" i="4"/>
  <c r="I428" i="4"/>
  <c r="H428" i="4"/>
  <c r="I427" i="4"/>
  <c r="H427" i="4"/>
  <c r="I426" i="4"/>
  <c r="H426" i="4"/>
  <c r="I425" i="4"/>
  <c r="H425" i="4"/>
  <c r="I424" i="4"/>
  <c r="H424" i="4"/>
  <c r="I423" i="4"/>
  <c r="H423" i="4"/>
  <c r="I422" i="4"/>
  <c r="H422" i="4"/>
  <c r="I421" i="4"/>
  <c r="H421" i="4"/>
  <c r="I420" i="4"/>
  <c r="H420" i="4"/>
  <c r="I419" i="4"/>
  <c r="H419" i="4"/>
  <c r="I418" i="4"/>
  <c r="H418" i="4"/>
  <c r="I417" i="4"/>
  <c r="H417" i="4"/>
  <c r="I416" i="4"/>
  <c r="H416" i="4"/>
  <c r="I415" i="4"/>
  <c r="H415" i="4"/>
  <c r="I414" i="4"/>
  <c r="H414" i="4"/>
  <c r="I413" i="4"/>
  <c r="H413" i="4"/>
  <c r="I412" i="4"/>
  <c r="H412" i="4"/>
  <c r="I411" i="4"/>
  <c r="H411" i="4"/>
  <c r="I410" i="4"/>
  <c r="H410" i="4"/>
  <c r="I409" i="4"/>
  <c r="H409" i="4"/>
  <c r="I408" i="4"/>
  <c r="H408" i="4"/>
  <c r="I407" i="4"/>
  <c r="H407" i="4"/>
  <c r="I406" i="4"/>
  <c r="H406" i="4"/>
  <c r="I405" i="4"/>
  <c r="H405" i="4"/>
  <c r="I404" i="4"/>
  <c r="H404" i="4"/>
  <c r="I403" i="4"/>
  <c r="H403" i="4"/>
  <c r="I402" i="4"/>
  <c r="H402" i="4"/>
  <c r="I401" i="4"/>
  <c r="H401" i="4"/>
  <c r="I400" i="4"/>
  <c r="H400" i="4"/>
  <c r="I399" i="4"/>
  <c r="H399" i="4"/>
  <c r="I398" i="4"/>
  <c r="H398" i="4"/>
  <c r="I397" i="4"/>
  <c r="H397" i="4"/>
  <c r="I396" i="4"/>
  <c r="H396" i="4"/>
  <c r="I395" i="4"/>
  <c r="H395" i="4"/>
  <c r="I394" i="4"/>
  <c r="H394" i="4"/>
  <c r="I393" i="4"/>
  <c r="H393" i="4"/>
  <c r="I392" i="4"/>
  <c r="H392" i="4"/>
  <c r="I391" i="4"/>
  <c r="H391" i="4"/>
  <c r="I390" i="4"/>
  <c r="H390" i="4"/>
  <c r="I389" i="4"/>
  <c r="H389" i="4"/>
  <c r="I388" i="4"/>
  <c r="H388" i="4"/>
  <c r="I387" i="4"/>
  <c r="H387" i="4"/>
  <c r="I386" i="4"/>
  <c r="H386" i="4"/>
  <c r="I385" i="4"/>
  <c r="H385" i="4"/>
  <c r="I384" i="4"/>
  <c r="H384" i="4"/>
  <c r="I383" i="4"/>
  <c r="H383" i="4"/>
  <c r="I382" i="4"/>
  <c r="H382" i="4"/>
  <c r="I381" i="4"/>
  <c r="H381" i="4"/>
  <c r="I380" i="4"/>
  <c r="H380" i="4"/>
  <c r="I379" i="4"/>
  <c r="H379" i="4"/>
  <c r="I378" i="4"/>
  <c r="H378" i="4"/>
  <c r="I377" i="4"/>
  <c r="H377" i="4"/>
  <c r="I376" i="4"/>
  <c r="H376" i="4"/>
  <c r="I375" i="4"/>
  <c r="H375" i="4"/>
  <c r="I374" i="4"/>
  <c r="H374" i="4"/>
  <c r="I373" i="4"/>
  <c r="H373" i="4"/>
  <c r="I372" i="4"/>
  <c r="H372" i="4"/>
  <c r="I371" i="4"/>
  <c r="H371" i="4"/>
  <c r="I370" i="4"/>
  <c r="H370" i="4"/>
  <c r="I369" i="4"/>
  <c r="H369" i="4"/>
  <c r="I368" i="4"/>
  <c r="H368" i="4"/>
  <c r="I367" i="4"/>
  <c r="H367" i="4"/>
  <c r="I366" i="4"/>
  <c r="H366" i="4"/>
  <c r="I365" i="4"/>
  <c r="H365" i="4"/>
  <c r="I364" i="4"/>
  <c r="H364" i="4"/>
  <c r="I363" i="4"/>
  <c r="H363" i="4"/>
  <c r="I362" i="4"/>
  <c r="H362" i="4"/>
  <c r="I361" i="4"/>
  <c r="H361" i="4"/>
  <c r="I360" i="4"/>
  <c r="H360" i="4"/>
  <c r="I359" i="4"/>
  <c r="H359" i="4"/>
  <c r="I358" i="4"/>
  <c r="H358" i="4"/>
  <c r="I357" i="4"/>
  <c r="H357" i="4"/>
  <c r="I356" i="4"/>
  <c r="H356" i="4"/>
  <c r="I355" i="4"/>
  <c r="H355" i="4"/>
  <c r="I354" i="4"/>
  <c r="H354" i="4"/>
  <c r="I353" i="4"/>
  <c r="H353" i="4"/>
  <c r="I352" i="4"/>
  <c r="H352" i="4"/>
  <c r="I351" i="4"/>
  <c r="H351" i="4"/>
  <c r="I350" i="4"/>
  <c r="H350" i="4"/>
  <c r="I349" i="4"/>
  <c r="H349" i="4"/>
  <c r="I348" i="4"/>
  <c r="H348" i="4"/>
  <c r="I347" i="4"/>
  <c r="H347" i="4"/>
  <c r="I346" i="4"/>
  <c r="H346" i="4"/>
  <c r="I345" i="4"/>
  <c r="H345" i="4"/>
  <c r="I344" i="4"/>
  <c r="H344" i="4"/>
  <c r="I343" i="4"/>
  <c r="H343" i="4"/>
  <c r="I342" i="4"/>
  <c r="H342" i="4"/>
  <c r="I341" i="4"/>
  <c r="H341" i="4"/>
  <c r="I340" i="4"/>
  <c r="H340" i="4"/>
  <c r="I339" i="4"/>
  <c r="H339" i="4"/>
  <c r="I338" i="4"/>
  <c r="H338" i="4"/>
  <c r="I337" i="4"/>
  <c r="H337" i="4"/>
  <c r="I336" i="4"/>
  <c r="H336" i="4"/>
  <c r="I335" i="4"/>
  <c r="H335" i="4"/>
  <c r="I334" i="4"/>
  <c r="H334" i="4"/>
  <c r="I333" i="4"/>
  <c r="H333" i="4"/>
  <c r="I332" i="4"/>
  <c r="H332" i="4"/>
  <c r="I331" i="4"/>
  <c r="H331" i="4"/>
  <c r="I330" i="4"/>
  <c r="H330" i="4"/>
  <c r="I329" i="4"/>
  <c r="H329" i="4"/>
  <c r="I328" i="4"/>
  <c r="H328" i="4"/>
  <c r="I327" i="4"/>
  <c r="H327" i="4"/>
  <c r="I326" i="4"/>
  <c r="H326" i="4"/>
  <c r="I325" i="4"/>
  <c r="H325" i="4"/>
  <c r="I324" i="4"/>
  <c r="H324" i="4"/>
  <c r="I323" i="4"/>
  <c r="H323" i="4"/>
  <c r="I322" i="4"/>
  <c r="H322" i="4"/>
  <c r="I321" i="4"/>
  <c r="H321" i="4"/>
  <c r="I320" i="4"/>
  <c r="H320" i="4"/>
  <c r="I319" i="4"/>
  <c r="H319" i="4"/>
  <c r="I318" i="4"/>
  <c r="H318" i="4"/>
  <c r="I317" i="4"/>
  <c r="H317" i="4"/>
  <c r="I316" i="4"/>
  <c r="H316" i="4"/>
  <c r="I315" i="4"/>
  <c r="H315" i="4"/>
  <c r="I314" i="4"/>
  <c r="H314" i="4"/>
  <c r="I313" i="4"/>
  <c r="H313" i="4"/>
  <c r="I312" i="4"/>
  <c r="H312" i="4"/>
  <c r="I311" i="4"/>
  <c r="H311" i="4"/>
  <c r="I310" i="4"/>
  <c r="H310" i="4"/>
  <c r="I309" i="4"/>
  <c r="H309" i="4"/>
  <c r="I308" i="4"/>
  <c r="H308" i="4"/>
  <c r="I307" i="4"/>
  <c r="H307" i="4"/>
  <c r="I306" i="4"/>
  <c r="H306" i="4"/>
  <c r="I305" i="4"/>
  <c r="H305" i="4"/>
  <c r="I304" i="4"/>
  <c r="H304" i="4"/>
  <c r="I303" i="4"/>
  <c r="H303" i="4"/>
  <c r="I302" i="4"/>
  <c r="H302" i="4"/>
  <c r="I301" i="4"/>
  <c r="H301" i="4"/>
  <c r="I300" i="4"/>
  <c r="H300" i="4"/>
  <c r="I299" i="4"/>
  <c r="H299" i="4"/>
  <c r="I298" i="4"/>
  <c r="H298" i="4"/>
  <c r="I297" i="4"/>
  <c r="H297" i="4"/>
  <c r="I296" i="4"/>
  <c r="H296" i="4"/>
  <c r="I295" i="4"/>
  <c r="H295" i="4"/>
  <c r="I294" i="4"/>
  <c r="H294" i="4"/>
  <c r="I293" i="4"/>
  <c r="H293" i="4"/>
  <c r="I292" i="4"/>
  <c r="H292" i="4"/>
  <c r="I291" i="4"/>
  <c r="H291" i="4"/>
  <c r="I290" i="4"/>
  <c r="H290" i="4"/>
  <c r="I289" i="4"/>
  <c r="H289" i="4"/>
  <c r="I288" i="4"/>
  <c r="H288" i="4"/>
  <c r="I287" i="4"/>
  <c r="H287" i="4"/>
  <c r="I286" i="4"/>
  <c r="H286" i="4"/>
  <c r="I285" i="4"/>
  <c r="H285" i="4"/>
  <c r="I284" i="4"/>
  <c r="H284" i="4"/>
  <c r="I283" i="4"/>
  <c r="H283" i="4"/>
  <c r="I282" i="4"/>
  <c r="H282" i="4"/>
  <c r="I281" i="4"/>
  <c r="H281" i="4"/>
  <c r="I280" i="4"/>
  <c r="H280" i="4"/>
  <c r="I279" i="4"/>
  <c r="H279" i="4"/>
  <c r="I278" i="4"/>
  <c r="H278" i="4"/>
  <c r="I277" i="4"/>
  <c r="H277" i="4"/>
  <c r="I276" i="4"/>
  <c r="H276" i="4"/>
  <c r="I275" i="4"/>
  <c r="H275" i="4"/>
  <c r="I274" i="4"/>
  <c r="H274" i="4"/>
  <c r="I273" i="4"/>
  <c r="H273" i="4"/>
  <c r="I272" i="4"/>
  <c r="H272" i="4"/>
  <c r="I271" i="4"/>
  <c r="H271" i="4"/>
  <c r="I270" i="4"/>
  <c r="H270" i="4"/>
  <c r="I269" i="4"/>
  <c r="H269" i="4"/>
  <c r="I268" i="4"/>
  <c r="H268" i="4"/>
  <c r="I267" i="4"/>
  <c r="H267" i="4"/>
  <c r="I266" i="4"/>
  <c r="H266" i="4"/>
  <c r="I265" i="4"/>
  <c r="H265" i="4"/>
  <c r="I264" i="4"/>
  <c r="H264" i="4"/>
  <c r="I263" i="4"/>
  <c r="H263" i="4"/>
  <c r="I262" i="4"/>
  <c r="H262" i="4"/>
  <c r="I261" i="4"/>
  <c r="H261" i="4"/>
  <c r="I260" i="4"/>
  <c r="H260" i="4"/>
  <c r="I259" i="4"/>
  <c r="H259" i="4"/>
  <c r="I258" i="4"/>
  <c r="H258" i="4"/>
  <c r="I257" i="4"/>
  <c r="H257" i="4"/>
  <c r="I256" i="4"/>
  <c r="H256" i="4"/>
  <c r="I255" i="4"/>
  <c r="H255" i="4"/>
  <c r="I254" i="4"/>
  <c r="H254" i="4"/>
  <c r="I253" i="4"/>
  <c r="H253" i="4"/>
  <c r="I252" i="4"/>
  <c r="H252" i="4"/>
  <c r="I251" i="4"/>
  <c r="H251" i="4"/>
  <c r="I250" i="4"/>
  <c r="H250" i="4"/>
  <c r="I249" i="4"/>
  <c r="H249" i="4"/>
  <c r="I248" i="4"/>
  <c r="H248" i="4"/>
  <c r="I247" i="4"/>
  <c r="H247" i="4"/>
  <c r="I246" i="4"/>
  <c r="H246" i="4"/>
  <c r="I245" i="4"/>
  <c r="H245" i="4"/>
  <c r="I244" i="4"/>
  <c r="H244" i="4"/>
  <c r="I243" i="4"/>
  <c r="H243" i="4"/>
  <c r="I242" i="4"/>
  <c r="H242" i="4"/>
  <c r="I241" i="4"/>
  <c r="H241" i="4"/>
  <c r="I240" i="4"/>
  <c r="H240" i="4"/>
  <c r="I239" i="4"/>
  <c r="H239" i="4"/>
  <c r="I238" i="4"/>
  <c r="H238" i="4"/>
  <c r="I237" i="4"/>
  <c r="H237" i="4"/>
  <c r="I236" i="4"/>
  <c r="H236" i="4"/>
  <c r="I235" i="4"/>
  <c r="H235" i="4"/>
  <c r="I234" i="4"/>
  <c r="H234" i="4"/>
  <c r="I233" i="4"/>
  <c r="H233" i="4"/>
  <c r="I232" i="4"/>
  <c r="H232" i="4"/>
  <c r="I231" i="4"/>
  <c r="H231" i="4"/>
  <c r="I230" i="4"/>
  <c r="H230" i="4"/>
  <c r="I229" i="4"/>
  <c r="H229" i="4"/>
  <c r="I228" i="4"/>
  <c r="H228" i="4"/>
  <c r="I227" i="4"/>
  <c r="H227" i="4"/>
  <c r="I226" i="4"/>
  <c r="H226" i="4"/>
  <c r="I225" i="4"/>
  <c r="H225" i="4"/>
  <c r="I224" i="4"/>
  <c r="H224" i="4"/>
  <c r="I223" i="4"/>
  <c r="H223" i="4"/>
  <c r="I222" i="4"/>
  <c r="H222" i="4"/>
  <c r="I221" i="4"/>
  <c r="H221" i="4"/>
  <c r="I220" i="4"/>
  <c r="H220" i="4"/>
  <c r="I219" i="4"/>
  <c r="H219" i="4"/>
  <c r="I218" i="4"/>
  <c r="H218" i="4"/>
  <c r="I217" i="4"/>
  <c r="H217" i="4"/>
  <c r="I216" i="4"/>
  <c r="H216" i="4"/>
  <c r="I215" i="4"/>
  <c r="H215" i="4"/>
  <c r="I214" i="4"/>
  <c r="H214" i="4"/>
  <c r="I213" i="4"/>
  <c r="H213" i="4"/>
  <c r="I212" i="4"/>
  <c r="H212" i="4"/>
  <c r="I211" i="4"/>
  <c r="H211" i="4"/>
  <c r="I210" i="4"/>
  <c r="H210" i="4"/>
  <c r="I209" i="4"/>
  <c r="H209" i="4"/>
  <c r="I208" i="4"/>
  <c r="H208" i="4"/>
  <c r="I207" i="4"/>
  <c r="H207" i="4"/>
  <c r="I206" i="4"/>
  <c r="H206" i="4"/>
  <c r="I205" i="4"/>
  <c r="H205" i="4"/>
  <c r="I204" i="4"/>
  <c r="H204" i="4"/>
  <c r="I203" i="4"/>
  <c r="H203" i="4"/>
  <c r="I202" i="4"/>
  <c r="H202" i="4"/>
  <c r="I201" i="4"/>
  <c r="H201" i="4"/>
  <c r="I200" i="4"/>
  <c r="H200" i="4"/>
  <c r="I199" i="4"/>
  <c r="H199" i="4"/>
  <c r="I198" i="4"/>
  <c r="H198" i="4"/>
  <c r="I197" i="4"/>
  <c r="H197" i="4"/>
  <c r="I196" i="4"/>
  <c r="H196" i="4"/>
  <c r="I195" i="4"/>
  <c r="H195" i="4"/>
  <c r="I194" i="4"/>
  <c r="H194" i="4"/>
  <c r="I193" i="4"/>
  <c r="H193" i="4"/>
  <c r="I192" i="4"/>
  <c r="H192" i="4"/>
  <c r="I191" i="4"/>
  <c r="H191" i="4"/>
  <c r="I190" i="4"/>
  <c r="H190" i="4"/>
  <c r="I189" i="4"/>
  <c r="H189" i="4"/>
  <c r="I188" i="4"/>
  <c r="H188" i="4"/>
  <c r="I187" i="4"/>
  <c r="H187" i="4"/>
  <c r="I186" i="4"/>
  <c r="H186" i="4"/>
  <c r="I185" i="4"/>
  <c r="H185" i="4"/>
  <c r="I184" i="4"/>
  <c r="H184" i="4"/>
  <c r="I183" i="4"/>
  <c r="H183" i="4"/>
  <c r="I182" i="4"/>
  <c r="H182" i="4"/>
  <c r="I181" i="4"/>
  <c r="H181" i="4"/>
  <c r="I180" i="4"/>
  <c r="H180" i="4"/>
  <c r="I179" i="4"/>
  <c r="H179" i="4"/>
  <c r="I178" i="4"/>
  <c r="H178" i="4"/>
  <c r="I177" i="4"/>
  <c r="H177" i="4"/>
  <c r="I176" i="4"/>
  <c r="H176" i="4"/>
  <c r="I175" i="4"/>
  <c r="H175" i="4"/>
  <c r="I174" i="4"/>
  <c r="H174" i="4"/>
  <c r="I173" i="4"/>
  <c r="H173" i="4"/>
  <c r="I172" i="4"/>
  <c r="H172" i="4"/>
  <c r="I171" i="4"/>
  <c r="H171" i="4"/>
  <c r="I170" i="4"/>
  <c r="H170" i="4"/>
  <c r="I169" i="4"/>
  <c r="H169" i="4"/>
  <c r="I168" i="4"/>
  <c r="H168" i="4"/>
  <c r="I167" i="4"/>
  <c r="H167" i="4"/>
  <c r="I166" i="4"/>
  <c r="H166" i="4"/>
  <c r="I165" i="4"/>
  <c r="H165" i="4"/>
  <c r="I164" i="4"/>
  <c r="H164" i="4"/>
  <c r="I163" i="4"/>
  <c r="H163" i="4"/>
  <c r="I162" i="4"/>
  <c r="H162" i="4"/>
  <c r="I161" i="4"/>
  <c r="H161" i="4"/>
  <c r="I160" i="4"/>
  <c r="H160" i="4"/>
  <c r="I159" i="4"/>
  <c r="H159" i="4"/>
  <c r="I158" i="4"/>
  <c r="H158" i="4"/>
  <c r="I157" i="4"/>
  <c r="H157" i="4"/>
  <c r="I156" i="4"/>
  <c r="H156" i="4"/>
  <c r="I155" i="4"/>
  <c r="H155" i="4"/>
  <c r="I154" i="4"/>
  <c r="H154" i="4"/>
  <c r="I153" i="4"/>
  <c r="H153" i="4"/>
  <c r="I152" i="4"/>
  <c r="H152" i="4"/>
  <c r="I151" i="4"/>
  <c r="H151" i="4"/>
  <c r="I150" i="4"/>
  <c r="H150" i="4"/>
  <c r="I149" i="4"/>
  <c r="H149" i="4"/>
  <c r="I148" i="4"/>
  <c r="H148" i="4"/>
  <c r="I147" i="4"/>
  <c r="H147" i="4"/>
  <c r="I146" i="4"/>
  <c r="H146" i="4"/>
  <c r="I145" i="4"/>
  <c r="H145" i="4"/>
  <c r="I144" i="4"/>
  <c r="H144" i="4"/>
  <c r="I143" i="4"/>
  <c r="H143" i="4"/>
  <c r="I142" i="4"/>
  <c r="H142" i="4"/>
  <c r="I141" i="4"/>
  <c r="H141" i="4"/>
  <c r="I140" i="4"/>
  <c r="H140" i="4"/>
  <c r="I139" i="4"/>
  <c r="H139" i="4"/>
  <c r="I138" i="4"/>
  <c r="H138" i="4"/>
  <c r="I137" i="4"/>
  <c r="H137" i="4"/>
  <c r="I136" i="4"/>
  <c r="H136" i="4"/>
  <c r="I135" i="4"/>
  <c r="H135" i="4"/>
  <c r="I134" i="4"/>
  <c r="H134" i="4"/>
  <c r="I133" i="4"/>
  <c r="H133" i="4"/>
  <c r="I132" i="4"/>
  <c r="H132" i="4"/>
  <c r="I131" i="4"/>
  <c r="H131" i="4"/>
  <c r="I130" i="4"/>
  <c r="H130" i="4"/>
  <c r="I129" i="4"/>
  <c r="H129" i="4"/>
  <c r="I128" i="4"/>
  <c r="H128" i="4"/>
  <c r="I127" i="4"/>
  <c r="H127" i="4"/>
  <c r="I126" i="4"/>
  <c r="H126" i="4"/>
  <c r="I125" i="4"/>
  <c r="H125" i="4"/>
  <c r="I124" i="4"/>
  <c r="H124" i="4"/>
  <c r="I123" i="4"/>
  <c r="H123" i="4"/>
  <c r="I122" i="4"/>
  <c r="H122" i="4"/>
  <c r="I121" i="4"/>
  <c r="H121" i="4"/>
  <c r="I120" i="4"/>
  <c r="H120" i="4"/>
  <c r="I119" i="4"/>
  <c r="H119" i="4"/>
  <c r="I118" i="4"/>
  <c r="H118" i="4"/>
  <c r="I117" i="4"/>
  <c r="H117" i="4"/>
  <c r="I116" i="4"/>
  <c r="H116" i="4"/>
  <c r="I115" i="4"/>
  <c r="H115" i="4"/>
  <c r="I114" i="4"/>
  <c r="H114" i="4"/>
  <c r="I113" i="4"/>
  <c r="H113" i="4"/>
  <c r="I112" i="4"/>
  <c r="H112" i="4"/>
  <c r="I111" i="4"/>
  <c r="H111" i="4"/>
  <c r="I110" i="4"/>
  <c r="H110" i="4"/>
  <c r="I109" i="4"/>
  <c r="H109" i="4"/>
  <c r="I108" i="4"/>
  <c r="H108" i="4"/>
  <c r="I107" i="4"/>
  <c r="H107" i="4"/>
  <c r="I106" i="4"/>
  <c r="H106" i="4"/>
  <c r="I105" i="4"/>
  <c r="H105" i="4"/>
  <c r="I104" i="4"/>
  <c r="H104" i="4"/>
  <c r="I103" i="4"/>
  <c r="H103" i="4"/>
  <c r="I102" i="4"/>
  <c r="H102" i="4"/>
  <c r="I101" i="4"/>
  <c r="H101" i="4"/>
  <c r="I100" i="4"/>
  <c r="H100" i="4"/>
  <c r="I99" i="4"/>
  <c r="H99" i="4"/>
  <c r="I98" i="4"/>
  <c r="H98" i="4"/>
  <c r="I97" i="4"/>
  <c r="H97" i="4"/>
  <c r="I96" i="4"/>
  <c r="H96" i="4"/>
  <c r="I95" i="4"/>
  <c r="H95" i="4"/>
  <c r="I94" i="4"/>
  <c r="H94" i="4"/>
  <c r="I93" i="4"/>
  <c r="H93" i="4"/>
  <c r="I92" i="4"/>
  <c r="H92" i="4"/>
  <c r="I91" i="4"/>
  <c r="H91" i="4"/>
  <c r="I90" i="4"/>
  <c r="H90" i="4"/>
  <c r="I89" i="4"/>
  <c r="H89" i="4"/>
  <c r="I88" i="4"/>
  <c r="H88" i="4"/>
  <c r="I87" i="4"/>
  <c r="H87" i="4"/>
  <c r="I86" i="4"/>
  <c r="H86" i="4"/>
  <c r="I85" i="4"/>
  <c r="H85" i="4"/>
  <c r="I84" i="4"/>
  <c r="H84" i="4"/>
  <c r="I83" i="4"/>
  <c r="H83" i="4"/>
  <c r="I82" i="4"/>
  <c r="H82" i="4"/>
  <c r="I81" i="4"/>
  <c r="H81" i="4"/>
  <c r="I80" i="4"/>
  <c r="H80" i="4"/>
  <c r="I79" i="4"/>
  <c r="H79" i="4"/>
  <c r="I78" i="4"/>
  <c r="H78" i="4"/>
  <c r="I77" i="4"/>
  <c r="H77" i="4"/>
  <c r="I76" i="4"/>
  <c r="H76" i="4"/>
  <c r="I75" i="4"/>
  <c r="H75" i="4"/>
  <c r="I74" i="4"/>
  <c r="H74" i="4"/>
  <c r="I73" i="4"/>
  <c r="H73" i="4"/>
  <c r="I72" i="4"/>
  <c r="H72" i="4"/>
  <c r="I71" i="4"/>
  <c r="H71" i="4"/>
  <c r="I70" i="4"/>
  <c r="H70" i="4"/>
  <c r="I69" i="4"/>
  <c r="H69" i="4"/>
  <c r="I68" i="4"/>
  <c r="H68" i="4"/>
  <c r="I67" i="4"/>
  <c r="H67" i="4"/>
  <c r="I66" i="4"/>
  <c r="H66" i="4"/>
  <c r="I65" i="4"/>
  <c r="H65" i="4"/>
  <c r="I64" i="4"/>
  <c r="H64" i="4"/>
  <c r="I63" i="4"/>
  <c r="H63" i="4"/>
  <c r="I62" i="4"/>
  <c r="H62" i="4"/>
  <c r="I61" i="4"/>
  <c r="H61" i="4"/>
  <c r="I60" i="4"/>
  <c r="H60" i="4"/>
  <c r="I59" i="4"/>
  <c r="H59" i="4"/>
  <c r="I58" i="4"/>
  <c r="H58" i="4"/>
  <c r="I57" i="4"/>
  <c r="H57" i="4"/>
  <c r="I56" i="4"/>
  <c r="H56" i="4"/>
  <c r="I55" i="4"/>
  <c r="H55" i="4"/>
  <c r="I54" i="4"/>
  <c r="H54" i="4"/>
  <c r="I53" i="4"/>
  <c r="H53" i="4"/>
  <c r="I52" i="4"/>
  <c r="H52" i="4"/>
  <c r="I51" i="4"/>
  <c r="H51" i="4"/>
  <c r="I50" i="4"/>
  <c r="H50" i="4"/>
  <c r="I49" i="4"/>
  <c r="H49" i="4"/>
  <c r="I48" i="4"/>
  <c r="H48" i="4"/>
  <c r="I47" i="4"/>
  <c r="H47" i="4"/>
  <c r="I46" i="4"/>
  <c r="H46" i="4"/>
  <c r="I45" i="4"/>
  <c r="H45" i="4"/>
  <c r="I44" i="4"/>
  <c r="H44" i="4"/>
  <c r="I43" i="4"/>
  <c r="H43" i="4"/>
  <c r="I42" i="4"/>
  <c r="H42" i="4"/>
  <c r="I41" i="4"/>
  <c r="H41" i="4"/>
  <c r="I40" i="4"/>
  <c r="H40" i="4"/>
  <c r="I39" i="4"/>
  <c r="H39" i="4"/>
  <c r="I38" i="4"/>
  <c r="H38" i="4"/>
  <c r="I37" i="4"/>
  <c r="H37" i="4"/>
  <c r="I36" i="4"/>
  <c r="H36" i="4"/>
  <c r="I35" i="4"/>
  <c r="H35" i="4"/>
  <c r="I34" i="4"/>
  <c r="H34" i="4"/>
  <c r="I33" i="4"/>
  <c r="H33" i="4"/>
  <c r="I32" i="4"/>
  <c r="H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B17" i="1"/>
  <c r="B16" i="1"/>
  <c r="B15" i="1"/>
  <c r="B14" i="1"/>
  <c r="B13" i="1"/>
  <c r="B12" i="1"/>
  <c r="B11" i="1"/>
  <c r="L33" i="5" l="1"/>
  <c r="B18" i="1"/>
</calcChain>
</file>

<file path=xl/sharedStrings.xml><?xml version="1.0" encoding="utf-8"?>
<sst xmlns="http://schemas.openxmlformats.org/spreadsheetml/2006/main" count="54679" uniqueCount="13061">
  <si>
    <r>
      <rPr>
        <b/>
        <sz val="15"/>
        <color rgb="FF1B365D"/>
        <rFont val="微软雅黑"/>
        <family val="2"/>
        <charset val="134"/>
      </rPr>
      <t xml:space="preserve">6-APA </t>
    </r>
    <r>
      <rPr>
        <b/>
        <sz val="15"/>
        <color rgb="FF1B365D"/>
        <rFont val="Noto Sans CJK SC"/>
        <family val="2"/>
      </rPr>
      <t xml:space="preserve">工业关系库 </t>
    </r>
    <r>
      <rPr>
        <b/>
        <sz val="15"/>
        <color rgb="FF1B365D"/>
        <rFont val="微软雅黑"/>
        <family val="2"/>
        <charset val="134"/>
      </rPr>
      <t>v2</t>
    </r>
    <r>
      <rPr>
        <b/>
        <sz val="15"/>
        <color rgb="FF1B365D"/>
        <rFont val="Noto Sans CJK SC"/>
        <family val="2"/>
      </rPr>
      <t>（全流程展开）</t>
    </r>
  </si>
  <si>
    <t>覆盖范围</t>
  </si>
  <si>
    <r>
      <rPr>
        <sz val="10"/>
        <rFont val="微软雅黑"/>
        <family val="2"/>
        <charset val="134"/>
      </rPr>
      <t>v1</t>
    </r>
    <r>
      <rPr>
        <sz val="10"/>
        <rFont val="Noto Sans CJK SC"/>
        <family val="2"/>
      </rPr>
      <t>仅覆盖“水解</t>
    </r>
    <r>
      <rPr>
        <sz val="10"/>
        <rFont val="微软雅黑"/>
        <family val="2"/>
        <charset val="134"/>
      </rPr>
      <t>+</t>
    </r>
    <r>
      <rPr>
        <sz val="10"/>
        <rFont val="Noto Sans CJK SC"/>
        <family val="2"/>
      </rPr>
      <t>萃取”两个工段（</t>
    </r>
    <r>
      <rPr>
        <sz val="10"/>
        <rFont val="微软雅黑"/>
        <family val="2"/>
        <charset val="134"/>
      </rPr>
      <t>71</t>
    </r>
    <r>
      <rPr>
        <sz val="10"/>
        <rFont val="Noto Sans CJK SC"/>
        <family val="2"/>
      </rPr>
      <t>条）。</t>
    </r>
    <r>
      <rPr>
        <sz val="10"/>
        <rFont val="微软雅黑"/>
        <family val="2"/>
        <charset val="134"/>
      </rPr>
      <t>v2</t>
    </r>
    <r>
      <rPr>
        <sz val="10"/>
        <rFont val="Noto Sans CJK SC"/>
        <family val="2"/>
      </rPr>
      <t>依据</t>
    </r>
    <r>
      <rPr>
        <sz val="10"/>
        <rFont val="微软雅黑"/>
        <family val="2"/>
        <charset val="134"/>
      </rPr>
      <t>16</t>
    </r>
    <r>
      <rPr>
        <sz val="10"/>
        <rFont val="Noto Sans CJK SC"/>
        <family val="2"/>
      </rPr>
      <t>张</t>
    </r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流程画面</t>
    </r>
    <r>
      <rPr>
        <sz val="10"/>
        <rFont val="微软雅黑"/>
        <family val="2"/>
        <charset val="134"/>
      </rPr>
      <t>+10,680</t>
    </r>
    <r>
      <rPr>
        <sz val="10"/>
        <rFont val="Noto Sans CJK SC"/>
        <family val="2"/>
      </rPr>
      <t>个</t>
    </r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点，展开为</t>
    </r>
    <r>
      <rPr>
        <sz val="10"/>
        <rFont val="微软雅黑"/>
        <family val="2"/>
        <charset val="134"/>
      </rPr>
      <t>24</t>
    </r>
    <r>
      <rPr>
        <sz val="10"/>
        <rFont val="Noto Sans CJK SC"/>
        <family val="2"/>
      </rPr>
      <t>个工段（含提取、稀硫酸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破乳剂配制、水洗、脱色、抽提、钾盐副线、薄膜、水解配制、水解、萃取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反萃、批次结晶、连续结晶、结晶辅料、干燥、母液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溶媒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苯乙酸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废水回收、公用、尾气）。</t>
    </r>
  </si>
  <si>
    <t>关系明细</t>
  </si>
  <si>
    <r>
      <rPr>
        <sz val="10"/>
        <rFont val="Noto Sans CJK SC"/>
        <family val="2"/>
      </rPr>
      <t>保留</t>
    </r>
    <r>
      <rPr>
        <sz val="10"/>
        <rFont val="微软雅黑"/>
        <family val="2"/>
        <charset val="134"/>
      </rPr>
      <t>v1</t>
    </r>
    <r>
      <rPr>
        <sz val="10"/>
        <rFont val="Noto Sans CJK SC"/>
        <family val="2"/>
      </rPr>
      <t>的前</t>
    </r>
    <r>
      <rPr>
        <sz val="10"/>
        <rFont val="微软雅黑"/>
        <family val="2"/>
        <charset val="134"/>
      </rPr>
      <t>10</t>
    </r>
    <r>
      <rPr>
        <sz val="10"/>
        <rFont val="Noto Sans CJK SC"/>
        <family val="2"/>
      </rPr>
      <t>列结构不变；新增</t>
    </r>
    <r>
      <rPr>
        <sz val="10"/>
        <rFont val="微软雅黑"/>
        <family val="2"/>
        <charset val="134"/>
      </rPr>
      <t>K–T</t>
    </r>
    <r>
      <rPr>
        <sz val="10"/>
        <rFont val="Noto Sans CJK SC"/>
        <family val="2"/>
      </rPr>
      <t>列：工段编号、关系</t>
    </r>
    <r>
      <rPr>
        <sz val="10"/>
        <rFont val="微软雅黑"/>
        <family val="2"/>
        <charset val="134"/>
      </rPr>
      <t>ID</t>
    </r>
    <r>
      <rPr>
        <sz val="10"/>
        <rFont val="Noto Sans CJK SC"/>
        <family val="2"/>
      </rPr>
      <t>、主体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谓词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客体</t>
    </r>
    <r>
      <rPr>
        <sz val="10"/>
        <rFont val="微软雅黑"/>
        <family val="2"/>
        <charset val="134"/>
      </rPr>
      <t>URI</t>
    </r>
    <r>
      <rPr>
        <sz val="10"/>
        <rFont val="Noto Sans CJK SC"/>
        <family val="2"/>
      </rPr>
      <t>、关联</t>
    </r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位号、依据来源、置信度、流程画面、变更标记（原有保留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原有修订</t>
    </r>
    <r>
      <rPr>
        <sz val="10"/>
        <rFont val="微软雅黑"/>
        <family val="2"/>
        <charset val="134"/>
      </rPr>
      <t>/v2</t>
    </r>
    <r>
      <rPr>
        <sz val="10"/>
        <rFont val="Noto Sans CJK SC"/>
        <family val="2"/>
      </rPr>
      <t>新增）。</t>
    </r>
  </si>
  <si>
    <t>关系类型</t>
  </si>
  <si>
    <r>
      <rPr>
        <sz val="10"/>
        <rFont val="Noto Sans CJK SC"/>
        <family val="2"/>
      </rPr>
      <t xml:space="preserve">新增“工段衔接”“测点绑定关系”“报警联锁关系”三类及 </t>
    </r>
    <r>
      <rPr>
        <sz val="10"/>
        <rFont val="微软雅黑"/>
        <family val="2"/>
        <charset val="134"/>
      </rPr>
      <t xml:space="preserve">hasEquipment / hasMember / boundToTag / injectedInto / dosedInto / recyclesTo / separatesInto / suppliesUtility / triggersAlarm </t>
    </r>
    <r>
      <rPr>
        <sz val="10"/>
        <rFont val="Noto Sans CJK SC"/>
        <family val="2"/>
      </rPr>
      <t>等谓词，均为</t>
    </r>
    <r>
      <rPr>
        <sz val="10"/>
        <rFont val="微软雅黑"/>
        <family val="2"/>
        <charset val="134"/>
      </rPr>
      <t>v1</t>
    </r>
    <r>
      <rPr>
        <sz val="10"/>
        <rFont val="Noto Sans CJK SC"/>
        <family val="2"/>
      </rPr>
      <t>谓词的子属性或补充，</t>
    </r>
    <r>
      <rPr>
        <sz val="10"/>
        <rFont val="微软雅黑"/>
        <family val="2"/>
        <charset val="134"/>
      </rPr>
      <t>v1</t>
    </r>
    <r>
      <rPr>
        <sz val="10"/>
        <rFont val="Noto Sans CJK SC"/>
        <family val="2"/>
      </rPr>
      <t>查询可兼容。</t>
    </r>
  </si>
  <si>
    <t>置信度</t>
  </si>
  <si>
    <r>
      <rPr>
        <sz val="10"/>
        <rFont val="Noto Sans CJK SC"/>
        <family val="2"/>
      </rPr>
      <t>高</t>
    </r>
    <r>
      <rPr>
        <sz val="10"/>
        <rFont val="微软雅黑"/>
        <family val="2"/>
        <charset val="134"/>
      </rPr>
      <t>=</t>
    </r>
    <r>
      <rPr>
        <sz val="10"/>
        <rFont val="Noto Sans CJK SC"/>
        <family val="2"/>
      </rPr>
      <t>流程画面或点表直接可见；中</t>
    </r>
    <r>
      <rPr>
        <sz val="10"/>
        <rFont val="微软雅黑"/>
        <family val="2"/>
        <charset val="134"/>
      </rPr>
      <t>=</t>
    </r>
    <r>
      <rPr>
        <sz val="10"/>
        <rFont val="Noto Sans CJK SC"/>
        <family val="2"/>
      </rPr>
      <t>画面</t>
    </r>
    <r>
      <rPr>
        <sz val="10"/>
        <rFont val="微软雅黑"/>
        <family val="2"/>
        <charset val="134"/>
      </rPr>
      <t>+</t>
    </r>
    <r>
      <rPr>
        <sz val="10"/>
        <rFont val="Noto Sans CJK SC"/>
        <family val="2"/>
      </rPr>
      <t>点表联合推断或公认工艺机理；低</t>
    </r>
    <r>
      <rPr>
        <sz val="10"/>
        <rFont val="微软雅黑"/>
        <family val="2"/>
        <charset val="134"/>
      </rPr>
      <t>=</t>
    </r>
    <r>
      <rPr>
        <sz val="10"/>
        <rFont val="Noto Sans CJK SC"/>
        <family val="2"/>
      </rPr>
      <t>工艺推断，需现场确认（如</t>
    </r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轻相逆流回</t>
    </r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、反萃重相去苯乙酸塔的中间步骤）。</t>
    </r>
  </si>
  <si>
    <r>
      <rPr>
        <b/>
        <sz val="10"/>
        <rFont val="微软雅黑"/>
        <family val="2"/>
        <charset val="134"/>
      </rPr>
      <t>v1</t>
    </r>
    <r>
      <rPr>
        <b/>
        <sz val="10"/>
        <rFont val="Noto Sans CJK SC"/>
        <family val="2"/>
      </rPr>
      <t>修订</t>
    </r>
  </si>
  <si>
    <r>
      <rPr>
        <sz val="10"/>
        <rFont val="微软雅黑"/>
        <family val="2"/>
        <charset val="134"/>
      </rPr>
      <t>v1</t>
    </r>
    <r>
      <rPr>
        <sz val="10"/>
        <rFont val="Noto Sans CJK SC"/>
        <family val="2"/>
      </rPr>
      <t>萃取工段把“水洗碟片离心机组、稀硫酸、醋酸丁酯、破乳剂”当作萃取主体，与萃取画面（萃取离心机</t>
    </r>
    <r>
      <rPr>
        <sz val="10"/>
        <rFont val="微软雅黑"/>
        <family val="2"/>
        <charset val="134"/>
      </rPr>
      <t>A–J</t>
    </r>
    <r>
      <rPr>
        <sz val="10"/>
        <rFont val="Noto Sans CJK SC"/>
        <family val="2"/>
      </rPr>
      <t>、盐酸、混合溶媒）不符，已逐条修订并迁移，详见“</t>
    </r>
    <r>
      <rPr>
        <sz val="10"/>
        <rFont val="微软雅黑"/>
        <family val="2"/>
        <charset val="134"/>
      </rPr>
      <t>v1→v2</t>
    </r>
    <r>
      <rPr>
        <sz val="10"/>
        <rFont val="Noto Sans CJK SC"/>
        <family val="2"/>
      </rPr>
      <t>修订记录”；</t>
    </r>
    <r>
      <rPr>
        <sz val="10"/>
        <rFont val="微软雅黑"/>
        <family val="2"/>
        <charset val="134"/>
      </rPr>
      <t>v1</t>
    </r>
    <r>
      <rPr>
        <sz val="10"/>
        <rFont val="Noto Sans CJK SC"/>
        <family val="2"/>
      </rPr>
      <t>原表存档于“原关系明细</t>
    </r>
    <r>
      <rPr>
        <sz val="10"/>
        <rFont val="微软雅黑"/>
        <family val="2"/>
        <charset val="134"/>
      </rPr>
      <t>(v1</t>
    </r>
    <r>
      <rPr>
        <sz val="10"/>
        <rFont val="Noto Sans CJK SC"/>
        <family val="2"/>
      </rPr>
      <t>存档</t>
    </r>
    <r>
      <rPr>
        <sz val="10"/>
        <rFont val="微软雅黑"/>
        <family val="2"/>
        <charset val="134"/>
      </rPr>
      <t>)”</t>
    </r>
    <r>
      <rPr>
        <sz val="10"/>
        <rFont val="Noto Sans CJK SC"/>
        <family val="2"/>
      </rPr>
      <t>。</t>
    </r>
  </si>
  <si>
    <t>与点表联动</t>
  </si>
  <si>
    <r>
      <rPr>
        <sz val="10"/>
        <rFont val="Noto Sans CJK SC"/>
        <family val="2"/>
      </rPr>
      <t>实体名称与《</t>
    </r>
    <r>
      <rPr>
        <sz val="10"/>
        <rFont val="微软雅黑"/>
        <family val="2"/>
        <charset val="134"/>
      </rPr>
      <t>6APA_DCS_</t>
    </r>
    <r>
      <rPr>
        <sz val="10"/>
        <rFont val="Noto Sans CJK SC"/>
        <family val="2"/>
      </rPr>
      <t>完善版》“标准设备组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绑定本体属性”列一致；关联</t>
    </r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位号均已校验在点表中存在（点表未收录的画面位号见</t>
    </r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文件“画面补充测点”）。</t>
    </r>
  </si>
  <si>
    <t>统计项</t>
  </si>
  <si>
    <t>数值</t>
  </si>
  <si>
    <t>关系总数</t>
  </si>
  <si>
    <r>
      <rPr>
        <sz val="10"/>
        <rFont val="Noto Sans CJK SC"/>
        <family val="2"/>
      </rPr>
      <t>其中</t>
    </r>
    <r>
      <rPr>
        <sz val="10"/>
        <rFont val="微软雅黑"/>
        <family val="2"/>
        <charset val="134"/>
      </rPr>
      <t>v2</t>
    </r>
    <r>
      <rPr>
        <sz val="10"/>
        <rFont val="Noto Sans CJK SC"/>
        <family val="2"/>
      </rPr>
      <t>新增</t>
    </r>
  </si>
  <si>
    <r>
      <rPr>
        <sz val="10"/>
        <rFont val="Noto Sans CJK SC"/>
        <family val="2"/>
      </rPr>
      <t>其中承接</t>
    </r>
    <r>
      <rPr>
        <sz val="10"/>
        <rFont val="微软雅黑"/>
        <family val="2"/>
        <charset val="134"/>
      </rPr>
      <t>v1(</t>
    </r>
    <r>
      <rPr>
        <sz val="10"/>
        <rFont val="Noto Sans CJK SC"/>
        <family val="2"/>
      </rPr>
      <t>保留</t>
    </r>
    <r>
      <rPr>
        <sz val="10"/>
        <rFont val="微软雅黑"/>
        <family val="2"/>
        <charset val="134"/>
      </rPr>
      <t>+</t>
    </r>
    <r>
      <rPr>
        <sz val="10"/>
        <rFont val="Noto Sans CJK SC"/>
        <family val="2"/>
      </rPr>
      <t>修订</t>
    </r>
    <r>
      <rPr>
        <sz val="10"/>
        <rFont val="微软雅黑"/>
        <family val="2"/>
        <charset val="134"/>
      </rPr>
      <t>)</t>
    </r>
  </si>
  <si>
    <t>高置信关系</t>
  </si>
  <si>
    <r>
      <rPr>
        <sz val="10"/>
        <rFont val="Noto Sans CJK SC"/>
        <family val="2"/>
      </rPr>
      <t>低置信关系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待确认</t>
    </r>
    <r>
      <rPr>
        <sz val="10"/>
        <rFont val="微软雅黑"/>
        <family val="2"/>
        <charset val="134"/>
      </rPr>
      <t>)</t>
    </r>
  </si>
  <si>
    <t>实体节点数</t>
  </si>
  <si>
    <r>
      <rPr>
        <sz val="10"/>
        <rFont val="Noto Sans CJK SC"/>
        <family val="2"/>
      </rPr>
      <t>绑定</t>
    </r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位号数</t>
    </r>
  </si>
  <si>
    <r>
      <rPr>
        <sz val="10"/>
        <rFont val="Noto Sans CJK SC"/>
        <family val="2"/>
      </rPr>
      <t>覆盖工段数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有关系的工段</t>
    </r>
    <r>
      <rPr>
        <sz val="10"/>
        <rFont val="微软雅黑"/>
        <family val="2"/>
        <charset val="134"/>
      </rPr>
      <t>)</t>
    </r>
  </si>
  <si>
    <r>
      <rPr>
        <b/>
        <sz val="10"/>
        <color rgb="FFFFFFFF"/>
        <rFont val="Noto Sans CJK SC"/>
        <family val="2"/>
      </rPr>
      <t xml:space="preserve">工段 </t>
    </r>
    <r>
      <rPr>
        <b/>
        <sz val="10"/>
        <color rgb="FFFFFFFF"/>
        <rFont val="微软雅黑"/>
        <family val="2"/>
        <charset val="134"/>
      </rPr>
      <t>(Area)</t>
    </r>
  </si>
  <si>
    <r>
      <rPr>
        <b/>
        <sz val="10"/>
        <color rgb="FFFFFFFF"/>
        <rFont val="Noto Sans CJK SC"/>
        <family val="2"/>
      </rPr>
      <t xml:space="preserve">关系大类 </t>
    </r>
    <r>
      <rPr>
        <b/>
        <sz val="10"/>
        <color rgb="FFFFFFFF"/>
        <rFont val="微软雅黑"/>
        <family val="2"/>
        <charset val="134"/>
      </rPr>
      <t>(Category)</t>
    </r>
  </si>
  <si>
    <r>
      <rPr>
        <b/>
        <sz val="10"/>
        <color rgb="FFFFFFFF"/>
        <rFont val="Noto Sans CJK SC"/>
        <family val="2"/>
      </rPr>
      <t xml:space="preserve">起始对象类型 </t>
    </r>
    <r>
      <rPr>
        <b/>
        <sz val="10"/>
        <color rgb="FFFFFFFF"/>
        <rFont val="微软雅黑"/>
        <family val="2"/>
        <charset val="134"/>
      </rPr>
      <t>(Subject Type)</t>
    </r>
  </si>
  <si>
    <r>
      <rPr>
        <b/>
        <sz val="10"/>
        <color rgb="FFFFFFFF"/>
        <rFont val="Noto Sans CJK SC"/>
        <family val="2"/>
      </rPr>
      <t xml:space="preserve">起始对象语义名称 </t>
    </r>
    <r>
      <rPr>
        <b/>
        <sz val="10"/>
        <color rgb="FFFFFFFF"/>
        <rFont val="微软雅黑"/>
        <family val="2"/>
        <charset val="134"/>
      </rPr>
      <t>(Subject Entity)</t>
    </r>
  </si>
  <si>
    <r>
      <rPr>
        <b/>
        <sz val="10"/>
        <color rgb="FFFFFFFF"/>
        <rFont val="Noto Sans CJK SC"/>
        <family val="2"/>
      </rPr>
      <t xml:space="preserve">关系谓词 </t>
    </r>
    <r>
      <rPr>
        <b/>
        <sz val="10"/>
        <color rgb="FFFFFFFF"/>
        <rFont val="微软雅黑"/>
        <family val="2"/>
        <charset val="134"/>
      </rPr>
      <t xml:space="preserve">/ </t>
    </r>
    <r>
      <rPr>
        <b/>
        <sz val="10"/>
        <color rgb="FFFFFFFF"/>
        <rFont val="Noto Sans CJK SC"/>
        <family val="2"/>
      </rPr>
      <t xml:space="preserve">边类型 </t>
    </r>
    <r>
      <rPr>
        <b/>
        <sz val="10"/>
        <color rgb="FFFFFFFF"/>
        <rFont val="微软雅黑"/>
        <family val="2"/>
        <charset val="134"/>
      </rPr>
      <t>(Predicate)</t>
    </r>
  </si>
  <si>
    <r>
      <rPr>
        <b/>
        <sz val="10"/>
        <color rgb="FFFFFFFF"/>
        <rFont val="Noto Sans CJK SC"/>
        <family val="2"/>
      </rPr>
      <t xml:space="preserve">目标对象类型 </t>
    </r>
    <r>
      <rPr>
        <b/>
        <sz val="10"/>
        <color rgb="FFFFFFFF"/>
        <rFont val="微软雅黑"/>
        <family val="2"/>
        <charset val="134"/>
      </rPr>
      <t>(Object Type)</t>
    </r>
  </si>
  <si>
    <r>
      <rPr>
        <b/>
        <sz val="10"/>
        <color rgb="FFFFFFFF"/>
        <rFont val="Noto Sans CJK SC"/>
        <family val="2"/>
      </rPr>
      <t xml:space="preserve">目标对象语义名称 </t>
    </r>
    <r>
      <rPr>
        <b/>
        <sz val="10"/>
        <color rgb="FFFFFFFF"/>
        <rFont val="微软雅黑"/>
        <family val="2"/>
        <charset val="134"/>
      </rPr>
      <t>(Object Entity)</t>
    </r>
  </si>
  <si>
    <r>
      <rPr>
        <b/>
        <sz val="10"/>
        <color rgb="FFFFFFFF"/>
        <rFont val="Noto Sans CJK SC"/>
        <family val="2"/>
      </rPr>
      <t xml:space="preserve">工艺机理与业务因果说明 </t>
    </r>
    <r>
      <rPr>
        <b/>
        <sz val="10"/>
        <color rgb="FFFFFFFF"/>
        <rFont val="微软雅黑"/>
        <family val="2"/>
        <charset val="134"/>
      </rPr>
      <t>(Domain Description)</t>
    </r>
  </si>
  <si>
    <t>子场景</t>
  </si>
  <si>
    <t>权重</t>
  </si>
  <si>
    <t>工段编号</t>
  </si>
  <si>
    <r>
      <rPr>
        <b/>
        <sz val="10"/>
        <color rgb="FFFFFFFF"/>
        <rFont val="Noto Sans CJK SC"/>
        <family val="2"/>
      </rPr>
      <t>关系</t>
    </r>
    <r>
      <rPr>
        <b/>
        <sz val="10"/>
        <color rgb="FFFFFFFF"/>
        <rFont val="微软雅黑"/>
        <family val="2"/>
        <charset val="134"/>
      </rPr>
      <t>ID</t>
    </r>
  </si>
  <si>
    <r>
      <rPr>
        <b/>
        <sz val="10"/>
        <color rgb="FFFFFFFF"/>
        <rFont val="Noto Sans CJK SC"/>
        <family val="2"/>
      </rPr>
      <t>主体</t>
    </r>
    <r>
      <rPr>
        <b/>
        <sz val="10"/>
        <color rgb="FFFFFFFF"/>
        <rFont val="微软雅黑"/>
        <family val="2"/>
        <charset val="134"/>
      </rPr>
      <t>URI</t>
    </r>
  </si>
  <si>
    <r>
      <rPr>
        <b/>
        <sz val="10"/>
        <color rgb="FFFFFFFF"/>
        <rFont val="Noto Sans CJK SC"/>
        <family val="2"/>
      </rPr>
      <t>谓词</t>
    </r>
    <r>
      <rPr>
        <b/>
        <sz val="10"/>
        <color rgb="FFFFFFFF"/>
        <rFont val="微软雅黑"/>
        <family val="2"/>
        <charset val="134"/>
      </rPr>
      <t>URI</t>
    </r>
  </si>
  <si>
    <r>
      <rPr>
        <b/>
        <sz val="10"/>
        <color rgb="FFFFFFFF"/>
        <rFont val="Noto Sans CJK SC"/>
        <family val="2"/>
      </rPr>
      <t>客体</t>
    </r>
    <r>
      <rPr>
        <b/>
        <sz val="10"/>
        <color rgb="FFFFFFFF"/>
        <rFont val="微软雅黑"/>
        <family val="2"/>
        <charset val="134"/>
      </rPr>
      <t>URI</t>
    </r>
  </si>
  <si>
    <r>
      <rPr>
        <b/>
        <sz val="10"/>
        <color rgb="FFFFFFFF"/>
        <rFont val="Noto Sans CJK SC"/>
        <family val="2"/>
      </rPr>
      <t>关联</t>
    </r>
    <r>
      <rPr>
        <b/>
        <sz val="10"/>
        <color rgb="FFFFFFFF"/>
        <rFont val="微软雅黑"/>
        <family val="2"/>
        <charset val="134"/>
      </rPr>
      <t>DCS</t>
    </r>
    <r>
      <rPr>
        <b/>
        <sz val="10"/>
        <color rgb="FFFFFFFF"/>
        <rFont val="Noto Sans CJK SC"/>
        <family val="2"/>
      </rPr>
      <t>位号</t>
    </r>
  </si>
  <si>
    <t>依据来源</t>
  </si>
  <si>
    <t>流程画面</t>
  </si>
  <si>
    <t>变更标记</t>
  </si>
  <si>
    <r>
      <rPr>
        <sz val="10"/>
        <rFont val="Noto Sans CJK SC"/>
        <family val="2"/>
      </rPr>
      <t>提取</t>
    </r>
    <r>
      <rPr>
        <sz val="10"/>
        <rFont val="微软雅黑"/>
        <family val="2"/>
        <charset val="134"/>
      </rPr>
      <t>·RSE300</t>
    </r>
    <r>
      <rPr>
        <sz val="10"/>
        <rFont val="Noto Sans CJK SC"/>
        <family val="2"/>
      </rPr>
      <t>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二萃</t>
    </r>
  </si>
  <si>
    <t>工段衔接</t>
  </si>
  <si>
    <t>生产工段</t>
  </si>
  <si>
    <t>串联下游</t>
  </si>
  <si>
    <r>
      <rPr>
        <sz val="10"/>
        <rFont val="Noto Sans CJK SC"/>
        <family val="2"/>
      </rPr>
      <t>提取</t>
    </r>
    <r>
      <rPr>
        <sz val="10"/>
        <rFont val="微软雅黑"/>
        <family val="2"/>
        <charset val="134"/>
      </rPr>
      <t>·RSE200</t>
    </r>
    <r>
      <rPr>
        <sz val="10"/>
        <rFont val="Noto Sans CJK SC"/>
        <family val="2"/>
      </rPr>
      <t>三萃及溶媒周转</t>
    </r>
  </si>
  <si>
    <r>
      <rPr>
        <sz val="10"/>
        <rFont val="Noto Sans CJK SC"/>
        <family val="2"/>
      </rPr>
      <t>衔接物料：二级废酸水。</t>
    </r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重相（二级废酸水）送</t>
    </r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三萃</t>
    </r>
  </si>
  <si>
    <t>S01</t>
  </si>
  <si>
    <t>R0001</t>
  </si>
  <si>
    <t>:Area_S01_Extraction_RSE300</t>
  </si>
  <si>
    <t>:connectedToNext</t>
  </si>
  <si>
    <t>:Area_S02_Extraction_RSE200</t>
  </si>
  <si>
    <t>流程图画面</t>
  </si>
  <si>
    <t>高</t>
  </si>
  <si>
    <r>
      <rPr>
        <sz val="10"/>
        <rFont val="微软雅黑"/>
        <family val="2"/>
        <charset val="134"/>
      </rPr>
      <t>v2</t>
    </r>
    <r>
      <rPr>
        <sz val="10"/>
        <rFont val="Noto Sans CJK SC"/>
        <family val="2"/>
      </rPr>
      <t>新增</t>
    </r>
  </si>
  <si>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水洗</t>
    </r>
  </si>
  <si>
    <r>
      <rPr>
        <sz val="10"/>
        <rFont val="Noto Sans CJK SC"/>
        <family val="2"/>
      </rPr>
      <t>衔接物料：一次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。富青霉素一次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经一次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V2136</t>
    </r>
    <r>
      <rPr>
        <sz val="10"/>
        <rFont val="Noto Sans CJK SC"/>
        <family val="2"/>
      </rPr>
      <t>送水洗离心机</t>
    </r>
  </si>
  <si>
    <t>R0002</t>
  </si>
  <si>
    <t>:Area_S05_BAWashing</t>
  </si>
  <si>
    <t>结构关系</t>
  </si>
  <si>
    <t>包含设备</t>
  </si>
  <si>
    <t>生产设备</t>
  </si>
  <si>
    <t>发酵滤液储罐组</t>
  </si>
  <si>
    <r>
      <rPr>
        <sz val="10"/>
        <rFont val="Noto Sans CJK SC"/>
        <family val="2"/>
      </rPr>
      <t>提取</t>
    </r>
    <r>
      <rPr>
        <sz val="10"/>
        <rFont val="微软雅黑"/>
        <family val="2"/>
        <charset val="134"/>
      </rPr>
      <t>·RSE300</t>
    </r>
    <r>
      <rPr>
        <sz val="10"/>
        <rFont val="Noto Sans CJK SC"/>
        <family val="2"/>
      </rPr>
      <t>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二萃包含储罐“发酵滤液储罐组”</t>
    </r>
  </si>
  <si>
    <t>常态</t>
  </si>
  <si>
    <t>R0003</t>
  </si>
  <si>
    <t>:hasEquipment</t>
  </si>
  <si>
    <t>:FiltrateTankGroup</t>
  </si>
  <si>
    <r>
      <rPr>
        <sz val="10"/>
        <rFont val="Noto Sans CJK SC"/>
        <family val="2"/>
      </rPr>
      <t>流程图画面</t>
    </r>
    <r>
      <rPr>
        <sz val="10"/>
        <rFont val="微软雅黑"/>
        <family val="2"/>
        <charset val="134"/>
      </rPr>
      <t>/DCS</t>
    </r>
    <r>
      <rPr>
        <sz val="10"/>
        <rFont val="Noto Sans CJK SC"/>
        <family val="2"/>
      </rPr>
      <t>点表</t>
    </r>
  </si>
  <si>
    <r>
      <rPr>
        <sz val="10"/>
        <rFont val="Noto Sans CJK SC"/>
        <family val="2"/>
      </rPr>
      <t>提取</t>
    </r>
    <r>
      <rPr>
        <sz val="10"/>
        <rFont val="微软雅黑"/>
        <family val="2"/>
        <charset val="134"/>
      </rPr>
      <t>RSE300</t>
    </r>
  </si>
  <si>
    <t>包含实例</t>
  </si>
  <si>
    <t>设备实例</t>
  </si>
  <si>
    <r>
      <rPr>
        <sz val="10"/>
        <rFont val="Noto Sans CJK SC"/>
        <family val="2"/>
      </rPr>
      <t>滤液储罐</t>
    </r>
    <r>
      <rPr>
        <sz val="10"/>
        <rFont val="微软雅黑"/>
        <family val="2"/>
        <charset val="134"/>
      </rPr>
      <t>T2101(</t>
    </r>
    <r>
      <rPr>
        <sz val="10"/>
        <rFont val="Noto Sans CJK SC"/>
        <family val="2"/>
      </rPr>
      <t>滤液罐</t>
    </r>
    <r>
      <rPr>
        <sz val="10"/>
        <rFont val="微软雅黑"/>
        <family val="2"/>
        <charset val="134"/>
      </rPr>
      <t>A)</t>
    </r>
  </si>
  <si>
    <r>
      <rPr>
        <sz val="10"/>
        <rFont val="Noto Sans CJK SC"/>
        <family val="2"/>
      </rPr>
      <t>发酵滤液储罐组的并联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</si>
  <si>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R0004</t>
  </si>
  <si>
    <t>:hasMember</t>
  </si>
  <si>
    <t>:FiltrateTankGroup_M01</t>
  </si>
  <si>
    <r>
      <rPr>
        <sz val="10"/>
        <rFont val="Noto Sans CJK SC"/>
        <family val="2"/>
      </rPr>
      <t>滤液罐</t>
    </r>
    <r>
      <rPr>
        <sz val="10"/>
        <rFont val="微软雅黑"/>
        <family val="2"/>
        <charset val="134"/>
      </rPr>
      <t>B</t>
    </r>
  </si>
  <si>
    <t>R0005</t>
  </si>
  <si>
    <t>:FiltrateTankGroup_M02</t>
  </si>
  <si>
    <t>具有部件</t>
  </si>
  <si>
    <t>设备部件</t>
  </si>
  <si>
    <r>
      <rPr>
        <sz val="10"/>
        <rFont val="Noto Sans CJK SC"/>
        <family val="2"/>
      </rPr>
      <t>发酵滤液储罐组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</si>
  <si>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t>发酵滤液储罐组配置液位计</t>
  </si>
  <si>
    <t>R0006</t>
  </si>
  <si>
    <t>:hasPart</t>
  </si>
  <si>
    <t>:FiltrateTankGroup_P01</t>
  </si>
  <si>
    <t>中</t>
  </si>
  <si>
    <r>
      <rPr>
        <sz val="10"/>
        <rFont val="Noto Sans CJK SC"/>
        <family val="2"/>
      </rPr>
      <t>发酵滤液储罐组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温度计</t>
    </r>
  </si>
  <si>
    <t>发酵滤液储罐组配置温度计</t>
  </si>
  <si>
    <t>R0007</t>
  </si>
  <si>
    <t>:FiltrateTankGroup_P02</t>
  </si>
  <si>
    <t>滤液泵组</t>
  </si>
  <si>
    <r>
      <rPr>
        <sz val="10"/>
        <rFont val="Noto Sans CJK SC"/>
        <family val="2"/>
      </rPr>
      <t>提取</t>
    </r>
    <r>
      <rPr>
        <sz val="10"/>
        <rFont val="微软雅黑"/>
        <family val="2"/>
        <charset val="134"/>
      </rPr>
      <t>·RSE300</t>
    </r>
    <r>
      <rPr>
        <sz val="10"/>
        <rFont val="Noto Sans CJK SC"/>
        <family val="2"/>
      </rPr>
      <t>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二萃包含泵“滤液泵组”</t>
    </r>
  </si>
  <si>
    <t>R0008</t>
  </si>
  <si>
    <t>:FiltratePumpGroup</t>
  </si>
  <si>
    <r>
      <rPr>
        <sz val="10"/>
        <rFont val="Noto Sans CJK SC"/>
        <family val="2"/>
      </rPr>
      <t>滤液泵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</si>
  <si>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滤液泵组的并联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</si>
  <si>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R0009</t>
  </si>
  <si>
    <t>:FiltratePumpGroup_M01</t>
  </si>
  <si>
    <r>
      <rPr>
        <sz val="10"/>
        <rFont val="Noto Sans CJK SC"/>
        <family val="2"/>
      </rPr>
      <t>滤液泵</t>
    </r>
    <r>
      <rPr>
        <sz val="10"/>
        <rFont val="微软雅黑"/>
        <family val="2"/>
        <charset val="134"/>
      </rPr>
      <t>B</t>
    </r>
  </si>
  <si>
    <t>R0010</t>
  </si>
  <si>
    <t>:FiltratePumpGroup_M02</t>
  </si>
  <si>
    <r>
      <rPr>
        <sz val="10"/>
        <rFont val="Noto Sans CJK SC"/>
        <family val="2"/>
      </rPr>
      <t>滤液泵</t>
    </r>
    <r>
      <rPr>
        <sz val="10"/>
        <rFont val="微软雅黑"/>
        <family val="2"/>
        <charset val="134"/>
      </rPr>
      <t>C</t>
    </r>
  </si>
  <si>
    <t>R0011</t>
  </si>
  <si>
    <t>:FiltratePumpGroup_M03</t>
  </si>
  <si>
    <r>
      <rPr>
        <sz val="10"/>
        <rFont val="Noto Sans CJK SC"/>
        <family val="2"/>
      </rPr>
      <t>滤液泵</t>
    </r>
    <r>
      <rPr>
        <sz val="10"/>
        <rFont val="微软雅黑"/>
        <family val="2"/>
        <charset val="134"/>
      </rPr>
      <t>D</t>
    </r>
  </si>
  <si>
    <t>R0012</t>
  </si>
  <si>
    <t>:FiltratePumpGroup_M04</t>
  </si>
  <si>
    <r>
      <rPr>
        <sz val="10"/>
        <rFont val="Noto Sans CJK SC"/>
        <family val="2"/>
      </rPr>
      <t>滤液泵</t>
    </r>
    <r>
      <rPr>
        <sz val="10"/>
        <rFont val="微软雅黑"/>
        <family val="2"/>
        <charset val="134"/>
      </rPr>
      <t>E</t>
    </r>
  </si>
  <si>
    <t>R0013</t>
  </si>
  <si>
    <t>:FiltratePumpGroup_M05</t>
  </si>
  <si>
    <r>
      <rPr>
        <sz val="10"/>
        <rFont val="Noto Sans CJK SC"/>
        <family val="2"/>
      </rPr>
      <t>滤液泵</t>
    </r>
    <r>
      <rPr>
        <sz val="10"/>
        <rFont val="微软雅黑"/>
        <family val="2"/>
        <charset val="134"/>
      </rPr>
      <t>F</t>
    </r>
  </si>
  <si>
    <t>R0014</t>
  </si>
  <si>
    <t>:FiltratePumpGroup_M06</t>
  </si>
  <si>
    <r>
      <rPr>
        <sz val="10"/>
        <rFont val="Noto Sans CJK SC"/>
        <family val="2"/>
      </rPr>
      <t>滤液泵组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电机</t>
    </r>
  </si>
  <si>
    <t>滤液泵组配置电机</t>
  </si>
  <si>
    <t>R0015</t>
  </si>
  <si>
    <t>:FiltratePumpGroup_P01</t>
  </si>
  <si>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提取离心机组</t>
    </r>
  </si>
  <si>
    <r>
      <rPr>
        <sz val="10"/>
        <rFont val="Noto Sans CJK SC"/>
        <family val="2"/>
      </rPr>
      <t>提取</t>
    </r>
    <r>
      <rPr>
        <sz val="10"/>
        <rFont val="微软雅黑"/>
        <family val="2"/>
        <charset val="134"/>
      </rPr>
      <t>·RSE300</t>
    </r>
    <r>
      <rPr>
        <sz val="10"/>
        <rFont val="Noto Sans CJK SC"/>
        <family val="2"/>
      </rPr>
      <t>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二萃包含碟片离心机“</t>
    </r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提取离心机组”</t>
    </r>
  </si>
  <si>
    <t>R0016</t>
  </si>
  <si>
    <t>:RSE300CentrifugeGroup</t>
  </si>
  <si>
    <r>
      <rPr>
        <sz val="10"/>
        <rFont val="Noto Sans CJK SC"/>
        <family val="2"/>
      </rPr>
      <t>提取离心机</t>
    </r>
    <r>
      <rPr>
        <sz val="10"/>
        <rFont val="微软雅黑"/>
        <family val="2"/>
        <charset val="134"/>
      </rPr>
      <t>1(II_10CQA)</t>
    </r>
  </si>
  <si>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提取离心机组的并联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</si>
  <si>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R0017</t>
  </si>
  <si>
    <t>:RSE300CentrifugeGroup_M01</t>
  </si>
  <si>
    <r>
      <rPr>
        <sz val="10"/>
        <rFont val="Noto Sans CJK SC"/>
        <family val="2"/>
      </rPr>
      <t>提取离心机</t>
    </r>
    <r>
      <rPr>
        <sz val="10"/>
        <rFont val="微软雅黑"/>
        <family val="2"/>
        <charset val="134"/>
      </rPr>
      <t>2(II_10CQB)</t>
    </r>
  </si>
  <si>
    <t>R0018</t>
  </si>
  <si>
    <t>:RSE300CentrifugeGroup_M02</t>
  </si>
  <si>
    <r>
      <rPr>
        <sz val="10"/>
        <rFont val="Noto Sans CJK SC"/>
        <family val="2"/>
      </rPr>
      <t>提取离心机</t>
    </r>
    <r>
      <rPr>
        <sz val="10"/>
        <rFont val="微软雅黑"/>
        <family val="2"/>
        <charset val="134"/>
      </rPr>
      <t>3(II_10CQC)</t>
    </r>
  </si>
  <si>
    <t>R0019</t>
  </si>
  <si>
    <t>:RSE300CentrifugeGroup_M03</t>
  </si>
  <si>
    <r>
      <rPr>
        <sz val="10"/>
        <rFont val="Noto Sans CJK SC"/>
        <family val="2"/>
      </rPr>
      <t>提取离心机</t>
    </r>
    <r>
      <rPr>
        <sz val="10"/>
        <rFont val="微软雅黑"/>
        <family val="2"/>
        <charset val="134"/>
      </rPr>
      <t>4(II_10CQD)</t>
    </r>
  </si>
  <si>
    <t>R0020</t>
  </si>
  <si>
    <t>:RSE300CentrifugeGroup_M04</t>
  </si>
  <si>
    <r>
      <rPr>
        <sz val="10"/>
        <rFont val="Noto Sans CJK SC"/>
        <family val="2"/>
      </rPr>
      <t>提取离心机</t>
    </r>
    <r>
      <rPr>
        <sz val="10"/>
        <rFont val="微软雅黑"/>
        <family val="2"/>
        <charset val="134"/>
      </rPr>
      <t>5(II_10CQE)</t>
    </r>
  </si>
  <si>
    <t>R0021</t>
  </si>
  <si>
    <t>:RSE300CentrifugeGroup_M05</t>
  </si>
  <si>
    <r>
      <rPr>
        <sz val="10"/>
        <rFont val="Noto Sans CJK SC"/>
        <family val="2"/>
      </rPr>
      <t>提取离心机</t>
    </r>
    <r>
      <rPr>
        <sz val="10"/>
        <rFont val="微软雅黑"/>
        <family val="2"/>
        <charset val="134"/>
      </rPr>
      <t>6(II_10CQF)</t>
    </r>
  </si>
  <si>
    <t>R0022</t>
  </si>
  <si>
    <t>:RSE300CentrifugeGroup_M06</t>
  </si>
  <si>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提取离心机组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碟片分离转鼓</t>
    </r>
  </si>
  <si>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提取离心机组配置碟片分离转鼓</t>
    </r>
  </si>
  <si>
    <t>R0023</t>
  </si>
  <si>
    <t>:RSE300CentrifugeGroup_P01</t>
  </si>
  <si>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提取离心机组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轻相向心泵</t>
    </r>
  </si>
  <si>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提取离心机组配置轻相向心泵</t>
    </r>
  </si>
  <si>
    <t>R0024</t>
  </si>
  <si>
    <t>:RSE300CentrifugeGroup_P02</t>
  </si>
  <si>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提取离心机组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重相向心泵</t>
    </r>
  </si>
  <si>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提取离心机组配置重相向心泵</t>
    </r>
  </si>
  <si>
    <t>R0025</t>
  </si>
  <si>
    <t>:RSE300CentrifugeGroup_P03</t>
  </si>
  <si>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提取离心机组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主电机</t>
    </r>
  </si>
  <si>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提取离心机组配置主电机</t>
    </r>
  </si>
  <si>
    <t>R0026</t>
  </si>
  <si>
    <t>:RSE300CentrifugeGroup_P04</t>
  </si>
  <si>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提取离心机组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进料调节阀</t>
    </r>
  </si>
  <si>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提取离心机组配置进料调节阀</t>
    </r>
  </si>
  <si>
    <t>R0027</t>
  </si>
  <si>
    <t>:RSE300CentrifugeGroup_P05</t>
  </si>
  <si>
    <r>
      <rPr>
        <sz val="10"/>
        <rFont val="Noto Sans CJK SC"/>
        <family val="2"/>
      </rPr>
      <t>稀硫酸在线混合器</t>
    </r>
    <r>
      <rPr>
        <sz val="10"/>
        <rFont val="微软雅黑"/>
        <family val="2"/>
        <charset val="134"/>
      </rPr>
      <t>M2123</t>
    </r>
  </si>
  <si>
    <r>
      <rPr>
        <sz val="10"/>
        <rFont val="Noto Sans CJK SC"/>
        <family val="2"/>
      </rPr>
      <t>提取</t>
    </r>
    <r>
      <rPr>
        <sz val="10"/>
        <rFont val="微软雅黑"/>
        <family val="2"/>
        <charset val="134"/>
      </rPr>
      <t>·RSE300</t>
    </r>
    <r>
      <rPr>
        <sz val="10"/>
        <rFont val="Noto Sans CJK SC"/>
        <family val="2"/>
      </rPr>
      <t>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二萃包含管道混合器“稀硫酸在线混合器</t>
    </r>
    <r>
      <rPr>
        <sz val="10"/>
        <rFont val="微软雅黑"/>
        <family val="2"/>
        <charset val="134"/>
      </rPr>
      <t>M2123”</t>
    </r>
  </si>
  <si>
    <t>R0028</t>
  </si>
  <si>
    <t>:AcidMixerM2123</t>
  </si>
  <si>
    <t>M2123A</t>
  </si>
  <si>
    <r>
      <rPr>
        <sz val="10"/>
        <rFont val="Noto Sans CJK SC"/>
        <family val="2"/>
      </rPr>
      <t>稀硫酸在线混合器</t>
    </r>
    <r>
      <rPr>
        <sz val="10"/>
        <rFont val="微软雅黑"/>
        <family val="2"/>
        <charset val="134"/>
      </rPr>
      <t>M2123</t>
    </r>
    <r>
      <rPr>
        <sz val="10"/>
        <rFont val="Noto Sans CJK SC"/>
        <family val="2"/>
      </rPr>
      <t>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</si>
  <si>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R0029</t>
  </si>
  <si>
    <t>:AcidMixerM2123_M01</t>
  </si>
  <si>
    <t>M2123B</t>
  </si>
  <si>
    <t>R0030</t>
  </si>
  <si>
    <t>:AcidMixerM2123_M02</t>
  </si>
  <si>
    <t>M2123C</t>
  </si>
  <si>
    <t>R0031</t>
  </si>
  <si>
    <t>:AcidMixerM2123_M03</t>
  </si>
  <si>
    <t>M2123D</t>
  </si>
  <si>
    <t>R0032</t>
  </si>
  <si>
    <t>:AcidMixerM2123_M04</t>
  </si>
  <si>
    <t>M2123E</t>
  </si>
  <si>
    <t>R0033</t>
  </si>
  <si>
    <t>:AcidMixerM2123_M05</t>
  </si>
  <si>
    <t>二级废酸水罐</t>
  </si>
  <si>
    <r>
      <rPr>
        <sz val="10"/>
        <rFont val="Noto Sans CJK SC"/>
        <family val="2"/>
      </rPr>
      <t>提取</t>
    </r>
    <r>
      <rPr>
        <sz val="10"/>
        <rFont val="微软雅黑"/>
        <family val="2"/>
        <charset val="134"/>
      </rPr>
      <t>·RSE300</t>
    </r>
    <r>
      <rPr>
        <sz val="10"/>
        <rFont val="Noto Sans CJK SC"/>
        <family val="2"/>
      </rPr>
      <t>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二萃包含储罐“二级废酸水罐”</t>
    </r>
  </si>
  <si>
    <t>R0034</t>
  </si>
  <si>
    <t>:WasteAcidTank2</t>
  </si>
  <si>
    <r>
      <rPr>
        <sz val="10"/>
        <rFont val="Noto Sans CJK SC"/>
        <family val="2"/>
      </rPr>
      <t>二级废酸水罐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</si>
  <si>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t>二级废酸水罐配置液位计</t>
  </si>
  <si>
    <t>R0035</t>
  </si>
  <si>
    <t>:WasteAcidTank2_P01</t>
  </si>
  <si>
    <r>
      <rPr>
        <sz val="10"/>
        <rFont val="Noto Sans CJK SC"/>
        <family val="2"/>
      </rPr>
      <t>三级废酸水罐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废酸水中和罐</t>
    </r>
    <r>
      <rPr>
        <sz val="10"/>
        <rFont val="微软雅黑"/>
        <family val="2"/>
        <charset val="134"/>
      </rPr>
      <t>V2124</t>
    </r>
  </si>
  <si>
    <r>
      <rPr>
        <sz val="10"/>
        <rFont val="Noto Sans CJK SC"/>
        <family val="2"/>
      </rPr>
      <t>提取</t>
    </r>
    <r>
      <rPr>
        <sz val="10"/>
        <rFont val="微软雅黑"/>
        <family val="2"/>
        <charset val="134"/>
      </rPr>
      <t>·RSE300</t>
    </r>
    <r>
      <rPr>
        <sz val="10"/>
        <rFont val="Noto Sans CJK SC"/>
        <family val="2"/>
      </rPr>
      <t>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二萃包含中和罐“三级废酸水罐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废酸水中和罐</t>
    </r>
    <r>
      <rPr>
        <sz val="10"/>
        <rFont val="微软雅黑"/>
        <family val="2"/>
        <charset val="134"/>
      </rPr>
      <t>V2124”</t>
    </r>
  </si>
  <si>
    <t>R0036</t>
  </si>
  <si>
    <t>:WasteAcidNeutralizerV2124</t>
  </si>
  <si>
    <r>
      <rPr>
        <sz val="10"/>
        <rFont val="Noto Sans CJK SC"/>
        <family val="2"/>
      </rPr>
      <t>三级废酸水罐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废酸水中和罐</t>
    </r>
    <r>
      <rPr>
        <sz val="10"/>
        <rFont val="微软雅黑"/>
        <family val="2"/>
        <charset val="134"/>
      </rPr>
      <t>V2124·pH</t>
    </r>
    <r>
      <rPr>
        <sz val="10"/>
        <rFont val="Noto Sans CJK SC"/>
        <family val="2"/>
      </rPr>
      <t>计</t>
    </r>
  </si>
  <si>
    <r>
      <rPr>
        <sz val="10"/>
        <rFont val="Noto Sans CJK SC"/>
        <family val="2"/>
      </rPr>
      <t>三级废酸水罐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废酸水中和罐</t>
    </r>
    <r>
      <rPr>
        <sz val="10"/>
        <rFont val="微软雅黑"/>
        <family val="2"/>
        <charset val="134"/>
      </rPr>
      <t>V2124</t>
    </r>
    <r>
      <rPr>
        <sz val="10"/>
        <rFont val="Noto Sans CJK SC"/>
        <family val="2"/>
      </rPr>
      <t>配置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</t>
    </r>
  </si>
  <si>
    <t>R0037</t>
  </si>
  <si>
    <t>:WasteAcidNeutralizerV2124_P01</t>
  </si>
  <si>
    <r>
      <rPr>
        <sz val="10"/>
        <rFont val="Noto Sans CJK SC"/>
        <family val="2"/>
      </rPr>
      <t>三级废酸水罐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废酸水中和罐</t>
    </r>
    <r>
      <rPr>
        <sz val="10"/>
        <rFont val="微软雅黑"/>
        <family val="2"/>
        <charset val="134"/>
      </rPr>
      <t>V2124·</t>
    </r>
    <r>
      <rPr>
        <sz val="10"/>
        <rFont val="Noto Sans CJK SC"/>
        <family val="2"/>
      </rPr>
      <t>液碱调节阀</t>
    </r>
  </si>
  <si>
    <r>
      <rPr>
        <sz val="10"/>
        <rFont val="Noto Sans CJK SC"/>
        <family val="2"/>
      </rPr>
      <t>三级废酸水罐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废酸水中和罐</t>
    </r>
    <r>
      <rPr>
        <sz val="10"/>
        <rFont val="微软雅黑"/>
        <family val="2"/>
        <charset val="134"/>
      </rPr>
      <t>V2124</t>
    </r>
    <r>
      <rPr>
        <sz val="10"/>
        <rFont val="Noto Sans CJK SC"/>
        <family val="2"/>
      </rPr>
      <t>配置液碱调节阀</t>
    </r>
  </si>
  <si>
    <t>R0038</t>
  </si>
  <si>
    <t>:WasteAcidNeutralizerV2124_P02</t>
  </si>
  <si>
    <t>具有属性</t>
  </si>
  <si>
    <t>工艺属性</t>
  </si>
  <si>
    <t>滤液罐液位</t>
  </si>
  <si>
    <r>
      <rPr>
        <sz val="10"/>
        <rFont val="Noto Sans CJK SC"/>
        <family val="2"/>
      </rPr>
      <t>滤液储罐</t>
    </r>
    <r>
      <rPr>
        <sz val="10"/>
        <rFont val="微软雅黑"/>
        <family val="2"/>
        <charset val="134"/>
      </rPr>
      <t>T2101</t>
    </r>
    <r>
      <rPr>
        <sz val="10"/>
        <rFont val="Noto Sans CJK SC"/>
        <family val="2"/>
      </rPr>
      <t>液位</t>
    </r>
  </si>
  <si>
    <t>R0039</t>
  </si>
  <si>
    <t>:hasAttribute</t>
  </si>
  <si>
    <t>:Attr_001</t>
  </si>
  <si>
    <t>LT_1102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</si>
  <si>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点表</t>
    </r>
  </si>
  <si>
    <t>滤液温度</t>
  </si>
  <si>
    <t>滤液储罐温度，影响青霉素稳定性</t>
  </si>
  <si>
    <t>R0040</t>
  </si>
  <si>
    <t>:Attr_002</t>
  </si>
  <si>
    <t>TI_1101</t>
  </si>
  <si>
    <t>滤液罐进料流量</t>
  </si>
  <si>
    <t>发酵滤液来料流量</t>
  </si>
  <si>
    <t>R0041</t>
  </si>
  <si>
    <t>:Attr_003</t>
  </si>
  <si>
    <r>
      <rPr>
        <sz val="10"/>
        <rFont val="微软雅黑"/>
        <family val="2"/>
        <charset val="134"/>
      </rPr>
      <t>FT_1103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FT_1004</t>
    </r>
  </si>
  <si>
    <t>滤液进料流量</t>
  </si>
  <si>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各组</t>
    </r>
    <r>
      <rPr>
        <sz val="10"/>
        <rFont val="微软雅黑"/>
        <family val="2"/>
        <charset val="134"/>
      </rPr>
      <t>(1-2/3-4/5-6)</t>
    </r>
    <r>
      <rPr>
        <sz val="10"/>
        <rFont val="Noto Sans CJK SC"/>
        <family val="2"/>
      </rPr>
      <t>滤液进料</t>
    </r>
  </si>
  <si>
    <t>R0042</t>
  </si>
  <si>
    <t>:Attr_004</t>
  </si>
  <si>
    <r>
      <rPr>
        <sz val="10"/>
        <rFont val="微软雅黑"/>
        <family val="2"/>
        <charset val="134"/>
      </rPr>
      <t>FT_1104C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FT_1104D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FT_1104E</t>
    </r>
  </si>
  <si>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进料流量</t>
    </r>
  </si>
  <si>
    <r>
      <rPr>
        <sz val="10"/>
        <rFont val="Noto Sans CJK SC"/>
        <family val="2"/>
      </rPr>
      <t>丁酯</t>
    </r>
    <r>
      <rPr>
        <sz val="10"/>
        <rFont val="微软雅黑"/>
        <family val="2"/>
        <charset val="134"/>
      </rPr>
      <t>/BA</t>
    </r>
    <r>
      <rPr>
        <sz val="10"/>
        <rFont val="Noto Sans CJK SC"/>
        <family val="2"/>
      </rPr>
      <t>进料</t>
    </r>
  </si>
  <si>
    <t>R0043</t>
  </si>
  <si>
    <t>:Attr_005</t>
  </si>
  <si>
    <r>
      <rPr>
        <sz val="10"/>
        <rFont val="微软雅黑"/>
        <family val="2"/>
        <charset val="134"/>
      </rPr>
      <t>FT_1105C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FT_1105D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FT_1105E</t>
    </r>
  </si>
  <si>
    <t>破乳剂进料流量</t>
  </si>
  <si>
    <t>破乳剂注入量</t>
  </si>
  <si>
    <t>R0044</t>
  </si>
  <si>
    <t>:Attr_006</t>
  </si>
  <si>
    <r>
      <rPr>
        <sz val="10"/>
        <rFont val="微软雅黑"/>
        <family val="2"/>
        <charset val="134"/>
      </rPr>
      <t>FT_1101C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FT_1101D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FT_1101E</t>
    </r>
  </si>
  <si>
    <r>
      <rPr>
        <sz val="10"/>
        <rFont val="Noto Sans CJK SC"/>
        <family val="2"/>
      </rPr>
      <t>一阶段酸化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</si>
  <si>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一阶段萃取</t>
    </r>
    <r>
      <rPr>
        <sz val="10"/>
        <rFont val="微软雅黑"/>
        <family val="2"/>
        <charset val="134"/>
      </rPr>
      <t>pH</t>
    </r>
  </si>
  <si>
    <t>R0045</t>
  </si>
  <si>
    <t>:Attr_007</t>
  </si>
  <si>
    <r>
      <rPr>
        <sz val="10"/>
        <rFont val="微软雅黑"/>
        <family val="2"/>
        <charset val="134"/>
      </rPr>
      <t>AT_1105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AT_1107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AT_1109</t>
    </r>
  </si>
  <si>
    <r>
      <rPr>
        <sz val="10"/>
        <rFont val="Noto Sans CJK SC"/>
        <family val="2"/>
      </rPr>
      <t>二阶段酸化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</si>
  <si>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二阶段萃取</t>
    </r>
    <r>
      <rPr>
        <sz val="10"/>
        <rFont val="微软雅黑"/>
        <family val="2"/>
        <charset val="134"/>
      </rPr>
      <t>pH</t>
    </r>
  </si>
  <si>
    <t>R0046</t>
  </si>
  <si>
    <t>:Attr_008</t>
  </si>
  <si>
    <r>
      <rPr>
        <sz val="10"/>
        <rFont val="微软雅黑"/>
        <family val="2"/>
        <charset val="134"/>
      </rPr>
      <t>AT_1106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AT_1108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AT_1110</t>
    </r>
  </si>
  <si>
    <t>重相出口压力</t>
  </si>
  <si>
    <t>重相向心泵背压</t>
  </si>
  <si>
    <t>R0047</t>
  </si>
  <si>
    <t>:Attr_009</t>
  </si>
  <si>
    <r>
      <rPr>
        <sz val="10"/>
        <rFont val="微软雅黑"/>
        <family val="2"/>
        <charset val="134"/>
      </rPr>
      <t>PT_1001A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PT_1001B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PT_1001C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PT_1001D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PT_1001E</t>
    </r>
  </si>
  <si>
    <t>轻相出口压力</t>
  </si>
  <si>
    <t>轻相向心泵背压</t>
  </si>
  <si>
    <t>R0048</t>
  </si>
  <si>
    <t>:Attr_010</t>
  </si>
  <si>
    <r>
      <rPr>
        <sz val="10"/>
        <rFont val="微软雅黑"/>
        <family val="2"/>
        <charset val="134"/>
      </rPr>
      <t>PT_1002A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PT_1002B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PT_1002C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PT_1002D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PT_1002E</t>
    </r>
  </si>
  <si>
    <t>主电机电流</t>
  </si>
  <si>
    <r>
      <rPr>
        <sz val="10"/>
        <rFont val="Noto Sans CJK SC"/>
        <family val="2"/>
      </rPr>
      <t>负荷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排渣状态指示</t>
    </r>
  </si>
  <si>
    <t>R0049</t>
  </si>
  <si>
    <t>:Attr_011</t>
  </si>
  <si>
    <r>
      <rPr>
        <sz val="10"/>
        <rFont val="微软雅黑"/>
        <family val="2"/>
        <charset val="134"/>
      </rPr>
      <t>II_10CQA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II_10CQB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II_10CQC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II_10CQD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II_10CQE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II_10CQF</t>
    </r>
  </si>
  <si>
    <t>稀硫酸注入流量</t>
  </si>
  <si>
    <t>各混合器稀硫酸流量</t>
  </si>
  <si>
    <t>R0050</t>
  </si>
  <si>
    <t>:Attr_012</t>
  </si>
  <si>
    <r>
      <rPr>
        <sz val="10"/>
        <rFont val="微软雅黑"/>
        <family val="2"/>
        <charset val="134"/>
      </rPr>
      <t>FT_1106A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FT_1106B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FT_1106C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FT_1106D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FT_1106E</t>
    </r>
  </si>
  <si>
    <r>
      <rPr>
        <sz val="10"/>
        <rFont val="Noto Sans CJK SC"/>
        <family val="2"/>
      </rPr>
      <t>废酸水中和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</si>
  <si>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中和后</t>
    </r>
    <r>
      <rPr>
        <sz val="10"/>
        <rFont val="微软雅黑"/>
        <family val="2"/>
        <charset val="134"/>
      </rPr>
      <t>pH</t>
    </r>
  </si>
  <si>
    <t>R0051</t>
  </si>
  <si>
    <t>:Attr_013</t>
  </si>
  <si>
    <t>AT_1111</t>
  </si>
  <si>
    <t>废酸水罐液位</t>
  </si>
  <si>
    <r>
      <rPr>
        <sz val="10"/>
        <rFont val="Noto Sans CJK SC"/>
        <family val="2"/>
      </rPr>
      <t>三级废酸水罐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废酸水中和罐</t>
    </r>
    <r>
      <rPr>
        <sz val="10"/>
        <rFont val="微软雅黑"/>
        <family val="2"/>
        <charset val="134"/>
      </rPr>
      <t>V2124</t>
    </r>
    <r>
      <rPr>
        <sz val="10"/>
        <rFont val="Noto Sans CJK SC"/>
        <family val="2"/>
      </rPr>
      <t>的废酸水罐液位</t>
    </r>
  </si>
  <si>
    <t>R0052</t>
  </si>
  <si>
    <t>:Attr_014</t>
  </si>
  <si>
    <t>LT_1105</t>
  </si>
  <si>
    <t>废酸水外送流量</t>
  </si>
  <si>
    <r>
      <rPr>
        <sz val="10"/>
        <rFont val="Noto Sans CJK SC"/>
        <family val="2"/>
      </rPr>
      <t>去回收流量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密度</t>
    </r>
  </si>
  <si>
    <t>R0053</t>
  </si>
  <si>
    <t>:Attr_015</t>
  </si>
  <si>
    <r>
      <rPr>
        <sz val="10"/>
        <rFont val="微软雅黑"/>
        <family val="2"/>
        <charset val="134"/>
      </rPr>
      <t>FT_2001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DI_2001</t>
    </r>
  </si>
  <si>
    <r>
      <rPr>
        <sz val="10"/>
        <rFont val="Noto Sans CJK SC"/>
        <family val="2"/>
      </rPr>
      <t>萃取分配系数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青霉素</t>
    </r>
    <r>
      <rPr>
        <sz val="10"/>
        <rFont val="微软雅黑"/>
        <family val="2"/>
        <charset val="134"/>
      </rPr>
      <t>G)</t>
    </r>
  </si>
  <si>
    <r>
      <rPr>
        <sz val="10"/>
        <rFont val="Noto Sans CJK SC"/>
        <family val="2"/>
      </rPr>
      <t>酸性下青霉素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游离酸进入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的分配比</t>
    </r>
  </si>
  <si>
    <t>R0054</t>
  </si>
  <si>
    <t>:Attr_248</t>
  </si>
  <si>
    <t>工艺机理</t>
  </si>
  <si>
    <t>青霉素酸降解速率</t>
  </si>
  <si>
    <r>
      <rPr>
        <sz val="10"/>
        <rFont val="Noto Sans CJK SC"/>
        <family val="2"/>
      </rPr>
      <t>低</t>
    </r>
    <r>
      <rPr>
        <sz val="10"/>
        <rFont val="微软雅黑"/>
        <family val="2"/>
        <charset val="134"/>
      </rPr>
      <t>pH/</t>
    </r>
    <r>
      <rPr>
        <sz val="10"/>
        <rFont val="Noto Sans CJK SC"/>
        <family val="2"/>
      </rPr>
      <t>高温下青霉素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酸不稳定降解</t>
    </r>
  </si>
  <si>
    <t>R0055</t>
  </si>
  <si>
    <t>:Attr_249</t>
  </si>
  <si>
    <t>相界面乳化层厚度</t>
  </si>
  <si>
    <t>蛋白质等表面活性物造成乳化</t>
  </si>
  <si>
    <t>R0056</t>
  </si>
  <si>
    <t>:Attr_250</t>
  </si>
  <si>
    <t>质量指标</t>
  </si>
  <si>
    <t>提取废酸水残效</t>
  </si>
  <si>
    <t>废酸水中残留青霉素，提取损失</t>
  </si>
  <si>
    <t>R0057</t>
  </si>
  <si>
    <t>:QKPI_253</t>
  </si>
  <si>
    <t>物料流股</t>
  </si>
  <si>
    <r>
      <rPr>
        <sz val="10"/>
        <rFont val="Noto Sans CJK SC"/>
        <family val="2"/>
      </rPr>
      <t>青霉素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发酵滤液</t>
    </r>
  </si>
  <si>
    <r>
      <rPr>
        <sz val="10"/>
        <rFont val="Noto Sans CJK SC"/>
        <family val="2"/>
      </rPr>
      <t>青霉素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发酵滤液的滤液温度（流股属性，测点位于管线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</si>
  <si>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R0058</t>
  </si>
  <si>
    <t>:MS_Filtrate</t>
  </si>
  <si>
    <r>
      <rPr>
        <sz val="10"/>
        <rFont val="Noto Sans CJK SC"/>
        <family val="2"/>
      </rPr>
      <t>一次</t>
    </r>
    <r>
      <rPr>
        <sz val="10"/>
        <rFont val="微软雅黑"/>
        <family val="2"/>
        <charset val="134"/>
      </rPr>
      <t>BA</t>
    </r>
  </si>
  <si>
    <r>
      <rPr>
        <sz val="10"/>
        <rFont val="Noto Sans CJK SC"/>
        <family val="2"/>
      </rPr>
      <t>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青霉素效价</t>
    </r>
  </si>
  <si>
    <r>
      <rPr>
        <sz val="10"/>
        <rFont val="Noto Sans CJK SC"/>
        <family val="2"/>
      </rPr>
      <t>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的一次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青霉素效价（流股属性，测点位于管线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</si>
  <si>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R0059</t>
  </si>
  <si>
    <t>:MS_PrimaryBA</t>
  </si>
  <si>
    <t>:QKPI_252</t>
  </si>
  <si>
    <t>测点绑定关系</t>
  </si>
  <si>
    <t>绑定测点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</si>
  <si>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测点</t>
    </r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</si>
  <si>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原点描述：滤液储罐</t>
    </r>
    <r>
      <rPr>
        <sz val="10"/>
        <rFont val="微软雅黑"/>
        <family val="2"/>
        <charset val="134"/>
      </rPr>
      <t>T2101</t>
    </r>
    <r>
      <rPr>
        <sz val="10"/>
        <rFont val="Noto Sans CJK SC"/>
        <family val="2"/>
      </rPr>
      <t>液位</t>
    </r>
  </si>
  <si>
    <t>R0060</t>
  </si>
  <si>
    <t>:boundToTag</t>
  </si>
  <si>
    <t>:LT_1102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</si>
  <si>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原点描述：滤液储罐</t>
    </r>
    <r>
      <rPr>
        <sz val="10"/>
        <rFont val="微软雅黑"/>
        <family val="2"/>
        <charset val="134"/>
      </rPr>
      <t>T2101</t>
    </r>
    <r>
      <rPr>
        <sz val="10"/>
        <rFont val="Noto Sans CJK SC"/>
        <family val="2"/>
      </rPr>
      <t>温度</t>
    </r>
  </si>
  <si>
    <t>R0061</t>
  </si>
  <si>
    <t>:TI_1101</t>
  </si>
  <si>
    <t>FT_1103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</si>
  <si>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原点描述：滤液储罐</t>
    </r>
    <r>
      <rPr>
        <sz val="10"/>
        <rFont val="微软雅黑"/>
        <family val="2"/>
        <charset val="134"/>
      </rPr>
      <t>T2101</t>
    </r>
    <r>
      <rPr>
        <sz val="10"/>
        <rFont val="Noto Sans CJK SC"/>
        <family val="2"/>
      </rPr>
      <t>进料流量</t>
    </r>
  </si>
  <si>
    <t>R0062</t>
  </si>
  <si>
    <t>:FT_1103</t>
  </si>
  <si>
    <t>FT_1004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</si>
  <si>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原点描述：滤液罐进口流量</t>
    </r>
  </si>
  <si>
    <t>R0063</t>
  </si>
  <si>
    <t>:FT_1004</t>
  </si>
  <si>
    <t>FT_1104C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</si>
  <si>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300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1—2</t>
    </r>
    <r>
      <rPr>
        <sz val="10"/>
        <rFont val="Noto Sans CJK SC"/>
        <family val="2"/>
      </rPr>
      <t>）滤液进料流量</t>
    </r>
  </si>
  <si>
    <t>R0064</t>
  </si>
  <si>
    <t>:FT_1104C</t>
  </si>
  <si>
    <t>FT_1104D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</si>
  <si>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300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3—4</t>
    </r>
    <r>
      <rPr>
        <sz val="10"/>
        <rFont val="Noto Sans CJK SC"/>
        <family val="2"/>
      </rPr>
      <t>）滤液进料流量</t>
    </r>
  </si>
  <si>
    <t>R0065</t>
  </si>
  <si>
    <t>:FT_1104D</t>
  </si>
  <si>
    <t>FT_1104E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</si>
  <si>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300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5—6</t>
    </r>
    <r>
      <rPr>
        <sz val="10"/>
        <rFont val="Noto Sans CJK SC"/>
        <family val="2"/>
      </rPr>
      <t>）滤液进料流量</t>
    </r>
  </si>
  <si>
    <t>R0066</t>
  </si>
  <si>
    <t>:FT_1104E</t>
  </si>
  <si>
    <t>FT_1105C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</si>
  <si>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300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1—2</t>
    </r>
    <r>
      <rPr>
        <sz val="10"/>
        <rFont val="Noto Sans CJK SC"/>
        <family val="2"/>
      </rPr>
      <t>）丁酯进料流量</t>
    </r>
  </si>
  <si>
    <t>R0067</t>
  </si>
  <si>
    <t>:FT_1105C</t>
  </si>
  <si>
    <t>FT_1105D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</si>
  <si>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300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3—4</t>
    </r>
    <r>
      <rPr>
        <sz val="10"/>
        <rFont val="Noto Sans CJK SC"/>
        <family val="2"/>
      </rPr>
      <t>）丁酯进料流量</t>
    </r>
  </si>
  <si>
    <t>R0068</t>
  </si>
  <si>
    <t>:FT_1105D</t>
  </si>
  <si>
    <t>FT_1105E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</si>
  <si>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300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5—6</t>
    </r>
    <r>
      <rPr>
        <sz val="10"/>
        <rFont val="Noto Sans CJK SC"/>
        <family val="2"/>
      </rPr>
      <t>）丁酯进料流量</t>
    </r>
  </si>
  <si>
    <t>R0069</t>
  </si>
  <si>
    <t>:FT_1105E</t>
  </si>
  <si>
    <t>FT_1101C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</si>
  <si>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300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1—2</t>
    </r>
    <r>
      <rPr>
        <sz val="10"/>
        <rFont val="Noto Sans CJK SC"/>
        <family val="2"/>
      </rPr>
      <t>）破乳剂进料流量</t>
    </r>
  </si>
  <si>
    <t>R0070</t>
  </si>
  <si>
    <t>:FT_1101C</t>
  </si>
  <si>
    <t>FT_1101D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</si>
  <si>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300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3—4</t>
    </r>
    <r>
      <rPr>
        <sz val="10"/>
        <rFont val="Noto Sans CJK SC"/>
        <family val="2"/>
      </rPr>
      <t>）破乳剂进料流量</t>
    </r>
  </si>
  <si>
    <t>R0071</t>
  </si>
  <si>
    <t>:FT_1101D</t>
  </si>
  <si>
    <t>FT_1101E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</si>
  <si>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300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5—6</t>
    </r>
    <r>
      <rPr>
        <sz val="10"/>
        <rFont val="Noto Sans CJK SC"/>
        <family val="2"/>
      </rPr>
      <t>）破乳剂进料流量</t>
    </r>
  </si>
  <si>
    <t>R0072</t>
  </si>
  <si>
    <t>:FT_1101E</t>
  </si>
  <si>
    <t>AT_1105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</si>
  <si>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300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1—2</t>
    </r>
    <r>
      <rPr>
        <sz val="10"/>
        <rFont val="Noto Sans CJK SC"/>
        <family val="2"/>
      </rPr>
      <t>）一阶段</t>
    </r>
    <r>
      <rPr>
        <sz val="10"/>
        <rFont val="微软雅黑"/>
        <family val="2"/>
        <charset val="134"/>
      </rPr>
      <t>PH</t>
    </r>
  </si>
  <si>
    <t>R0073</t>
  </si>
  <si>
    <t>:AT_1105</t>
  </si>
  <si>
    <t>AT_1107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</si>
  <si>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300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3—4</t>
    </r>
    <r>
      <rPr>
        <sz val="10"/>
        <rFont val="Noto Sans CJK SC"/>
        <family val="2"/>
      </rPr>
      <t>）一阶段</t>
    </r>
    <r>
      <rPr>
        <sz val="10"/>
        <rFont val="微软雅黑"/>
        <family val="2"/>
        <charset val="134"/>
      </rPr>
      <t>PH</t>
    </r>
  </si>
  <si>
    <t>R0074</t>
  </si>
  <si>
    <t>:AT_1107</t>
  </si>
  <si>
    <t>AT_1109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</si>
  <si>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300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5—6</t>
    </r>
    <r>
      <rPr>
        <sz val="10"/>
        <rFont val="Noto Sans CJK SC"/>
        <family val="2"/>
      </rPr>
      <t>）一阶段</t>
    </r>
    <r>
      <rPr>
        <sz val="10"/>
        <rFont val="微软雅黑"/>
        <family val="2"/>
        <charset val="134"/>
      </rPr>
      <t>PH</t>
    </r>
  </si>
  <si>
    <t>R0075</t>
  </si>
  <si>
    <t>:AT_1109</t>
  </si>
  <si>
    <t>AT_1106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</si>
  <si>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300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1—2</t>
    </r>
    <r>
      <rPr>
        <sz val="10"/>
        <rFont val="Noto Sans CJK SC"/>
        <family val="2"/>
      </rPr>
      <t>）二阶段</t>
    </r>
    <r>
      <rPr>
        <sz val="10"/>
        <rFont val="微软雅黑"/>
        <family val="2"/>
        <charset val="134"/>
      </rPr>
      <t>PH</t>
    </r>
  </si>
  <si>
    <t>R0076</t>
  </si>
  <si>
    <t>:AT_1106</t>
  </si>
  <si>
    <t>AT_1108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</si>
  <si>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300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3—4</t>
    </r>
    <r>
      <rPr>
        <sz val="10"/>
        <rFont val="Noto Sans CJK SC"/>
        <family val="2"/>
      </rPr>
      <t>）二阶段</t>
    </r>
    <r>
      <rPr>
        <sz val="10"/>
        <rFont val="微软雅黑"/>
        <family val="2"/>
        <charset val="134"/>
      </rPr>
      <t>PH</t>
    </r>
  </si>
  <si>
    <t>R0077</t>
  </si>
  <si>
    <t>:AT_1108</t>
  </si>
  <si>
    <t>AT_1110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</si>
  <si>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300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5—6</t>
    </r>
    <r>
      <rPr>
        <sz val="10"/>
        <rFont val="Noto Sans CJK SC"/>
        <family val="2"/>
      </rPr>
      <t>）二阶段</t>
    </r>
    <r>
      <rPr>
        <sz val="10"/>
        <rFont val="微软雅黑"/>
        <family val="2"/>
        <charset val="134"/>
      </rPr>
      <t>PH</t>
    </r>
  </si>
  <si>
    <t>R0078</t>
  </si>
  <si>
    <t>:AT_1110</t>
  </si>
  <si>
    <t>PT_1001A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</si>
  <si>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A1</t>
    </r>
    <r>
      <rPr>
        <sz val="10"/>
        <rFont val="Noto Sans CJK SC"/>
        <family val="2"/>
      </rPr>
      <t>重相压力</t>
    </r>
  </si>
  <si>
    <t>R0079</t>
  </si>
  <si>
    <t>:PT_1001A</t>
  </si>
  <si>
    <t>PT_1001B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</si>
  <si>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A2</t>
    </r>
    <r>
      <rPr>
        <sz val="10"/>
        <rFont val="Noto Sans CJK SC"/>
        <family val="2"/>
      </rPr>
      <t>重相压力</t>
    </r>
  </si>
  <si>
    <t>R0080</t>
  </si>
  <si>
    <t>:PT_1001B</t>
  </si>
  <si>
    <t>PT_1001C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</si>
  <si>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A3</t>
    </r>
    <r>
      <rPr>
        <sz val="10"/>
        <rFont val="Noto Sans CJK SC"/>
        <family val="2"/>
      </rPr>
      <t>重相压力</t>
    </r>
  </si>
  <si>
    <t>R0081</t>
  </si>
  <si>
    <t>:PT_1001C</t>
  </si>
  <si>
    <t>PT_1001D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</si>
  <si>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A4</t>
    </r>
    <r>
      <rPr>
        <sz val="10"/>
        <rFont val="Noto Sans CJK SC"/>
        <family val="2"/>
      </rPr>
      <t>重相压力</t>
    </r>
  </si>
  <si>
    <t>R0082</t>
  </si>
  <si>
    <t>:PT_1001D</t>
  </si>
  <si>
    <t>PT_1001E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</si>
  <si>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A5</t>
    </r>
    <r>
      <rPr>
        <sz val="10"/>
        <rFont val="Noto Sans CJK SC"/>
        <family val="2"/>
      </rPr>
      <t>重相压力</t>
    </r>
  </si>
  <si>
    <t>R0083</t>
  </si>
  <si>
    <t>:PT_1001E</t>
  </si>
  <si>
    <t>PT_1002A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</si>
  <si>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B1</t>
    </r>
    <r>
      <rPr>
        <sz val="10"/>
        <rFont val="Noto Sans CJK SC"/>
        <family val="2"/>
      </rPr>
      <t>轻相出口压力</t>
    </r>
  </si>
  <si>
    <t>R0084</t>
  </si>
  <si>
    <t>:PT_1002A</t>
  </si>
  <si>
    <t>PT_1002B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</si>
  <si>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B2</t>
    </r>
    <r>
      <rPr>
        <sz val="10"/>
        <rFont val="Noto Sans CJK SC"/>
        <family val="2"/>
      </rPr>
      <t>轻相出口压力</t>
    </r>
  </si>
  <si>
    <t>R0085</t>
  </si>
  <si>
    <t>:PT_1002B</t>
  </si>
  <si>
    <t>PT_1002C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</si>
  <si>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B3</t>
    </r>
    <r>
      <rPr>
        <sz val="10"/>
        <rFont val="Noto Sans CJK SC"/>
        <family val="2"/>
      </rPr>
      <t>轻相出口压力</t>
    </r>
  </si>
  <si>
    <t>R0086</t>
  </si>
  <si>
    <t>:PT_1002C</t>
  </si>
  <si>
    <t>PT_1002D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</si>
  <si>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B4</t>
    </r>
    <r>
      <rPr>
        <sz val="10"/>
        <rFont val="Noto Sans CJK SC"/>
        <family val="2"/>
      </rPr>
      <t>轻相出口压力</t>
    </r>
  </si>
  <si>
    <t>R0087</t>
  </si>
  <si>
    <t>:PT_1002D</t>
  </si>
  <si>
    <t>PT_1002E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</si>
  <si>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B5</t>
    </r>
    <r>
      <rPr>
        <sz val="10"/>
        <rFont val="Noto Sans CJK SC"/>
        <family val="2"/>
      </rPr>
      <t>轻相出口压力</t>
    </r>
  </si>
  <si>
    <t>R0088</t>
  </si>
  <si>
    <t>:PT_1002E</t>
  </si>
  <si>
    <t>II_10CQA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</si>
  <si>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原点描述：提取一萃离心机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电流反馈</t>
    </r>
  </si>
  <si>
    <t>R0089</t>
  </si>
  <si>
    <t>:II_10CQA</t>
  </si>
  <si>
    <t>II_10CQB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</si>
  <si>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原点描述：提取一萃离心机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电流反馈</t>
    </r>
  </si>
  <si>
    <t>R0090</t>
  </si>
  <si>
    <t>:II_10CQB</t>
  </si>
  <si>
    <t>II_10CQC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</si>
  <si>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原点描述：提取一萃离心机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电流反馈</t>
    </r>
  </si>
  <si>
    <t>R0091</t>
  </si>
  <si>
    <t>:II_10CQC</t>
  </si>
  <si>
    <t>II_10CQD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</si>
  <si>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原点描述：提取一萃离心机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电流反馈</t>
    </r>
  </si>
  <si>
    <t>R0092</t>
  </si>
  <si>
    <t>:II_10CQD</t>
  </si>
  <si>
    <t>II_10CQE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</si>
  <si>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原点描述：提取一萃离心机</t>
    </r>
    <r>
      <rPr>
        <sz val="10"/>
        <rFont val="微软雅黑"/>
        <family val="2"/>
        <charset val="134"/>
      </rPr>
      <t>E</t>
    </r>
    <r>
      <rPr>
        <sz val="10"/>
        <rFont val="Noto Sans CJK SC"/>
        <family val="2"/>
      </rPr>
      <t>电流反馈</t>
    </r>
  </si>
  <si>
    <t>R0093</t>
  </si>
  <si>
    <t>:II_10CQE</t>
  </si>
  <si>
    <t>II_10CQF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</si>
  <si>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原点描述：提取一萃离心机</t>
    </r>
    <r>
      <rPr>
        <sz val="10"/>
        <rFont val="微软雅黑"/>
        <family val="2"/>
        <charset val="134"/>
      </rPr>
      <t>F</t>
    </r>
    <r>
      <rPr>
        <sz val="10"/>
        <rFont val="Noto Sans CJK SC"/>
        <family val="2"/>
      </rPr>
      <t>电流反馈</t>
    </r>
  </si>
  <si>
    <t>R0094</t>
  </si>
  <si>
    <t>:II_10CQF</t>
  </si>
  <si>
    <t>FT_1106A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</si>
  <si>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原点描述：混合器</t>
    </r>
    <r>
      <rPr>
        <sz val="10"/>
        <rFont val="微软雅黑"/>
        <family val="2"/>
        <charset val="134"/>
      </rPr>
      <t>M2123A</t>
    </r>
    <r>
      <rPr>
        <sz val="10"/>
        <rFont val="Noto Sans CJK SC"/>
        <family val="2"/>
      </rPr>
      <t>稀硫酸流量</t>
    </r>
    <r>
      <rPr>
        <sz val="10"/>
        <rFont val="微软雅黑"/>
        <family val="2"/>
        <charset val="134"/>
      </rPr>
      <t>(DN25)</t>
    </r>
  </si>
  <si>
    <t>R0095</t>
  </si>
  <si>
    <t>:FT_1106A</t>
  </si>
  <si>
    <t>FT_1106B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</si>
  <si>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原点描述：混合器</t>
    </r>
    <r>
      <rPr>
        <sz val="10"/>
        <rFont val="微软雅黑"/>
        <family val="2"/>
        <charset val="134"/>
      </rPr>
      <t>M2123B</t>
    </r>
    <r>
      <rPr>
        <sz val="10"/>
        <rFont val="Noto Sans CJK SC"/>
        <family val="2"/>
      </rPr>
      <t>稀硫酸流量</t>
    </r>
    <r>
      <rPr>
        <sz val="10"/>
        <rFont val="微软雅黑"/>
        <family val="2"/>
        <charset val="134"/>
      </rPr>
      <t>(DN25)</t>
    </r>
  </si>
  <si>
    <t>R0096</t>
  </si>
  <si>
    <t>:FT_1106B</t>
  </si>
  <si>
    <t>FT_1106C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</si>
  <si>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原点描述：混合器</t>
    </r>
    <r>
      <rPr>
        <sz val="10"/>
        <rFont val="微软雅黑"/>
        <family val="2"/>
        <charset val="134"/>
      </rPr>
      <t>M2123C</t>
    </r>
    <r>
      <rPr>
        <sz val="10"/>
        <rFont val="Noto Sans CJK SC"/>
        <family val="2"/>
      </rPr>
      <t>稀硫酸流量</t>
    </r>
    <r>
      <rPr>
        <sz val="10"/>
        <rFont val="微软雅黑"/>
        <family val="2"/>
        <charset val="134"/>
      </rPr>
      <t>(DN25)</t>
    </r>
  </si>
  <si>
    <t>R0097</t>
  </si>
  <si>
    <t>:FT_1106C</t>
  </si>
  <si>
    <t>FT_1106D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</si>
  <si>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原点描述：混合器</t>
    </r>
    <r>
      <rPr>
        <sz val="10"/>
        <rFont val="微软雅黑"/>
        <family val="2"/>
        <charset val="134"/>
      </rPr>
      <t>M2123D</t>
    </r>
    <r>
      <rPr>
        <sz val="10"/>
        <rFont val="Noto Sans CJK SC"/>
        <family val="2"/>
      </rPr>
      <t>稀硫酸流量</t>
    </r>
    <r>
      <rPr>
        <sz val="10"/>
        <rFont val="微软雅黑"/>
        <family val="2"/>
        <charset val="134"/>
      </rPr>
      <t>(DN25)</t>
    </r>
  </si>
  <si>
    <t>R0098</t>
  </si>
  <si>
    <t>:FT_1106D</t>
  </si>
  <si>
    <t>FT_1106E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</si>
  <si>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原点描述：混合器</t>
    </r>
    <r>
      <rPr>
        <sz val="10"/>
        <rFont val="微软雅黑"/>
        <family val="2"/>
        <charset val="134"/>
      </rPr>
      <t>M2123E</t>
    </r>
    <r>
      <rPr>
        <sz val="10"/>
        <rFont val="Noto Sans CJK SC"/>
        <family val="2"/>
      </rPr>
      <t>稀硫酸流量</t>
    </r>
    <r>
      <rPr>
        <sz val="10"/>
        <rFont val="微软雅黑"/>
        <family val="2"/>
        <charset val="134"/>
      </rPr>
      <t>(DN25)</t>
    </r>
  </si>
  <si>
    <t>R0099</t>
  </si>
  <si>
    <t>:FT_1106E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</si>
  <si>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原点描述：废酸水中和罐</t>
    </r>
    <r>
      <rPr>
        <sz val="10"/>
        <rFont val="微软雅黑"/>
        <family val="2"/>
        <charset val="134"/>
      </rPr>
      <t>V2124 PH</t>
    </r>
  </si>
  <si>
    <t>R0100</t>
  </si>
  <si>
    <t>:AT_1111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</si>
  <si>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原点描述：废酸水中和罐</t>
    </r>
    <r>
      <rPr>
        <sz val="10"/>
        <rFont val="微软雅黑"/>
        <family val="2"/>
        <charset val="134"/>
      </rPr>
      <t>V2124</t>
    </r>
    <r>
      <rPr>
        <sz val="10"/>
        <rFont val="Noto Sans CJK SC"/>
        <family val="2"/>
      </rPr>
      <t>液位</t>
    </r>
  </si>
  <si>
    <t>R0101</t>
  </si>
  <si>
    <t>:LT_1105</t>
  </si>
  <si>
    <t>FT_2001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</si>
  <si>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原点描述：废酸水流量计</t>
    </r>
  </si>
  <si>
    <t>R0102</t>
  </si>
  <si>
    <t>:FT_2001</t>
  </si>
  <si>
    <t>DI_2001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</si>
  <si>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原点描述：废酸水密度计</t>
    </r>
  </si>
  <si>
    <t>R0103</t>
  </si>
  <si>
    <t>:DI_2001</t>
  </si>
  <si>
    <t>控制关系</t>
  </si>
  <si>
    <t>控制仪表</t>
  </si>
  <si>
    <r>
      <rPr>
        <sz val="10"/>
        <rFont val="Noto Sans CJK SC"/>
        <family val="2"/>
      </rPr>
      <t>滤液进料流量控制器</t>
    </r>
    <r>
      <rPr>
        <sz val="10"/>
        <rFont val="微软雅黑"/>
        <family val="2"/>
        <charset val="134"/>
      </rPr>
      <t>(FIC-1104)</t>
    </r>
  </si>
  <si>
    <t>控制</t>
  </si>
  <si>
    <t>执行机构</t>
  </si>
  <si>
    <r>
      <rPr>
        <sz val="10"/>
        <rFont val="Noto Sans CJK SC"/>
        <family val="2"/>
      </rPr>
      <t>离心机滤液进口调节阀</t>
    </r>
    <r>
      <rPr>
        <sz val="10"/>
        <rFont val="微软雅黑"/>
        <family val="2"/>
        <charset val="134"/>
      </rPr>
      <t>HV_1003A–E</t>
    </r>
  </si>
  <si>
    <t>按设定处理量调节离心机滤液进料</t>
  </si>
  <si>
    <t>闭环调节</t>
  </si>
  <si>
    <t>R0104</t>
  </si>
  <si>
    <t>:Ctrl_001</t>
  </si>
  <si>
    <t>:controls</t>
  </si>
  <si>
    <t>:Act_001</t>
  </si>
  <si>
    <r>
      <rPr>
        <sz val="10"/>
        <rFont val="微软雅黑"/>
        <family val="2"/>
        <charset val="134"/>
      </rPr>
      <t>HV_1003A_AO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HV_1003B_AO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HV_1003C_AO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HV_1003D_AO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HV_1003E_AO</t>
    </r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</si>
  <si>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点表</t>
    </r>
    <r>
      <rPr>
        <sz val="10"/>
        <rFont val="微软雅黑"/>
        <family val="2"/>
        <charset val="134"/>
      </rPr>
      <t>(AO</t>
    </r>
    <r>
      <rPr>
        <sz val="10"/>
        <rFont val="Noto Sans CJK SC"/>
        <family val="2"/>
      </rPr>
      <t>指令</t>
    </r>
    <r>
      <rPr>
        <sz val="10"/>
        <rFont val="微软雅黑"/>
        <family val="2"/>
        <charset val="134"/>
      </rPr>
      <t>)</t>
    </r>
  </si>
  <si>
    <t>反馈给</t>
  </si>
  <si>
    <r>
      <rPr>
        <sz val="10"/>
        <rFont val="Noto Sans CJK SC"/>
        <family val="2"/>
      </rPr>
      <t>滤液进料流量作为过程变量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反馈给滤液进料流量控制器</t>
    </r>
    <r>
      <rPr>
        <sz val="10"/>
        <rFont val="微软雅黑"/>
        <family val="2"/>
        <charset val="134"/>
      </rPr>
      <t>(FIC-1104)</t>
    </r>
  </si>
  <si>
    <t>R0105</t>
  </si>
  <si>
    <t>:feedbackTo</t>
  </si>
  <si>
    <t>影响</t>
  </si>
  <si>
    <r>
      <rPr>
        <sz val="10"/>
        <rFont val="Noto Sans CJK SC"/>
        <family val="2"/>
      </rPr>
      <t>离心机滤液进口调节阀</t>
    </r>
    <r>
      <rPr>
        <sz val="10"/>
        <rFont val="微软雅黑"/>
        <family val="2"/>
        <charset val="134"/>
      </rPr>
      <t>HV_1003A–E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频率变化直接改变滤液进料流量</t>
    </r>
  </si>
  <si>
    <t>控制传导</t>
  </si>
  <si>
    <t>R0106</t>
  </si>
  <si>
    <t>:affects</t>
  </si>
  <si>
    <r>
      <rPr>
        <sz val="10"/>
        <rFont val="Noto Sans CJK SC"/>
        <family val="2"/>
      </rPr>
      <t>破乳剂流量控制器</t>
    </r>
    <r>
      <rPr>
        <sz val="10"/>
        <rFont val="微软雅黑"/>
        <family val="2"/>
        <charset val="134"/>
      </rPr>
      <t>(FIC-1101)</t>
    </r>
  </si>
  <si>
    <r>
      <rPr>
        <sz val="10"/>
        <rFont val="Noto Sans CJK SC"/>
        <family val="2"/>
      </rPr>
      <t>破乳剂流量调节阀</t>
    </r>
    <r>
      <rPr>
        <sz val="10"/>
        <rFont val="微软雅黑"/>
        <family val="2"/>
        <charset val="134"/>
      </rPr>
      <t>HV_1002A–F</t>
    </r>
  </si>
  <si>
    <t>按滤液量比例投加破乳剂</t>
  </si>
  <si>
    <t>比值控制</t>
  </si>
  <si>
    <t>R0107</t>
  </si>
  <si>
    <t>:Ctrl_002</t>
  </si>
  <si>
    <t>:Act_002</t>
  </si>
  <si>
    <r>
      <rPr>
        <sz val="10"/>
        <rFont val="微软雅黑"/>
        <family val="2"/>
        <charset val="134"/>
      </rPr>
      <t>HV_1002A_AO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HV_1002B_AO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HV_1002C_AO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HV_1002D_AO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HV_1002E_AO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HV_1002F_AO</t>
    </r>
  </si>
  <si>
    <r>
      <rPr>
        <sz val="10"/>
        <rFont val="Noto Sans CJK SC"/>
        <family val="2"/>
      </rPr>
      <t>破乳剂进料流量作为过程变量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反馈给破乳剂流量控制器</t>
    </r>
    <r>
      <rPr>
        <sz val="10"/>
        <rFont val="微软雅黑"/>
        <family val="2"/>
        <charset val="134"/>
      </rPr>
      <t>(FIC-1101)</t>
    </r>
  </si>
  <si>
    <t>R0108</t>
  </si>
  <si>
    <r>
      <rPr>
        <sz val="10"/>
        <rFont val="Noto Sans CJK SC"/>
        <family val="2"/>
      </rPr>
      <t>破乳剂流量调节阀</t>
    </r>
    <r>
      <rPr>
        <sz val="10"/>
        <rFont val="微软雅黑"/>
        <family val="2"/>
        <charset val="134"/>
      </rPr>
      <t>HV_1002A–F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频率变化直接改变破乳剂进料流量</t>
    </r>
  </si>
  <si>
    <t>R0109</t>
  </si>
  <si>
    <r>
      <rPr>
        <sz val="10"/>
        <rFont val="Noto Sans CJK SC"/>
        <family val="2"/>
      </rPr>
      <t>提取酸化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控制器</t>
    </r>
    <r>
      <rPr>
        <sz val="10"/>
        <rFont val="微软雅黑"/>
        <family val="2"/>
        <charset val="134"/>
      </rPr>
      <t>(AIC-1105)</t>
    </r>
  </si>
  <si>
    <r>
      <rPr>
        <sz val="10"/>
        <rFont val="Noto Sans CJK SC"/>
        <family val="2"/>
      </rPr>
      <t>稀硫酸泵变频器</t>
    </r>
    <r>
      <rPr>
        <sz val="10"/>
        <rFont val="微软雅黑"/>
        <family val="2"/>
        <charset val="134"/>
      </rPr>
      <t>PB_1015A–F</t>
    </r>
  </si>
  <si>
    <r>
      <rPr>
        <sz val="10"/>
        <rFont val="Noto Sans CJK SC"/>
        <family val="2"/>
      </rPr>
      <t>调节稀硫酸泵频率使萃取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稳定在</t>
    </r>
    <r>
      <rPr>
        <sz val="10"/>
        <rFont val="微软雅黑"/>
        <family val="2"/>
        <charset val="134"/>
      </rPr>
      <t>2.0–2.2</t>
    </r>
  </si>
  <si>
    <t>R0110</t>
  </si>
  <si>
    <t>:Ctrl_003</t>
  </si>
  <si>
    <t>:Act_003</t>
  </si>
  <si>
    <r>
      <rPr>
        <sz val="10"/>
        <rFont val="微软雅黑"/>
        <family val="2"/>
        <charset val="134"/>
      </rPr>
      <t>PB_1015A_AO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PB_1015B_AO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PB_1015C_AO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PB_1015D_AO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PB_1015E_AO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PB_1015F_AO</t>
    </r>
  </si>
  <si>
    <r>
      <rPr>
        <sz val="10"/>
        <rFont val="Noto Sans CJK SC"/>
        <family val="2"/>
      </rPr>
      <t>一阶段酸化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反馈给提取酸化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控制器</t>
    </r>
    <r>
      <rPr>
        <sz val="10"/>
        <rFont val="微软雅黑"/>
        <family val="2"/>
        <charset val="134"/>
      </rPr>
      <t>(AIC-1105)</t>
    </r>
  </si>
  <si>
    <t>R0111</t>
  </si>
  <si>
    <r>
      <rPr>
        <sz val="10"/>
        <rFont val="Noto Sans CJK SC"/>
        <family val="2"/>
      </rPr>
      <t>稀硫酸泵变频器</t>
    </r>
    <r>
      <rPr>
        <sz val="10"/>
        <rFont val="微软雅黑"/>
        <family val="2"/>
        <charset val="134"/>
      </rPr>
      <t>PB_1015A–F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频率变化直接改变一阶段酸化</t>
    </r>
    <r>
      <rPr>
        <sz val="10"/>
        <rFont val="微软雅黑"/>
        <family val="2"/>
        <charset val="134"/>
      </rPr>
      <t>pH</t>
    </r>
  </si>
  <si>
    <t>R0112</t>
  </si>
  <si>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进料流量控制器</t>
    </r>
    <r>
      <rPr>
        <sz val="10"/>
        <rFont val="微软雅黑"/>
        <family val="2"/>
        <charset val="134"/>
      </rPr>
      <t>(FIC-1105)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</si>
  <si>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BA/</t>
    </r>
    <r>
      <rPr>
        <sz val="10"/>
        <rFont val="Noto Sans CJK SC"/>
        <family val="2"/>
      </rPr>
      <t>丁酯进口调节阀</t>
    </r>
    <r>
      <rPr>
        <sz val="10"/>
        <rFont val="微软雅黑"/>
        <family val="2"/>
        <charset val="134"/>
      </rPr>
      <t>HV_1004/HV_1005</t>
    </r>
  </si>
  <si>
    <t>按滤液流量维持相比</t>
  </si>
  <si>
    <t>R0113</t>
  </si>
  <si>
    <t>:Ctrl_004</t>
  </si>
  <si>
    <t>:Act_004</t>
  </si>
  <si>
    <r>
      <rPr>
        <sz val="10"/>
        <rFont val="微软雅黑"/>
        <family val="2"/>
        <charset val="134"/>
      </rPr>
      <t>HV_1004A_AO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HV_1005A_AO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HV_1004B_AO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HV_1005B_AO</t>
    </r>
  </si>
  <si>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进料流量作为过程变量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进料流量控制器</t>
    </r>
    <r>
      <rPr>
        <sz val="10"/>
        <rFont val="微软雅黑"/>
        <family val="2"/>
        <charset val="134"/>
      </rPr>
      <t>(FIC-1105)</t>
    </r>
  </si>
  <si>
    <t>R0114</t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</si>
  <si>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BA/</t>
    </r>
    <r>
      <rPr>
        <sz val="10"/>
        <rFont val="Noto Sans CJK SC"/>
        <family val="2"/>
      </rPr>
      <t>丁酯进口调节阀</t>
    </r>
    <r>
      <rPr>
        <sz val="10"/>
        <rFont val="微软雅黑"/>
        <family val="2"/>
        <charset val="134"/>
      </rPr>
      <t>HV_1004/HV_1005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进料流量</t>
    </r>
  </si>
  <si>
    <t>R0115</t>
  </si>
  <si>
    <r>
      <rPr>
        <sz val="10"/>
        <rFont val="Noto Sans CJK SC"/>
        <family val="2"/>
      </rPr>
      <t>废酸水中和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控制器</t>
    </r>
    <r>
      <rPr>
        <sz val="10"/>
        <rFont val="微软雅黑"/>
        <family val="2"/>
        <charset val="134"/>
      </rPr>
      <t>(AIC-1111)</t>
    </r>
  </si>
  <si>
    <r>
      <rPr>
        <sz val="10"/>
        <rFont val="Noto Sans CJK SC"/>
        <family val="2"/>
      </rPr>
      <t>废酸水中和罐液碱调节阀</t>
    </r>
    <r>
      <rPr>
        <sz val="10"/>
        <rFont val="微软雅黑"/>
        <family val="2"/>
        <charset val="134"/>
      </rPr>
      <t>HV_1101</t>
    </r>
  </si>
  <si>
    <t>液碱中和废酸水后外送</t>
  </si>
  <si>
    <t>R0116</t>
  </si>
  <si>
    <t>:Ctrl_005</t>
  </si>
  <si>
    <t>:Act_005</t>
  </si>
  <si>
    <t>HV_1101_AO</t>
  </si>
  <si>
    <r>
      <rPr>
        <sz val="10"/>
        <rFont val="Noto Sans CJK SC"/>
        <family val="2"/>
      </rPr>
      <t>废酸水中和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反馈给废酸水中和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控制器</t>
    </r>
    <r>
      <rPr>
        <sz val="10"/>
        <rFont val="微软雅黑"/>
        <family val="2"/>
        <charset val="134"/>
      </rPr>
      <t>(AIC-1111)</t>
    </r>
  </si>
  <si>
    <t>R0117</t>
  </si>
  <si>
    <r>
      <rPr>
        <sz val="10"/>
        <rFont val="Noto Sans CJK SC"/>
        <family val="2"/>
      </rPr>
      <t>废酸水中和罐液碱调节阀</t>
    </r>
    <r>
      <rPr>
        <sz val="10"/>
        <rFont val="微软雅黑"/>
        <family val="2"/>
        <charset val="134"/>
      </rPr>
      <t>HV_1101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频率变化直接改变废酸水中和</t>
    </r>
    <r>
      <rPr>
        <sz val="10"/>
        <rFont val="微软雅黑"/>
        <family val="2"/>
        <charset val="134"/>
      </rPr>
      <t>pH</t>
    </r>
  </si>
  <si>
    <t>R0118</t>
  </si>
  <si>
    <t>被控制</t>
  </si>
  <si>
    <t>控制系统</t>
  </si>
  <si>
    <r>
      <rPr>
        <sz val="10"/>
        <rFont val="Noto Sans CJK SC"/>
        <family val="2"/>
      </rPr>
      <t>提取离心机顺控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全部启动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自动起停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急停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</si>
  <si>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画面“离心机启动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开始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急停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生产模式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二萃模式</t>
    </r>
    <r>
      <rPr>
        <sz val="10"/>
        <rFont val="微软雅黑"/>
        <family val="2"/>
        <charset val="134"/>
      </rPr>
      <t>)”</t>
    </r>
  </si>
  <si>
    <t>批次联锁</t>
  </si>
  <si>
    <t>R0119</t>
  </si>
  <si>
    <t>:isControlledBy</t>
  </si>
  <si>
    <t>:Seq_01</t>
  </si>
  <si>
    <t>R0120</t>
  </si>
  <si>
    <t>报警联锁关系</t>
  </si>
  <si>
    <t>触发报警</t>
  </si>
  <si>
    <t>报警事件</t>
  </si>
  <si>
    <t>一次水流量报警</t>
  </si>
  <si>
    <t>越限触发“一次水流量报警”：一次水异常影响提取供水</t>
  </si>
  <si>
    <t>报警联锁</t>
  </si>
  <si>
    <t>R0121</t>
  </si>
  <si>
    <t>:triggersAlarm</t>
  </si>
  <si>
    <t>:Alarm_01</t>
  </si>
  <si>
    <t>FT_101</t>
  </si>
  <si>
    <t>浓碱泵停报警</t>
  </si>
  <si>
    <r>
      <rPr>
        <sz val="10"/>
        <rFont val="Noto Sans CJK SC"/>
        <family val="2"/>
      </rPr>
      <t>越限触发“浓碱泵停报警”：废酸水中和失效，外送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超标</t>
    </r>
  </si>
  <si>
    <t>R0122</t>
  </si>
  <si>
    <t>:Alarm_02</t>
  </si>
  <si>
    <t>物理拓扑关系</t>
  </si>
  <si>
    <t>流入</t>
  </si>
  <si>
    <r>
      <rPr>
        <sz val="10"/>
        <rFont val="Noto Sans CJK SC"/>
        <family val="2"/>
      </rPr>
      <t>发酵车间滤液进入滤液储罐</t>
    </r>
    <r>
      <rPr>
        <sz val="10"/>
        <rFont val="微软雅黑"/>
        <family val="2"/>
        <charset val="134"/>
      </rPr>
      <t>T2101/</t>
    </r>
    <r>
      <rPr>
        <sz val="10"/>
        <rFont val="Noto Sans CJK SC"/>
        <family val="2"/>
      </rPr>
      <t>滤液罐</t>
    </r>
    <r>
      <rPr>
        <sz val="10"/>
        <rFont val="微软雅黑"/>
        <family val="2"/>
        <charset val="134"/>
      </rPr>
      <t>B</t>
    </r>
  </si>
  <si>
    <t>进料过程</t>
  </si>
  <si>
    <t>R0123</t>
  </si>
  <si>
    <t>:flowsInto</t>
  </si>
  <si>
    <t>-</t>
  </si>
  <si>
    <t>R0124</t>
  </si>
  <si>
    <r>
      <rPr>
        <sz val="10"/>
        <rFont val="Noto Sans CJK SC"/>
        <family val="2"/>
      </rPr>
      <t>滤液泵</t>
    </r>
    <r>
      <rPr>
        <sz val="10"/>
        <rFont val="微软雅黑"/>
        <family val="2"/>
        <charset val="134"/>
      </rPr>
      <t>A–F</t>
    </r>
    <r>
      <rPr>
        <sz val="10"/>
        <rFont val="Noto Sans CJK SC"/>
        <family val="2"/>
      </rPr>
      <t>供</t>
    </r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各离心机</t>
    </r>
  </si>
  <si>
    <t>R0125</t>
  </si>
  <si>
    <t>稀硫酸</t>
  </si>
  <si>
    <t>注入</t>
  </si>
  <si>
    <t>稀硫酸在线酸化滤液</t>
  </si>
  <si>
    <t>加酸过程</t>
  </si>
  <si>
    <t>R0126</t>
  </si>
  <si>
    <t>:MS_DiluteH2SO4</t>
  </si>
  <si>
    <t>:injectedInto</t>
  </si>
  <si>
    <t>酸化滤液进离心机</t>
  </si>
  <si>
    <t>R0127</t>
  </si>
  <si>
    <t>破乳剂溶液</t>
  </si>
  <si>
    <t>破乳剂按比例注入进料</t>
  </si>
  <si>
    <t>R0128</t>
  </si>
  <si>
    <t>:MS_Demulsifier</t>
  </si>
  <si>
    <r>
      <rPr>
        <sz val="10"/>
        <rFont val="Noto Sans CJK SC"/>
        <family val="2"/>
      </rPr>
      <t>三萃</t>
    </r>
    <r>
      <rPr>
        <sz val="10"/>
        <rFont val="微软雅黑"/>
        <family val="2"/>
        <charset val="134"/>
      </rPr>
      <t>BA</t>
    </r>
  </si>
  <si>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轻相逆流作萃取剂</t>
    </r>
  </si>
  <si>
    <t>逆流萃取</t>
  </si>
  <si>
    <t>R0129</t>
  </si>
  <si>
    <t>:MS_BA_3rd</t>
  </si>
  <si>
    <r>
      <rPr>
        <sz val="10"/>
        <rFont val="Noto Sans CJK SC"/>
        <family val="2"/>
      </rPr>
      <t>工艺推断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待确认</t>
    </r>
    <r>
      <rPr>
        <sz val="10"/>
        <rFont val="微软雅黑"/>
        <family val="2"/>
        <charset val="134"/>
      </rPr>
      <t>)</t>
    </r>
  </si>
  <si>
    <t>低</t>
  </si>
  <si>
    <r>
      <rPr>
        <sz val="10"/>
        <rFont val="Noto Sans CJK SC"/>
        <family val="2"/>
      </rPr>
      <t>丁酯</t>
    </r>
    <r>
      <rPr>
        <sz val="10"/>
        <rFont val="微软雅黑"/>
        <family val="2"/>
        <charset val="134"/>
      </rPr>
      <t>(BA</t>
    </r>
    <r>
      <rPr>
        <sz val="10"/>
        <rFont val="Noto Sans CJK SC"/>
        <family val="2"/>
      </rPr>
      <t>，醋酸丁酯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</si>
  <si>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丁酯罐补充新鲜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回收丁酯</t>
    </r>
  </si>
  <si>
    <t>R0130</t>
  </si>
  <si>
    <t>:MS_BA_Fresh</t>
  </si>
  <si>
    <t>分离产出</t>
  </si>
  <si>
    <r>
      <rPr>
        <sz val="10"/>
        <rFont val="Noto Sans CJK SC"/>
        <family val="2"/>
      </rPr>
      <t>轻相：富青霉素</t>
    </r>
    <r>
      <rPr>
        <sz val="10"/>
        <rFont val="微软雅黑"/>
        <family val="2"/>
        <charset val="134"/>
      </rPr>
      <t>BA</t>
    </r>
  </si>
  <si>
    <t>排相过程</t>
  </si>
  <si>
    <t>R0131</t>
  </si>
  <si>
    <t>:separatesInto</t>
  </si>
  <si>
    <t>二级废酸水</t>
  </si>
  <si>
    <t>重相：残余青霉素酸水</t>
  </si>
  <si>
    <t>R0132</t>
  </si>
  <si>
    <t>:MS_WasteAcid2</t>
  </si>
  <si>
    <r>
      <rPr>
        <sz val="10"/>
        <rFont val="Noto Sans CJK SC"/>
        <family val="2"/>
      </rPr>
      <t>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V2136</t>
    </r>
  </si>
  <si>
    <t>R0133</t>
  </si>
  <si>
    <t>:PrimaryBATank</t>
  </si>
  <si>
    <t>R0134</t>
  </si>
  <si>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提取离心机组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三萃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</si>
  <si>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画面：去</t>
    </r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离心机</t>
    </r>
  </si>
  <si>
    <t>三萃模式</t>
  </si>
  <si>
    <t>R0135</t>
  </si>
  <si>
    <t>:RSE200CentrifugeGroup</t>
  </si>
  <si>
    <r>
      <rPr>
        <sz val="10"/>
        <rFont val="Noto Sans CJK SC"/>
        <family val="2"/>
      </rPr>
      <t>液碱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稀碱</t>
    </r>
    <r>
      <rPr>
        <sz val="10"/>
        <rFont val="微软雅黑"/>
        <family val="2"/>
        <charset val="134"/>
      </rPr>
      <t>)</t>
    </r>
  </si>
  <si>
    <t>液碱中和废酸水</t>
  </si>
  <si>
    <t>中和过程</t>
  </si>
  <si>
    <t>R0136</t>
  </si>
  <si>
    <t>:MS_Caustic</t>
  </si>
  <si>
    <t>产出</t>
  </si>
  <si>
    <t>三级废酸水</t>
  </si>
  <si>
    <t>中和后去回收</t>
  </si>
  <si>
    <t>排放过程</t>
  </si>
  <si>
    <t>R0137</t>
  </si>
  <si>
    <t>:produces</t>
  </si>
  <si>
    <t>:MS_WasteAcid3</t>
  </si>
  <si>
    <t>水洗重相</t>
  </si>
  <si>
    <t>循环返回</t>
  </si>
  <si>
    <t>水洗重相返提取回收青霉素</t>
  </si>
  <si>
    <t>回收过程</t>
  </si>
  <si>
    <t>R0138</t>
  </si>
  <si>
    <t>:MS_WashHeavy</t>
  </si>
  <si>
    <t>:recyclesTo</t>
  </si>
  <si>
    <r>
      <rPr>
        <sz val="10"/>
        <rFont val="Noto Sans CJK SC"/>
        <family val="2"/>
      </rPr>
      <t>流程图</t>
    </r>
    <r>
      <rPr>
        <sz val="10"/>
        <rFont val="微软雅黑"/>
        <family val="2"/>
        <charset val="134"/>
      </rPr>
      <t>+</t>
    </r>
    <r>
      <rPr>
        <sz val="10"/>
        <rFont val="Noto Sans CJK SC"/>
        <family val="2"/>
      </rPr>
      <t>工艺机理</t>
    </r>
  </si>
  <si>
    <t>影响关系</t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</si>
  <si>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越低青霉素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游离酸越多、分配进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越多（</t>
    </r>
    <r>
      <rPr>
        <sz val="10"/>
        <rFont val="微软雅黑"/>
        <family val="2"/>
        <charset val="134"/>
      </rPr>
      <t>pKa≈2.7</t>
    </r>
    <r>
      <rPr>
        <sz val="10"/>
        <rFont val="Noto Sans CJK SC"/>
        <family val="2"/>
      </rPr>
      <t>）</t>
    </r>
  </si>
  <si>
    <t>机理影响</t>
  </si>
  <si>
    <t>R0139</t>
  </si>
  <si>
    <t>负向影响</t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</si>
  <si>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过低（</t>
    </r>
    <r>
      <rPr>
        <sz val="10"/>
        <rFont val="微软雅黑"/>
        <family val="2"/>
        <charset val="134"/>
      </rPr>
      <t>&lt;1.8</t>
    </r>
    <r>
      <rPr>
        <sz val="10"/>
        <rFont val="Noto Sans CJK SC"/>
        <family val="2"/>
      </rPr>
      <t>）加速青霉素酸降解</t>
    </r>
  </si>
  <si>
    <t>R0140</t>
  </si>
  <si>
    <t>:negativelyAffects</t>
  </si>
  <si>
    <r>
      <rPr>
        <sz val="10"/>
        <rFont val="Noto Sans CJK SC"/>
        <family val="2"/>
      </rPr>
      <t>加酸量增加，体系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降低</t>
    </r>
  </si>
  <si>
    <t>R0141</t>
  </si>
  <si>
    <r>
      <rPr>
        <sz val="10"/>
        <rFont val="微软雅黑"/>
        <family val="2"/>
        <charset val="134"/>
      </rPr>
      <t>FT_1106A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FT_1106B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FT_1106C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FT_1106D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FT_1106E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AT_1105…</t>
    </r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</si>
  <si>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点表</t>
    </r>
    <r>
      <rPr>
        <sz val="10"/>
        <rFont val="微软雅黑"/>
        <family val="2"/>
        <charset val="134"/>
      </rPr>
      <t>+</t>
    </r>
    <r>
      <rPr>
        <sz val="10"/>
        <rFont val="Noto Sans CJK SC"/>
        <family val="2"/>
      </rPr>
      <t>工艺机理</t>
    </r>
  </si>
  <si>
    <t>稀硫酸浓度</t>
  </si>
  <si>
    <r>
      <rPr>
        <sz val="10"/>
        <rFont val="Noto Sans CJK SC"/>
        <family val="2"/>
      </rPr>
      <t>配酸浓度偏高导致同流量下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偏低</t>
    </r>
  </si>
  <si>
    <t>R0142</t>
  </si>
  <si>
    <t>:Attr_033</t>
  </si>
  <si>
    <r>
      <rPr>
        <sz val="10"/>
        <rFont val="微软雅黑"/>
        <family val="2"/>
        <charset val="134"/>
      </rPr>
      <t>AT540107A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AT_1105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AT_1107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AT_1109</t>
    </r>
  </si>
  <si>
    <t>正向影响</t>
  </si>
  <si>
    <t>滤液温度高加速酸性降解，需低温操作</t>
  </si>
  <si>
    <t>R0143</t>
  </si>
  <si>
    <t>:positivelyAffects</t>
  </si>
  <si>
    <t>破乳剂破坏蛋白质表面活性膜，消除乳化层</t>
  </si>
  <si>
    <t>R0144</t>
  </si>
  <si>
    <t>原有修订</t>
  </si>
  <si>
    <t>离心分相澄清度</t>
  </si>
  <si>
    <t>乳化严重两相分不开</t>
  </si>
  <si>
    <t>R0145</t>
  </si>
  <si>
    <t>:QKPI_280</t>
  </si>
  <si>
    <r>
      <rPr>
        <sz val="10"/>
        <rFont val="Noto Sans CJK SC"/>
        <family val="2"/>
      </rPr>
      <t>有机水相相比</t>
    </r>
    <r>
      <rPr>
        <sz val="10"/>
        <rFont val="微软雅黑"/>
        <family val="2"/>
        <charset val="134"/>
      </rPr>
      <t>(O/A</t>
    </r>
    <r>
      <rPr>
        <sz val="10"/>
        <rFont val="Noto Sans CJK SC"/>
        <family val="2"/>
      </rPr>
      <t>比</t>
    </r>
    <r>
      <rPr>
        <sz val="10"/>
        <rFont val="微软雅黑"/>
        <family val="2"/>
        <charset val="134"/>
      </rPr>
      <t>)</t>
    </r>
  </si>
  <si>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流量增加相比上升</t>
    </r>
  </si>
  <si>
    <t>工艺传导</t>
  </si>
  <si>
    <t>R0146</t>
  </si>
  <si>
    <t>:Attr_277</t>
  </si>
  <si>
    <t>离心机分相交界面位置</t>
  </si>
  <si>
    <t>背压不稳引起界面内移或外移，造成跑相夹带</t>
  </si>
  <si>
    <t>R0147</t>
  </si>
  <si>
    <t>:Attr_251</t>
  </si>
  <si>
    <t>R0148</t>
  </si>
  <si>
    <t>分配系数高则废酸水残留低</t>
  </si>
  <si>
    <t>R0149</t>
  </si>
  <si>
    <t>破乳剂缓冲罐液位</t>
  </si>
  <si>
    <t>低位断料导致注入中断</t>
  </si>
  <si>
    <t>R0150</t>
  </si>
  <si>
    <t>:Attr_041</t>
  </si>
  <si>
    <r>
      <rPr>
        <sz val="10"/>
        <rFont val="微软雅黑"/>
        <family val="2"/>
        <charset val="134"/>
      </rPr>
      <t>LT_PR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FT_1101C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FT_1101D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FT_1101E</t>
    </r>
  </si>
  <si>
    <t>质量关系</t>
  </si>
  <si>
    <t>质量关联</t>
  </si>
  <si>
    <t>R0151</t>
  </si>
  <si>
    <t>业务指标</t>
  </si>
  <si>
    <t>提取收率</t>
  </si>
  <si>
    <t>废酸水残效即提取损失</t>
  </si>
  <si>
    <t>收率核心</t>
  </si>
  <si>
    <t>R0152</t>
  </si>
  <si>
    <t>:BKPI_254</t>
  </si>
  <si>
    <t>R0153</t>
  </si>
  <si>
    <r>
      <rPr>
        <sz val="10"/>
        <rFont val="Noto Sans CJK SC"/>
        <family val="2"/>
      </rPr>
      <t>衔接物料：三萃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。</t>
    </r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轻相（三萃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）作为</t>
    </r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逆流萃取剂</t>
    </r>
  </si>
  <si>
    <t>S02</t>
  </si>
  <si>
    <t>R0154</t>
  </si>
  <si>
    <t>废酸水处理与蒸氨</t>
  </si>
  <si>
    <r>
      <rPr>
        <sz val="10"/>
        <rFont val="Noto Sans CJK SC"/>
        <family val="2"/>
      </rPr>
      <t>衔接物料：三级废酸水。废酸水中和罐</t>
    </r>
    <r>
      <rPr>
        <sz val="10"/>
        <rFont val="微软雅黑"/>
        <family val="2"/>
        <charset val="134"/>
      </rPr>
      <t>V2124→</t>
    </r>
    <r>
      <rPr>
        <sz val="10"/>
        <rFont val="Noto Sans CJK SC"/>
        <family val="2"/>
      </rPr>
      <t>去回收</t>
    </r>
  </si>
  <si>
    <t>R0155</t>
  </si>
  <si>
    <t>:Area_S20_WastewaterTreatment</t>
  </si>
  <si>
    <r>
      <rPr>
        <sz val="10"/>
        <rFont val="Noto Sans CJK SC"/>
        <family val="2"/>
      </rPr>
      <t>提取</t>
    </r>
    <r>
      <rPr>
        <sz val="10"/>
        <rFont val="微软雅黑"/>
        <family val="2"/>
        <charset val="134"/>
      </rPr>
      <t>·RSE200</t>
    </r>
    <r>
      <rPr>
        <sz val="10"/>
        <rFont val="Noto Sans CJK SC"/>
        <family val="2"/>
      </rPr>
      <t>三萃及溶媒周转包含碟片离心机“</t>
    </r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提取离心机组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三萃</t>
    </r>
    <r>
      <rPr>
        <sz val="10"/>
        <rFont val="微软雅黑"/>
        <family val="2"/>
        <charset val="134"/>
      </rPr>
      <t>)”</t>
    </r>
  </si>
  <si>
    <t>R0156</t>
  </si>
  <si>
    <r>
      <rPr>
        <sz val="10"/>
        <rFont val="Noto Sans CJK SC"/>
        <family val="2"/>
      </rPr>
      <t>提取</t>
    </r>
    <r>
      <rPr>
        <sz val="10"/>
        <rFont val="微软雅黑"/>
        <family val="2"/>
        <charset val="134"/>
      </rPr>
      <t>RSE200</t>
    </r>
  </si>
  <si>
    <r>
      <rPr>
        <sz val="10"/>
        <rFont val="Noto Sans CJK SC"/>
        <family val="2"/>
      </rPr>
      <t>提取离心机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三萃</t>
    </r>
    <r>
      <rPr>
        <sz val="10"/>
        <rFont val="微软雅黑"/>
        <family val="2"/>
        <charset val="134"/>
      </rPr>
      <t>)1(II_10TQA)</t>
    </r>
  </si>
  <si>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提取离心机组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三萃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</si>
  <si>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R0157</t>
  </si>
  <si>
    <t>:RSE200CentrifugeGroup_M01</t>
  </si>
  <si>
    <r>
      <rPr>
        <sz val="10"/>
        <rFont val="Noto Sans CJK SC"/>
        <family val="2"/>
      </rPr>
      <t>提取离心机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三萃</t>
    </r>
    <r>
      <rPr>
        <sz val="10"/>
        <rFont val="微软雅黑"/>
        <family val="2"/>
        <charset val="134"/>
      </rPr>
      <t>)2(II_10TQB)</t>
    </r>
  </si>
  <si>
    <t>R0158</t>
  </si>
  <si>
    <t>:RSE200CentrifugeGroup_M02</t>
  </si>
  <si>
    <r>
      <rPr>
        <sz val="10"/>
        <rFont val="Noto Sans CJK SC"/>
        <family val="2"/>
      </rPr>
      <t>提取离心机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三萃</t>
    </r>
    <r>
      <rPr>
        <sz val="10"/>
        <rFont val="微软雅黑"/>
        <family val="2"/>
        <charset val="134"/>
      </rPr>
      <t>)3(II_10TQC)</t>
    </r>
  </si>
  <si>
    <t>R0159</t>
  </si>
  <si>
    <t>:RSE200CentrifugeGroup_M03</t>
  </si>
  <si>
    <r>
      <rPr>
        <sz val="10"/>
        <rFont val="Noto Sans CJK SC"/>
        <family val="2"/>
      </rPr>
      <t>提取离心机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三萃</t>
    </r>
    <r>
      <rPr>
        <sz val="10"/>
        <rFont val="微软雅黑"/>
        <family val="2"/>
        <charset val="134"/>
      </rPr>
      <t>)4(II_10TQD)</t>
    </r>
  </si>
  <si>
    <t>R0160</t>
  </si>
  <si>
    <t>:RSE200CentrifugeGroup_M04</t>
  </si>
  <si>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提取离心机组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三萃</t>
    </r>
    <r>
      <rPr>
        <sz val="10"/>
        <rFont val="微软雅黑"/>
        <family val="2"/>
        <charset val="134"/>
      </rPr>
      <t>)·</t>
    </r>
    <r>
      <rPr>
        <sz val="10"/>
        <rFont val="Noto Sans CJK SC"/>
        <family val="2"/>
      </rPr>
      <t>碟片分离转鼓</t>
    </r>
  </si>
  <si>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提取离心机组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三萃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配置碟片分离转鼓</t>
    </r>
  </si>
  <si>
    <t>R0161</t>
  </si>
  <si>
    <t>:RSE200CentrifugeGroup_P01</t>
  </si>
  <si>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提取离心机组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三萃</t>
    </r>
    <r>
      <rPr>
        <sz val="10"/>
        <rFont val="微软雅黑"/>
        <family val="2"/>
        <charset val="134"/>
      </rPr>
      <t>)·</t>
    </r>
    <r>
      <rPr>
        <sz val="10"/>
        <rFont val="Noto Sans CJK SC"/>
        <family val="2"/>
      </rPr>
      <t>轻相向心泵</t>
    </r>
  </si>
  <si>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提取离心机组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三萃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配置轻相向心泵</t>
    </r>
  </si>
  <si>
    <t>R0162</t>
  </si>
  <si>
    <t>:RSE200CentrifugeGroup_P02</t>
  </si>
  <si>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提取离心机组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三萃</t>
    </r>
    <r>
      <rPr>
        <sz val="10"/>
        <rFont val="微软雅黑"/>
        <family val="2"/>
        <charset val="134"/>
      </rPr>
      <t>)·</t>
    </r>
    <r>
      <rPr>
        <sz val="10"/>
        <rFont val="Noto Sans CJK SC"/>
        <family val="2"/>
      </rPr>
      <t>重相向心泵</t>
    </r>
  </si>
  <si>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提取离心机组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三萃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配置重相向心泵</t>
    </r>
  </si>
  <si>
    <t>R0163</t>
  </si>
  <si>
    <t>:RSE200CentrifugeGroup_P03</t>
  </si>
  <si>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提取离心机组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三萃</t>
    </r>
    <r>
      <rPr>
        <sz val="10"/>
        <rFont val="微软雅黑"/>
        <family val="2"/>
        <charset val="134"/>
      </rPr>
      <t>)·</t>
    </r>
    <r>
      <rPr>
        <sz val="10"/>
        <rFont val="Noto Sans CJK SC"/>
        <family val="2"/>
      </rPr>
      <t>主电机</t>
    </r>
  </si>
  <si>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提取离心机组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三萃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配置主电机</t>
    </r>
  </si>
  <si>
    <t>R0164</t>
  </si>
  <si>
    <t>:RSE200CentrifugeGroup_P04</t>
  </si>
  <si>
    <t>丁酯罐</t>
  </si>
  <si>
    <r>
      <rPr>
        <sz val="10"/>
        <rFont val="Noto Sans CJK SC"/>
        <family val="2"/>
      </rPr>
      <t>提取</t>
    </r>
    <r>
      <rPr>
        <sz val="10"/>
        <rFont val="微软雅黑"/>
        <family val="2"/>
        <charset val="134"/>
      </rPr>
      <t>·RSE200</t>
    </r>
    <r>
      <rPr>
        <sz val="10"/>
        <rFont val="Noto Sans CJK SC"/>
        <family val="2"/>
      </rPr>
      <t>三萃及溶媒周转包含储罐“丁酯罐”</t>
    </r>
  </si>
  <si>
    <t>R0165</t>
  </si>
  <si>
    <t>:ButylAcetateTank</t>
  </si>
  <si>
    <r>
      <rPr>
        <sz val="10"/>
        <rFont val="Noto Sans CJK SC"/>
        <family val="2"/>
      </rPr>
      <t>丁酯罐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</si>
  <si>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丁酯罐的并联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</si>
  <si>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R0166</t>
  </si>
  <si>
    <t>:ButylAcetateTank_M01</t>
  </si>
  <si>
    <r>
      <rPr>
        <sz val="10"/>
        <rFont val="Noto Sans CJK SC"/>
        <family val="2"/>
      </rPr>
      <t>丁酯罐</t>
    </r>
    <r>
      <rPr>
        <sz val="10"/>
        <rFont val="微软雅黑"/>
        <family val="2"/>
        <charset val="134"/>
      </rPr>
      <t>B</t>
    </r>
  </si>
  <si>
    <t>R0167</t>
  </si>
  <si>
    <t>:ButylAcetateTank_M02</t>
  </si>
  <si>
    <r>
      <rPr>
        <sz val="10"/>
        <rFont val="Noto Sans CJK SC"/>
        <family val="2"/>
      </rPr>
      <t>丁酯罐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</si>
  <si>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t>丁酯罐配置液位计</t>
  </si>
  <si>
    <t>R0168</t>
  </si>
  <si>
    <t>:ButylAcetateTank_P01</t>
  </si>
  <si>
    <r>
      <rPr>
        <sz val="10"/>
        <rFont val="Noto Sans CJK SC"/>
        <family val="2"/>
      </rPr>
      <t>丁酯罐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温度计</t>
    </r>
  </si>
  <si>
    <t>丁酯罐配置温度计</t>
  </si>
  <si>
    <t>R0169</t>
  </si>
  <si>
    <t>:ButylAcetateTank_P02</t>
  </si>
  <si>
    <r>
      <rPr>
        <sz val="10"/>
        <rFont val="Noto Sans CJK SC"/>
        <family val="2"/>
      </rPr>
      <t>丁酯罐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压力表</t>
    </r>
  </si>
  <si>
    <t>丁酯罐配置压力表</t>
  </si>
  <si>
    <t>R0170</t>
  </si>
  <si>
    <t>:ButylAcetateTank_P03</t>
  </si>
  <si>
    <t>丁酯换热器</t>
  </si>
  <si>
    <r>
      <rPr>
        <sz val="10"/>
        <rFont val="Noto Sans CJK SC"/>
        <family val="2"/>
      </rPr>
      <t>提取</t>
    </r>
    <r>
      <rPr>
        <sz val="10"/>
        <rFont val="微软雅黑"/>
        <family val="2"/>
        <charset val="134"/>
      </rPr>
      <t>·RSE200</t>
    </r>
    <r>
      <rPr>
        <sz val="10"/>
        <rFont val="Noto Sans CJK SC"/>
        <family val="2"/>
      </rPr>
      <t>三萃及溶媒周转包含换热器“丁酯换热器”</t>
    </r>
  </si>
  <si>
    <t>R0171</t>
  </si>
  <si>
    <t>:BACooler</t>
  </si>
  <si>
    <r>
      <rPr>
        <sz val="10"/>
        <rFont val="Noto Sans CJK SC"/>
        <family val="2"/>
      </rPr>
      <t>丁酯换热器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冷盐水调节阀</t>
    </r>
    <r>
      <rPr>
        <sz val="10"/>
        <rFont val="微软雅黑"/>
        <family val="2"/>
        <charset val="134"/>
      </rPr>
      <t>HV_1001</t>
    </r>
  </si>
  <si>
    <r>
      <rPr>
        <sz val="10"/>
        <rFont val="Noto Sans CJK SC"/>
        <family val="2"/>
      </rPr>
      <t>丁酯换热器配置冷盐水调节阀</t>
    </r>
    <r>
      <rPr>
        <sz val="10"/>
        <rFont val="微软雅黑"/>
        <family val="2"/>
        <charset val="134"/>
      </rPr>
      <t>HV_1001</t>
    </r>
  </si>
  <si>
    <t>R0172</t>
  </si>
  <si>
    <t>:BACooler_P01</t>
  </si>
  <si>
    <t>工作水罐</t>
  </si>
  <si>
    <r>
      <rPr>
        <sz val="10"/>
        <rFont val="Noto Sans CJK SC"/>
        <family val="2"/>
      </rPr>
      <t>提取</t>
    </r>
    <r>
      <rPr>
        <sz val="10"/>
        <rFont val="微软雅黑"/>
        <family val="2"/>
        <charset val="134"/>
      </rPr>
      <t>·RSE200</t>
    </r>
    <r>
      <rPr>
        <sz val="10"/>
        <rFont val="Noto Sans CJK SC"/>
        <family val="2"/>
      </rPr>
      <t>三萃及溶媒周转包含储罐“工作水罐”</t>
    </r>
  </si>
  <si>
    <t>R0173</t>
  </si>
  <si>
    <t>:WorkWaterTank</t>
  </si>
  <si>
    <r>
      <rPr>
        <sz val="10"/>
        <rFont val="Noto Sans CJK SC"/>
        <family val="2"/>
      </rPr>
      <t>工作水罐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</si>
  <si>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t>工作水罐配置液位计</t>
  </si>
  <si>
    <t>R0174</t>
  </si>
  <si>
    <t>:WorkWaterTank_P01</t>
  </si>
  <si>
    <r>
      <rPr>
        <sz val="10"/>
        <rFont val="Noto Sans CJK SC"/>
        <family val="2"/>
      </rPr>
      <t>提取</t>
    </r>
    <r>
      <rPr>
        <sz val="10"/>
        <rFont val="微软雅黑"/>
        <family val="2"/>
        <charset val="134"/>
      </rPr>
      <t>·RSE200</t>
    </r>
    <r>
      <rPr>
        <sz val="10"/>
        <rFont val="Noto Sans CJK SC"/>
        <family val="2"/>
      </rPr>
      <t>三萃及溶媒周转包含储罐“一次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V2136”</t>
    </r>
  </si>
  <si>
    <t>R0175</t>
  </si>
  <si>
    <r>
      <rPr>
        <sz val="10"/>
        <rFont val="Noto Sans CJK SC"/>
        <family val="2"/>
      </rPr>
      <t>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V2136·</t>
    </r>
    <r>
      <rPr>
        <sz val="10"/>
        <rFont val="Noto Sans CJK SC"/>
        <family val="2"/>
      </rPr>
      <t>液位计</t>
    </r>
  </si>
  <si>
    <r>
      <rPr>
        <sz val="10"/>
        <rFont val="Noto Sans CJK SC"/>
        <family val="2"/>
      </rPr>
      <t>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V2136</t>
    </r>
    <r>
      <rPr>
        <sz val="10"/>
        <rFont val="Noto Sans CJK SC"/>
        <family val="2"/>
      </rPr>
      <t>配置液位计</t>
    </r>
  </si>
  <si>
    <t>R0176</t>
  </si>
  <si>
    <t>:PrimaryBATank_P01</t>
  </si>
  <si>
    <r>
      <rPr>
        <sz val="10"/>
        <rFont val="Noto Sans CJK SC"/>
        <family val="2"/>
      </rPr>
      <t>滤液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酸水进料流量</t>
    </r>
  </si>
  <si>
    <t>并联提取滤液或三萃酸水进料</t>
  </si>
  <si>
    <t>R0177</t>
  </si>
  <si>
    <t>:Attr_017</t>
  </si>
  <si>
    <r>
      <rPr>
        <sz val="10"/>
        <rFont val="微软雅黑"/>
        <family val="2"/>
        <charset val="134"/>
      </rPr>
      <t>FT_1104A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FT_1104B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FT_SS_A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FT_SS_B</t>
    </r>
  </si>
  <si>
    <t>三萃丁酯进料流量</t>
  </si>
  <si>
    <t>新鲜丁酯进料</t>
  </si>
  <si>
    <t>R0178</t>
  </si>
  <si>
    <t>:Attr_018</t>
  </si>
  <si>
    <r>
      <rPr>
        <sz val="10"/>
        <rFont val="微软雅黑"/>
        <family val="2"/>
        <charset val="134"/>
      </rPr>
      <t>FT_DZ_A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FT_DZ_B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FT_1105A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FT_1105B</t>
    </r>
  </si>
  <si>
    <r>
      <rPr>
        <sz val="10"/>
        <rFont val="Noto Sans CJK SC"/>
        <family val="2"/>
      </rPr>
      <t>破乳剂进料流量</t>
    </r>
    <r>
      <rPr>
        <sz val="10"/>
        <rFont val="微软雅黑"/>
        <family val="2"/>
        <charset val="134"/>
      </rPr>
      <t>(RSE200)</t>
    </r>
  </si>
  <si>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提取离心机组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三萃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的破乳剂进料流量</t>
    </r>
    <r>
      <rPr>
        <sz val="10"/>
        <rFont val="微软雅黑"/>
        <family val="2"/>
        <charset val="134"/>
      </rPr>
      <t>(RSE200)</t>
    </r>
  </si>
  <si>
    <t>R0179</t>
  </si>
  <si>
    <t>:Attr_019</t>
  </si>
  <si>
    <r>
      <rPr>
        <sz val="10"/>
        <rFont val="微软雅黑"/>
        <family val="2"/>
        <charset val="134"/>
      </rPr>
      <t>FT_1101A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FT_1101B</t>
    </r>
  </si>
  <si>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萃取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</si>
  <si>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二阶段</t>
    </r>
    <r>
      <rPr>
        <sz val="10"/>
        <rFont val="微软雅黑"/>
        <family val="2"/>
        <charset val="134"/>
      </rPr>
      <t>pH</t>
    </r>
  </si>
  <si>
    <t>R0180</t>
  </si>
  <si>
    <t>:Attr_020</t>
  </si>
  <si>
    <r>
      <rPr>
        <sz val="10"/>
        <rFont val="微软雅黑"/>
        <family val="2"/>
        <charset val="134"/>
      </rPr>
      <t>AT_1101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AT_1102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AT_1103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AT_1104</t>
    </r>
  </si>
  <si>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主电机电流</t>
    </r>
  </si>
  <si>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提取离心机组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三萃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</t>
    </r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主电机电流</t>
    </r>
  </si>
  <si>
    <t>R0181</t>
  </si>
  <si>
    <t>:Attr_021</t>
  </si>
  <si>
    <r>
      <rPr>
        <sz val="10"/>
        <rFont val="微软雅黑"/>
        <family val="2"/>
        <charset val="134"/>
      </rPr>
      <t>II_10TQA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II_10TQB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II_10TQC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II_10TQD</t>
    </r>
  </si>
  <si>
    <t>丁酯罐液位</t>
  </si>
  <si>
    <t>丁酯罐的丁酯罐液位</t>
  </si>
  <si>
    <t>R0182</t>
  </si>
  <si>
    <t>:Attr_022</t>
  </si>
  <si>
    <r>
      <rPr>
        <sz val="10"/>
        <rFont val="微软雅黑"/>
        <family val="2"/>
        <charset val="134"/>
      </rPr>
      <t>LT_1103A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LT_1103B</t>
    </r>
  </si>
  <si>
    <t>丁酯温度</t>
  </si>
  <si>
    <t>丁酯罐温度</t>
  </si>
  <si>
    <t>R0183</t>
  </si>
  <si>
    <t>:Attr_023</t>
  </si>
  <si>
    <r>
      <rPr>
        <sz val="10"/>
        <rFont val="微软雅黑"/>
        <family val="2"/>
        <charset val="134"/>
      </rPr>
      <t>TI_DZA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TI_DZB</t>
    </r>
  </si>
  <si>
    <t>丁酯罐压力</t>
  </si>
  <si>
    <t>丁酯罐的丁酯罐压力</t>
  </si>
  <si>
    <t>R0184</t>
  </si>
  <si>
    <t>:Attr_024</t>
  </si>
  <si>
    <r>
      <rPr>
        <sz val="10"/>
        <rFont val="微软雅黑"/>
        <family val="2"/>
        <charset val="134"/>
      </rPr>
      <t>PT_DZA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PT_DZB</t>
    </r>
  </si>
  <si>
    <r>
      <rPr>
        <sz val="10"/>
        <rFont val="Noto Sans CJK SC"/>
        <family val="2"/>
      </rPr>
      <t>钾盐退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流量</t>
    </r>
  </si>
  <si>
    <r>
      <rPr>
        <sz val="10"/>
        <rFont val="Noto Sans CJK SC"/>
        <family val="2"/>
      </rPr>
      <t>废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回收进丁酯罐</t>
    </r>
  </si>
  <si>
    <t>R0185</t>
  </si>
  <si>
    <t>:Attr_025</t>
  </si>
  <si>
    <t>FT_1214</t>
  </si>
  <si>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退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流量</t>
    </r>
  </si>
  <si>
    <t>丁酯总管流量</t>
  </si>
  <si>
    <t>R0186</t>
  </si>
  <si>
    <t>:Attr_026</t>
  </si>
  <si>
    <t>FT_1215</t>
  </si>
  <si>
    <t>丁酯冷却回水温度</t>
  </si>
  <si>
    <t>冷盐水回水温度</t>
  </si>
  <si>
    <t>R0187</t>
  </si>
  <si>
    <t>:Attr_027</t>
  </si>
  <si>
    <t>TI_1002</t>
  </si>
  <si>
    <r>
      <rPr>
        <sz val="10"/>
        <rFont val="Noto Sans CJK SC"/>
        <family val="2"/>
      </rPr>
      <t>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罐液位</t>
    </r>
  </si>
  <si>
    <r>
      <rPr>
        <sz val="10"/>
        <rFont val="Noto Sans CJK SC"/>
        <family val="2"/>
      </rPr>
      <t>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V2136</t>
    </r>
    <r>
      <rPr>
        <sz val="10"/>
        <rFont val="Noto Sans CJK SC"/>
        <family val="2"/>
      </rPr>
      <t>的一次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罐液位</t>
    </r>
  </si>
  <si>
    <t>R0188</t>
  </si>
  <si>
    <t>:Attr_028</t>
  </si>
  <si>
    <t>LT_1106</t>
  </si>
  <si>
    <t>工作水罐液位</t>
  </si>
  <si>
    <t>工作水罐的工作水罐液位</t>
  </si>
  <si>
    <t>R0189</t>
  </si>
  <si>
    <t>:Attr_029</t>
  </si>
  <si>
    <t>LT_1205</t>
  </si>
  <si>
    <r>
      <rPr>
        <sz val="10"/>
        <rFont val="Noto Sans CJK SC"/>
        <family val="2"/>
      </rPr>
      <t>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中青霉素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浓度</t>
    </r>
  </si>
  <si>
    <t>R0190</t>
  </si>
  <si>
    <r>
      <rPr>
        <sz val="10"/>
        <rFont val="Noto Sans CJK SC"/>
        <family val="2"/>
      </rPr>
      <t>丁酯</t>
    </r>
    <r>
      <rPr>
        <sz val="10"/>
        <rFont val="微软雅黑"/>
        <family val="2"/>
        <charset val="134"/>
      </rPr>
      <t>(BA</t>
    </r>
    <r>
      <rPr>
        <sz val="10"/>
        <rFont val="Noto Sans CJK SC"/>
        <family val="2"/>
      </rPr>
      <t>，醋酸丁酯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进料流量（流股属性，测点位于管线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</si>
  <si>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R0191</t>
  </si>
  <si>
    <r>
      <rPr>
        <sz val="10"/>
        <rFont val="Noto Sans CJK SC"/>
        <family val="2"/>
      </rPr>
      <t>丁酯</t>
    </r>
    <r>
      <rPr>
        <sz val="10"/>
        <rFont val="微软雅黑"/>
        <family val="2"/>
        <charset val="134"/>
      </rPr>
      <t>(BA</t>
    </r>
    <r>
      <rPr>
        <sz val="10"/>
        <rFont val="Noto Sans CJK SC"/>
        <family val="2"/>
      </rPr>
      <t>，醋酸丁酯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的三萃丁酯进料流量（流股属性，测点位于管线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</si>
  <si>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R0192</t>
  </si>
  <si>
    <r>
      <rPr>
        <sz val="10"/>
        <rFont val="Noto Sans CJK SC"/>
        <family val="2"/>
      </rPr>
      <t>三级废酸水的提取废酸水残效（流股属性，测点位于管线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</si>
  <si>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R0193</t>
  </si>
  <si>
    <t>FT_1104A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</si>
  <si>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200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1—2</t>
    </r>
    <r>
      <rPr>
        <sz val="10"/>
        <rFont val="Noto Sans CJK SC"/>
        <family val="2"/>
      </rPr>
      <t>）滤液进料流量</t>
    </r>
  </si>
  <si>
    <t>R0194</t>
  </si>
  <si>
    <t>:FT_1104A</t>
  </si>
  <si>
    <t>FT_1104B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</si>
  <si>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200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3—4</t>
    </r>
    <r>
      <rPr>
        <sz val="10"/>
        <rFont val="Noto Sans CJK SC"/>
        <family val="2"/>
      </rPr>
      <t>）滤液进料流量</t>
    </r>
  </si>
  <si>
    <t>R0195</t>
  </si>
  <si>
    <t>:FT_1104B</t>
  </si>
  <si>
    <t>FT_SS_A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</si>
  <si>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原点描述：酸水进料流量</t>
    </r>
    <r>
      <rPr>
        <sz val="10"/>
        <rFont val="微软雅黑"/>
        <family val="2"/>
        <charset val="134"/>
      </rPr>
      <t>A</t>
    </r>
  </si>
  <si>
    <t>R0196</t>
  </si>
  <si>
    <t>:FT_SS_A</t>
  </si>
  <si>
    <t>FT_SS_B</t>
  </si>
  <si>
    <t>R0197</t>
  </si>
  <si>
    <t>:FT_SS_B</t>
  </si>
  <si>
    <t>FT_DZ_A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</si>
  <si>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原点描述：丁酯进料流量</t>
    </r>
    <r>
      <rPr>
        <sz val="10"/>
        <rFont val="微软雅黑"/>
        <family val="2"/>
        <charset val="134"/>
      </rPr>
      <t>A</t>
    </r>
  </si>
  <si>
    <t>R0198</t>
  </si>
  <si>
    <t>:FT_DZ_A</t>
  </si>
  <si>
    <t>FT_DZ_B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</si>
  <si>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原点描述：丁酯进料流量</t>
    </r>
    <r>
      <rPr>
        <sz val="10"/>
        <rFont val="微软雅黑"/>
        <family val="2"/>
        <charset val="134"/>
      </rPr>
      <t>B</t>
    </r>
  </si>
  <si>
    <t>R0199</t>
  </si>
  <si>
    <t>:FT_DZ_B</t>
  </si>
  <si>
    <t>FT_1105A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</si>
  <si>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200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1—2</t>
    </r>
    <r>
      <rPr>
        <sz val="10"/>
        <rFont val="Noto Sans CJK SC"/>
        <family val="2"/>
      </rPr>
      <t>）丁酯进料流量</t>
    </r>
  </si>
  <si>
    <t>R0200</t>
  </si>
  <si>
    <t>:FT_1105A</t>
  </si>
  <si>
    <t>FT_1105B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</si>
  <si>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200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3—4</t>
    </r>
    <r>
      <rPr>
        <sz val="10"/>
        <rFont val="Noto Sans CJK SC"/>
        <family val="2"/>
      </rPr>
      <t>）丁酯进料流量</t>
    </r>
  </si>
  <si>
    <t>R0201</t>
  </si>
  <si>
    <t>:FT_1105B</t>
  </si>
  <si>
    <t>FT_1101A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</si>
  <si>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200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1—2</t>
    </r>
    <r>
      <rPr>
        <sz val="10"/>
        <rFont val="Noto Sans CJK SC"/>
        <family val="2"/>
      </rPr>
      <t>）破乳剂进料流量</t>
    </r>
  </si>
  <si>
    <t>R0202</t>
  </si>
  <si>
    <t>:FT_1101A</t>
  </si>
  <si>
    <t>FT_1101B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</si>
  <si>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200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3—4</t>
    </r>
    <r>
      <rPr>
        <sz val="10"/>
        <rFont val="Noto Sans CJK SC"/>
        <family val="2"/>
      </rPr>
      <t>）破乳剂进料流量</t>
    </r>
  </si>
  <si>
    <t>R0203</t>
  </si>
  <si>
    <t>:FT_1101B</t>
  </si>
  <si>
    <t>AT_1101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</si>
  <si>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200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1—2</t>
    </r>
    <r>
      <rPr>
        <sz val="10"/>
        <rFont val="Noto Sans CJK SC"/>
        <family val="2"/>
      </rPr>
      <t>）一阶段</t>
    </r>
    <r>
      <rPr>
        <sz val="10"/>
        <rFont val="微软雅黑"/>
        <family val="2"/>
        <charset val="134"/>
      </rPr>
      <t>PH</t>
    </r>
  </si>
  <si>
    <t>R0204</t>
  </si>
  <si>
    <t>:AT_1101</t>
  </si>
  <si>
    <t>AT_1102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</si>
  <si>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200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1—2</t>
    </r>
    <r>
      <rPr>
        <sz val="10"/>
        <rFont val="Noto Sans CJK SC"/>
        <family val="2"/>
      </rPr>
      <t>）二阶段</t>
    </r>
    <r>
      <rPr>
        <sz val="10"/>
        <rFont val="微软雅黑"/>
        <family val="2"/>
        <charset val="134"/>
      </rPr>
      <t>PH</t>
    </r>
  </si>
  <si>
    <t>R0205</t>
  </si>
  <si>
    <t>:AT_1102</t>
  </si>
  <si>
    <t>AT_1103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</si>
  <si>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200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3—4</t>
    </r>
    <r>
      <rPr>
        <sz val="10"/>
        <rFont val="Noto Sans CJK SC"/>
        <family val="2"/>
      </rPr>
      <t>）一阶段</t>
    </r>
    <r>
      <rPr>
        <sz val="10"/>
        <rFont val="微软雅黑"/>
        <family val="2"/>
        <charset val="134"/>
      </rPr>
      <t>PH</t>
    </r>
  </si>
  <si>
    <t>R0206</t>
  </si>
  <si>
    <t>:AT_1103</t>
  </si>
  <si>
    <t>AT_1104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</si>
  <si>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</t>
    </r>
    <r>
      <rPr>
        <sz val="10"/>
        <rFont val="微软雅黑"/>
        <family val="2"/>
        <charset val="134"/>
      </rPr>
      <t>200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3—4</t>
    </r>
    <r>
      <rPr>
        <sz val="10"/>
        <rFont val="Noto Sans CJK SC"/>
        <family val="2"/>
      </rPr>
      <t>）二阶段</t>
    </r>
    <r>
      <rPr>
        <sz val="10"/>
        <rFont val="微软雅黑"/>
        <family val="2"/>
        <charset val="134"/>
      </rPr>
      <t>PH</t>
    </r>
  </si>
  <si>
    <t>R0207</t>
  </si>
  <si>
    <t>:AT_1104</t>
  </si>
  <si>
    <t>II_10TQA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</si>
  <si>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原点描述：提取离心机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电流反馈</t>
    </r>
  </si>
  <si>
    <t>R0208</t>
  </si>
  <si>
    <t>:II_10TQA</t>
  </si>
  <si>
    <t>II_10TQB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</si>
  <si>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原点描述：提取离心机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电流反馈</t>
    </r>
  </si>
  <si>
    <t>R0209</t>
  </si>
  <si>
    <t>:II_10TQB</t>
  </si>
  <si>
    <t>II_10TQC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</si>
  <si>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原点描述：提取离心机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电流反馈</t>
    </r>
  </si>
  <si>
    <t>R0210</t>
  </si>
  <si>
    <t>:II_10TQC</t>
  </si>
  <si>
    <t>II_10TQD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</si>
  <si>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原点描述：提取离心机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电流反馈</t>
    </r>
  </si>
  <si>
    <t>R0211</t>
  </si>
  <si>
    <t>:II_10TQD</t>
  </si>
  <si>
    <t>LT_1103A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</si>
  <si>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原点描述：丁酯罐液位</t>
    </r>
    <r>
      <rPr>
        <sz val="10"/>
        <rFont val="微软雅黑"/>
        <family val="2"/>
        <charset val="134"/>
      </rPr>
      <t>A</t>
    </r>
  </si>
  <si>
    <t>R0212</t>
  </si>
  <si>
    <t>:LT_1103A</t>
  </si>
  <si>
    <t>LT_1103B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</si>
  <si>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原点描述：丁酯罐液位</t>
    </r>
    <r>
      <rPr>
        <sz val="10"/>
        <rFont val="微软雅黑"/>
        <family val="2"/>
        <charset val="134"/>
      </rPr>
      <t>B</t>
    </r>
  </si>
  <si>
    <t>R0213</t>
  </si>
  <si>
    <t>:LT_1103B</t>
  </si>
  <si>
    <t>TI_DZA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</si>
  <si>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原点描述：丁酯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温度</t>
    </r>
  </si>
  <si>
    <t>R0214</t>
  </si>
  <si>
    <t>:TI_DZA</t>
  </si>
  <si>
    <t>TI_DZB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</si>
  <si>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原点描述：丁酯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温度</t>
    </r>
  </si>
  <si>
    <t>R0215</t>
  </si>
  <si>
    <t>:TI_DZB</t>
  </si>
  <si>
    <t>PT_DZA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</si>
  <si>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原点描述：丁酯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压力</t>
    </r>
  </si>
  <si>
    <t>R0216</t>
  </si>
  <si>
    <t>:PT_DZA</t>
  </si>
  <si>
    <t>PT_DZB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</si>
  <si>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原点描述：丁酯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压力</t>
    </r>
  </si>
  <si>
    <t>R0217</t>
  </si>
  <si>
    <t>:PT_DZB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</si>
  <si>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原点描述：废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流量检测</t>
    </r>
  </si>
  <si>
    <t>R0218</t>
  </si>
  <si>
    <t>:FT_1214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</si>
  <si>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原点描述：丁酯总管流量检测</t>
    </r>
  </si>
  <si>
    <t>R0219</t>
  </si>
  <si>
    <t>:FT_1215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</si>
  <si>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原点描述：丁酯换热器冷盐水回水温度</t>
    </r>
  </si>
  <si>
    <t>R0220</t>
  </si>
  <si>
    <t>:TI_1002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</si>
  <si>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V2136</t>
    </r>
    <r>
      <rPr>
        <sz val="10"/>
        <rFont val="Noto Sans CJK SC"/>
        <family val="2"/>
      </rPr>
      <t>液位</t>
    </r>
  </si>
  <si>
    <t>R0221</t>
  </si>
  <si>
    <t>:LT_1106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</si>
  <si>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原点描述：工作水罐液位</t>
    </r>
  </si>
  <si>
    <t>R0222</t>
  </si>
  <si>
    <t>:LT_1205</t>
  </si>
  <si>
    <r>
      <rPr>
        <sz val="10"/>
        <rFont val="Noto Sans CJK SC"/>
        <family val="2"/>
      </rPr>
      <t>三萃丁酯流量控制器</t>
    </r>
    <r>
      <rPr>
        <sz val="10"/>
        <rFont val="微软雅黑"/>
        <family val="2"/>
        <charset val="134"/>
      </rPr>
      <t>(FIC-DZ)</t>
    </r>
  </si>
  <si>
    <r>
      <rPr>
        <sz val="10"/>
        <rFont val="Noto Sans CJK SC"/>
        <family val="2"/>
      </rPr>
      <t>丁酯进料调节阀</t>
    </r>
    <r>
      <rPr>
        <sz val="10"/>
        <rFont val="微软雅黑"/>
        <family val="2"/>
        <charset val="134"/>
      </rPr>
      <t>HV_1008A/B</t>
    </r>
  </si>
  <si>
    <t>R0223</t>
  </si>
  <si>
    <t>:Ctrl_006</t>
  </si>
  <si>
    <t>:Act_006</t>
  </si>
  <si>
    <r>
      <rPr>
        <sz val="10"/>
        <rFont val="微软雅黑"/>
        <family val="2"/>
        <charset val="134"/>
      </rPr>
      <t>HV_1008A_AO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HV_1008B_AO</t>
    </r>
  </si>
  <si>
    <r>
      <rPr>
        <sz val="10"/>
        <rFont val="Noto Sans CJK SC"/>
        <family val="2"/>
      </rPr>
      <t>三萃丁酯进料流量作为过程变量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反馈给三萃丁酯流量控制器</t>
    </r>
    <r>
      <rPr>
        <sz val="10"/>
        <rFont val="微软雅黑"/>
        <family val="2"/>
        <charset val="134"/>
      </rPr>
      <t>(FIC-DZ)</t>
    </r>
  </si>
  <si>
    <t>R0224</t>
  </si>
  <si>
    <r>
      <rPr>
        <sz val="10"/>
        <rFont val="Noto Sans CJK SC"/>
        <family val="2"/>
      </rPr>
      <t>丁酯进料调节阀</t>
    </r>
    <r>
      <rPr>
        <sz val="10"/>
        <rFont val="微软雅黑"/>
        <family val="2"/>
        <charset val="134"/>
      </rPr>
      <t>HV_1008A/B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频率变化直接改变三萃丁酯进料流量</t>
    </r>
  </si>
  <si>
    <t>R0225</t>
  </si>
  <si>
    <r>
      <rPr>
        <sz val="10"/>
        <rFont val="Noto Sans CJK SC"/>
        <family val="2"/>
      </rPr>
      <t>丁酯温度控制器</t>
    </r>
    <r>
      <rPr>
        <sz val="10"/>
        <rFont val="微软雅黑"/>
        <family val="2"/>
        <charset val="134"/>
      </rPr>
      <t>(TIC-1002)</t>
    </r>
  </si>
  <si>
    <r>
      <rPr>
        <sz val="10"/>
        <rFont val="Noto Sans CJK SC"/>
        <family val="2"/>
      </rPr>
      <t>丁酯换热器冷盐水调节阀</t>
    </r>
    <r>
      <rPr>
        <sz val="10"/>
        <rFont val="微软雅黑"/>
        <family val="2"/>
        <charset val="134"/>
      </rPr>
      <t>HV_1001</t>
    </r>
  </si>
  <si>
    <t>低温丁酯降低青霉素萃取降解</t>
  </si>
  <si>
    <t>R0226</t>
  </si>
  <si>
    <t>:Ctrl_007</t>
  </si>
  <si>
    <t>:Act_007</t>
  </si>
  <si>
    <t>HV_1001_AO</t>
  </si>
  <si>
    <r>
      <rPr>
        <sz val="10"/>
        <rFont val="Noto Sans CJK SC"/>
        <family val="2"/>
      </rPr>
      <t>丁酯冷却回水温度作为过程变量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反馈给丁酯温度控制器</t>
    </r>
    <r>
      <rPr>
        <sz val="10"/>
        <rFont val="微软雅黑"/>
        <family val="2"/>
        <charset val="134"/>
      </rPr>
      <t>(TIC-1002)</t>
    </r>
  </si>
  <si>
    <t>R0227</t>
  </si>
  <si>
    <r>
      <rPr>
        <sz val="10"/>
        <rFont val="Noto Sans CJK SC"/>
        <family val="2"/>
      </rPr>
      <t>丁酯换热器冷盐水调节阀</t>
    </r>
    <r>
      <rPr>
        <sz val="10"/>
        <rFont val="微软雅黑"/>
        <family val="2"/>
        <charset val="134"/>
      </rPr>
      <t>HV_1001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频率变化直接改变丁酯冷却回水温度</t>
    </r>
  </si>
  <si>
    <t>R0228</t>
  </si>
  <si>
    <r>
      <rPr>
        <sz val="10"/>
        <rFont val="Noto Sans CJK SC"/>
        <family val="2"/>
      </rPr>
      <t>三萃总进料开关阀</t>
    </r>
    <r>
      <rPr>
        <sz val="10"/>
        <rFont val="微软雅黑"/>
        <family val="2"/>
        <charset val="134"/>
      </rPr>
      <t>HV_1009A–D</t>
    </r>
  </si>
  <si>
    <t>三萃总进料开关顺控</t>
  </si>
  <si>
    <t>三萃模式切换</t>
  </si>
  <si>
    <t>R0229</t>
  </si>
  <si>
    <t>:Act_S02_1152</t>
  </si>
  <si>
    <t>:Seq_02</t>
  </si>
  <si>
    <r>
      <rPr>
        <sz val="10"/>
        <rFont val="Noto Sans CJK SC"/>
        <family val="2"/>
      </rPr>
      <t>三萃酸水进料</t>
    </r>
    <r>
      <rPr>
        <sz val="10"/>
        <rFont val="微软雅黑"/>
        <family val="2"/>
        <charset val="134"/>
      </rPr>
      <t>(FT_SS)</t>
    </r>
  </si>
  <si>
    <t>R0230</t>
  </si>
  <si>
    <r>
      <rPr>
        <sz val="10"/>
        <rFont val="Noto Sans CJK SC"/>
        <family val="2"/>
      </rPr>
      <t>三萃丁酯</t>
    </r>
    <r>
      <rPr>
        <sz val="10"/>
        <rFont val="微软雅黑"/>
        <family val="2"/>
        <charset val="134"/>
      </rPr>
      <t>(FT_DZ)</t>
    </r>
  </si>
  <si>
    <t>R0231</t>
  </si>
  <si>
    <t>R0232</t>
  </si>
  <si>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稀硫酸混合</t>
    </r>
  </si>
  <si>
    <t>R0233</t>
  </si>
  <si>
    <t>轻相</t>
  </si>
  <si>
    <t>R0234</t>
  </si>
  <si>
    <r>
      <rPr>
        <sz val="10"/>
        <rFont val="Noto Sans CJK SC"/>
        <family val="2"/>
      </rPr>
      <t>重相去中和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回收</t>
    </r>
  </si>
  <si>
    <t>R0235</t>
  </si>
  <si>
    <t>R0236</t>
  </si>
  <si>
    <t>丁酯冷却后供提取</t>
  </si>
  <si>
    <t>R0237</t>
  </si>
  <si>
    <r>
      <rPr>
        <sz val="10"/>
        <rFont val="Noto Sans CJK SC"/>
        <family val="2"/>
      </rPr>
      <t>退</t>
    </r>
    <r>
      <rPr>
        <sz val="10"/>
        <rFont val="微软雅黑"/>
        <family val="2"/>
        <charset val="134"/>
      </rPr>
      <t>BA(</t>
    </r>
    <r>
      <rPr>
        <sz val="10"/>
        <rFont val="Noto Sans CJK SC"/>
        <family val="2"/>
      </rPr>
      <t>贫</t>
    </r>
    <r>
      <rPr>
        <sz val="10"/>
        <rFont val="微软雅黑"/>
        <family val="2"/>
        <charset val="134"/>
      </rPr>
      <t>BA)</t>
    </r>
  </si>
  <si>
    <r>
      <rPr>
        <sz val="10"/>
        <rFont val="Noto Sans CJK SC"/>
        <family val="2"/>
      </rPr>
      <t>钾盐退</t>
    </r>
    <r>
      <rPr>
        <sz val="10"/>
        <rFont val="微软雅黑"/>
        <family val="2"/>
        <charset val="134"/>
      </rPr>
      <t>BA(FT_1214)/6A</t>
    </r>
    <r>
      <rPr>
        <sz val="10"/>
        <rFont val="Noto Sans CJK SC"/>
        <family val="2"/>
      </rPr>
      <t>退</t>
    </r>
    <r>
      <rPr>
        <sz val="10"/>
        <rFont val="微软雅黑"/>
        <family val="2"/>
        <charset val="134"/>
      </rPr>
      <t>BA(FT_1215)</t>
    </r>
  </si>
  <si>
    <t>溶媒循环</t>
  </si>
  <si>
    <t>R0238</t>
  </si>
  <si>
    <t>:MS_ReturnBA</t>
  </si>
  <si>
    <r>
      <rPr>
        <sz val="10"/>
        <rFont val="Noto Sans CJK SC"/>
        <family val="2"/>
      </rPr>
      <t>回收混合溶媒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丁酯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丁醇</t>
    </r>
  </si>
  <si>
    <t>回收丁酯补充</t>
  </si>
  <si>
    <t>R0239</t>
  </si>
  <si>
    <t>:MS_RecoveredSolvent</t>
  </si>
  <si>
    <r>
      <rPr>
        <sz val="10"/>
        <rFont val="Noto Sans CJK SC"/>
        <family val="2"/>
      </rPr>
      <t>工作水（离心机密封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冲洗）</t>
    </r>
  </si>
  <si>
    <t>公用供给</t>
  </si>
  <si>
    <t>R0240</t>
  </si>
  <si>
    <r>
      <rPr>
        <sz val="10"/>
        <rFont val="Noto Sans CJK SC"/>
        <family val="2"/>
      </rPr>
      <t>三萃用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量增加，废酸水残效下降</t>
    </r>
  </si>
  <si>
    <t>R0241</t>
  </si>
  <si>
    <t>R0242</t>
  </si>
  <si>
    <t>冷媒回水温度高说明冷却不足</t>
  </si>
  <si>
    <t>R0243</t>
  </si>
  <si>
    <r>
      <rPr>
        <sz val="10"/>
        <rFont val="微软雅黑"/>
        <family val="2"/>
        <charset val="134"/>
      </rPr>
      <t>TI_1002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TI_DZA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TI_DZB</t>
    </r>
  </si>
  <si>
    <t>R0244</t>
  </si>
  <si>
    <t>稀硫酸配制</t>
  </si>
  <si>
    <r>
      <rPr>
        <sz val="10"/>
        <rFont val="Noto Sans CJK SC"/>
        <family val="2"/>
      </rPr>
      <t>衔接物料：稀硫酸。稀硫酸经</t>
    </r>
    <r>
      <rPr>
        <sz val="10"/>
        <rFont val="微软雅黑"/>
        <family val="2"/>
        <charset val="134"/>
      </rPr>
      <t>M2123</t>
    </r>
    <r>
      <rPr>
        <sz val="10"/>
        <rFont val="Noto Sans CJK SC"/>
        <family val="2"/>
      </rPr>
      <t>在线混合器注入提取离心机进料</t>
    </r>
  </si>
  <si>
    <t>S03</t>
  </si>
  <si>
    <t>R0245</t>
  </si>
  <si>
    <t>:Area_S03_DiluteH2SO4Prep</t>
  </si>
  <si>
    <t>浓硫酸储罐组</t>
  </si>
  <si>
    <t>稀硫酸配制包含储罐“浓硫酸储罐组”</t>
  </si>
  <si>
    <t>R0246</t>
  </si>
  <si>
    <t>:ConcH2SO4Tanks</t>
  </si>
  <si>
    <r>
      <rPr>
        <sz val="10"/>
        <rFont val="Noto Sans CJK SC"/>
        <family val="2"/>
      </rPr>
      <t>浓硫酸储罐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</si>
  <si>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浓硫酸储罐组的并联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</si>
  <si>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R0247</t>
  </si>
  <si>
    <t>:ConcH2SO4Tanks_M01</t>
  </si>
  <si>
    <r>
      <rPr>
        <sz val="10"/>
        <rFont val="Noto Sans CJK SC"/>
        <family val="2"/>
      </rPr>
      <t>浓硫酸储罐</t>
    </r>
    <r>
      <rPr>
        <sz val="10"/>
        <rFont val="微软雅黑"/>
        <family val="2"/>
        <charset val="134"/>
      </rPr>
      <t>B</t>
    </r>
  </si>
  <si>
    <t>R0248</t>
  </si>
  <si>
    <t>:ConcH2SO4Tanks_M02</t>
  </si>
  <si>
    <r>
      <rPr>
        <sz val="10"/>
        <rFont val="Noto Sans CJK SC"/>
        <family val="2"/>
      </rPr>
      <t>浓硫酸储罐</t>
    </r>
    <r>
      <rPr>
        <sz val="10"/>
        <rFont val="微软雅黑"/>
        <family val="2"/>
        <charset val="134"/>
      </rPr>
      <t>C</t>
    </r>
  </si>
  <si>
    <t>R0249</t>
  </si>
  <si>
    <t>:ConcH2SO4Tanks_M03</t>
  </si>
  <si>
    <r>
      <rPr>
        <sz val="10"/>
        <rFont val="Noto Sans CJK SC"/>
        <family val="2"/>
      </rPr>
      <t>浓硫酸储罐组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</si>
  <si>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t>浓硫酸储罐组配置液位计</t>
  </si>
  <si>
    <t>R0250</t>
  </si>
  <si>
    <t>:ConcH2SO4Tanks_P01</t>
  </si>
  <si>
    <r>
      <rPr>
        <sz val="10"/>
        <rFont val="Noto Sans CJK SC"/>
        <family val="2"/>
      </rPr>
      <t>浓硫酸进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出料泵</t>
    </r>
  </si>
  <si>
    <r>
      <rPr>
        <sz val="10"/>
        <rFont val="Noto Sans CJK SC"/>
        <family val="2"/>
      </rPr>
      <t>稀硫酸配制包含泵“浓硫酸进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出料泵”</t>
    </r>
  </si>
  <si>
    <t>R0251</t>
  </si>
  <si>
    <t>:ConcH2SO4Pumps</t>
  </si>
  <si>
    <r>
      <rPr>
        <sz val="10"/>
        <rFont val="Noto Sans CJK SC"/>
        <family val="2"/>
      </rPr>
      <t>浓硫酸进料泵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</si>
  <si>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浓硫酸进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出料泵的并联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</si>
  <si>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R0252</t>
  </si>
  <si>
    <t>:ConcH2SO4Pumps_M01</t>
  </si>
  <si>
    <r>
      <rPr>
        <sz val="10"/>
        <rFont val="Noto Sans CJK SC"/>
        <family val="2"/>
      </rPr>
      <t>浓硫酸出料泵</t>
    </r>
    <r>
      <rPr>
        <sz val="10"/>
        <rFont val="微软雅黑"/>
        <family val="2"/>
        <charset val="134"/>
      </rPr>
      <t>A</t>
    </r>
  </si>
  <si>
    <t>R0253</t>
  </si>
  <si>
    <t>:ConcH2SO4Pumps_M02</t>
  </si>
  <si>
    <r>
      <rPr>
        <sz val="10"/>
        <rFont val="Noto Sans CJK SC"/>
        <family val="2"/>
      </rPr>
      <t>浓硫酸出料泵</t>
    </r>
    <r>
      <rPr>
        <sz val="10"/>
        <rFont val="微软雅黑"/>
        <family val="2"/>
        <charset val="134"/>
      </rPr>
      <t>B</t>
    </r>
  </si>
  <si>
    <t>R0254</t>
  </si>
  <si>
    <t>:ConcH2SO4Pumps_M03</t>
  </si>
  <si>
    <t>稀硫酸配置罐组</t>
  </si>
  <si>
    <t>稀硫酸配制包含配制罐“稀硫酸配置罐组”</t>
  </si>
  <si>
    <t>R0255</t>
  </si>
  <si>
    <t>:DiluteH2SO4PrepTanks</t>
  </si>
  <si>
    <r>
      <rPr>
        <sz val="10"/>
        <rFont val="Noto Sans CJK SC"/>
        <family val="2"/>
      </rPr>
      <t>稀硫酸配置罐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</si>
  <si>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稀硫酸配置罐组的并联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</si>
  <si>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R0256</t>
  </si>
  <si>
    <t>:DiluteH2SO4PrepTanks_M01</t>
  </si>
  <si>
    <r>
      <rPr>
        <sz val="10"/>
        <rFont val="Noto Sans CJK SC"/>
        <family val="2"/>
      </rPr>
      <t>稀硫酸配置罐</t>
    </r>
    <r>
      <rPr>
        <sz val="10"/>
        <rFont val="微软雅黑"/>
        <family val="2"/>
        <charset val="134"/>
      </rPr>
      <t>B</t>
    </r>
  </si>
  <si>
    <t>R0257</t>
  </si>
  <si>
    <t>:DiluteH2SO4PrepTanks_M02</t>
  </si>
  <si>
    <r>
      <rPr>
        <sz val="10"/>
        <rFont val="Noto Sans CJK SC"/>
        <family val="2"/>
      </rPr>
      <t>硫酸配置罐</t>
    </r>
    <r>
      <rPr>
        <sz val="10"/>
        <rFont val="微软雅黑"/>
        <family val="2"/>
        <charset val="134"/>
      </rPr>
      <t>E</t>
    </r>
  </si>
  <si>
    <t>R0258</t>
  </si>
  <si>
    <t>:DiluteH2SO4PrepTanks_M03</t>
  </si>
  <si>
    <r>
      <rPr>
        <sz val="10"/>
        <rFont val="Noto Sans CJK SC"/>
        <family val="2"/>
      </rPr>
      <t>硫酸配置罐</t>
    </r>
    <r>
      <rPr>
        <sz val="10"/>
        <rFont val="微软雅黑"/>
        <family val="2"/>
        <charset val="134"/>
      </rPr>
      <t>F</t>
    </r>
  </si>
  <si>
    <t>R0259</t>
  </si>
  <si>
    <t>:DiluteH2SO4PrepTanks_M04</t>
  </si>
  <si>
    <r>
      <rPr>
        <sz val="10"/>
        <rFont val="Noto Sans CJK SC"/>
        <family val="2"/>
      </rPr>
      <t>稀硫酸配置罐组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</si>
  <si>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t>稀硫酸配置罐组配置液位计</t>
  </si>
  <si>
    <t>R0260</t>
  </si>
  <si>
    <t>:DiluteH2SO4PrepTanks_P01</t>
  </si>
  <si>
    <r>
      <rPr>
        <sz val="10"/>
        <rFont val="Noto Sans CJK SC"/>
        <family val="2"/>
      </rPr>
      <t>稀硫酸配置罐组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浓度计</t>
    </r>
  </si>
  <si>
    <t>稀硫酸配置罐组配置浓度计</t>
  </si>
  <si>
    <t>R0261</t>
  </si>
  <si>
    <t>:DiluteH2SO4PrepTanks_P02</t>
  </si>
  <si>
    <r>
      <rPr>
        <sz val="10"/>
        <rFont val="Noto Sans CJK SC"/>
        <family val="2"/>
      </rPr>
      <t>稀硫酸配置罐组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一次水阀</t>
    </r>
  </si>
  <si>
    <t>稀硫酸配置罐组配置一次水阀</t>
  </si>
  <si>
    <t>R0262</t>
  </si>
  <si>
    <t>:DiluteH2SO4PrepTanks_P03</t>
  </si>
  <si>
    <t>稀硫酸缓冲罐</t>
  </si>
  <si>
    <t>稀硫酸配制包含储罐“稀硫酸缓冲罐”</t>
  </si>
  <si>
    <t>R0263</t>
  </si>
  <si>
    <t>:DiluteH2SO4Buffer</t>
  </si>
  <si>
    <r>
      <rPr>
        <sz val="10"/>
        <rFont val="Noto Sans CJK SC"/>
        <family val="2"/>
      </rPr>
      <t>稀硫酸缓冲罐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</si>
  <si>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t>稀硫酸缓冲罐配置液位计</t>
  </si>
  <si>
    <t>R0264</t>
  </si>
  <si>
    <t>:DiluteH2SO4Buffer_P01</t>
  </si>
  <si>
    <t>稀硫酸泵组</t>
  </si>
  <si>
    <t>稀硫酸配制包含变频泵“稀硫酸泵组”</t>
  </si>
  <si>
    <t>R0265</t>
  </si>
  <si>
    <t>:DiluteH2SO4Pumps</t>
  </si>
  <si>
    <r>
      <rPr>
        <sz val="10"/>
        <rFont val="Noto Sans CJK SC"/>
        <family val="2"/>
      </rPr>
      <t>稀硫酸泵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</si>
  <si>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稀硫酸泵组的并联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</si>
  <si>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R0266</t>
  </si>
  <si>
    <t>:DiluteH2SO4Pumps_M01</t>
  </si>
  <si>
    <r>
      <rPr>
        <sz val="10"/>
        <rFont val="Noto Sans CJK SC"/>
        <family val="2"/>
      </rPr>
      <t>稀硫酸泵</t>
    </r>
    <r>
      <rPr>
        <sz val="10"/>
        <rFont val="微软雅黑"/>
        <family val="2"/>
        <charset val="134"/>
      </rPr>
      <t>b</t>
    </r>
  </si>
  <si>
    <t>R0267</t>
  </si>
  <si>
    <t>:DiluteH2SO4Pumps_M02</t>
  </si>
  <si>
    <r>
      <rPr>
        <sz val="10"/>
        <rFont val="Noto Sans CJK SC"/>
        <family val="2"/>
      </rPr>
      <t>稀硫酸泵</t>
    </r>
    <r>
      <rPr>
        <sz val="10"/>
        <rFont val="微软雅黑"/>
        <family val="2"/>
        <charset val="134"/>
      </rPr>
      <t>c</t>
    </r>
  </si>
  <si>
    <t>R0268</t>
  </si>
  <si>
    <t>:DiluteH2SO4Pumps_M03</t>
  </si>
  <si>
    <r>
      <rPr>
        <sz val="10"/>
        <rFont val="Noto Sans CJK SC"/>
        <family val="2"/>
      </rPr>
      <t>稀硫酸泵</t>
    </r>
    <r>
      <rPr>
        <sz val="10"/>
        <rFont val="微软雅黑"/>
        <family val="2"/>
        <charset val="134"/>
      </rPr>
      <t>d</t>
    </r>
  </si>
  <si>
    <t>R0269</t>
  </si>
  <si>
    <t>:DiluteH2SO4Pumps_M04</t>
  </si>
  <si>
    <r>
      <rPr>
        <sz val="10"/>
        <rFont val="Noto Sans CJK SC"/>
        <family val="2"/>
      </rPr>
      <t>稀硫酸泵</t>
    </r>
    <r>
      <rPr>
        <sz val="10"/>
        <rFont val="微软雅黑"/>
        <family val="2"/>
        <charset val="134"/>
      </rPr>
      <t>e</t>
    </r>
  </si>
  <si>
    <t>R0270</t>
  </si>
  <si>
    <t>:DiluteH2SO4Pumps_M05</t>
  </si>
  <si>
    <r>
      <rPr>
        <sz val="10"/>
        <rFont val="Noto Sans CJK SC"/>
        <family val="2"/>
      </rPr>
      <t>稀硫酸泵</t>
    </r>
    <r>
      <rPr>
        <sz val="10"/>
        <rFont val="微软雅黑"/>
        <family val="2"/>
        <charset val="134"/>
      </rPr>
      <t>f</t>
    </r>
  </si>
  <si>
    <t>R0271</t>
  </si>
  <si>
    <t>:DiluteH2SO4Pumps_M06</t>
  </si>
  <si>
    <r>
      <rPr>
        <sz val="10"/>
        <rFont val="Noto Sans CJK SC"/>
        <family val="2"/>
      </rPr>
      <t>稀硫酸泵组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变频器</t>
    </r>
  </si>
  <si>
    <t>稀硫酸泵组配置变频器</t>
  </si>
  <si>
    <t>R0272</t>
  </si>
  <si>
    <t>:DiluteH2SO4Pumps_P01</t>
  </si>
  <si>
    <t>浓硫酸罐液位</t>
  </si>
  <si>
    <t>浓硫酸储罐组的浓硫酸罐液位</t>
  </si>
  <si>
    <t>R0273</t>
  </si>
  <si>
    <t>:Attr_030</t>
  </si>
  <si>
    <r>
      <rPr>
        <sz val="10"/>
        <rFont val="微软雅黑"/>
        <family val="2"/>
        <charset val="134"/>
      </rPr>
      <t>LT_1107A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LT_1107B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LIT540104A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LIT540104B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LIT540104C</t>
    </r>
  </si>
  <si>
    <t>浓硫酸加入流量</t>
  </si>
  <si>
    <r>
      <rPr>
        <sz val="10"/>
        <rFont val="Noto Sans CJK SC"/>
        <family val="2"/>
      </rPr>
      <t>浓硫酸出料流量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累计</t>
    </r>
  </si>
  <si>
    <t>R0274</t>
  </si>
  <si>
    <t>:Attr_031</t>
  </si>
  <si>
    <t>FQIT540107_1</t>
  </si>
  <si>
    <t>配酸一次水流量</t>
  </si>
  <si>
    <t>稀硫酸配置罐组的配酸一次水流量</t>
  </si>
  <si>
    <t>R0275</t>
  </si>
  <si>
    <t>:Attr_032</t>
  </si>
  <si>
    <t>FQIT540107_2</t>
  </si>
  <si>
    <t>在线浓度</t>
  </si>
  <si>
    <t>R0276</t>
  </si>
  <si>
    <t>AT540107A</t>
  </si>
  <si>
    <t>稀硫酸配置罐液位</t>
  </si>
  <si>
    <t>稀硫酸配置罐组的稀硫酸配置罐液位</t>
  </si>
  <si>
    <t>R0277</t>
  </si>
  <si>
    <t>:Attr_034</t>
  </si>
  <si>
    <r>
      <rPr>
        <sz val="10"/>
        <rFont val="微软雅黑"/>
        <family val="2"/>
        <charset val="134"/>
      </rPr>
      <t>LIT540107A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LIT540107B</t>
    </r>
  </si>
  <si>
    <t>稀硫酸缓冲罐液位</t>
  </si>
  <si>
    <t>稀硫酸缓冲罐的稀硫酸缓冲罐液位</t>
  </si>
  <si>
    <t>R0278</t>
  </si>
  <si>
    <t>:Attr_035</t>
  </si>
  <si>
    <t>LIT540107C</t>
  </si>
  <si>
    <t>稀硫酸输送母管压力</t>
  </si>
  <si>
    <t>稀硫酸缓冲罐的稀硫酸输送母管压力</t>
  </si>
  <si>
    <t>R0279</t>
  </si>
  <si>
    <t>:Attr_036</t>
  </si>
  <si>
    <t>PIT540108</t>
  </si>
  <si>
    <t>稀硫酸泵频率</t>
  </si>
  <si>
    <t>稀硫酸泵组的稀硫酸泵频率</t>
  </si>
  <si>
    <t>R0280</t>
  </si>
  <si>
    <t>:Attr_037</t>
  </si>
  <si>
    <r>
      <rPr>
        <sz val="10"/>
        <rFont val="微软雅黑"/>
        <family val="2"/>
        <charset val="134"/>
      </rPr>
      <t>PB_1015A_FB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PB_1015B_FB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PB_1015C_FB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PB_1015D_FB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PB_1015E_FB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PB_1015F_FB</t>
    </r>
  </si>
  <si>
    <r>
      <rPr>
        <sz val="10"/>
        <rFont val="Noto Sans CJK SC"/>
        <family val="2"/>
      </rPr>
      <t>稀硫酸的稀硫酸浓度（流股属性，测点位于管线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</si>
  <si>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R0281</t>
  </si>
  <si>
    <t>LT_1107A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</si>
  <si>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原点描述：浓硫酸储罐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液位</t>
    </r>
  </si>
  <si>
    <t>R0282</t>
  </si>
  <si>
    <t>:LT_1107A</t>
  </si>
  <si>
    <t>LT_1107B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</si>
  <si>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原点描述：浓硫酸储罐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液位</t>
    </r>
  </si>
  <si>
    <t>R0283</t>
  </si>
  <si>
    <t>:LT_1107B</t>
  </si>
  <si>
    <t>LIT540104A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</si>
  <si>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原点描述：浓硫酸储罐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液位检测</t>
    </r>
  </si>
  <si>
    <t>R0284</t>
  </si>
  <si>
    <t>:LIT540104A</t>
  </si>
  <si>
    <t>LIT540104B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</si>
  <si>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原点描述：浓硫酸储罐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液位检测</t>
    </r>
  </si>
  <si>
    <t>R0285</t>
  </si>
  <si>
    <t>:LIT540104B</t>
  </si>
  <si>
    <t>LIT540104C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</si>
  <si>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原点描述：浓硫酸储罐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液位检测</t>
    </r>
  </si>
  <si>
    <t>R0286</t>
  </si>
  <si>
    <t>:LIT540104C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</si>
  <si>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原点描述：浓硫酸出料流量</t>
    </r>
  </si>
  <si>
    <t>R0287</t>
  </si>
  <si>
    <t>:FQIT540107_1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</si>
  <si>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原点描述：一次水流量</t>
    </r>
  </si>
  <si>
    <t>R0288</t>
  </si>
  <si>
    <t>:FQIT540107_2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</si>
  <si>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原点描述：稀硫酸配置罐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浓度检测</t>
    </r>
  </si>
  <si>
    <t>R0289</t>
  </si>
  <si>
    <t>:AT540107A</t>
  </si>
  <si>
    <t>LIT540107A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</si>
  <si>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原点描述：稀硫酸配置罐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液位检测</t>
    </r>
  </si>
  <si>
    <t>R0290</t>
  </si>
  <si>
    <t>:LIT540107A</t>
  </si>
  <si>
    <t>LIT540107B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</si>
  <si>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原点描述：稀硫酸配置罐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液位检测</t>
    </r>
  </si>
  <si>
    <t>R0291</t>
  </si>
  <si>
    <t>:LIT540107B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</si>
  <si>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原点描述：稀硫酸缓冲罐液位检测</t>
    </r>
  </si>
  <si>
    <t>R0292</t>
  </si>
  <si>
    <t>:LIT540107C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</si>
  <si>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原点描述：稀硫酸中转泵出口母管压力</t>
    </r>
  </si>
  <si>
    <t>R0293</t>
  </si>
  <si>
    <t>:PIT540108</t>
  </si>
  <si>
    <t>PB_1015A_FB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</si>
  <si>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原点描述：稀硫酸泵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频率反馈</t>
    </r>
  </si>
  <si>
    <t>R0294</t>
  </si>
  <si>
    <t>:PB_1015A_FB</t>
  </si>
  <si>
    <t>PB_1015B_FB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</si>
  <si>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原点描述：稀硫酸泵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频率反馈</t>
    </r>
  </si>
  <si>
    <t>R0295</t>
  </si>
  <si>
    <t>:PB_1015B_FB</t>
  </si>
  <si>
    <t>PB_1015C_FB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</si>
  <si>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原点描述：稀硫酸泵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频率反馈</t>
    </r>
  </si>
  <si>
    <t>R0296</t>
  </si>
  <si>
    <t>:PB_1015C_FB</t>
  </si>
  <si>
    <t>PB_1015D_FB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</si>
  <si>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原点描述：稀硫酸泵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频率反馈</t>
    </r>
  </si>
  <si>
    <t>R0297</t>
  </si>
  <si>
    <t>:PB_1015D_FB</t>
  </si>
  <si>
    <t>PB_1015E_FB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</si>
  <si>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原点描述：稀硫酸泵</t>
    </r>
    <r>
      <rPr>
        <sz val="10"/>
        <rFont val="微软雅黑"/>
        <family val="2"/>
        <charset val="134"/>
      </rPr>
      <t>e</t>
    </r>
    <r>
      <rPr>
        <sz val="10"/>
        <rFont val="Noto Sans CJK SC"/>
        <family val="2"/>
      </rPr>
      <t>频率反馈</t>
    </r>
  </si>
  <si>
    <t>R0298</t>
  </si>
  <si>
    <t>:PB_1015E_FB</t>
  </si>
  <si>
    <t>PB_1015F_FB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</si>
  <si>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原点描述：稀硫酸泵</t>
    </r>
    <r>
      <rPr>
        <sz val="10"/>
        <rFont val="微软雅黑"/>
        <family val="2"/>
        <charset val="134"/>
      </rPr>
      <t>f</t>
    </r>
    <r>
      <rPr>
        <sz val="10"/>
        <rFont val="Noto Sans CJK SC"/>
        <family val="2"/>
      </rPr>
      <t>频率反馈</t>
    </r>
  </si>
  <si>
    <t>R0299</t>
  </si>
  <si>
    <t>:PB_1015F_FB</t>
  </si>
  <si>
    <t>浓硫酸罐高位报警</t>
  </si>
  <si>
    <t>越限触发“浓硫酸罐高位报警”：卸酸溢出风险</t>
  </si>
  <si>
    <t>R0300</t>
  </si>
  <si>
    <t>:Alarm_04</t>
  </si>
  <si>
    <r>
      <rPr>
        <sz val="10"/>
        <rFont val="微软雅黑"/>
        <family val="2"/>
        <charset val="134"/>
      </rPr>
      <t>LT_1107A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LT_1107B</t>
    </r>
  </si>
  <si>
    <t>槽车卸酸→储罐→出料泵</t>
  </si>
  <si>
    <t>配制过程</t>
  </si>
  <si>
    <t>R0301</t>
  </si>
  <si>
    <t>浓硫酸定量加入</t>
  </si>
  <si>
    <t>R0302</t>
  </si>
  <si>
    <t>公用介质</t>
  </si>
  <si>
    <t>一次水</t>
  </si>
  <si>
    <t>一次水定量加入</t>
  </si>
  <si>
    <t>R0303</t>
  </si>
  <si>
    <t>:MS_PrimaryWater</t>
  </si>
  <si>
    <t>配制完成</t>
  </si>
  <si>
    <t>R0304</t>
  </si>
  <si>
    <t>输送过程</t>
  </si>
  <si>
    <t>R0305</t>
  </si>
  <si>
    <t>R0306</t>
  </si>
  <si>
    <r>
      <rPr>
        <sz val="10"/>
        <rFont val="Noto Sans CJK SC"/>
        <family val="2"/>
      </rPr>
      <t>经出料切断阀</t>
    </r>
    <r>
      <rPr>
        <sz val="10"/>
        <rFont val="微软雅黑"/>
        <family val="2"/>
        <charset val="134"/>
      </rPr>
      <t>XV_5004A–E</t>
    </r>
  </si>
  <si>
    <t>R0307</t>
  </si>
  <si>
    <t>R0308</t>
  </si>
  <si>
    <r>
      <rPr>
        <sz val="10"/>
        <rFont val="微软雅黑"/>
        <family val="2"/>
        <charset val="134"/>
      </rPr>
      <t>FQIT540107_1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AT540107A</t>
    </r>
  </si>
  <si>
    <t>R0309</t>
  </si>
  <si>
    <r>
      <rPr>
        <sz val="10"/>
        <rFont val="微软雅黑"/>
        <family val="2"/>
        <charset val="134"/>
      </rPr>
      <t>FQIT540107_2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AT540107A</t>
    </r>
  </si>
  <si>
    <t>破乳剂配制</t>
  </si>
  <si>
    <r>
      <rPr>
        <sz val="10"/>
        <rFont val="Noto Sans CJK SC"/>
        <family val="2"/>
      </rPr>
      <t>衔接物料：破乳剂溶液。破乳剂缓冲罐经破乳剂泵供</t>
    </r>
    <r>
      <rPr>
        <sz val="10"/>
        <rFont val="微软雅黑"/>
        <family val="2"/>
        <charset val="134"/>
      </rPr>
      <t>RSE300/RSE200</t>
    </r>
  </si>
  <si>
    <t>S04</t>
  </si>
  <si>
    <t>R0310</t>
  </si>
  <si>
    <t>:Area_S04_DemulsifierPrep</t>
  </si>
  <si>
    <t>破乳剂罐（原液）</t>
  </si>
  <si>
    <t>破乳剂配制包含储罐“破乳剂罐（原液）”</t>
  </si>
  <si>
    <t>R0311</t>
  </si>
  <si>
    <t>:DemulsifierStorage</t>
  </si>
  <si>
    <r>
      <rPr>
        <sz val="10"/>
        <rFont val="Noto Sans CJK SC"/>
        <family val="2"/>
      </rPr>
      <t>破乳剂罐（原液）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</si>
  <si>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t>破乳剂罐（原液）配置液位计</t>
  </si>
  <si>
    <t>R0312</t>
  </si>
  <si>
    <t>:DemulsifierStorage_P01</t>
  </si>
  <si>
    <r>
      <rPr>
        <sz val="10"/>
        <rFont val="Noto Sans CJK SC"/>
        <family val="2"/>
      </rPr>
      <t>破乳剂罐（原液）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压力表</t>
    </r>
  </si>
  <si>
    <t>破乳剂罐（原液）配置压力表</t>
  </si>
  <si>
    <t>R0313</t>
  </si>
  <si>
    <t>:DemulsifierStorage_P02</t>
  </si>
  <si>
    <t>破乳剂配制罐组</t>
  </si>
  <si>
    <t>破乳剂配制包含搅拌配制罐“破乳剂配制罐组”</t>
  </si>
  <si>
    <t>R0314</t>
  </si>
  <si>
    <t>:DemulsifierPrepTanks</t>
  </si>
  <si>
    <r>
      <rPr>
        <sz val="10"/>
        <rFont val="Noto Sans CJK SC"/>
        <family val="2"/>
      </rPr>
      <t>破乳剂配置罐</t>
    </r>
    <r>
      <rPr>
        <sz val="10"/>
        <rFont val="微软雅黑"/>
        <family val="2"/>
        <charset val="134"/>
      </rPr>
      <t>R2120A</t>
    </r>
  </si>
  <si>
    <r>
      <rPr>
        <sz val="10"/>
        <rFont val="Noto Sans CJK SC"/>
        <family val="2"/>
      </rPr>
      <t>破乳剂配制罐组的并联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</si>
  <si>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R0315</t>
  </si>
  <si>
    <t>:DemulsifierPrepTanks_M01</t>
  </si>
  <si>
    <r>
      <rPr>
        <sz val="10"/>
        <rFont val="Noto Sans CJK SC"/>
        <family val="2"/>
      </rPr>
      <t>破乳剂配置罐</t>
    </r>
    <r>
      <rPr>
        <sz val="10"/>
        <rFont val="微软雅黑"/>
        <family val="2"/>
        <charset val="134"/>
      </rPr>
      <t>R2120B</t>
    </r>
  </si>
  <si>
    <t>R0316</t>
  </si>
  <si>
    <t>:DemulsifierPrepTanks_M02</t>
  </si>
  <si>
    <r>
      <rPr>
        <sz val="10"/>
        <rFont val="Noto Sans CJK SC"/>
        <family val="2"/>
      </rPr>
      <t>破乳剂配置罐</t>
    </r>
    <r>
      <rPr>
        <sz val="10"/>
        <rFont val="微软雅黑"/>
        <family val="2"/>
        <charset val="134"/>
      </rPr>
      <t>R2120C</t>
    </r>
  </si>
  <si>
    <t>R0317</t>
  </si>
  <si>
    <t>:DemulsifierPrepTanks_M03</t>
  </si>
  <si>
    <r>
      <rPr>
        <sz val="10"/>
        <rFont val="Noto Sans CJK SC"/>
        <family val="2"/>
      </rPr>
      <t>破乳剂配置罐</t>
    </r>
    <r>
      <rPr>
        <sz val="10"/>
        <rFont val="微软雅黑"/>
        <family val="2"/>
        <charset val="134"/>
      </rPr>
      <t>R2120D</t>
    </r>
  </si>
  <si>
    <t>R0318</t>
  </si>
  <si>
    <t>:DemulsifierPrepTanks_M04</t>
  </si>
  <si>
    <r>
      <rPr>
        <sz val="10"/>
        <rFont val="Noto Sans CJK SC"/>
        <family val="2"/>
      </rPr>
      <t>破乳剂配制罐组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搅拌器</t>
    </r>
  </si>
  <si>
    <t>破乳剂配制罐组配置搅拌器</t>
  </si>
  <si>
    <t>R0319</t>
  </si>
  <si>
    <t>:DemulsifierPrepTanks_P01</t>
  </si>
  <si>
    <r>
      <rPr>
        <sz val="10"/>
        <rFont val="Noto Sans CJK SC"/>
        <family val="2"/>
      </rPr>
      <t>破乳剂配制罐组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蒸汽加热阀</t>
    </r>
  </si>
  <si>
    <t>破乳剂配制罐组配置蒸汽加热阀</t>
  </si>
  <si>
    <t>R0320</t>
  </si>
  <si>
    <t>:DemulsifierPrepTanks_P02</t>
  </si>
  <si>
    <r>
      <rPr>
        <sz val="10"/>
        <rFont val="Noto Sans CJK SC"/>
        <family val="2"/>
      </rPr>
      <t>破乳剂配制罐组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温度计</t>
    </r>
    <r>
      <rPr>
        <sz val="10"/>
        <rFont val="微软雅黑"/>
        <family val="2"/>
        <charset val="134"/>
      </rPr>
      <t>TE_5043</t>
    </r>
  </si>
  <si>
    <r>
      <rPr>
        <sz val="10"/>
        <rFont val="Noto Sans CJK SC"/>
        <family val="2"/>
      </rPr>
      <t>破乳剂配制罐组配置温度计</t>
    </r>
    <r>
      <rPr>
        <sz val="10"/>
        <rFont val="微软雅黑"/>
        <family val="2"/>
        <charset val="134"/>
      </rPr>
      <t>TE_5043</t>
    </r>
  </si>
  <si>
    <t>R0321</t>
  </si>
  <si>
    <t>:DemulsifierPrepTanks_P03</t>
  </si>
  <si>
    <r>
      <rPr>
        <sz val="10"/>
        <rFont val="Noto Sans CJK SC"/>
        <family val="2"/>
      </rPr>
      <t>破乳剂缓冲罐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出料缓冲罐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</si>
  <si>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破乳剂配制包含储罐“破乳剂缓冲罐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出料缓冲罐</t>
    </r>
    <r>
      <rPr>
        <sz val="10"/>
        <rFont val="微软雅黑"/>
        <family val="2"/>
        <charset val="134"/>
      </rPr>
      <t>)”</t>
    </r>
  </si>
  <si>
    <t>R0322</t>
  </si>
  <si>
    <t>:DemulsifierBuffer</t>
  </si>
  <si>
    <r>
      <rPr>
        <sz val="10"/>
        <rFont val="Noto Sans CJK SC"/>
        <family val="2"/>
      </rPr>
      <t>破乳剂缓冲罐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出料缓冲罐</t>
    </r>
    <r>
      <rPr>
        <sz val="10"/>
        <rFont val="微软雅黑"/>
        <family val="2"/>
        <charset val="134"/>
      </rPr>
      <t>)·</t>
    </r>
    <r>
      <rPr>
        <sz val="10"/>
        <rFont val="Noto Sans CJK SC"/>
        <family val="2"/>
      </rPr>
      <t>液位计</t>
    </r>
    <r>
      <rPr>
        <sz val="10"/>
        <rFont val="微软雅黑"/>
        <family val="2"/>
        <charset val="134"/>
      </rPr>
      <t>LT_PR</t>
    </r>
  </si>
  <si>
    <r>
      <rPr>
        <sz val="10"/>
        <rFont val="Noto Sans CJK SC"/>
        <family val="2"/>
      </rPr>
      <t>破乳剂缓冲罐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出料缓冲罐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配置液位计</t>
    </r>
    <r>
      <rPr>
        <sz val="10"/>
        <rFont val="微软雅黑"/>
        <family val="2"/>
        <charset val="134"/>
      </rPr>
      <t>LT_PR</t>
    </r>
  </si>
  <si>
    <t>R0323</t>
  </si>
  <si>
    <t>:DemulsifierBuffer_P01</t>
  </si>
  <si>
    <t>破乳剂温度</t>
  </si>
  <si>
    <t>破乳剂供料温度</t>
  </si>
  <si>
    <t>R0324</t>
  </si>
  <si>
    <t>:Attr_016</t>
  </si>
  <si>
    <r>
      <rPr>
        <sz val="10"/>
        <rFont val="微软雅黑"/>
        <family val="2"/>
        <charset val="134"/>
      </rPr>
      <t>TI_1501A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TI_1501B</t>
    </r>
  </si>
  <si>
    <t>破乳剂配制罐液位</t>
  </si>
  <si>
    <t>破乳剂配制罐组的破乳剂配制罐液位</t>
  </si>
  <si>
    <t>R0325</t>
  </si>
  <si>
    <t>:Attr_038</t>
  </si>
  <si>
    <r>
      <rPr>
        <sz val="10"/>
        <rFont val="微软雅黑"/>
        <family val="2"/>
        <charset val="134"/>
      </rPr>
      <t>LT_1101A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LT_1101B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LT_1101C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LT_1101D</t>
    </r>
  </si>
  <si>
    <t>破乳剂配制搅拌频率</t>
  </si>
  <si>
    <t>破乳剂配制罐组的破乳剂配制搅拌频率</t>
  </si>
  <si>
    <t>R0326</t>
  </si>
  <si>
    <t>:Attr_039</t>
  </si>
  <si>
    <t>PB_1001B_FB</t>
  </si>
  <si>
    <t>破乳剂配制温度</t>
  </si>
  <si>
    <r>
      <rPr>
        <sz val="10"/>
        <rFont val="微软雅黑"/>
        <family val="2"/>
        <charset val="134"/>
      </rPr>
      <t>TE_5043</t>
    </r>
    <r>
      <rPr>
        <sz val="10"/>
        <rFont val="Noto Sans CJK SC"/>
        <family val="2"/>
      </rPr>
      <t>（画面可见，点表未收录）</t>
    </r>
  </si>
  <si>
    <t>R0327</t>
  </si>
  <si>
    <t>:Attr_040</t>
  </si>
  <si>
    <t>低位报警</t>
  </si>
  <si>
    <t>R0328</t>
  </si>
  <si>
    <t>LT_PR</t>
  </si>
  <si>
    <r>
      <rPr>
        <sz val="10"/>
        <rFont val="Noto Sans CJK SC"/>
        <family val="2"/>
      </rPr>
      <t>破乳剂溶液的破乳剂进料流量（流股属性，测点位于管线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</si>
  <si>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R0329</t>
  </si>
  <si>
    <t>TI_1501A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</si>
  <si>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原点描述：破乳剂温度</t>
    </r>
    <r>
      <rPr>
        <sz val="10"/>
        <rFont val="微软雅黑"/>
        <family val="2"/>
        <charset val="134"/>
      </rPr>
      <t>a</t>
    </r>
  </si>
  <si>
    <t>R0330</t>
  </si>
  <si>
    <t>:TI_1501A</t>
  </si>
  <si>
    <t>TI_1501B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</si>
  <si>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原点描述：破乳剂温度</t>
    </r>
    <r>
      <rPr>
        <sz val="10"/>
        <rFont val="微软雅黑"/>
        <family val="2"/>
        <charset val="134"/>
      </rPr>
      <t>b</t>
    </r>
  </si>
  <si>
    <t>R0331</t>
  </si>
  <si>
    <t>:TI_1501B</t>
  </si>
  <si>
    <t>LT_1101A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</si>
  <si>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原点描述：破乳剂配置罐</t>
    </r>
    <r>
      <rPr>
        <sz val="10"/>
        <rFont val="微软雅黑"/>
        <family val="2"/>
        <charset val="134"/>
      </rPr>
      <t>R2120A</t>
    </r>
    <r>
      <rPr>
        <sz val="10"/>
        <rFont val="Noto Sans CJK SC"/>
        <family val="2"/>
      </rPr>
      <t>液位</t>
    </r>
  </si>
  <si>
    <t>R0332</t>
  </si>
  <si>
    <t>:LT_1101A</t>
  </si>
  <si>
    <t>LT_1101B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</si>
  <si>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原点描述：破乳剂配置罐</t>
    </r>
    <r>
      <rPr>
        <sz val="10"/>
        <rFont val="微软雅黑"/>
        <family val="2"/>
        <charset val="134"/>
      </rPr>
      <t>R2120B</t>
    </r>
    <r>
      <rPr>
        <sz val="10"/>
        <rFont val="Noto Sans CJK SC"/>
        <family val="2"/>
      </rPr>
      <t>液位</t>
    </r>
  </si>
  <si>
    <t>R0333</t>
  </si>
  <si>
    <t>:LT_1101B</t>
  </si>
  <si>
    <t>LT_1101C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</si>
  <si>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原点描述：破乳剂配置罐</t>
    </r>
    <r>
      <rPr>
        <sz val="10"/>
        <rFont val="微软雅黑"/>
        <family val="2"/>
        <charset val="134"/>
      </rPr>
      <t>R2120C</t>
    </r>
    <r>
      <rPr>
        <sz val="10"/>
        <rFont val="Noto Sans CJK SC"/>
        <family val="2"/>
      </rPr>
      <t>液位</t>
    </r>
  </si>
  <si>
    <t>R0334</t>
  </si>
  <si>
    <t>:LT_1101C</t>
  </si>
  <si>
    <t>LT_1101D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</si>
  <si>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原点描述：破乳剂配置罐</t>
    </r>
    <r>
      <rPr>
        <sz val="10"/>
        <rFont val="微软雅黑"/>
        <family val="2"/>
        <charset val="134"/>
      </rPr>
      <t>R2120D</t>
    </r>
    <r>
      <rPr>
        <sz val="10"/>
        <rFont val="Noto Sans CJK SC"/>
        <family val="2"/>
      </rPr>
      <t>液位</t>
    </r>
  </si>
  <si>
    <t>R0335</t>
  </si>
  <si>
    <t>:LT_1101D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</si>
  <si>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原点描述：破乳剂配制罐搅拌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频率反馈</t>
    </r>
  </si>
  <si>
    <t>R0336</t>
  </si>
  <si>
    <t>:PB_1001B_FB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</si>
  <si>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原点描述：破乳剂缓冲罐液位</t>
    </r>
  </si>
  <si>
    <t>R0337</t>
  </si>
  <si>
    <t>:LT_PR</t>
  </si>
  <si>
    <r>
      <rPr>
        <sz val="10"/>
        <rFont val="Noto Sans CJK SC"/>
        <family val="2"/>
      </rPr>
      <t>破乳剂配制程序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流量模式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液位模式</t>
    </r>
    <r>
      <rPr>
        <sz val="10"/>
        <rFont val="微软雅黑"/>
        <family val="2"/>
        <charset val="134"/>
      </rPr>
      <t>)</t>
    </r>
  </si>
  <si>
    <t>画面参数：搅拌时间、配制温度、出料最低压力、加热水液位</t>
  </si>
  <si>
    <t>R0338</t>
  </si>
  <si>
    <t>:Seq_03</t>
  </si>
  <si>
    <t>破乳剂低位报警</t>
  </si>
  <si>
    <t>越限触发“破乳剂低位报警”：破乳剂断供→提取乳化跑相</t>
  </si>
  <si>
    <t>R0339</t>
  </si>
  <si>
    <t>:Alarm_03</t>
  </si>
  <si>
    <t>计量泵进料</t>
  </si>
  <si>
    <t>R0340</t>
  </si>
  <si>
    <t>R0341</t>
  </si>
  <si>
    <t>蒸汽</t>
  </si>
  <si>
    <t>供给介质</t>
  </si>
  <si>
    <t>加热配制</t>
  </si>
  <si>
    <t>R0342</t>
  </si>
  <si>
    <t>:MS_Steam</t>
  </si>
  <si>
    <t>:suppliesUtility</t>
  </si>
  <si>
    <r>
      <rPr>
        <sz val="10"/>
        <rFont val="Noto Sans CJK SC"/>
        <family val="2"/>
      </rPr>
      <t>压缩空气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仪表气</t>
    </r>
  </si>
  <si>
    <r>
      <rPr>
        <sz val="10"/>
        <rFont val="Noto Sans CJK SC"/>
        <family val="2"/>
      </rPr>
      <t>压料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搅拌辅助</t>
    </r>
  </si>
  <si>
    <t>R0343</t>
  </si>
  <si>
    <t>:MS_CompAir</t>
  </si>
  <si>
    <t>R0344</t>
  </si>
  <si>
    <r>
      <rPr>
        <sz val="10"/>
        <rFont val="Noto Sans CJK SC"/>
        <family val="2"/>
      </rPr>
      <t>液位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压力出料模式</t>
    </r>
  </si>
  <si>
    <t>R0345</t>
  </si>
  <si>
    <t>R0346</t>
  </si>
  <si>
    <t>R0347</t>
  </si>
  <si>
    <t>破乳剂溶解均匀度</t>
  </si>
  <si>
    <t>温度适当提高助溶</t>
  </si>
  <si>
    <t>R0348</t>
  </si>
  <si>
    <t>:Attr_312</t>
  </si>
  <si>
    <t>配制不均导致有效投加量波动</t>
  </si>
  <si>
    <t>R0349</t>
  </si>
  <si>
    <t>衔接物料：水洗重相。水洗重相罐物料返回提取回收青霉素</t>
  </si>
  <si>
    <t>S05</t>
  </si>
  <si>
    <t>R0350</t>
  </si>
  <si>
    <t>活性炭脱色与芬特过滤</t>
  </si>
  <si>
    <r>
      <rPr>
        <sz val="10"/>
        <rFont val="Noto Sans CJK SC"/>
        <family val="2"/>
      </rPr>
      <t>衔接物料：水洗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。水洗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V2142A/B</t>
    </r>
    <r>
      <rPr>
        <sz val="10"/>
        <rFont val="Noto Sans CJK SC"/>
        <family val="2"/>
      </rPr>
      <t>经水洗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泵送脱色罐</t>
    </r>
  </si>
  <si>
    <t>R0351</t>
  </si>
  <si>
    <t>:Area_S06_Decolorization</t>
  </si>
  <si>
    <t>水洗离心机组</t>
  </si>
  <si>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水洗包含碟片离心机“水洗离心机组”</t>
    </r>
  </si>
  <si>
    <t>R0352</t>
  </si>
  <si>
    <t>:WashCentrifugeGroup</t>
  </si>
  <si>
    <t>水洗</t>
  </si>
  <si>
    <r>
      <rPr>
        <sz val="10"/>
        <rFont val="Noto Sans CJK SC"/>
        <family val="2"/>
      </rPr>
      <t>水洗离心机</t>
    </r>
    <r>
      <rPr>
        <sz val="10"/>
        <rFont val="微软雅黑"/>
        <family val="2"/>
        <charset val="134"/>
      </rPr>
      <t>1(II_10SXA)</t>
    </r>
  </si>
  <si>
    <r>
      <rPr>
        <sz val="10"/>
        <rFont val="Noto Sans CJK SC"/>
        <family val="2"/>
      </rPr>
      <t>水洗离心机组的并联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</si>
  <si>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R0353</t>
  </si>
  <si>
    <t>:WashCentrifugeGroup_M01</t>
  </si>
  <si>
    <r>
      <rPr>
        <sz val="10"/>
        <rFont val="Noto Sans CJK SC"/>
        <family val="2"/>
      </rPr>
      <t>水洗离心机</t>
    </r>
    <r>
      <rPr>
        <sz val="10"/>
        <rFont val="微软雅黑"/>
        <family val="2"/>
        <charset val="134"/>
      </rPr>
      <t>2(II_10SXB)</t>
    </r>
  </si>
  <si>
    <t>R0354</t>
  </si>
  <si>
    <t>:WashCentrifugeGroup_M02</t>
  </si>
  <si>
    <r>
      <rPr>
        <sz val="10"/>
        <rFont val="Noto Sans CJK SC"/>
        <family val="2"/>
      </rPr>
      <t>水洗离心机</t>
    </r>
    <r>
      <rPr>
        <sz val="10"/>
        <rFont val="微软雅黑"/>
        <family val="2"/>
        <charset val="134"/>
      </rPr>
      <t>3(II_10SXC)</t>
    </r>
  </si>
  <si>
    <t>R0355</t>
  </si>
  <si>
    <t>:WashCentrifugeGroup_M03</t>
  </si>
  <si>
    <r>
      <rPr>
        <sz val="10"/>
        <rFont val="Noto Sans CJK SC"/>
        <family val="2"/>
      </rPr>
      <t>水洗离心机</t>
    </r>
    <r>
      <rPr>
        <sz val="10"/>
        <rFont val="微软雅黑"/>
        <family val="2"/>
        <charset val="134"/>
      </rPr>
      <t>4(II_10SXD)</t>
    </r>
  </si>
  <si>
    <t>R0356</t>
  </si>
  <si>
    <t>:WashCentrifugeGroup_M04</t>
  </si>
  <si>
    <r>
      <rPr>
        <sz val="10"/>
        <rFont val="Noto Sans CJK SC"/>
        <family val="2"/>
      </rPr>
      <t>水洗离心机</t>
    </r>
    <r>
      <rPr>
        <sz val="10"/>
        <rFont val="微软雅黑"/>
        <family val="2"/>
        <charset val="134"/>
      </rPr>
      <t>5(II_10SXE)</t>
    </r>
  </si>
  <si>
    <t>R0357</t>
  </si>
  <si>
    <t>:WashCentrifugeGroup_M05</t>
  </si>
  <si>
    <r>
      <rPr>
        <sz val="10"/>
        <rFont val="Noto Sans CJK SC"/>
        <family val="2"/>
      </rPr>
      <t>水洗离心机</t>
    </r>
    <r>
      <rPr>
        <sz val="10"/>
        <rFont val="微软雅黑"/>
        <family val="2"/>
        <charset val="134"/>
      </rPr>
      <t>6(II_10SXG)</t>
    </r>
  </si>
  <si>
    <t>R0358</t>
  </si>
  <si>
    <t>:WashCentrifugeGroup_M06</t>
  </si>
  <si>
    <r>
      <rPr>
        <sz val="10"/>
        <rFont val="Noto Sans CJK SC"/>
        <family val="2"/>
      </rPr>
      <t>水洗离心机</t>
    </r>
    <r>
      <rPr>
        <sz val="10"/>
        <rFont val="微软雅黑"/>
        <family val="2"/>
        <charset val="134"/>
      </rPr>
      <t>7(II_10SXF)</t>
    </r>
  </si>
  <si>
    <t>R0359</t>
  </si>
  <si>
    <t>:WashCentrifugeGroup_M07</t>
  </si>
  <si>
    <r>
      <rPr>
        <sz val="10"/>
        <rFont val="Noto Sans CJK SC"/>
        <family val="2"/>
      </rPr>
      <t>水洗离心机组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碟片分离转鼓</t>
    </r>
  </si>
  <si>
    <t>水洗离心机组配置碟片分离转鼓</t>
  </si>
  <si>
    <t>R0360</t>
  </si>
  <si>
    <t>:WashCentrifugeGroup_P01</t>
  </si>
  <si>
    <r>
      <rPr>
        <sz val="10"/>
        <rFont val="Noto Sans CJK SC"/>
        <family val="2"/>
      </rPr>
      <t>水洗离心机组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主电机</t>
    </r>
  </si>
  <si>
    <t>水洗离心机组配置主电机</t>
  </si>
  <si>
    <t>R0361</t>
  </si>
  <si>
    <t>:WashCentrifugeGroup_P02</t>
  </si>
  <si>
    <t>稀碱配制罐</t>
  </si>
  <si>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水洗包含配制罐“稀碱配制罐”</t>
    </r>
  </si>
  <si>
    <t>R0362</t>
  </si>
  <si>
    <t>:DiluteAlkaliTank</t>
  </si>
  <si>
    <r>
      <rPr>
        <sz val="10"/>
        <rFont val="Noto Sans CJK SC"/>
        <family val="2"/>
      </rPr>
      <t>稀碱配制罐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</si>
  <si>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t>稀碱配制罐配置液位计</t>
  </si>
  <si>
    <t>R0363</t>
  </si>
  <si>
    <t>:DiluteAlkaliTank_P01</t>
  </si>
  <si>
    <r>
      <rPr>
        <sz val="10"/>
        <rFont val="Noto Sans CJK SC"/>
        <family val="2"/>
      </rPr>
      <t>稀碱配制罐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温度计</t>
    </r>
  </si>
  <si>
    <t>稀碱配制罐配置温度计</t>
  </si>
  <si>
    <t>R0364</t>
  </si>
  <si>
    <t>:DiluteAlkaliTank_P02</t>
  </si>
  <si>
    <r>
      <rPr>
        <sz val="10"/>
        <rFont val="Noto Sans CJK SC"/>
        <family val="2"/>
      </rPr>
      <t>稀碱配制罐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蒸汽阀</t>
    </r>
  </si>
  <si>
    <t>稀碱配制罐配置蒸汽阀</t>
  </si>
  <si>
    <t>R0365</t>
  </si>
  <si>
    <t>:DiluteAlkaliTank_P03</t>
  </si>
  <si>
    <r>
      <rPr>
        <sz val="10"/>
        <rFont val="Noto Sans CJK SC"/>
        <family val="2"/>
      </rPr>
      <t>浓碱罐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液碱罐</t>
    </r>
  </si>
  <si>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水洗包含储罐“浓碱罐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液碱罐”</t>
    </r>
  </si>
  <si>
    <t>R0366</t>
  </si>
  <si>
    <t>:ConcAlkaliTank</t>
  </si>
  <si>
    <r>
      <rPr>
        <sz val="10"/>
        <rFont val="Noto Sans CJK SC"/>
        <family val="2"/>
      </rPr>
      <t>浓碱罐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液碱罐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</si>
  <si>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r>
      <rPr>
        <sz val="10"/>
        <rFont val="Noto Sans CJK SC"/>
        <family val="2"/>
      </rPr>
      <t>浓碱罐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液碱罐配置液位计</t>
    </r>
  </si>
  <si>
    <t>R0367</t>
  </si>
  <si>
    <t>:ConcAlkaliTank_P01</t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</si>
  <si>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</si>
  <si>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水洗包含储罐“水洗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罐”</t>
    </r>
  </si>
  <si>
    <t>R0368</t>
  </si>
  <si>
    <t>:WashBATank</t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</si>
  <si>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V2142A</t>
    </r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</si>
  <si>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</si>
  <si>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R0369</t>
  </si>
  <si>
    <t>:WashBATank_M01</t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</si>
  <si>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V2142B</t>
    </r>
  </si>
  <si>
    <t>R0370</t>
  </si>
  <si>
    <t>:WashBATank_M02</t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</si>
  <si>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</si>
  <si>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罐配置液位计</t>
    </r>
  </si>
  <si>
    <t>R0371</t>
  </si>
  <si>
    <t>:WashBATank_P01</t>
  </si>
  <si>
    <t>水洗重相罐</t>
  </si>
  <si>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水洗包含储罐“水洗重相罐”</t>
    </r>
  </si>
  <si>
    <t>R0372</t>
  </si>
  <si>
    <t>:WashHeavyTank</t>
  </si>
  <si>
    <r>
      <rPr>
        <sz val="10"/>
        <rFont val="Noto Sans CJK SC"/>
        <family val="2"/>
      </rPr>
      <t>水洗重相罐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</si>
  <si>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t>水洗重相罐配置液位计</t>
  </si>
  <si>
    <t>R0373</t>
  </si>
  <si>
    <t>:WashHeavyTank_P01</t>
  </si>
  <si>
    <r>
      <rPr>
        <sz val="10"/>
        <rFont val="Noto Sans CJK SC"/>
        <family val="2"/>
      </rPr>
      <t>水洗重相罐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调节阀</t>
    </r>
    <r>
      <rPr>
        <sz val="10"/>
        <rFont val="微软雅黑"/>
        <family val="2"/>
        <charset val="134"/>
      </rPr>
      <t>HV_1007</t>
    </r>
  </si>
  <si>
    <r>
      <rPr>
        <sz val="10"/>
        <rFont val="Noto Sans CJK SC"/>
        <family val="2"/>
      </rPr>
      <t>水洗重相罐配置调节阀</t>
    </r>
    <r>
      <rPr>
        <sz val="10"/>
        <rFont val="微软雅黑"/>
        <family val="2"/>
        <charset val="134"/>
      </rPr>
      <t>HV_1007</t>
    </r>
  </si>
  <si>
    <t>R0374</t>
  </si>
  <si>
    <t>:WashHeavyTank_P02</t>
  </si>
  <si>
    <t>一次水罐</t>
  </si>
  <si>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水洗包含储罐“一次水罐”</t>
    </r>
  </si>
  <si>
    <t>R0375</t>
  </si>
  <si>
    <t>:PrimaryWaterTank</t>
  </si>
  <si>
    <r>
      <rPr>
        <sz val="10"/>
        <rFont val="Noto Sans CJK SC"/>
        <family val="2"/>
      </rPr>
      <t>一次水罐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</si>
  <si>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t>一次水罐配置液位计</t>
  </si>
  <si>
    <t>R0376</t>
  </si>
  <si>
    <t>:PrimaryWaterTank_P01</t>
  </si>
  <si>
    <r>
      <rPr>
        <sz val="10"/>
        <rFont val="Noto Sans CJK SC"/>
        <family val="2"/>
      </rPr>
      <t>水洗进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流量</t>
    </r>
  </si>
  <si>
    <r>
      <rPr>
        <sz val="10"/>
        <rFont val="Noto Sans CJK SC"/>
        <family val="2"/>
      </rPr>
      <t>水洗离心机组的水洗进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流量</t>
    </r>
  </si>
  <si>
    <t>R0377</t>
  </si>
  <si>
    <t>:Attr_042</t>
  </si>
  <si>
    <r>
      <rPr>
        <sz val="10"/>
        <rFont val="微软雅黑"/>
        <family val="2"/>
        <charset val="134"/>
      </rPr>
      <t>FT_1107A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FT_1107B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FT_1107C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FT_1107D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FT_1107E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FT_1107F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FT_1110A</t>
    </r>
  </si>
  <si>
    <t>水洗进水流量</t>
  </si>
  <si>
    <t>水洗离心机组的水洗进水流量</t>
  </si>
  <si>
    <t>R0378</t>
  </si>
  <si>
    <t>:Attr_043</t>
  </si>
  <si>
    <r>
      <rPr>
        <sz val="10"/>
        <rFont val="微软雅黑"/>
        <family val="2"/>
        <charset val="134"/>
      </rPr>
      <t>FT_1108A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FT_1108B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FT_1108C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FT_1108D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FT_1108E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FT_1108F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FT_1110B</t>
    </r>
  </si>
  <si>
    <t>水洗离心机电流</t>
  </si>
  <si>
    <t>水洗离心机组的水洗离心机电流</t>
  </si>
  <si>
    <t>R0379</t>
  </si>
  <si>
    <t>:Attr_044</t>
  </si>
  <si>
    <r>
      <rPr>
        <sz val="10"/>
        <rFont val="微软雅黑"/>
        <family val="2"/>
        <charset val="134"/>
      </rPr>
      <t>II_10SXA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II_10SXB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II_10SXC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II_10SXD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II_10SXE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II_10SXF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II_10SXG</t>
    </r>
  </si>
  <si>
    <r>
      <rPr>
        <sz val="10"/>
        <rFont val="Noto Sans CJK SC"/>
        <family val="2"/>
      </rPr>
      <t>水洗重相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</si>
  <si>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水洗重相罐的水洗重相</t>
    </r>
    <r>
      <rPr>
        <sz val="10"/>
        <rFont val="微软雅黑"/>
        <family val="2"/>
        <charset val="134"/>
      </rPr>
      <t>pH</t>
    </r>
  </si>
  <si>
    <t>R0380</t>
  </si>
  <si>
    <t>:Attr_045</t>
  </si>
  <si>
    <t>AT_1112</t>
  </si>
  <si>
    <t>水洗重相罐液位</t>
  </si>
  <si>
    <t>高位报警</t>
  </si>
  <si>
    <t>R0381</t>
  </si>
  <si>
    <t>:Attr_046</t>
  </si>
  <si>
    <t>LT_SXZX</t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</si>
  <si>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罐液位</t>
    </r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</si>
  <si>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罐的水洗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罐液位</t>
    </r>
  </si>
  <si>
    <t>R0382</t>
  </si>
  <si>
    <t>:Attr_047</t>
  </si>
  <si>
    <r>
      <rPr>
        <sz val="10"/>
        <rFont val="微软雅黑"/>
        <family val="2"/>
        <charset val="134"/>
      </rPr>
      <t>LT_1104A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LT_1104B</t>
    </r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</si>
  <si>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外送流量</t>
    </r>
  </si>
  <si>
    <t>去脱色</t>
  </si>
  <si>
    <t>R0383</t>
  </si>
  <si>
    <t>:Attr_048</t>
  </si>
  <si>
    <t>FT_1002</t>
  </si>
  <si>
    <t>稀碱罐液位</t>
  </si>
  <si>
    <t>稀碱配制罐的稀碱罐液位</t>
  </si>
  <si>
    <t>R0384</t>
  </si>
  <si>
    <t>:Attr_049</t>
  </si>
  <si>
    <r>
      <rPr>
        <sz val="10"/>
        <rFont val="微软雅黑"/>
        <family val="2"/>
        <charset val="134"/>
      </rPr>
      <t>LT_XJ_A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LT_XJ_B</t>
    </r>
  </si>
  <si>
    <t>稀碱温度</t>
  </si>
  <si>
    <t>蒸汽加热</t>
  </si>
  <si>
    <t>R0385</t>
  </si>
  <si>
    <t>:Attr_050</t>
  </si>
  <si>
    <t>TI_1001</t>
  </si>
  <si>
    <t>浓碱进碱流量</t>
  </si>
  <si>
    <r>
      <rPr>
        <sz val="10"/>
        <rFont val="Noto Sans CJK SC"/>
        <family val="2"/>
      </rPr>
      <t>浓碱罐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液碱罐的浓碱进碱流量</t>
    </r>
  </si>
  <si>
    <t>R0386</t>
  </si>
  <si>
    <t>:Attr_051</t>
  </si>
  <si>
    <t>FT_NJ01</t>
  </si>
  <si>
    <t>一次水罐液位</t>
  </si>
  <si>
    <t>一次水罐的一次水罐液位</t>
  </si>
  <si>
    <t>R0387</t>
  </si>
  <si>
    <t>:Attr_052</t>
  </si>
  <si>
    <t>LT_1108</t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</si>
  <si>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含水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杂质</t>
    </r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</si>
  <si>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罐的水洗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含水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杂质（机理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</si>
  <si>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R0388</t>
  </si>
  <si>
    <t>:QKPI_255</t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</si>
  <si>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</si>
  <si>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的水洗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含水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杂质（流股属性，测点位于管线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</si>
  <si>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R0389</t>
  </si>
  <si>
    <t>:MS_WashBA</t>
  </si>
  <si>
    <t>FT_1107A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</si>
  <si>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原点描述：水洗离心机</t>
    </r>
    <r>
      <rPr>
        <sz val="10"/>
        <rFont val="微软雅黑"/>
        <family val="2"/>
        <charset val="134"/>
      </rPr>
      <t>X2141A</t>
    </r>
    <r>
      <rPr>
        <sz val="10"/>
        <rFont val="Noto Sans CJK SC"/>
        <family val="2"/>
      </rPr>
      <t>进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流量（浮子流量计）</t>
    </r>
  </si>
  <si>
    <t>R0390</t>
  </si>
  <si>
    <t>:FT_1107A</t>
  </si>
  <si>
    <t>FT_1107B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</si>
  <si>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原点描述：水洗离心机</t>
    </r>
    <r>
      <rPr>
        <sz val="10"/>
        <rFont val="微软雅黑"/>
        <family val="2"/>
        <charset val="134"/>
      </rPr>
      <t>X2141B</t>
    </r>
    <r>
      <rPr>
        <sz val="10"/>
        <rFont val="Noto Sans CJK SC"/>
        <family val="2"/>
      </rPr>
      <t>进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流量（浮子流量计）</t>
    </r>
  </si>
  <si>
    <t>R0391</t>
  </si>
  <si>
    <t>:FT_1107B</t>
  </si>
  <si>
    <t>FT_1107C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</si>
  <si>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原点描述：水洗离心机</t>
    </r>
    <r>
      <rPr>
        <sz val="10"/>
        <rFont val="微软雅黑"/>
        <family val="2"/>
        <charset val="134"/>
      </rPr>
      <t>X2141C</t>
    </r>
    <r>
      <rPr>
        <sz val="10"/>
        <rFont val="Noto Sans CJK SC"/>
        <family val="2"/>
      </rPr>
      <t>进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流量（浮子流量计）</t>
    </r>
  </si>
  <si>
    <t>R0392</t>
  </si>
  <si>
    <t>:FT_1107C</t>
  </si>
  <si>
    <t>FT_1107D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</si>
  <si>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原点描述：水洗离心机</t>
    </r>
    <r>
      <rPr>
        <sz val="10"/>
        <rFont val="微软雅黑"/>
        <family val="2"/>
        <charset val="134"/>
      </rPr>
      <t>X2141D</t>
    </r>
    <r>
      <rPr>
        <sz val="10"/>
        <rFont val="Noto Sans CJK SC"/>
        <family val="2"/>
      </rPr>
      <t>进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流量（浮子流量计）</t>
    </r>
  </si>
  <si>
    <t>R0393</t>
  </si>
  <si>
    <t>:FT_1107D</t>
  </si>
  <si>
    <t>FT_1107E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</si>
  <si>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原点描述：水洗离心机</t>
    </r>
    <r>
      <rPr>
        <sz val="10"/>
        <rFont val="微软雅黑"/>
        <family val="2"/>
        <charset val="134"/>
      </rPr>
      <t>X2141E</t>
    </r>
    <r>
      <rPr>
        <sz val="10"/>
        <rFont val="Noto Sans CJK SC"/>
        <family val="2"/>
      </rPr>
      <t>进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流量（浮子流量计）</t>
    </r>
  </si>
  <si>
    <t>R0394</t>
  </si>
  <si>
    <t>:FT_1107E</t>
  </si>
  <si>
    <t>FT_1107F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</si>
  <si>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原点描述：水洗离心机</t>
    </r>
    <r>
      <rPr>
        <sz val="10"/>
        <rFont val="微软雅黑"/>
        <family val="2"/>
        <charset val="134"/>
      </rPr>
      <t>X2141F</t>
    </r>
    <r>
      <rPr>
        <sz val="10"/>
        <rFont val="Noto Sans CJK SC"/>
        <family val="2"/>
      </rPr>
      <t>进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流量（浮子流量计）</t>
    </r>
  </si>
  <si>
    <t>R0395</t>
  </si>
  <si>
    <t>:FT_1107F</t>
  </si>
  <si>
    <t>FT_1110A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</si>
  <si>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原点描述：水洗离心机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进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流量</t>
    </r>
  </si>
  <si>
    <t>R0396</t>
  </si>
  <si>
    <t>:FT_1110A</t>
  </si>
  <si>
    <t>FT_1108A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</si>
  <si>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原点描述：水洗离心机</t>
    </r>
    <r>
      <rPr>
        <sz val="10"/>
        <rFont val="微软雅黑"/>
        <family val="2"/>
        <charset val="134"/>
      </rPr>
      <t>X2141A</t>
    </r>
    <r>
      <rPr>
        <sz val="10"/>
        <rFont val="Noto Sans CJK SC"/>
        <family val="2"/>
      </rPr>
      <t>进水流量（</t>
    </r>
    <r>
      <rPr>
        <sz val="10"/>
        <rFont val="微软雅黑"/>
        <family val="2"/>
        <charset val="134"/>
      </rPr>
      <t>DN25</t>
    </r>
    <r>
      <rPr>
        <sz val="10"/>
        <rFont val="Noto Sans CJK SC"/>
        <family val="2"/>
      </rPr>
      <t>利旧）</t>
    </r>
  </si>
  <si>
    <t>R0397</t>
  </si>
  <si>
    <t>:FT_1108A</t>
  </si>
  <si>
    <t>FT_1108B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</si>
  <si>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原点描述：水洗离心机</t>
    </r>
    <r>
      <rPr>
        <sz val="10"/>
        <rFont val="微软雅黑"/>
        <family val="2"/>
        <charset val="134"/>
      </rPr>
      <t>X2141B</t>
    </r>
    <r>
      <rPr>
        <sz val="10"/>
        <rFont val="Noto Sans CJK SC"/>
        <family val="2"/>
      </rPr>
      <t>进水流量（</t>
    </r>
    <r>
      <rPr>
        <sz val="10"/>
        <rFont val="微软雅黑"/>
        <family val="2"/>
        <charset val="134"/>
      </rPr>
      <t>DN25</t>
    </r>
    <r>
      <rPr>
        <sz val="10"/>
        <rFont val="Noto Sans CJK SC"/>
        <family val="2"/>
      </rPr>
      <t>利旧）</t>
    </r>
  </si>
  <si>
    <t>R0398</t>
  </si>
  <si>
    <t>:FT_1108B</t>
  </si>
  <si>
    <t>FT_1108C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</si>
  <si>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原点描述：水洗离心机</t>
    </r>
    <r>
      <rPr>
        <sz val="10"/>
        <rFont val="微软雅黑"/>
        <family val="2"/>
        <charset val="134"/>
      </rPr>
      <t>X2141C</t>
    </r>
    <r>
      <rPr>
        <sz val="10"/>
        <rFont val="Noto Sans CJK SC"/>
        <family val="2"/>
      </rPr>
      <t>进水流量（</t>
    </r>
    <r>
      <rPr>
        <sz val="10"/>
        <rFont val="微软雅黑"/>
        <family val="2"/>
        <charset val="134"/>
      </rPr>
      <t>DN25</t>
    </r>
    <r>
      <rPr>
        <sz val="10"/>
        <rFont val="Noto Sans CJK SC"/>
        <family val="2"/>
      </rPr>
      <t>利旧）</t>
    </r>
  </si>
  <si>
    <t>R0399</t>
  </si>
  <si>
    <t>:FT_1108C</t>
  </si>
  <si>
    <t>FT_1108D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</si>
  <si>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原点描述：水洗离心机</t>
    </r>
    <r>
      <rPr>
        <sz val="10"/>
        <rFont val="微软雅黑"/>
        <family val="2"/>
        <charset val="134"/>
      </rPr>
      <t>X2141D</t>
    </r>
    <r>
      <rPr>
        <sz val="10"/>
        <rFont val="Noto Sans CJK SC"/>
        <family val="2"/>
      </rPr>
      <t>进水流量（</t>
    </r>
    <r>
      <rPr>
        <sz val="10"/>
        <rFont val="微软雅黑"/>
        <family val="2"/>
        <charset val="134"/>
      </rPr>
      <t>DN25</t>
    </r>
    <r>
      <rPr>
        <sz val="10"/>
        <rFont val="Noto Sans CJK SC"/>
        <family val="2"/>
      </rPr>
      <t>利旧）</t>
    </r>
  </si>
  <si>
    <t>R0400</t>
  </si>
  <si>
    <t>:FT_1108D</t>
  </si>
  <si>
    <t>FT_1108E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</si>
  <si>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原点描述：水洗离心机</t>
    </r>
    <r>
      <rPr>
        <sz val="10"/>
        <rFont val="微软雅黑"/>
        <family val="2"/>
        <charset val="134"/>
      </rPr>
      <t>X2141E</t>
    </r>
    <r>
      <rPr>
        <sz val="10"/>
        <rFont val="Noto Sans CJK SC"/>
        <family val="2"/>
      </rPr>
      <t>进水流量（</t>
    </r>
    <r>
      <rPr>
        <sz val="10"/>
        <rFont val="微软雅黑"/>
        <family val="2"/>
        <charset val="134"/>
      </rPr>
      <t>DN25</t>
    </r>
    <r>
      <rPr>
        <sz val="10"/>
        <rFont val="Noto Sans CJK SC"/>
        <family val="2"/>
      </rPr>
      <t>）</t>
    </r>
  </si>
  <si>
    <t>R0401</t>
  </si>
  <si>
    <t>:FT_1108E</t>
  </si>
  <si>
    <t>FT_1108F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</si>
  <si>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原点描述：水洗离心机</t>
    </r>
    <r>
      <rPr>
        <sz val="10"/>
        <rFont val="微软雅黑"/>
        <family val="2"/>
        <charset val="134"/>
      </rPr>
      <t>X2141F</t>
    </r>
    <r>
      <rPr>
        <sz val="10"/>
        <rFont val="Noto Sans CJK SC"/>
        <family val="2"/>
      </rPr>
      <t>进水流量（</t>
    </r>
    <r>
      <rPr>
        <sz val="10"/>
        <rFont val="微软雅黑"/>
        <family val="2"/>
        <charset val="134"/>
      </rPr>
      <t>DN25</t>
    </r>
    <r>
      <rPr>
        <sz val="10"/>
        <rFont val="Noto Sans CJK SC"/>
        <family val="2"/>
      </rPr>
      <t>）</t>
    </r>
  </si>
  <si>
    <t>R0402</t>
  </si>
  <si>
    <t>:FT_1108F</t>
  </si>
  <si>
    <t>FT_1110B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</si>
  <si>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原点描述：水洗离心机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进水流量</t>
    </r>
  </si>
  <si>
    <t>R0403</t>
  </si>
  <si>
    <t>:FT_1110B</t>
  </si>
  <si>
    <t>II_10SXA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</si>
  <si>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原点描述：水洗离心机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电流反馈</t>
    </r>
  </si>
  <si>
    <t>R0404</t>
  </si>
  <si>
    <t>:II_10SXA</t>
  </si>
  <si>
    <t>II_10SXB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</si>
  <si>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原点描述：水洗离心机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电流反馈</t>
    </r>
  </si>
  <si>
    <t>R0405</t>
  </si>
  <si>
    <t>:II_10SXB</t>
  </si>
  <si>
    <t>II_10SXC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</si>
  <si>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原点描述：水洗离心机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电流反馈</t>
    </r>
  </si>
  <si>
    <t>R0406</t>
  </si>
  <si>
    <t>:II_10SXC</t>
  </si>
  <si>
    <t>II_10SXD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</si>
  <si>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原点描述：水洗离心机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电流反馈</t>
    </r>
  </si>
  <si>
    <t>R0407</t>
  </si>
  <si>
    <t>:II_10SXD</t>
  </si>
  <si>
    <t>II_10SXE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</si>
  <si>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原点描述：水洗离心机</t>
    </r>
    <r>
      <rPr>
        <sz val="10"/>
        <rFont val="微软雅黑"/>
        <family val="2"/>
        <charset val="134"/>
      </rPr>
      <t>E</t>
    </r>
    <r>
      <rPr>
        <sz val="10"/>
        <rFont val="Noto Sans CJK SC"/>
        <family val="2"/>
      </rPr>
      <t>电流反馈</t>
    </r>
  </si>
  <si>
    <t>R0408</t>
  </si>
  <si>
    <t>:II_10SXE</t>
  </si>
  <si>
    <t>II_10SXF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</si>
  <si>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原点描述：水洗离心机</t>
    </r>
    <r>
      <rPr>
        <sz val="10"/>
        <rFont val="微软雅黑"/>
        <family val="2"/>
        <charset val="134"/>
      </rPr>
      <t>F</t>
    </r>
    <r>
      <rPr>
        <sz val="10"/>
        <rFont val="Noto Sans CJK SC"/>
        <family val="2"/>
      </rPr>
      <t>电流反馈</t>
    </r>
  </si>
  <si>
    <t>R0409</t>
  </si>
  <si>
    <t>:II_10SXF</t>
  </si>
  <si>
    <t>II_10SXG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</si>
  <si>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原点描述：水洗离心机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电流反馈</t>
    </r>
  </si>
  <si>
    <t>R0410</t>
  </si>
  <si>
    <t>:II_10SXG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</si>
  <si>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水洗重项</t>
    </r>
  </si>
  <si>
    <t>R0411</t>
  </si>
  <si>
    <t>:AT_1112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</si>
  <si>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原点描述：水洗重相罐液位</t>
    </r>
  </si>
  <si>
    <t>R0412</t>
  </si>
  <si>
    <t>:LT_SXZX</t>
  </si>
  <si>
    <t>LT_1104A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</si>
  <si>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V2142A</t>
    </r>
    <r>
      <rPr>
        <sz val="10"/>
        <rFont val="Noto Sans CJK SC"/>
        <family val="2"/>
      </rPr>
      <t>液位</t>
    </r>
  </si>
  <si>
    <t>R0413</t>
  </si>
  <si>
    <t>:LT_1104A</t>
  </si>
  <si>
    <t>LT_1104B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</si>
  <si>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V2142B</t>
    </r>
    <r>
      <rPr>
        <sz val="10"/>
        <rFont val="Noto Sans CJK SC"/>
        <family val="2"/>
      </rPr>
      <t>液位</t>
    </r>
  </si>
  <si>
    <t>R0414</t>
  </si>
  <si>
    <t>:LT_1104B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</si>
  <si>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罐出口管道流量检测</t>
    </r>
  </si>
  <si>
    <t>R0415</t>
  </si>
  <si>
    <t>:FT_1002</t>
  </si>
  <si>
    <t>LT_XJ_A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</si>
  <si>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原点描述：稀碱配制罐液位</t>
    </r>
    <r>
      <rPr>
        <sz val="10"/>
        <rFont val="微软雅黑"/>
        <family val="2"/>
        <charset val="134"/>
      </rPr>
      <t>A</t>
    </r>
  </si>
  <si>
    <t>R0416</t>
  </si>
  <si>
    <t>:LT_XJ_A</t>
  </si>
  <si>
    <t>LT_XJ_B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</si>
  <si>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原点描述：稀碱配制罐液位</t>
    </r>
    <r>
      <rPr>
        <sz val="10"/>
        <rFont val="微软雅黑"/>
        <family val="2"/>
        <charset val="134"/>
      </rPr>
      <t>B</t>
    </r>
  </si>
  <si>
    <t>R0417</t>
  </si>
  <si>
    <t>:LT_XJ_B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</si>
  <si>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原点描述：稀碱配制罐温度检测</t>
    </r>
  </si>
  <si>
    <t>R0418</t>
  </si>
  <si>
    <t>:TI_1001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</si>
  <si>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原点描述：浓碱罐进碱流量</t>
    </r>
  </si>
  <si>
    <t>R0419</t>
  </si>
  <si>
    <t>:FT_NJ01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</si>
  <si>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原点描述：一次水罐液位</t>
    </r>
  </si>
  <si>
    <t>R0420</t>
  </si>
  <si>
    <t>:LT_1108</t>
  </si>
  <si>
    <r>
      <rPr>
        <sz val="10"/>
        <rFont val="Noto Sans CJK SC"/>
        <family val="2"/>
      </rPr>
      <t>水洗重相外送控制器</t>
    </r>
    <r>
      <rPr>
        <sz val="10"/>
        <rFont val="微软雅黑"/>
        <family val="2"/>
        <charset val="134"/>
      </rPr>
      <t>(LIC-SXZ)</t>
    </r>
  </si>
  <si>
    <r>
      <rPr>
        <sz val="10"/>
        <rFont val="Noto Sans CJK SC"/>
        <family val="2"/>
      </rPr>
      <t>水洗重相罐泵后调节阀</t>
    </r>
    <r>
      <rPr>
        <sz val="10"/>
        <rFont val="微软雅黑"/>
        <family val="2"/>
        <charset val="134"/>
      </rPr>
      <t>HV_1007</t>
    </r>
  </si>
  <si>
    <t>R0421</t>
  </si>
  <si>
    <t>:Ctrl_008</t>
  </si>
  <si>
    <t>:Act_008</t>
  </si>
  <si>
    <t>HV_1007_AO</t>
  </si>
  <si>
    <r>
      <rPr>
        <sz val="10"/>
        <rFont val="Noto Sans CJK SC"/>
        <family val="2"/>
      </rPr>
      <t>水洗重相罐液位作为过程变量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反馈给水洗重相外送控制器</t>
    </r>
    <r>
      <rPr>
        <sz val="10"/>
        <rFont val="微软雅黑"/>
        <family val="2"/>
        <charset val="134"/>
      </rPr>
      <t>(LIC-SXZ)</t>
    </r>
  </si>
  <si>
    <t>R0422</t>
  </si>
  <si>
    <r>
      <rPr>
        <sz val="10"/>
        <rFont val="Noto Sans CJK SC"/>
        <family val="2"/>
      </rPr>
      <t>水洗重相罐泵后调节阀</t>
    </r>
    <r>
      <rPr>
        <sz val="10"/>
        <rFont val="微软雅黑"/>
        <family val="2"/>
        <charset val="134"/>
      </rPr>
      <t>HV_1007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频率变化直接改变水洗重相罐液位</t>
    </r>
  </si>
  <si>
    <t>R0423</t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</si>
  <si>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泵转速控制器</t>
    </r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</si>
  <si>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泵变频器</t>
    </r>
    <r>
      <rPr>
        <sz val="10"/>
        <rFont val="微软雅黑"/>
        <family val="2"/>
        <charset val="134"/>
      </rPr>
      <t>PB_1026</t>
    </r>
  </si>
  <si>
    <t>R0424</t>
  </si>
  <si>
    <t>:Ctrl_009</t>
  </si>
  <si>
    <t>:Act_009</t>
  </si>
  <si>
    <r>
      <rPr>
        <sz val="10"/>
        <rFont val="微软雅黑"/>
        <family val="2"/>
        <charset val="134"/>
      </rPr>
      <t>PB_1026A_AO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PB_1026B_AO</t>
    </r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</si>
  <si>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罐液位作为过程变量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泵转速控制器</t>
    </r>
  </si>
  <si>
    <t>R0425</t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</si>
  <si>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泵变频器</t>
    </r>
    <r>
      <rPr>
        <sz val="10"/>
        <rFont val="微软雅黑"/>
        <family val="2"/>
        <charset val="134"/>
      </rPr>
      <t>PB_1026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罐液位</t>
    </r>
  </si>
  <si>
    <t>R0426</t>
  </si>
  <si>
    <t>水洗重相罐高位报警</t>
  </si>
  <si>
    <t>越限触发“水洗重相罐高位报警”：需加快返提取</t>
  </si>
  <si>
    <t>R0427</t>
  </si>
  <si>
    <t>:Alarm_05</t>
  </si>
  <si>
    <t>画面：去水洗离心机</t>
  </si>
  <si>
    <t>R0428</t>
  </si>
  <si>
    <t>洗涤水</t>
  </si>
  <si>
    <t>R0429</t>
  </si>
  <si>
    <t>浓碱稀释</t>
  </si>
  <si>
    <t>R0430</t>
  </si>
  <si>
    <t>R0431</t>
  </si>
  <si>
    <r>
      <rPr>
        <sz val="10"/>
        <rFont val="Noto Sans CJK SC"/>
        <family val="2"/>
      </rPr>
      <t>稀碱进口控制阀（</t>
    </r>
    <r>
      <rPr>
        <sz val="10"/>
        <rFont val="微软雅黑"/>
        <family val="2"/>
        <charset val="134"/>
      </rPr>
      <t>B6/B7</t>
    </r>
    <r>
      <rPr>
        <sz val="10"/>
        <rFont val="Noto Sans CJK SC"/>
        <family val="2"/>
      </rPr>
      <t>）</t>
    </r>
  </si>
  <si>
    <t>洗涤过程</t>
  </si>
  <si>
    <t>R0432</t>
  </si>
  <si>
    <t>R0433</t>
  </si>
  <si>
    <t>重相</t>
  </si>
  <si>
    <t>R0434</t>
  </si>
  <si>
    <t>R0435</t>
  </si>
  <si>
    <t>R0436</t>
  </si>
  <si>
    <t>脱色罐组</t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</si>
  <si>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泵→去脱色</t>
    </r>
    <r>
      <rPr>
        <sz val="10"/>
        <rFont val="微软雅黑"/>
        <family val="2"/>
        <charset val="134"/>
      </rPr>
      <t>(FT_1002)</t>
    </r>
  </si>
  <si>
    <t>R0437</t>
  </si>
  <si>
    <t>:DecolorTankGroup</t>
  </si>
  <si>
    <t>洗水比例提高，水溶性杂质与酸去除更彻底</t>
  </si>
  <si>
    <t>R0438</t>
  </si>
  <si>
    <r>
      <rPr>
        <sz val="10"/>
        <rFont val="微软雅黑"/>
        <family val="2"/>
        <charset val="134"/>
      </rPr>
      <t>FT_1108A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FT_1108B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FT_1108C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FT_1108D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FT_1108E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FT_1108F…</t>
    </r>
  </si>
  <si>
    <t>R0439</t>
  </si>
  <si>
    <r>
      <rPr>
        <sz val="10"/>
        <rFont val="Noto Sans CJK SC"/>
        <family val="2"/>
      </rPr>
      <t>水洗水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过低促进降解；过高使青霉素转入水相损失</t>
    </r>
  </si>
  <si>
    <t>R0440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</si>
  <si>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透光率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色级</t>
    </r>
    <r>
      <rPr>
        <sz val="10"/>
        <rFont val="微软雅黑"/>
        <family val="2"/>
        <charset val="134"/>
      </rPr>
      <t>)</t>
    </r>
  </si>
  <si>
    <t>R0441</t>
  </si>
  <si>
    <t>:QKPI_256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</si>
  <si>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抽提（碳酸钾反萃）</t>
    </r>
  </si>
  <si>
    <r>
      <rPr>
        <sz val="10"/>
        <rFont val="Noto Sans CJK SC"/>
        <family val="2"/>
      </rPr>
      <t>衔接物料：脱色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。脱色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储罐→去</t>
    </r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FT_6A001</t>
    </r>
    <r>
      <rPr>
        <sz val="10"/>
        <rFont val="Noto Sans CJK SC"/>
        <family val="2"/>
      </rPr>
      <t>）</t>
    </r>
  </si>
  <si>
    <t>S06</t>
  </si>
  <si>
    <t>R0442</t>
  </si>
  <si>
    <t>:Area_S07_BackExtraction</t>
  </si>
  <si>
    <t>青霉素钾盐支线（点表补充）</t>
  </si>
  <si>
    <r>
      <rPr>
        <sz val="10"/>
        <rFont val="Noto Sans CJK SC"/>
        <family val="2"/>
      </rPr>
      <t>衔接物料：脱色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。脱色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储罐→去钾盐（</t>
    </r>
    <r>
      <rPr>
        <sz val="10"/>
        <rFont val="微软雅黑"/>
        <family val="2"/>
        <charset val="134"/>
      </rPr>
      <t>FT_JY001</t>
    </r>
    <r>
      <rPr>
        <sz val="10"/>
        <rFont val="Noto Sans CJK SC"/>
        <family val="2"/>
      </rPr>
      <t>）</t>
    </r>
  </si>
  <si>
    <t>R0443</t>
  </si>
  <si>
    <t>:Area_S08_PenGKSaltLine</t>
  </si>
  <si>
    <t>活性炭脱色与芬特过滤包含搅拌吸附罐“脱色罐组”</t>
  </si>
  <si>
    <t>R0444</t>
  </si>
  <si>
    <t>脱色</t>
  </si>
  <si>
    <r>
      <rPr>
        <sz val="10"/>
        <rFont val="Noto Sans CJK SC"/>
        <family val="2"/>
      </rPr>
      <t>脱色罐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</si>
  <si>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脱色罐组的并联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</si>
  <si>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R0445</t>
  </si>
  <si>
    <t>:DecolorTankGroup_M01</t>
  </si>
  <si>
    <r>
      <rPr>
        <sz val="10"/>
        <rFont val="Noto Sans CJK SC"/>
        <family val="2"/>
      </rPr>
      <t>脱色罐</t>
    </r>
    <r>
      <rPr>
        <sz val="10"/>
        <rFont val="微软雅黑"/>
        <family val="2"/>
        <charset val="134"/>
      </rPr>
      <t>B</t>
    </r>
  </si>
  <si>
    <t>R0446</t>
  </si>
  <si>
    <t>:DecolorTankGroup_M02</t>
  </si>
  <si>
    <r>
      <rPr>
        <sz val="10"/>
        <rFont val="Noto Sans CJK SC"/>
        <family val="2"/>
      </rPr>
      <t>脱色罐</t>
    </r>
    <r>
      <rPr>
        <sz val="10"/>
        <rFont val="微软雅黑"/>
        <family val="2"/>
        <charset val="134"/>
      </rPr>
      <t>C</t>
    </r>
  </si>
  <si>
    <t>R0447</t>
  </si>
  <si>
    <t>:DecolorTankGroup_M03</t>
  </si>
  <si>
    <r>
      <rPr>
        <sz val="10"/>
        <rFont val="Noto Sans CJK SC"/>
        <family val="2"/>
      </rPr>
      <t>脱色罐</t>
    </r>
    <r>
      <rPr>
        <sz val="10"/>
        <rFont val="微软雅黑"/>
        <family val="2"/>
        <charset val="134"/>
      </rPr>
      <t>D</t>
    </r>
  </si>
  <si>
    <t>R0448</t>
  </si>
  <si>
    <t>:DecolorTankGroup_M04</t>
  </si>
  <si>
    <r>
      <rPr>
        <sz val="10"/>
        <rFont val="Noto Sans CJK SC"/>
        <family val="2"/>
      </rPr>
      <t>脱色罐</t>
    </r>
    <r>
      <rPr>
        <sz val="10"/>
        <rFont val="微软雅黑"/>
        <family val="2"/>
        <charset val="134"/>
      </rPr>
      <t>E</t>
    </r>
  </si>
  <si>
    <t>R0449</t>
  </si>
  <si>
    <t>:DecolorTankGroup_M05</t>
  </si>
  <si>
    <r>
      <rPr>
        <sz val="10"/>
        <rFont val="Noto Sans CJK SC"/>
        <family val="2"/>
      </rPr>
      <t>脱色罐</t>
    </r>
    <r>
      <rPr>
        <sz val="10"/>
        <rFont val="微软雅黑"/>
        <family val="2"/>
        <charset val="134"/>
      </rPr>
      <t>F</t>
    </r>
  </si>
  <si>
    <t>R0450</t>
  </si>
  <si>
    <t>:DecolorTankGroup_M06</t>
  </si>
  <si>
    <r>
      <rPr>
        <sz val="10"/>
        <rFont val="Noto Sans CJK SC"/>
        <family val="2"/>
      </rPr>
      <t>脱色罐组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搅拌器</t>
    </r>
  </si>
  <si>
    <t>脱色罐组配置搅拌器</t>
  </si>
  <si>
    <t>R0451</t>
  </si>
  <si>
    <t>:DecolorTankGroup_P01</t>
  </si>
  <si>
    <r>
      <rPr>
        <sz val="10"/>
        <rFont val="Noto Sans CJK SC"/>
        <family val="2"/>
      </rPr>
      <t>脱色罐组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进料阀</t>
    </r>
  </si>
  <si>
    <t>脱色罐组配置进料阀</t>
  </si>
  <si>
    <t>R0452</t>
  </si>
  <si>
    <t>:DecolorTankGroup_P02</t>
  </si>
  <si>
    <r>
      <rPr>
        <sz val="10"/>
        <rFont val="Noto Sans CJK SC"/>
        <family val="2"/>
      </rPr>
      <t>脱色罐组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真空阀</t>
    </r>
  </si>
  <si>
    <t>脱色罐组配置真空阀</t>
  </si>
  <si>
    <t>R0453</t>
  </si>
  <si>
    <t>:DecolorTankGroup_P03</t>
  </si>
  <si>
    <r>
      <rPr>
        <sz val="10"/>
        <rFont val="Noto Sans CJK SC"/>
        <family val="2"/>
      </rPr>
      <t>脱色罐组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进炭阀</t>
    </r>
  </si>
  <si>
    <t>脱色罐组配置进炭阀</t>
  </si>
  <si>
    <t>R0454</t>
  </si>
  <si>
    <t>:DecolorTankGroup_P04</t>
  </si>
  <si>
    <r>
      <rPr>
        <sz val="10"/>
        <rFont val="Noto Sans CJK SC"/>
        <family val="2"/>
      </rPr>
      <t>脱色罐组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出料阀</t>
    </r>
  </si>
  <si>
    <t>脱色罐组配置出料阀</t>
  </si>
  <si>
    <t>R0455</t>
  </si>
  <si>
    <t>:DecolorTankGroup_P05</t>
  </si>
  <si>
    <r>
      <rPr>
        <sz val="10"/>
        <rFont val="Noto Sans CJK SC"/>
        <family val="2"/>
      </rPr>
      <t>脱色罐组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吹扫阀</t>
    </r>
  </si>
  <si>
    <t>脱色罐组配置吹扫阀</t>
  </si>
  <si>
    <t>R0456</t>
  </si>
  <si>
    <t>:DecolorTankGroup_P06</t>
  </si>
  <si>
    <t>活性炭真空上料系统</t>
  </si>
  <si>
    <t>活性炭脱色与芬特过滤包含气力输送“活性炭真空上料系统”</t>
  </si>
  <si>
    <t>R0457</t>
  </si>
  <si>
    <t>:CarbonVacuumFeeder</t>
  </si>
  <si>
    <r>
      <rPr>
        <sz val="10"/>
        <rFont val="Noto Sans CJK SC"/>
        <family val="2"/>
      </rPr>
      <t>活性炭真空上料系统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料仓</t>
    </r>
  </si>
  <si>
    <t>活性炭真空上料系统配置料仓</t>
  </si>
  <si>
    <t>R0458</t>
  </si>
  <si>
    <t>:CarbonVacuumFeeder_P01</t>
  </si>
  <si>
    <r>
      <rPr>
        <sz val="10"/>
        <rFont val="Noto Sans CJK SC"/>
        <family val="2"/>
      </rPr>
      <t>活性炭真空上料系统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脉冲反吹</t>
    </r>
  </si>
  <si>
    <t>活性炭真空上料系统配置脉冲反吹</t>
  </si>
  <si>
    <t>R0459</t>
  </si>
  <si>
    <t>:CarbonVacuumFeeder_P02</t>
  </si>
  <si>
    <r>
      <rPr>
        <sz val="10"/>
        <rFont val="Noto Sans CJK SC"/>
        <family val="2"/>
      </rPr>
      <t>活性炭真空上料系统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绞龙</t>
    </r>
  </si>
  <si>
    <t>活性炭真空上料系统配置绞龙</t>
  </si>
  <si>
    <t>R0460</t>
  </si>
  <si>
    <t>:CarbonVacuumFeeder_P03</t>
  </si>
  <si>
    <r>
      <rPr>
        <sz val="10"/>
        <rFont val="Noto Sans CJK SC"/>
        <family val="2"/>
      </rPr>
      <t>活性炭真空上料系统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关风机</t>
    </r>
  </si>
  <si>
    <t>活性炭真空上料系统配置关风机</t>
  </si>
  <si>
    <t>R0461</t>
  </si>
  <si>
    <t>:CarbonVacuumFeeder_P04</t>
  </si>
  <si>
    <r>
      <rPr>
        <sz val="10"/>
        <rFont val="Noto Sans CJK SC"/>
        <family val="2"/>
      </rPr>
      <t>活性炭真空上料系统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抽气阀</t>
    </r>
  </si>
  <si>
    <t>活性炭真空上料系统配置抽气阀</t>
  </si>
  <si>
    <t>R0462</t>
  </si>
  <si>
    <t>:CarbonVacuumFeeder_P05</t>
  </si>
  <si>
    <t>芬特过滤器组</t>
  </si>
  <si>
    <t>活性炭脱色与芬特过滤包含烛式过滤器“芬特过滤器组”</t>
  </si>
  <si>
    <t>R0463</t>
  </si>
  <si>
    <t>:FunteFilterGroup</t>
  </si>
  <si>
    <r>
      <rPr>
        <sz val="10"/>
        <rFont val="Noto Sans CJK SC"/>
        <family val="2"/>
      </rPr>
      <t>芬特过滤器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</si>
  <si>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芬特过滤器组的并联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</si>
  <si>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R0464</t>
  </si>
  <si>
    <t>:FunteFilterGroup_M01</t>
  </si>
  <si>
    <r>
      <rPr>
        <sz val="10"/>
        <rFont val="Noto Sans CJK SC"/>
        <family val="2"/>
      </rPr>
      <t>芬特过滤器</t>
    </r>
    <r>
      <rPr>
        <sz val="10"/>
        <rFont val="微软雅黑"/>
        <family val="2"/>
        <charset val="134"/>
      </rPr>
      <t>B</t>
    </r>
  </si>
  <si>
    <t>R0465</t>
  </si>
  <si>
    <t>:FunteFilterGroup_M02</t>
  </si>
  <si>
    <r>
      <rPr>
        <sz val="10"/>
        <rFont val="Noto Sans CJK SC"/>
        <family val="2"/>
      </rPr>
      <t>芬特过滤器</t>
    </r>
    <r>
      <rPr>
        <sz val="10"/>
        <rFont val="微软雅黑"/>
        <family val="2"/>
        <charset val="134"/>
      </rPr>
      <t>C</t>
    </r>
  </si>
  <si>
    <t>R0466</t>
  </si>
  <si>
    <t>:FunteFilterGroup_M03</t>
  </si>
  <si>
    <r>
      <rPr>
        <sz val="10"/>
        <rFont val="Noto Sans CJK SC"/>
        <family val="2"/>
      </rPr>
      <t>芬特过滤器</t>
    </r>
    <r>
      <rPr>
        <sz val="10"/>
        <rFont val="微软雅黑"/>
        <family val="2"/>
        <charset val="134"/>
      </rPr>
      <t>D</t>
    </r>
  </si>
  <si>
    <t>R0467</t>
  </si>
  <si>
    <t>:FunteFilterGroup_M04</t>
  </si>
  <si>
    <r>
      <rPr>
        <sz val="10"/>
        <rFont val="Noto Sans CJK SC"/>
        <family val="2"/>
      </rPr>
      <t>芬特过滤器组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压力变送器</t>
    </r>
    <r>
      <rPr>
        <sz val="10"/>
        <rFont val="微软雅黑"/>
        <family val="2"/>
        <charset val="134"/>
      </rPr>
      <t>PT_2002</t>
    </r>
  </si>
  <si>
    <r>
      <rPr>
        <sz val="10"/>
        <rFont val="Noto Sans CJK SC"/>
        <family val="2"/>
      </rPr>
      <t>芬特过滤器组配置压力变送器</t>
    </r>
    <r>
      <rPr>
        <sz val="10"/>
        <rFont val="微软雅黑"/>
        <family val="2"/>
        <charset val="134"/>
      </rPr>
      <t>PT_2002</t>
    </r>
  </si>
  <si>
    <t>R0468</t>
  </si>
  <si>
    <t>:FunteFilterGroup_P01</t>
  </si>
  <si>
    <r>
      <rPr>
        <sz val="10"/>
        <rFont val="Noto Sans CJK SC"/>
        <family val="2"/>
      </rPr>
      <t>芬特过滤器组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浊度仪</t>
    </r>
    <r>
      <rPr>
        <sz val="10"/>
        <rFont val="微软雅黑"/>
        <family val="2"/>
        <charset val="134"/>
      </rPr>
      <t>ZU_2001</t>
    </r>
  </si>
  <si>
    <r>
      <rPr>
        <sz val="10"/>
        <rFont val="Noto Sans CJK SC"/>
        <family val="2"/>
      </rPr>
      <t>芬特过滤器组配置浊度仪</t>
    </r>
    <r>
      <rPr>
        <sz val="10"/>
        <rFont val="微软雅黑"/>
        <family val="2"/>
        <charset val="134"/>
      </rPr>
      <t>ZU_2001</t>
    </r>
  </si>
  <si>
    <t>R0469</t>
  </si>
  <si>
    <t>:FunteFilterGroup_P02</t>
  </si>
  <si>
    <r>
      <rPr>
        <sz val="10"/>
        <rFont val="Noto Sans CJK SC"/>
        <family val="2"/>
      </rPr>
      <t>芬特过滤器组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搅拌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反吹</t>
    </r>
  </si>
  <si>
    <r>
      <rPr>
        <sz val="10"/>
        <rFont val="Noto Sans CJK SC"/>
        <family val="2"/>
      </rPr>
      <t>芬特过滤器组配置搅拌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反吹</t>
    </r>
  </si>
  <si>
    <t>R0470</t>
  </si>
  <si>
    <t>:FunteFilterGroup_P03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</si>
  <si>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V2157</t>
    </r>
  </si>
  <si>
    <r>
      <rPr>
        <sz val="10"/>
        <rFont val="Noto Sans CJK SC"/>
        <family val="2"/>
      </rPr>
      <t>活性炭脱色与芬特过滤包含储罐“脱色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V2157”</t>
    </r>
  </si>
  <si>
    <t>R0471</t>
  </si>
  <si>
    <t>:DecolorBABuffer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</si>
  <si>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V2157·</t>
    </r>
    <r>
      <rPr>
        <sz val="10"/>
        <rFont val="Noto Sans CJK SC"/>
        <family val="2"/>
      </rPr>
      <t>液位计</t>
    </r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</si>
  <si>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V2157</t>
    </r>
    <r>
      <rPr>
        <sz val="10"/>
        <rFont val="Noto Sans CJK SC"/>
        <family val="2"/>
      </rPr>
      <t>配置液位计</t>
    </r>
  </si>
  <si>
    <t>R0472</t>
  </si>
  <si>
    <t>:DecolorBABuffer_P01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</si>
  <si>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储罐组</t>
    </r>
  </si>
  <si>
    <r>
      <rPr>
        <sz val="10"/>
        <rFont val="Noto Sans CJK SC"/>
        <family val="2"/>
      </rPr>
      <t>活性炭脱色与芬特过滤包含储罐“脱色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储罐组”</t>
    </r>
  </si>
  <si>
    <t>R0473</t>
  </si>
  <si>
    <t>:DecolorBATanks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</si>
  <si>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R2153A</t>
    </r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</si>
  <si>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储罐组的并联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</si>
  <si>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R0474</t>
  </si>
  <si>
    <t>:DecolorBATanks_M01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</si>
  <si>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R2153B</t>
    </r>
  </si>
  <si>
    <t>R0475</t>
  </si>
  <si>
    <t>:DecolorBATanks_M02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</si>
  <si>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R2153C</t>
    </r>
  </si>
  <si>
    <t>R0476</t>
  </si>
  <si>
    <t>:DecolorBATanks_M03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</si>
  <si>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R2153D</t>
    </r>
  </si>
  <si>
    <t>R0477</t>
  </si>
  <si>
    <t>:DecolorBATanks_M04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</si>
  <si>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储罐组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</si>
  <si>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储罐组配置液位计</t>
    </r>
  </si>
  <si>
    <t>R0478</t>
  </si>
  <si>
    <t>:DecolorBATanks_P01</t>
  </si>
  <si>
    <r>
      <rPr>
        <sz val="10"/>
        <rFont val="Noto Sans CJK SC"/>
        <family val="2"/>
      </rPr>
      <t>甩碳罐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甩碳储罐</t>
    </r>
  </si>
  <si>
    <r>
      <rPr>
        <sz val="10"/>
        <rFont val="Noto Sans CJK SC"/>
        <family val="2"/>
      </rPr>
      <t>活性炭脱色与芬特过滤包含搅拌罐“甩碳罐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甩碳储罐”</t>
    </r>
  </si>
  <si>
    <t>R0479</t>
  </si>
  <si>
    <t>:SpentCarbonTank</t>
  </si>
  <si>
    <r>
      <rPr>
        <sz val="10"/>
        <rFont val="Noto Sans CJK SC"/>
        <family val="2"/>
      </rPr>
      <t>甩碳罐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甩碳储罐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搅拌器</t>
    </r>
  </si>
  <si>
    <r>
      <rPr>
        <sz val="10"/>
        <rFont val="Noto Sans CJK SC"/>
        <family val="2"/>
      </rPr>
      <t>甩碳罐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甩碳储罐配置搅拌器</t>
    </r>
  </si>
  <si>
    <t>R0480</t>
  </si>
  <si>
    <t>:SpentCarbonTank_P01</t>
  </si>
  <si>
    <r>
      <rPr>
        <sz val="10"/>
        <rFont val="Noto Sans CJK SC"/>
        <family val="2"/>
      </rPr>
      <t>甩碳罐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甩碳储罐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压力表</t>
    </r>
  </si>
  <si>
    <r>
      <rPr>
        <sz val="10"/>
        <rFont val="Noto Sans CJK SC"/>
        <family val="2"/>
      </rPr>
      <t>甩碳罐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甩碳储罐配置压力表</t>
    </r>
  </si>
  <si>
    <t>R0481</t>
  </si>
  <si>
    <t>:SpentCarbonTank_P02</t>
  </si>
  <si>
    <t>脱色罐液位</t>
  </si>
  <si>
    <t>脱色罐组的脱色罐液位</t>
  </si>
  <si>
    <t>R0482</t>
  </si>
  <si>
    <t>:Attr_053</t>
  </si>
  <si>
    <r>
      <rPr>
        <sz val="10"/>
        <rFont val="微软雅黑"/>
        <family val="2"/>
        <charset val="134"/>
      </rPr>
      <t>LT_1202A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LT_1202B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LT_1202C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LT_1202D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LT_1202E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LT_1202F</t>
    </r>
  </si>
  <si>
    <t>芬特罐压力</t>
  </si>
  <si>
    <r>
      <rPr>
        <sz val="10"/>
        <rFont val="Noto Sans CJK SC"/>
        <family val="2"/>
      </rPr>
      <t>过滤压差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高压报警</t>
    </r>
  </si>
  <si>
    <t>R0483</t>
  </si>
  <si>
    <t>:Attr_054</t>
  </si>
  <si>
    <r>
      <rPr>
        <sz val="10"/>
        <rFont val="微软雅黑"/>
        <family val="2"/>
        <charset val="134"/>
      </rPr>
      <t>PT_2002A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PT_2002B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PT_2002C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PT_2002D</t>
    </r>
  </si>
  <si>
    <t>滤液浊度</t>
  </si>
  <si>
    <t>穿炭监测</t>
  </si>
  <si>
    <t>R0484</t>
  </si>
  <si>
    <t>:Attr_055</t>
  </si>
  <si>
    <r>
      <rPr>
        <sz val="10"/>
        <rFont val="微软雅黑"/>
        <family val="2"/>
        <charset val="134"/>
      </rPr>
      <t>ZU_2001A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ZU_2001B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ZU_2001C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ZU_2001D</t>
    </r>
  </si>
  <si>
    <t>芬特出料流量</t>
  </si>
  <si>
    <t>芬特过滤器组的芬特出料流量</t>
  </si>
  <si>
    <t>R0485</t>
  </si>
  <si>
    <t>:Attr_056</t>
  </si>
  <si>
    <r>
      <rPr>
        <sz val="10"/>
        <rFont val="微软雅黑"/>
        <family val="2"/>
        <charset val="134"/>
      </rPr>
      <t>FT_2001A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FT_2001B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FT_2001C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FT_2001D</t>
    </r>
  </si>
  <si>
    <t>芬特倒料泵压力</t>
  </si>
  <si>
    <t>芬特过滤器组的芬特倒料泵压力</t>
  </si>
  <si>
    <t>R0486</t>
  </si>
  <si>
    <t>:Attr_057</t>
  </si>
  <si>
    <t>PT_2015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</si>
  <si>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缓冲罐液位</t>
    </r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</si>
  <si>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V2157</t>
    </r>
    <r>
      <rPr>
        <sz val="10"/>
        <rFont val="Noto Sans CJK SC"/>
        <family val="2"/>
      </rPr>
      <t>的脱色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缓冲罐液位</t>
    </r>
  </si>
  <si>
    <t>R0487</t>
  </si>
  <si>
    <t>:Attr_058</t>
  </si>
  <si>
    <t>LT_1203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</si>
  <si>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储罐液位</t>
    </r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</si>
  <si>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储罐组的脱色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储罐液位</t>
    </r>
  </si>
  <si>
    <t>R0488</t>
  </si>
  <si>
    <t>:Attr_059</t>
  </si>
  <si>
    <r>
      <rPr>
        <sz val="10"/>
        <rFont val="微软雅黑"/>
        <family val="2"/>
        <charset val="134"/>
      </rPr>
      <t>LT_1201A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LT_1201B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LT_1201C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LT_1201D</t>
    </r>
  </si>
  <si>
    <r>
      <rPr>
        <sz val="10"/>
        <rFont val="Noto Sans CJK SC"/>
        <family val="2"/>
      </rPr>
      <t>去</t>
    </r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流量</t>
    </r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</si>
  <si>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储罐组的去</t>
    </r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流量</t>
    </r>
  </si>
  <si>
    <t>R0489</t>
  </si>
  <si>
    <t>:Attr_060</t>
  </si>
  <si>
    <t>FT_6A001</t>
  </si>
  <si>
    <t>去钾盐流量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</si>
  <si>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储罐组的去钾盐流量</t>
    </r>
  </si>
  <si>
    <t>R0490</t>
  </si>
  <si>
    <t>:Attr_061</t>
  </si>
  <si>
    <t>FT_JY001</t>
  </si>
  <si>
    <t>甩碳罐压力</t>
  </si>
  <si>
    <r>
      <rPr>
        <sz val="10"/>
        <rFont val="Noto Sans CJK SC"/>
        <family val="2"/>
      </rPr>
      <t>甩碳罐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甩碳储罐的甩碳罐压力</t>
    </r>
  </si>
  <si>
    <t>R0491</t>
  </si>
  <si>
    <t>:Attr_062</t>
  </si>
  <si>
    <r>
      <rPr>
        <sz val="10"/>
        <rFont val="微软雅黑"/>
        <family val="2"/>
        <charset val="134"/>
      </rPr>
      <t>PT_2003A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PT_2003B</t>
    </r>
  </si>
  <si>
    <t>甩碳储罐液位</t>
  </si>
  <si>
    <r>
      <rPr>
        <sz val="10"/>
        <rFont val="Noto Sans CJK SC"/>
        <family val="2"/>
      </rPr>
      <t>甩碳罐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甩碳储罐的甩碳储罐液位</t>
    </r>
  </si>
  <si>
    <t>R0492</t>
  </si>
  <si>
    <t>:Attr_063</t>
  </si>
  <si>
    <t>LT_2008</t>
  </si>
  <si>
    <r>
      <rPr>
        <sz val="10"/>
        <rFont val="微软雅黑"/>
        <family val="2"/>
        <charset val="134"/>
      </rPr>
      <t>BA_TG</t>
    </r>
    <r>
      <rPr>
        <sz val="10"/>
        <rFont val="Noto Sans CJK SC"/>
        <family val="2"/>
      </rPr>
      <t>在线透光</t>
    </r>
  </si>
  <si>
    <t>R0493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</si>
  <si>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效价</t>
    </r>
  </si>
  <si>
    <t>BA_XJ</t>
  </si>
  <si>
    <t>R0494</t>
  </si>
  <si>
    <t>:QKPI_257</t>
  </si>
  <si>
    <t>活性炭加入量</t>
  </si>
  <si>
    <r>
      <rPr>
        <sz val="10"/>
        <rFont val="Noto Sans CJK SC"/>
        <family val="2"/>
      </rPr>
      <t>炭</t>
    </r>
    <r>
      <rPr>
        <sz val="10"/>
        <rFont val="微软雅黑"/>
        <family val="2"/>
        <charset val="134"/>
      </rPr>
      <t>/BA</t>
    </r>
    <r>
      <rPr>
        <sz val="10"/>
        <rFont val="Noto Sans CJK SC"/>
        <family val="2"/>
      </rPr>
      <t>比</t>
    </r>
  </si>
  <si>
    <t>R0495</t>
  </si>
  <si>
    <t>:Attr_258</t>
  </si>
  <si>
    <t>脱色时间</t>
  </si>
  <si>
    <t>接触吸附时间</t>
  </si>
  <si>
    <t>R0496</t>
  </si>
  <si>
    <t>:Attr_259</t>
  </si>
  <si>
    <t>炭吸附青霉素损失</t>
  </si>
  <si>
    <t>活性炭对青霉素的非选择性吸附</t>
  </si>
  <si>
    <t>R0497</t>
  </si>
  <si>
    <t>:QKPI_260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</si>
  <si>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</si>
  <si>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的脱色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透光率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色级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</si>
  <si>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R0498</t>
  </si>
  <si>
    <t>:MS_DecolorBA</t>
  </si>
  <si>
    <t>LT_1202A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</si>
  <si>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原点描述：脱色罐液位</t>
    </r>
    <r>
      <rPr>
        <sz val="10"/>
        <rFont val="微软雅黑"/>
        <family val="2"/>
        <charset val="134"/>
      </rPr>
      <t>A</t>
    </r>
  </si>
  <si>
    <t>R0499</t>
  </si>
  <si>
    <t>:LT_1202A</t>
  </si>
  <si>
    <t>LT_1202B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</si>
  <si>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原点描述：脱色罐液位</t>
    </r>
    <r>
      <rPr>
        <sz val="10"/>
        <rFont val="微软雅黑"/>
        <family val="2"/>
        <charset val="134"/>
      </rPr>
      <t>B</t>
    </r>
  </si>
  <si>
    <t>R0500</t>
  </si>
  <si>
    <t>:LT_1202B</t>
  </si>
  <si>
    <t>LT_1202C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</si>
  <si>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原点描述：脱色罐液位</t>
    </r>
    <r>
      <rPr>
        <sz val="10"/>
        <rFont val="微软雅黑"/>
        <family val="2"/>
        <charset val="134"/>
      </rPr>
      <t>C</t>
    </r>
  </si>
  <si>
    <t>R0501</t>
  </si>
  <si>
    <t>:LT_1202C</t>
  </si>
  <si>
    <t>LT_1202D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</si>
  <si>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原点描述：脱色罐液位</t>
    </r>
    <r>
      <rPr>
        <sz val="10"/>
        <rFont val="微软雅黑"/>
        <family val="2"/>
        <charset val="134"/>
      </rPr>
      <t>D</t>
    </r>
  </si>
  <si>
    <t>R0502</t>
  </si>
  <si>
    <t>:LT_1202D</t>
  </si>
  <si>
    <t>LT_1202E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</si>
  <si>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原点描述：脱色罐液位</t>
    </r>
    <r>
      <rPr>
        <sz val="10"/>
        <rFont val="微软雅黑"/>
        <family val="2"/>
        <charset val="134"/>
      </rPr>
      <t>E</t>
    </r>
  </si>
  <si>
    <t>R0503</t>
  </si>
  <si>
    <t>:LT_1202E</t>
  </si>
  <si>
    <t>LT_1202F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</si>
  <si>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原点描述：脱色罐液位</t>
    </r>
    <r>
      <rPr>
        <sz val="10"/>
        <rFont val="微软雅黑"/>
        <family val="2"/>
        <charset val="134"/>
      </rPr>
      <t>F</t>
    </r>
  </si>
  <si>
    <t>R0504</t>
  </si>
  <si>
    <t>:LT_1202F</t>
  </si>
  <si>
    <t>PT_2002A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</si>
  <si>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原点描述：芬特罐压力检测</t>
    </r>
    <r>
      <rPr>
        <sz val="10"/>
        <rFont val="微软雅黑"/>
        <family val="2"/>
        <charset val="134"/>
      </rPr>
      <t>a</t>
    </r>
  </si>
  <si>
    <t>R0505</t>
  </si>
  <si>
    <t>:PT_2002A</t>
  </si>
  <si>
    <t>PT_2002B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</si>
  <si>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原点描述：芬特罐压力检测</t>
    </r>
    <r>
      <rPr>
        <sz val="10"/>
        <rFont val="微软雅黑"/>
        <family val="2"/>
        <charset val="134"/>
      </rPr>
      <t>b</t>
    </r>
  </si>
  <si>
    <t>R0506</t>
  </si>
  <si>
    <t>:PT_2002B</t>
  </si>
  <si>
    <t>PT_2002C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</si>
  <si>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原点描述：芬特罐压力检测</t>
    </r>
    <r>
      <rPr>
        <sz val="10"/>
        <rFont val="微软雅黑"/>
        <family val="2"/>
        <charset val="134"/>
      </rPr>
      <t>c</t>
    </r>
  </si>
  <si>
    <t>R0507</t>
  </si>
  <si>
    <t>:PT_2002C</t>
  </si>
  <si>
    <t>PT_2002D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</si>
  <si>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原点描述：芬特罐压力检测</t>
    </r>
    <r>
      <rPr>
        <sz val="10"/>
        <rFont val="微软雅黑"/>
        <family val="2"/>
        <charset val="134"/>
      </rPr>
      <t>d</t>
    </r>
  </si>
  <si>
    <t>R0508</t>
  </si>
  <si>
    <t>:PT_2002D</t>
  </si>
  <si>
    <t>ZU_2001A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</si>
  <si>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原点描述：浊度检测</t>
    </r>
    <r>
      <rPr>
        <sz val="10"/>
        <rFont val="微软雅黑"/>
        <family val="2"/>
        <charset val="134"/>
      </rPr>
      <t>a</t>
    </r>
  </si>
  <si>
    <t>R0509</t>
  </si>
  <si>
    <t>:ZU_2001A</t>
  </si>
  <si>
    <t>ZU_2001B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</si>
  <si>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原点描述：浊度检测</t>
    </r>
    <r>
      <rPr>
        <sz val="10"/>
        <rFont val="微软雅黑"/>
        <family val="2"/>
        <charset val="134"/>
      </rPr>
      <t>b</t>
    </r>
  </si>
  <si>
    <t>R0510</t>
  </si>
  <si>
    <t>:ZU_2001B</t>
  </si>
  <si>
    <t>ZU_2001C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</si>
  <si>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原点描述：浊度检测</t>
    </r>
    <r>
      <rPr>
        <sz val="10"/>
        <rFont val="微软雅黑"/>
        <family val="2"/>
        <charset val="134"/>
      </rPr>
      <t>c</t>
    </r>
  </si>
  <si>
    <t>R0511</t>
  </si>
  <si>
    <t>:ZU_2001C</t>
  </si>
  <si>
    <t>ZU_2001D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</si>
  <si>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原点描述：浊度检测</t>
    </r>
    <r>
      <rPr>
        <sz val="10"/>
        <rFont val="微软雅黑"/>
        <family val="2"/>
        <charset val="134"/>
      </rPr>
      <t>d</t>
    </r>
  </si>
  <si>
    <t>R0512</t>
  </si>
  <si>
    <t>:ZU_2001D</t>
  </si>
  <si>
    <t>FT_2001A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</si>
  <si>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原点描述：出料流量检测</t>
    </r>
    <r>
      <rPr>
        <sz val="10"/>
        <rFont val="微软雅黑"/>
        <family val="2"/>
        <charset val="134"/>
      </rPr>
      <t>a</t>
    </r>
  </si>
  <si>
    <t>R0513</t>
  </si>
  <si>
    <t>:FT_2001A</t>
  </si>
  <si>
    <t>FT_2001B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</si>
  <si>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原点描述：出料流量检测</t>
    </r>
    <r>
      <rPr>
        <sz val="10"/>
        <rFont val="微软雅黑"/>
        <family val="2"/>
        <charset val="134"/>
      </rPr>
      <t>b</t>
    </r>
  </si>
  <si>
    <t>R0514</t>
  </si>
  <si>
    <t>:FT_2001B</t>
  </si>
  <si>
    <t>FT_2001C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</si>
  <si>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原点描述：出料流量检测</t>
    </r>
    <r>
      <rPr>
        <sz val="10"/>
        <rFont val="微软雅黑"/>
        <family val="2"/>
        <charset val="134"/>
      </rPr>
      <t>c</t>
    </r>
  </si>
  <si>
    <t>R0515</t>
  </si>
  <si>
    <t>:FT_2001C</t>
  </si>
  <si>
    <t>FT_2001D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</si>
  <si>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原点描述：出料流量检测</t>
    </r>
    <r>
      <rPr>
        <sz val="10"/>
        <rFont val="微软雅黑"/>
        <family val="2"/>
        <charset val="134"/>
      </rPr>
      <t>d</t>
    </r>
  </si>
  <si>
    <t>R0516</t>
  </si>
  <si>
    <t>:FT_2001D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</si>
  <si>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原点描述：芬特倒料输送泵后压力</t>
    </r>
  </si>
  <si>
    <t>R0517</t>
  </si>
  <si>
    <t>:PT_2015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</si>
  <si>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V2157</t>
    </r>
    <r>
      <rPr>
        <sz val="10"/>
        <rFont val="Noto Sans CJK SC"/>
        <family val="2"/>
      </rPr>
      <t>液位</t>
    </r>
  </si>
  <si>
    <t>R0518</t>
  </si>
  <si>
    <t>:LT_1203</t>
  </si>
  <si>
    <t>LT_1201A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</si>
  <si>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R2153A</t>
    </r>
    <r>
      <rPr>
        <sz val="10"/>
        <rFont val="Noto Sans CJK SC"/>
        <family val="2"/>
      </rPr>
      <t>液位</t>
    </r>
  </si>
  <si>
    <t>R0519</t>
  </si>
  <si>
    <t>:LT_1201A</t>
  </si>
  <si>
    <t>LT_1201B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</si>
  <si>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R2153B</t>
    </r>
    <r>
      <rPr>
        <sz val="10"/>
        <rFont val="Noto Sans CJK SC"/>
        <family val="2"/>
      </rPr>
      <t>液位</t>
    </r>
  </si>
  <si>
    <t>R0520</t>
  </si>
  <si>
    <t>:LT_1201B</t>
  </si>
  <si>
    <t>LT_1201C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</si>
  <si>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R2153C</t>
    </r>
    <r>
      <rPr>
        <sz val="10"/>
        <rFont val="Noto Sans CJK SC"/>
        <family val="2"/>
      </rPr>
      <t>液位</t>
    </r>
  </si>
  <si>
    <t>R0521</t>
  </si>
  <si>
    <t>:LT_1201C</t>
  </si>
  <si>
    <t>LT_1201D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</si>
  <si>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R2153D</t>
    </r>
    <r>
      <rPr>
        <sz val="10"/>
        <rFont val="Noto Sans CJK SC"/>
        <family val="2"/>
      </rPr>
      <t>液位</t>
    </r>
  </si>
  <si>
    <t>R0522</t>
  </si>
  <si>
    <t>:LT_1201D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</si>
  <si>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原点描述：去</t>
    </r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流量</t>
    </r>
  </si>
  <si>
    <t>R0523</t>
  </si>
  <si>
    <t>:FT_6A001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</si>
  <si>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原点描述：去钾盐流量</t>
    </r>
  </si>
  <si>
    <t>R0524</t>
  </si>
  <si>
    <t>:FT_JY001</t>
  </si>
  <si>
    <t>PT_2003A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</si>
  <si>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原点描述：甩碳罐压力检测</t>
    </r>
    <r>
      <rPr>
        <sz val="10"/>
        <rFont val="微软雅黑"/>
        <family val="2"/>
        <charset val="134"/>
      </rPr>
      <t>a</t>
    </r>
  </si>
  <si>
    <t>R0525</t>
  </si>
  <si>
    <t>:PT_2003A</t>
  </si>
  <si>
    <t>PT_2003B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</si>
  <si>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原点描述：甩碳罐压力检测</t>
    </r>
    <r>
      <rPr>
        <sz val="10"/>
        <rFont val="微软雅黑"/>
        <family val="2"/>
        <charset val="134"/>
      </rPr>
      <t>b</t>
    </r>
  </si>
  <si>
    <t>R0526</t>
  </si>
  <si>
    <t>:PT_2003B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</si>
  <si>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原点描述：甩碳储罐液位</t>
    </r>
  </si>
  <si>
    <t>R0527</t>
  </si>
  <si>
    <t>:LT_2008</t>
  </si>
  <si>
    <t>脱色调节阀控制</t>
  </si>
  <si>
    <r>
      <rPr>
        <sz val="10"/>
        <rFont val="Noto Sans CJK SC"/>
        <family val="2"/>
      </rPr>
      <t>脱色调节阀</t>
    </r>
    <r>
      <rPr>
        <sz val="10"/>
        <rFont val="微软雅黑"/>
        <family val="2"/>
        <charset val="134"/>
      </rPr>
      <t>A/B</t>
    </r>
  </si>
  <si>
    <t>R0528</t>
  </si>
  <si>
    <t>:Ctrl_010</t>
  </si>
  <si>
    <t>:Act_010</t>
  </si>
  <si>
    <r>
      <rPr>
        <sz val="10"/>
        <rFont val="微软雅黑"/>
        <family val="2"/>
        <charset val="134"/>
      </rPr>
      <t>HV_TSA_AO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HV_TSB_AO</t>
    </r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</si>
  <si>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缓冲罐液位作为过程变量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反馈给脱色调节阀控制</t>
    </r>
  </si>
  <si>
    <t>R0529</t>
  </si>
  <si>
    <r>
      <rPr>
        <sz val="10"/>
        <rFont val="Noto Sans CJK SC"/>
        <family val="2"/>
      </rPr>
      <t>脱色调节阀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缓冲罐液位</t>
    </r>
  </si>
  <si>
    <t>R0530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</si>
  <si>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分配控制</t>
    </r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</si>
  <si>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</t>
    </r>
    <r>
      <rPr>
        <sz val="10"/>
        <rFont val="微软雅黑"/>
        <family val="2"/>
        <charset val="134"/>
      </rPr>
      <t>6A1</t>
    </r>
    <r>
      <rPr>
        <sz val="10"/>
        <rFont val="Noto Sans CJK SC"/>
        <family val="2"/>
      </rPr>
      <t>混罐阀</t>
    </r>
    <r>
      <rPr>
        <sz val="10"/>
        <rFont val="微软雅黑"/>
        <family val="2"/>
        <charset val="134"/>
      </rPr>
      <t>HV_2001/</t>
    </r>
    <r>
      <rPr>
        <sz val="10"/>
        <rFont val="Noto Sans CJK SC"/>
        <family val="2"/>
      </rPr>
      <t>进钾盐混罐阀</t>
    </r>
    <r>
      <rPr>
        <sz val="10"/>
        <rFont val="微软雅黑"/>
        <family val="2"/>
        <charset val="134"/>
      </rPr>
      <t>HV_2002</t>
    </r>
  </si>
  <si>
    <r>
      <rPr>
        <sz val="10"/>
        <rFont val="Noto Sans CJK SC"/>
        <family val="2"/>
      </rPr>
      <t>按</t>
    </r>
    <r>
      <rPr>
        <sz val="10"/>
        <rFont val="微软雅黑"/>
        <family val="2"/>
        <charset val="134"/>
      </rPr>
      <t>6A/</t>
    </r>
    <r>
      <rPr>
        <sz val="10"/>
        <rFont val="Noto Sans CJK SC"/>
        <family val="2"/>
      </rPr>
      <t>钾盐生产计划分配脱色</t>
    </r>
    <r>
      <rPr>
        <sz val="10"/>
        <rFont val="微软雅黑"/>
        <family val="2"/>
        <charset val="134"/>
      </rPr>
      <t>BA</t>
    </r>
  </si>
  <si>
    <t>R0531</t>
  </si>
  <si>
    <t>:Ctrl_011</t>
  </si>
  <si>
    <t>:Act_011</t>
  </si>
  <si>
    <r>
      <rPr>
        <sz val="10"/>
        <rFont val="微软雅黑"/>
        <family val="2"/>
        <charset val="134"/>
      </rPr>
      <t>HV_2001_AO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HV_2002_AO</t>
    </r>
  </si>
  <si>
    <r>
      <rPr>
        <sz val="10"/>
        <rFont val="Noto Sans CJK SC"/>
        <family val="2"/>
      </rPr>
      <t>去</t>
    </r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流量作为过程变量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分配控制</t>
    </r>
  </si>
  <si>
    <t>R0532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</si>
  <si>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</t>
    </r>
    <r>
      <rPr>
        <sz val="10"/>
        <rFont val="微软雅黑"/>
        <family val="2"/>
        <charset val="134"/>
      </rPr>
      <t>6A1</t>
    </r>
    <r>
      <rPr>
        <sz val="10"/>
        <rFont val="Noto Sans CJK SC"/>
        <family val="2"/>
      </rPr>
      <t>混罐阀</t>
    </r>
    <r>
      <rPr>
        <sz val="10"/>
        <rFont val="微软雅黑"/>
        <family val="2"/>
        <charset val="134"/>
      </rPr>
      <t>HV_2001/</t>
    </r>
    <r>
      <rPr>
        <sz val="10"/>
        <rFont val="Noto Sans CJK SC"/>
        <family val="2"/>
      </rPr>
      <t>进钾盐混罐阀</t>
    </r>
    <r>
      <rPr>
        <sz val="10"/>
        <rFont val="微软雅黑"/>
        <family val="2"/>
        <charset val="134"/>
      </rPr>
      <t>HV_2002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频率变化直接改变去</t>
    </r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流量</t>
    </r>
  </si>
  <si>
    <t>R0533</t>
  </si>
  <si>
    <r>
      <rPr>
        <sz val="10"/>
        <rFont val="Noto Sans CJK SC"/>
        <family val="2"/>
      </rPr>
      <t>脱色批次顺控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进料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真空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进炭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出料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吹扫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</si>
  <si>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画面模式选择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倒空完成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清洗完成</t>
    </r>
  </si>
  <si>
    <t>R0534</t>
  </si>
  <si>
    <t>:Seq_04</t>
  </si>
  <si>
    <t>R0535</t>
  </si>
  <si>
    <t>压缩空气总管压力</t>
  </si>
  <si>
    <r>
      <rPr>
        <sz val="10"/>
        <rFont val="Noto Sans CJK SC"/>
        <family val="2"/>
      </rPr>
      <t>仪表气压力低于</t>
    </r>
    <r>
      <rPr>
        <sz val="10"/>
        <rFont val="微软雅黑"/>
        <family val="2"/>
        <charset val="134"/>
      </rPr>
      <t>0.45</t>
    </r>
    <r>
      <rPr>
        <sz val="10"/>
        <rFont val="Noto Sans CJK SC"/>
        <family val="2"/>
      </rPr>
      <t>报警</t>
    </r>
  </si>
  <si>
    <r>
      <rPr>
        <sz val="10"/>
        <rFont val="Noto Sans CJK SC"/>
        <family val="2"/>
      </rPr>
      <t>越限触发“仪表气压力低于</t>
    </r>
    <r>
      <rPr>
        <sz val="10"/>
        <rFont val="微软雅黑"/>
        <family val="2"/>
        <charset val="134"/>
      </rPr>
      <t>0.45</t>
    </r>
    <r>
      <rPr>
        <sz val="10"/>
        <rFont val="Noto Sans CJK SC"/>
        <family val="2"/>
      </rPr>
      <t>报警”：气动阀动作失效</t>
    </r>
  </si>
  <si>
    <t>R0536</t>
  </si>
  <si>
    <t>:Attr_130</t>
  </si>
  <si>
    <t>:Alarm_06</t>
  </si>
  <si>
    <t>PT_1301</t>
  </si>
  <si>
    <t>芬特高压报警</t>
  </si>
  <si>
    <t>越限触发“芬特高压报警”：滤饼堵塞需切换反吹</t>
  </si>
  <si>
    <t>R0537</t>
  </si>
  <si>
    <t>:Alarm_07</t>
  </si>
  <si>
    <t>芬特滤液浊度高</t>
  </si>
  <si>
    <t>越限触发“芬特滤液浊度高”：穿炭，应切回脱色罐</t>
  </si>
  <si>
    <t>R0538</t>
  </si>
  <si>
    <t>:Alarm_08</t>
  </si>
  <si>
    <t>R0539</t>
  </si>
  <si>
    <t>活性炭</t>
  </si>
  <si>
    <t>上炭过程</t>
  </si>
  <si>
    <t>R0540</t>
  </si>
  <si>
    <t>:MS_Carbon</t>
  </si>
  <si>
    <t>真空吸炭</t>
  </si>
  <si>
    <t>R0541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</si>
  <si>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炭浆</t>
    </r>
  </si>
  <si>
    <t>吸附过程</t>
  </si>
  <si>
    <t>R0542</t>
  </si>
  <si>
    <t>:MS_DecolorSlurry</t>
  </si>
  <si>
    <t>倒空泵输送</t>
  </si>
  <si>
    <t>过滤过程</t>
  </si>
  <si>
    <t>R0543</t>
  </si>
  <si>
    <t>清液</t>
  </si>
  <si>
    <t>R0544</t>
  </si>
  <si>
    <r>
      <rPr>
        <sz val="10"/>
        <rFont val="Noto Sans CJK SC"/>
        <family val="2"/>
      </rPr>
      <t>废活性炭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炭渣</t>
    </r>
  </si>
  <si>
    <t>反吹排渣</t>
  </si>
  <si>
    <t>排渣过程</t>
  </si>
  <si>
    <t>R0545</t>
  </si>
  <si>
    <t>:MS_SpentCarbon</t>
  </si>
  <si>
    <t>R0546</t>
  </si>
  <si>
    <t>R0547</t>
  </si>
  <si>
    <t>储存过程</t>
  </si>
  <si>
    <t>R0548</t>
  </si>
  <si>
    <r>
      <rPr>
        <sz val="10"/>
        <rFont val="Noto Sans CJK SC"/>
        <family val="2"/>
      </rPr>
      <t>一级混合罐</t>
    </r>
    <r>
      <rPr>
        <sz val="10"/>
        <rFont val="微软雅黑"/>
        <family val="2"/>
        <charset val="134"/>
      </rPr>
      <t>R2175(6A</t>
    </r>
    <r>
      <rPr>
        <sz val="10"/>
        <rFont val="Noto Sans CJK SC"/>
        <family val="2"/>
      </rPr>
      <t>一混罐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</si>
  <si>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去</t>
    </r>
    <r>
      <rPr>
        <sz val="10"/>
        <rFont val="微软雅黑"/>
        <family val="2"/>
        <charset val="134"/>
      </rPr>
      <t>6A(FT_6A001)</t>
    </r>
  </si>
  <si>
    <t>R0549</t>
  </si>
  <si>
    <t>:Mixer1R2175</t>
  </si>
  <si>
    <r>
      <rPr>
        <sz val="10"/>
        <rFont val="Noto Sans CJK SC"/>
        <family val="2"/>
      </rPr>
      <t>钾盐一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二混罐</t>
    </r>
  </si>
  <si>
    <r>
      <rPr>
        <sz val="10"/>
        <rFont val="Noto Sans CJK SC"/>
        <family val="2"/>
      </rPr>
      <t>去钾盐</t>
    </r>
    <r>
      <rPr>
        <sz val="10"/>
        <rFont val="微软雅黑"/>
        <family val="2"/>
        <charset val="134"/>
      </rPr>
      <t>(FT_JY001)</t>
    </r>
  </si>
  <si>
    <t>R0550</t>
  </si>
  <si>
    <t>:KSaltMixers</t>
  </si>
  <si>
    <t>真空</t>
  </si>
  <si>
    <t>R0551</t>
  </si>
  <si>
    <t>:MS_Vacuum</t>
  </si>
  <si>
    <r>
      <rPr>
        <sz val="10"/>
        <rFont val="Noto Sans CJK SC"/>
        <family val="2"/>
      </rPr>
      <t>一次水总管</t>
    </r>
    <r>
      <rPr>
        <sz val="10"/>
        <rFont val="微软雅黑"/>
        <family val="2"/>
        <charset val="134"/>
      </rPr>
      <t>(FT_2006)</t>
    </r>
    <r>
      <rPr>
        <sz val="10"/>
        <rFont val="Noto Sans CJK SC"/>
        <family val="2"/>
      </rPr>
      <t>清洗</t>
    </r>
  </si>
  <si>
    <t>清洗过程</t>
  </si>
  <si>
    <t>R0552</t>
  </si>
  <si>
    <t>炭量增加去色素更彻底</t>
  </si>
  <si>
    <t>R0553</t>
  </si>
  <si>
    <t>炭对青霉素非选择吸附</t>
  </si>
  <si>
    <t>R0554</t>
  </si>
  <si>
    <t>R0555</t>
  </si>
  <si>
    <t>滤饼增厚压差升高、通量下降</t>
  </si>
  <si>
    <t>R0556</t>
  </si>
  <si>
    <r>
      <rPr>
        <sz val="10"/>
        <rFont val="微软雅黑"/>
        <family val="2"/>
        <charset val="134"/>
      </rPr>
      <t>PT_2002A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PT_2002B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PT_2002C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PT_2002D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FT_2001A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FT_2001B…</t>
    </r>
  </si>
  <si>
    <r>
      <rPr>
        <sz val="10"/>
        <rFont val="Noto Sans CJK SC"/>
        <family val="2"/>
      </rPr>
      <t>穿炭使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浑浊</t>
    </r>
  </si>
  <si>
    <t>R0557</t>
  </si>
  <si>
    <t>产品批次提取收率</t>
  </si>
  <si>
    <t>R0558</t>
  </si>
  <si>
    <t>:BKPI_303</t>
  </si>
  <si>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成品含量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色级</t>
    </r>
  </si>
  <si>
    <t>上游色素残留最终带入成品</t>
  </si>
  <si>
    <t>R0559</t>
  </si>
  <si>
    <t>:QKPI_296</t>
  </si>
  <si>
    <r>
      <rPr>
        <sz val="10"/>
        <rFont val="Noto Sans CJK SC"/>
        <family val="2"/>
      </rPr>
      <t>衔接物料：退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（贫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）。二阶轻相（</t>
    </r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退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，</t>
    </r>
    <r>
      <rPr>
        <sz val="10"/>
        <rFont val="微软雅黑"/>
        <family val="2"/>
        <charset val="134"/>
      </rPr>
      <t>FT_1215</t>
    </r>
    <r>
      <rPr>
        <sz val="10"/>
        <rFont val="Noto Sans CJK SC"/>
        <family val="2"/>
      </rPr>
      <t>）返回丁酯罐</t>
    </r>
  </si>
  <si>
    <t>S07</t>
  </si>
  <si>
    <t>R0560</t>
  </si>
  <si>
    <r>
      <rPr>
        <sz val="10"/>
        <rFont val="Noto Sans CJK SC"/>
        <family val="2"/>
      </rPr>
      <t>薄膜蒸发（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脱溶）</t>
    </r>
  </si>
  <si>
    <r>
      <rPr>
        <sz val="10"/>
        <rFont val="Noto Sans CJK SC"/>
        <family val="2"/>
      </rPr>
      <t>衔接物料：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液。一阶重相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液经</t>
    </r>
    <r>
      <rPr>
        <sz val="10"/>
        <rFont val="微软雅黑"/>
        <family val="2"/>
        <charset val="134"/>
      </rPr>
      <t>FT_1316</t>
    </r>
    <r>
      <rPr>
        <sz val="10"/>
        <rFont val="Noto Sans CJK SC"/>
        <family val="2"/>
      </rPr>
      <t>去薄膜</t>
    </r>
  </si>
  <si>
    <t>R0561</t>
  </si>
  <si>
    <t>:Area_S09_ThinFilmEvaporation</t>
  </si>
  <si>
    <r>
      <rPr>
        <sz val="10"/>
        <rFont val="Noto Sans CJK SC"/>
        <family val="2"/>
      </rPr>
      <t>碳酸钾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粉料料仓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</si>
  <si>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抽提（碳酸钾反萃）包含料仓“碳酸钾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粉料料仓”</t>
    </r>
  </si>
  <si>
    <t>R0562</t>
  </si>
  <si>
    <t>:K2CO3SiloGroup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</si>
  <si>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抽提</t>
    </r>
  </si>
  <si>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料仓</t>
    </r>
  </si>
  <si>
    <r>
      <rPr>
        <sz val="10"/>
        <rFont val="Noto Sans CJK SC"/>
        <family val="2"/>
      </rPr>
      <t>碳酸钾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粉料料仓的并联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</si>
  <si>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R0563</t>
  </si>
  <si>
    <t>:K2CO3SiloGroup_M01</t>
  </si>
  <si>
    <r>
      <rPr>
        <sz val="10"/>
        <rFont val="微软雅黑"/>
        <family val="2"/>
        <charset val="134"/>
      </rPr>
      <t>2#</t>
    </r>
    <r>
      <rPr>
        <sz val="10"/>
        <rFont val="Noto Sans CJK SC"/>
        <family val="2"/>
      </rPr>
      <t>料仓</t>
    </r>
  </si>
  <si>
    <t>R0564</t>
  </si>
  <si>
    <t>:K2CO3SiloGroup_M02</t>
  </si>
  <si>
    <r>
      <rPr>
        <sz val="10"/>
        <rFont val="微软雅黑"/>
        <family val="2"/>
        <charset val="134"/>
      </rPr>
      <t>3#</t>
    </r>
    <r>
      <rPr>
        <sz val="10"/>
        <rFont val="Noto Sans CJK SC"/>
        <family val="2"/>
      </rPr>
      <t>料仓</t>
    </r>
  </si>
  <si>
    <t>R0565</t>
  </si>
  <si>
    <t>:K2CO3SiloGroup_M03</t>
  </si>
  <si>
    <r>
      <rPr>
        <sz val="10"/>
        <rFont val="Noto Sans CJK SC"/>
        <family val="2"/>
      </rPr>
      <t>碳酸钾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粉料料仓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真空上料阀</t>
    </r>
  </si>
  <si>
    <r>
      <rPr>
        <sz val="10"/>
        <rFont val="Noto Sans CJK SC"/>
        <family val="2"/>
      </rPr>
      <t>碳酸钾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粉料料仓配置真空上料阀</t>
    </r>
  </si>
  <si>
    <t>R0566</t>
  </si>
  <si>
    <t>:K2CO3SiloGroup_P01</t>
  </si>
  <si>
    <r>
      <rPr>
        <sz val="10"/>
        <rFont val="Noto Sans CJK SC"/>
        <family val="2"/>
      </rPr>
      <t>碳酸钾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粉料料仓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压缩空气阀</t>
    </r>
  </si>
  <si>
    <r>
      <rPr>
        <sz val="10"/>
        <rFont val="Noto Sans CJK SC"/>
        <family val="2"/>
      </rPr>
      <t>碳酸钾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粉料料仓配置压缩空气阀</t>
    </r>
  </si>
  <si>
    <t>R0567</t>
  </si>
  <si>
    <t>:K2CO3SiloGroup_P02</t>
  </si>
  <si>
    <r>
      <rPr>
        <sz val="10"/>
        <rFont val="Noto Sans CJK SC"/>
        <family val="2"/>
      </rPr>
      <t>碳酸钾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粉料料仓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卸料阀</t>
    </r>
  </si>
  <si>
    <r>
      <rPr>
        <sz val="10"/>
        <rFont val="Noto Sans CJK SC"/>
        <family val="2"/>
      </rPr>
      <t>碳酸钾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粉料料仓配置卸料阀</t>
    </r>
  </si>
  <si>
    <t>R0568</t>
  </si>
  <si>
    <t>:K2CO3SiloGroup_P03</t>
  </si>
  <si>
    <r>
      <rPr>
        <sz val="10"/>
        <rFont val="Noto Sans CJK SC"/>
        <family val="2"/>
      </rPr>
      <t>碳酸钾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碳酸钠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配制罐组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</si>
  <si>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抽提（碳酸钾反萃）包含搅拌配制罐“碳酸钾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碳酸钠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配制罐组”</t>
    </r>
  </si>
  <si>
    <t>R0569</t>
  </si>
  <si>
    <t>:K2CO3PrepTanks</t>
  </si>
  <si>
    <r>
      <rPr>
        <sz val="10"/>
        <rFont val="Noto Sans CJK SC"/>
        <family val="2"/>
      </rPr>
      <t>一楼</t>
    </r>
    <r>
      <rPr>
        <sz val="10"/>
        <rFont val="微软雅黑"/>
        <family val="2"/>
        <charset val="134"/>
      </rPr>
      <t>30%</t>
    </r>
    <r>
      <rPr>
        <sz val="10"/>
        <rFont val="Noto Sans CJK SC"/>
        <family val="2"/>
      </rPr>
      <t>碳酸钾配制罐</t>
    </r>
  </si>
  <si>
    <r>
      <rPr>
        <sz val="10"/>
        <rFont val="Noto Sans CJK SC"/>
        <family val="2"/>
      </rPr>
      <t>碳酸钾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碳酸钠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配制罐组的并联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</si>
  <si>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R0570</t>
  </si>
  <si>
    <t>:K2CO3PrepTanks_M01</t>
  </si>
  <si>
    <r>
      <rPr>
        <sz val="10"/>
        <rFont val="Noto Sans CJK SC"/>
        <family val="2"/>
      </rPr>
      <t>二楼</t>
    </r>
    <r>
      <rPr>
        <sz val="10"/>
        <rFont val="微软雅黑"/>
        <family val="2"/>
        <charset val="134"/>
      </rPr>
      <t>30%</t>
    </r>
    <r>
      <rPr>
        <sz val="10"/>
        <rFont val="Noto Sans CJK SC"/>
        <family val="2"/>
      </rPr>
      <t>碳酸钾配制罐</t>
    </r>
  </si>
  <si>
    <t>R0571</t>
  </si>
  <si>
    <t>:K2CO3PrepTanks_M02</t>
  </si>
  <si>
    <r>
      <rPr>
        <sz val="10"/>
        <rFont val="Noto Sans CJK SC"/>
        <family val="2"/>
      </rPr>
      <t>二楼</t>
    </r>
    <r>
      <rPr>
        <sz val="10"/>
        <rFont val="微软雅黑"/>
        <family val="2"/>
        <charset val="134"/>
      </rPr>
      <t>4%</t>
    </r>
    <r>
      <rPr>
        <sz val="10"/>
        <rFont val="Noto Sans CJK SC"/>
        <family val="2"/>
      </rPr>
      <t>碳酸钾配制罐</t>
    </r>
  </si>
  <si>
    <t>R0572</t>
  </si>
  <si>
    <t>:K2CO3PrepTanks_M03</t>
  </si>
  <si>
    <r>
      <rPr>
        <sz val="10"/>
        <rFont val="Noto Sans CJK SC"/>
        <family val="2"/>
      </rPr>
      <t>碳酸钠配制罐</t>
    </r>
    <r>
      <rPr>
        <sz val="10"/>
        <rFont val="微软雅黑"/>
        <family val="2"/>
        <charset val="134"/>
      </rPr>
      <t>1#–8#</t>
    </r>
  </si>
  <si>
    <t>R0573</t>
  </si>
  <si>
    <t>:K2CO3PrepTanks_M04</t>
  </si>
  <si>
    <r>
      <rPr>
        <sz val="10"/>
        <rFont val="Noto Sans CJK SC"/>
        <family val="2"/>
      </rPr>
      <t>碳酸钾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碳酸钠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配制罐组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搅拌器</t>
    </r>
  </si>
  <si>
    <r>
      <rPr>
        <sz val="10"/>
        <rFont val="Noto Sans CJK SC"/>
        <family val="2"/>
      </rPr>
      <t>碳酸钾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碳酸钠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配制罐组配置搅拌器</t>
    </r>
  </si>
  <si>
    <t>R0574</t>
  </si>
  <si>
    <t>:K2CO3PrepTanks_P01</t>
  </si>
  <si>
    <r>
      <rPr>
        <sz val="10"/>
        <rFont val="Noto Sans CJK SC"/>
        <family val="2"/>
      </rPr>
      <t>碳酸钾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碳酸钠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配制罐组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软水阀</t>
    </r>
  </si>
  <si>
    <r>
      <rPr>
        <sz val="10"/>
        <rFont val="Noto Sans CJK SC"/>
        <family val="2"/>
      </rPr>
      <t>碳酸钾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碳酸钠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配制罐组配置软水阀</t>
    </r>
  </si>
  <si>
    <t>R0575</t>
  </si>
  <si>
    <t>:K2CO3PrepTanks_P02</t>
  </si>
  <si>
    <r>
      <rPr>
        <sz val="10"/>
        <rFont val="Noto Sans CJK SC"/>
        <family val="2"/>
      </rPr>
      <t>碳酸钾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碳酸钠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配制罐组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压空阀</t>
    </r>
  </si>
  <si>
    <r>
      <rPr>
        <sz val="10"/>
        <rFont val="Noto Sans CJK SC"/>
        <family val="2"/>
      </rPr>
      <t>碳酸钾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碳酸钠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配制罐组配置压空阀</t>
    </r>
  </si>
  <si>
    <t>R0576</t>
  </si>
  <si>
    <t>:K2CO3PrepTanks_P03</t>
  </si>
  <si>
    <t>碳酸钾缓冲罐组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</si>
  <si>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抽提（碳酸钾反萃）包含储罐“碳酸钾缓冲罐组”</t>
    </r>
  </si>
  <si>
    <t>R0577</t>
  </si>
  <si>
    <t>:K2CO3BufferTanks</t>
  </si>
  <si>
    <r>
      <rPr>
        <sz val="10"/>
        <rFont val="微软雅黑"/>
        <family val="2"/>
        <charset val="134"/>
      </rPr>
      <t>30%</t>
    </r>
    <r>
      <rPr>
        <sz val="10"/>
        <rFont val="Noto Sans CJK SC"/>
        <family val="2"/>
      </rPr>
      <t>碳酸钾缓冲罐</t>
    </r>
  </si>
  <si>
    <r>
      <rPr>
        <sz val="10"/>
        <rFont val="Noto Sans CJK SC"/>
        <family val="2"/>
      </rPr>
      <t>碳酸钾缓冲罐组的并联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</si>
  <si>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R0578</t>
  </si>
  <si>
    <t>:K2CO3BufferTanks_M01</t>
  </si>
  <si>
    <r>
      <rPr>
        <sz val="10"/>
        <rFont val="微软雅黑"/>
        <family val="2"/>
        <charset val="134"/>
      </rPr>
      <t>5%</t>
    </r>
    <r>
      <rPr>
        <sz val="10"/>
        <rFont val="Noto Sans CJK SC"/>
        <family val="2"/>
      </rPr>
      <t>碳酸钾缓冲罐</t>
    </r>
  </si>
  <si>
    <t>R0579</t>
  </si>
  <si>
    <t>:K2CO3BufferTanks_M02</t>
  </si>
  <si>
    <r>
      <rPr>
        <sz val="10"/>
        <rFont val="Noto Sans CJK SC"/>
        <family val="2"/>
      </rPr>
      <t>高浓度碳酸钾罐</t>
    </r>
    <r>
      <rPr>
        <sz val="10"/>
        <rFont val="微软雅黑"/>
        <family val="2"/>
        <charset val="134"/>
      </rPr>
      <t>V2168</t>
    </r>
  </si>
  <si>
    <t>R0580</t>
  </si>
  <si>
    <t>:K2CO3BufferTanks_M03</t>
  </si>
  <si>
    <r>
      <rPr>
        <sz val="10"/>
        <rFont val="Noto Sans CJK SC"/>
        <family val="2"/>
      </rPr>
      <t>低浓度碳酸钾罐</t>
    </r>
    <r>
      <rPr>
        <sz val="10"/>
        <rFont val="微软雅黑"/>
        <family val="2"/>
        <charset val="134"/>
      </rPr>
      <t>R2170</t>
    </r>
  </si>
  <si>
    <t>R0581</t>
  </si>
  <si>
    <t>:K2CO3BufferTanks_M04</t>
  </si>
  <si>
    <r>
      <rPr>
        <sz val="10"/>
        <rFont val="Noto Sans CJK SC"/>
        <family val="2"/>
      </rPr>
      <t>高浓度碳酸钾缓冲罐</t>
    </r>
    <r>
      <rPr>
        <sz val="10"/>
        <rFont val="微软雅黑"/>
        <family val="2"/>
        <charset val="134"/>
      </rPr>
      <t>(LT_9004)</t>
    </r>
  </si>
  <si>
    <t>R0582</t>
  </si>
  <si>
    <t>:K2CO3BufferTanks_M05</t>
  </si>
  <si>
    <r>
      <rPr>
        <sz val="10"/>
        <rFont val="Noto Sans CJK SC"/>
        <family val="2"/>
      </rPr>
      <t>碳酸钾缓冲罐组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</si>
  <si>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t>碳酸钾缓冲罐组配置液位计</t>
  </si>
  <si>
    <t>R0583</t>
  </si>
  <si>
    <t>:K2CO3BufferTanks_P01</t>
  </si>
  <si>
    <r>
      <rPr>
        <sz val="10"/>
        <rFont val="Noto Sans CJK SC"/>
        <family val="2"/>
      </rPr>
      <t>碳酸钾缓冲罐组</t>
    </r>
    <r>
      <rPr>
        <sz val="10"/>
        <rFont val="微软雅黑"/>
        <family val="2"/>
        <charset val="134"/>
      </rPr>
      <t>·pH</t>
    </r>
    <r>
      <rPr>
        <sz val="10"/>
        <rFont val="Noto Sans CJK SC"/>
        <family val="2"/>
      </rPr>
      <t>计</t>
    </r>
  </si>
  <si>
    <r>
      <rPr>
        <sz val="10"/>
        <rFont val="Noto Sans CJK SC"/>
        <family val="2"/>
      </rPr>
      <t>碳酸钾缓冲罐组配置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</t>
    </r>
  </si>
  <si>
    <t>R0584</t>
  </si>
  <si>
    <t>:K2CO3BufferTanks_P02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</si>
  <si>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抽提（碳酸钾反萃）包含搅拌混合罐“一级混合罐</t>
    </r>
    <r>
      <rPr>
        <sz val="10"/>
        <rFont val="微软雅黑"/>
        <family val="2"/>
        <charset val="134"/>
      </rPr>
      <t>R2175(6A</t>
    </r>
    <r>
      <rPr>
        <sz val="10"/>
        <rFont val="Noto Sans CJK SC"/>
        <family val="2"/>
      </rPr>
      <t>一混罐</t>
    </r>
    <r>
      <rPr>
        <sz val="10"/>
        <rFont val="微软雅黑"/>
        <family val="2"/>
        <charset val="134"/>
      </rPr>
      <t>)”</t>
    </r>
  </si>
  <si>
    <t>R0585</t>
  </si>
  <si>
    <r>
      <rPr>
        <sz val="10"/>
        <rFont val="Noto Sans CJK SC"/>
        <family val="2"/>
      </rPr>
      <t>一级混合罐</t>
    </r>
    <r>
      <rPr>
        <sz val="10"/>
        <rFont val="微软雅黑"/>
        <family val="2"/>
        <charset val="134"/>
      </rPr>
      <t>R2175(6A</t>
    </r>
    <r>
      <rPr>
        <sz val="10"/>
        <rFont val="Noto Sans CJK SC"/>
        <family val="2"/>
      </rPr>
      <t>一混罐</t>
    </r>
    <r>
      <rPr>
        <sz val="10"/>
        <rFont val="微软雅黑"/>
        <family val="2"/>
        <charset val="134"/>
      </rPr>
      <t>)·</t>
    </r>
    <r>
      <rPr>
        <sz val="10"/>
        <rFont val="Noto Sans CJK SC"/>
        <family val="2"/>
      </rPr>
      <t>搅拌器</t>
    </r>
    <r>
      <rPr>
        <sz val="10"/>
        <rFont val="微软雅黑"/>
        <family val="2"/>
        <charset val="134"/>
      </rPr>
      <t>PB_1004</t>
    </r>
  </si>
  <si>
    <r>
      <rPr>
        <sz val="10"/>
        <rFont val="Noto Sans CJK SC"/>
        <family val="2"/>
      </rPr>
      <t>一级混合罐</t>
    </r>
    <r>
      <rPr>
        <sz val="10"/>
        <rFont val="微软雅黑"/>
        <family val="2"/>
        <charset val="134"/>
      </rPr>
      <t>R2175(6A</t>
    </r>
    <r>
      <rPr>
        <sz val="10"/>
        <rFont val="Noto Sans CJK SC"/>
        <family val="2"/>
      </rPr>
      <t>一混罐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配置搅拌器</t>
    </r>
    <r>
      <rPr>
        <sz val="10"/>
        <rFont val="微软雅黑"/>
        <family val="2"/>
        <charset val="134"/>
      </rPr>
      <t>PB_1004</t>
    </r>
  </si>
  <si>
    <t>R0586</t>
  </si>
  <si>
    <t>:Mixer1R2175_P01</t>
  </si>
  <si>
    <r>
      <rPr>
        <sz val="10"/>
        <rFont val="Noto Sans CJK SC"/>
        <family val="2"/>
      </rPr>
      <t>一级混合罐</t>
    </r>
    <r>
      <rPr>
        <sz val="10"/>
        <rFont val="微软雅黑"/>
        <family val="2"/>
        <charset val="134"/>
      </rPr>
      <t>R2175(6A</t>
    </r>
    <r>
      <rPr>
        <sz val="10"/>
        <rFont val="Noto Sans CJK SC"/>
        <family val="2"/>
      </rPr>
      <t>一混罐</t>
    </r>
    <r>
      <rPr>
        <sz val="10"/>
        <rFont val="微软雅黑"/>
        <family val="2"/>
        <charset val="134"/>
      </rPr>
      <t>)·pH</t>
    </r>
    <r>
      <rPr>
        <sz val="10"/>
        <rFont val="Noto Sans CJK SC"/>
        <family val="2"/>
      </rPr>
      <t>计</t>
    </r>
  </si>
  <si>
    <r>
      <rPr>
        <sz val="10"/>
        <rFont val="Noto Sans CJK SC"/>
        <family val="2"/>
      </rPr>
      <t>一级混合罐</t>
    </r>
    <r>
      <rPr>
        <sz val="10"/>
        <rFont val="微软雅黑"/>
        <family val="2"/>
        <charset val="134"/>
      </rPr>
      <t>R2175(6A</t>
    </r>
    <r>
      <rPr>
        <sz val="10"/>
        <rFont val="Noto Sans CJK SC"/>
        <family val="2"/>
      </rPr>
      <t>一混罐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</t>
    </r>
  </si>
  <si>
    <t>R0587</t>
  </si>
  <si>
    <t>:Mixer1R2175_P02</t>
  </si>
  <si>
    <r>
      <rPr>
        <sz val="10"/>
        <rFont val="Noto Sans CJK SC"/>
        <family val="2"/>
      </rPr>
      <t>一级混合罐</t>
    </r>
    <r>
      <rPr>
        <sz val="10"/>
        <rFont val="微软雅黑"/>
        <family val="2"/>
        <charset val="134"/>
      </rPr>
      <t>R2175(6A</t>
    </r>
    <r>
      <rPr>
        <sz val="10"/>
        <rFont val="Noto Sans CJK SC"/>
        <family val="2"/>
      </rPr>
      <t>一混罐</t>
    </r>
    <r>
      <rPr>
        <sz val="10"/>
        <rFont val="微软雅黑"/>
        <family val="2"/>
        <charset val="134"/>
      </rPr>
      <t>)·</t>
    </r>
    <r>
      <rPr>
        <sz val="10"/>
        <rFont val="Noto Sans CJK SC"/>
        <family val="2"/>
      </rPr>
      <t>温度计</t>
    </r>
  </si>
  <si>
    <r>
      <rPr>
        <sz val="10"/>
        <rFont val="Noto Sans CJK SC"/>
        <family val="2"/>
      </rPr>
      <t>一级混合罐</t>
    </r>
    <r>
      <rPr>
        <sz val="10"/>
        <rFont val="微软雅黑"/>
        <family val="2"/>
        <charset val="134"/>
      </rPr>
      <t>R2175(6A</t>
    </r>
    <r>
      <rPr>
        <sz val="10"/>
        <rFont val="Noto Sans CJK SC"/>
        <family val="2"/>
      </rPr>
      <t>一混罐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配置温度计</t>
    </r>
  </si>
  <si>
    <t>R0588</t>
  </si>
  <si>
    <t>:Mixer1R2175_P03</t>
  </si>
  <si>
    <r>
      <rPr>
        <sz val="10"/>
        <rFont val="Noto Sans CJK SC"/>
        <family val="2"/>
      </rPr>
      <t>二级混合罐</t>
    </r>
    <r>
      <rPr>
        <sz val="10"/>
        <rFont val="微软雅黑"/>
        <family val="2"/>
        <charset val="134"/>
      </rPr>
      <t>R2177(6A</t>
    </r>
    <r>
      <rPr>
        <sz val="10"/>
        <rFont val="Noto Sans CJK SC"/>
        <family val="2"/>
      </rPr>
      <t>二混罐</t>
    </r>
    <r>
      <rPr>
        <sz val="10"/>
        <rFont val="微软雅黑"/>
        <family val="2"/>
        <charset val="134"/>
      </rPr>
      <t>)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</si>
  <si>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抽提（碳酸钾反萃）包含搅拌混合罐“二级混合罐</t>
    </r>
    <r>
      <rPr>
        <sz val="10"/>
        <rFont val="微软雅黑"/>
        <family val="2"/>
        <charset val="134"/>
      </rPr>
      <t>R2177(6A</t>
    </r>
    <r>
      <rPr>
        <sz val="10"/>
        <rFont val="Noto Sans CJK SC"/>
        <family val="2"/>
      </rPr>
      <t>二混罐</t>
    </r>
    <r>
      <rPr>
        <sz val="10"/>
        <rFont val="微软雅黑"/>
        <family val="2"/>
        <charset val="134"/>
      </rPr>
      <t>)”</t>
    </r>
  </si>
  <si>
    <t>R0589</t>
  </si>
  <si>
    <t>:Mixer2R2177</t>
  </si>
  <si>
    <r>
      <rPr>
        <sz val="10"/>
        <rFont val="Noto Sans CJK SC"/>
        <family val="2"/>
      </rPr>
      <t>二级混合罐</t>
    </r>
    <r>
      <rPr>
        <sz val="10"/>
        <rFont val="微软雅黑"/>
        <family val="2"/>
        <charset val="134"/>
      </rPr>
      <t>R2177(6A</t>
    </r>
    <r>
      <rPr>
        <sz val="10"/>
        <rFont val="Noto Sans CJK SC"/>
        <family val="2"/>
      </rPr>
      <t>二混罐</t>
    </r>
    <r>
      <rPr>
        <sz val="10"/>
        <rFont val="微软雅黑"/>
        <family val="2"/>
        <charset val="134"/>
      </rPr>
      <t>)·</t>
    </r>
    <r>
      <rPr>
        <sz val="10"/>
        <rFont val="Noto Sans CJK SC"/>
        <family val="2"/>
      </rPr>
      <t>搅拌器</t>
    </r>
    <r>
      <rPr>
        <sz val="10"/>
        <rFont val="微软雅黑"/>
        <family val="2"/>
        <charset val="134"/>
      </rPr>
      <t>PB_1005</t>
    </r>
  </si>
  <si>
    <r>
      <rPr>
        <sz val="10"/>
        <rFont val="Noto Sans CJK SC"/>
        <family val="2"/>
      </rPr>
      <t>二级混合罐</t>
    </r>
    <r>
      <rPr>
        <sz val="10"/>
        <rFont val="微软雅黑"/>
        <family val="2"/>
        <charset val="134"/>
      </rPr>
      <t>R2177(6A</t>
    </r>
    <r>
      <rPr>
        <sz val="10"/>
        <rFont val="Noto Sans CJK SC"/>
        <family val="2"/>
      </rPr>
      <t>二混罐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配置搅拌器</t>
    </r>
    <r>
      <rPr>
        <sz val="10"/>
        <rFont val="微软雅黑"/>
        <family val="2"/>
        <charset val="134"/>
      </rPr>
      <t>PB_1005</t>
    </r>
  </si>
  <si>
    <t>R0590</t>
  </si>
  <si>
    <t>:Mixer2R2177_P01</t>
  </si>
  <si>
    <r>
      <rPr>
        <sz val="10"/>
        <rFont val="Noto Sans CJK SC"/>
        <family val="2"/>
      </rPr>
      <t>二级混合罐</t>
    </r>
    <r>
      <rPr>
        <sz val="10"/>
        <rFont val="微软雅黑"/>
        <family val="2"/>
        <charset val="134"/>
      </rPr>
      <t>R2177(6A</t>
    </r>
    <r>
      <rPr>
        <sz val="10"/>
        <rFont val="Noto Sans CJK SC"/>
        <family val="2"/>
      </rPr>
      <t>二混罐</t>
    </r>
    <r>
      <rPr>
        <sz val="10"/>
        <rFont val="微软雅黑"/>
        <family val="2"/>
        <charset val="134"/>
      </rPr>
      <t>)·pH</t>
    </r>
    <r>
      <rPr>
        <sz val="10"/>
        <rFont val="Noto Sans CJK SC"/>
        <family val="2"/>
      </rPr>
      <t>计</t>
    </r>
  </si>
  <si>
    <r>
      <rPr>
        <sz val="10"/>
        <rFont val="Noto Sans CJK SC"/>
        <family val="2"/>
      </rPr>
      <t>二级混合罐</t>
    </r>
    <r>
      <rPr>
        <sz val="10"/>
        <rFont val="微软雅黑"/>
        <family val="2"/>
        <charset val="134"/>
      </rPr>
      <t>R2177(6A</t>
    </r>
    <r>
      <rPr>
        <sz val="10"/>
        <rFont val="Noto Sans CJK SC"/>
        <family val="2"/>
      </rPr>
      <t>二混罐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</t>
    </r>
  </si>
  <si>
    <t>R0591</t>
  </si>
  <si>
    <t>:Mixer2R2177_P02</t>
  </si>
  <si>
    <r>
      <rPr>
        <sz val="10"/>
        <rFont val="Noto Sans CJK SC"/>
        <family val="2"/>
      </rPr>
      <t>二级混合罐</t>
    </r>
    <r>
      <rPr>
        <sz val="10"/>
        <rFont val="微软雅黑"/>
        <family val="2"/>
        <charset val="134"/>
      </rPr>
      <t>R2177(6A</t>
    </r>
    <r>
      <rPr>
        <sz val="10"/>
        <rFont val="Noto Sans CJK SC"/>
        <family val="2"/>
      </rPr>
      <t>二混罐</t>
    </r>
    <r>
      <rPr>
        <sz val="10"/>
        <rFont val="微软雅黑"/>
        <family val="2"/>
        <charset val="134"/>
      </rPr>
      <t>)·</t>
    </r>
    <r>
      <rPr>
        <sz val="10"/>
        <rFont val="Noto Sans CJK SC"/>
        <family val="2"/>
      </rPr>
      <t>温度计</t>
    </r>
  </si>
  <si>
    <r>
      <rPr>
        <sz val="10"/>
        <rFont val="Noto Sans CJK SC"/>
        <family val="2"/>
      </rPr>
      <t>二级混合罐</t>
    </r>
    <r>
      <rPr>
        <sz val="10"/>
        <rFont val="微软雅黑"/>
        <family val="2"/>
        <charset val="134"/>
      </rPr>
      <t>R2177(6A</t>
    </r>
    <r>
      <rPr>
        <sz val="10"/>
        <rFont val="Noto Sans CJK SC"/>
        <family val="2"/>
      </rPr>
      <t>二混罐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配置温度计</t>
    </r>
  </si>
  <si>
    <t>R0592</t>
  </si>
  <si>
    <t>:Mixer2R2177_P03</t>
  </si>
  <si>
    <r>
      <rPr>
        <sz val="10"/>
        <rFont val="Noto Sans CJK SC"/>
        <family val="2"/>
      </rPr>
      <t>抽提一级离心机组</t>
    </r>
    <r>
      <rPr>
        <sz val="10"/>
        <rFont val="微软雅黑"/>
        <family val="2"/>
        <charset val="134"/>
      </rPr>
      <t>(CT1)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</si>
  <si>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抽提（碳酸钾反萃）包含碟片离心机“抽提一级离心机组</t>
    </r>
    <r>
      <rPr>
        <sz val="10"/>
        <rFont val="微软雅黑"/>
        <family val="2"/>
        <charset val="134"/>
      </rPr>
      <t>(CT1)”</t>
    </r>
  </si>
  <si>
    <t>R0593</t>
  </si>
  <si>
    <t>:BackExtCentrifuge1</t>
  </si>
  <si>
    <r>
      <rPr>
        <sz val="10"/>
        <rFont val="Noto Sans CJK SC"/>
        <family val="2"/>
      </rPr>
      <t>抽提一级离心机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</si>
  <si>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抽提一级离心机组</t>
    </r>
    <r>
      <rPr>
        <sz val="10"/>
        <rFont val="微软雅黑"/>
        <family val="2"/>
        <charset val="134"/>
      </rPr>
      <t>(CT1)</t>
    </r>
    <r>
      <rPr>
        <sz val="10"/>
        <rFont val="Noto Sans CJK SC"/>
        <family val="2"/>
      </rPr>
      <t>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</si>
  <si>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R0594</t>
  </si>
  <si>
    <t>:BackExtCentrifuge1_M01</t>
  </si>
  <si>
    <r>
      <rPr>
        <sz val="10"/>
        <rFont val="Noto Sans CJK SC"/>
        <family val="2"/>
      </rPr>
      <t>抽提一级离心机</t>
    </r>
    <r>
      <rPr>
        <sz val="10"/>
        <rFont val="微软雅黑"/>
        <family val="2"/>
        <charset val="134"/>
      </rPr>
      <t>B</t>
    </r>
  </si>
  <si>
    <t>R0595</t>
  </si>
  <si>
    <t>:BackExtCentrifuge1_M02</t>
  </si>
  <si>
    <r>
      <rPr>
        <sz val="10"/>
        <rFont val="Noto Sans CJK SC"/>
        <family val="2"/>
      </rPr>
      <t>抽提一级离心机</t>
    </r>
    <r>
      <rPr>
        <sz val="10"/>
        <rFont val="微软雅黑"/>
        <family val="2"/>
        <charset val="134"/>
      </rPr>
      <t>C</t>
    </r>
  </si>
  <si>
    <t>R0596</t>
  </si>
  <si>
    <t>:BackExtCentrifuge1_M03</t>
  </si>
  <si>
    <r>
      <rPr>
        <sz val="10"/>
        <rFont val="Noto Sans CJK SC"/>
        <family val="2"/>
      </rPr>
      <t>抽提一级离心机</t>
    </r>
    <r>
      <rPr>
        <sz val="10"/>
        <rFont val="微软雅黑"/>
        <family val="2"/>
        <charset val="134"/>
      </rPr>
      <t>D</t>
    </r>
  </si>
  <si>
    <t>R0597</t>
  </si>
  <si>
    <t>:BackExtCentrifuge1_M04</t>
  </si>
  <si>
    <r>
      <rPr>
        <sz val="10"/>
        <rFont val="Noto Sans CJK SC"/>
        <family val="2"/>
      </rPr>
      <t>抽提一级离心机</t>
    </r>
    <r>
      <rPr>
        <sz val="10"/>
        <rFont val="微软雅黑"/>
        <family val="2"/>
        <charset val="134"/>
      </rPr>
      <t>E</t>
    </r>
  </si>
  <si>
    <t>R0598</t>
  </si>
  <si>
    <t>:BackExtCentrifuge1_M05</t>
  </si>
  <si>
    <r>
      <rPr>
        <sz val="10"/>
        <rFont val="Noto Sans CJK SC"/>
        <family val="2"/>
      </rPr>
      <t>抽提一级离心机</t>
    </r>
    <r>
      <rPr>
        <sz val="10"/>
        <rFont val="微软雅黑"/>
        <family val="2"/>
        <charset val="134"/>
      </rPr>
      <t>F</t>
    </r>
  </si>
  <si>
    <t>R0599</t>
  </si>
  <si>
    <t>:BackExtCentrifuge1_M06</t>
  </si>
  <si>
    <r>
      <rPr>
        <sz val="10"/>
        <rFont val="Noto Sans CJK SC"/>
        <family val="2"/>
      </rPr>
      <t>抽提一级离心机组</t>
    </r>
    <r>
      <rPr>
        <sz val="10"/>
        <rFont val="微软雅黑"/>
        <family val="2"/>
        <charset val="134"/>
      </rPr>
      <t>(CT1)·</t>
    </r>
    <r>
      <rPr>
        <sz val="10"/>
        <rFont val="Noto Sans CJK SC"/>
        <family val="2"/>
      </rPr>
      <t>碟片分离转鼓</t>
    </r>
  </si>
  <si>
    <r>
      <rPr>
        <sz val="10"/>
        <rFont val="Noto Sans CJK SC"/>
        <family val="2"/>
      </rPr>
      <t>抽提一级离心机组</t>
    </r>
    <r>
      <rPr>
        <sz val="10"/>
        <rFont val="微软雅黑"/>
        <family val="2"/>
        <charset val="134"/>
      </rPr>
      <t>(CT1)</t>
    </r>
    <r>
      <rPr>
        <sz val="10"/>
        <rFont val="Noto Sans CJK SC"/>
        <family val="2"/>
      </rPr>
      <t>配置碟片分离转鼓</t>
    </r>
  </si>
  <si>
    <t>R0600</t>
  </si>
  <si>
    <t>:BackExtCentrifuge1_P01</t>
  </si>
  <si>
    <r>
      <rPr>
        <sz val="10"/>
        <rFont val="Noto Sans CJK SC"/>
        <family val="2"/>
      </rPr>
      <t>抽提一级离心机组</t>
    </r>
    <r>
      <rPr>
        <sz val="10"/>
        <rFont val="微软雅黑"/>
        <family val="2"/>
        <charset val="134"/>
      </rPr>
      <t>(CT1)·BA</t>
    </r>
    <r>
      <rPr>
        <sz val="10"/>
        <rFont val="Noto Sans CJK SC"/>
        <family val="2"/>
      </rPr>
      <t>进口调节阀</t>
    </r>
    <r>
      <rPr>
        <sz val="10"/>
        <rFont val="微软雅黑"/>
        <family val="2"/>
        <charset val="134"/>
      </rPr>
      <t>HV_2004</t>
    </r>
  </si>
  <si>
    <r>
      <rPr>
        <sz val="10"/>
        <rFont val="Noto Sans CJK SC"/>
        <family val="2"/>
      </rPr>
      <t>抽提一级离心机组</t>
    </r>
    <r>
      <rPr>
        <sz val="10"/>
        <rFont val="微软雅黑"/>
        <family val="2"/>
        <charset val="134"/>
      </rPr>
      <t>(CT1)</t>
    </r>
    <r>
      <rPr>
        <sz val="10"/>
        <rFont val="Noto Sans CJK SC"/>
        <family val="2"/>
      </rPr>
      <t>配置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进口调节阀</t>
    </r>
    <r>
      <rPr>
        <sz val="10"/>
        <rFont val="微软雅黑"/>
        <family val="2"/>
        <charset val="134"/>
      </rPr>
      <t>HV_2004</t>
    </r>
  </si>
  <si>
    <t>R0601</t>
  </si>
  <si>
    <t>:BackExtCentrifuge1_P02</t>
  </si>
  <si>
    <r>
      <rPr>
        <sz val="10"/>
        <rFont val="Noto Sans CJK SC"/>
        <family val="2"/>
      </rPr>
      <t>抽提一级离心机组</t>
    </r>
    <r>
      <rPr>
        <sz val="10"/>
        <rFont val="微软雅黑"/>
        <family val="2"/>
        <charset val="134"/>
      </rPr>
      <t>(CT1)·</t>
    </r>
    <r>
      <rPr>
        <sz val="10"/>
        <rFont val="Noto Sans CJK SC"/>
        <family val="2"/>
      </rPr>
      <t>主电机</t>
    </r>
  </si>
  <si>
    <r>
      <rPr>
        <sz val="10"/>
        <rFont val="Noto Sans CJK SC"/>
        <family val="2"/>
      </rPr>
      <t>抽提一级离心机组</t>
    </r>
    <r>
      <rPr>
        <sz val="10"/>
        <rFont val="微软雅黑"/>
        <family val="2"/>
        <charset val="134"/>
      </rPr>
      <t>(CT1)</t>
    </r>
    <r>
      <rPr>
        <sz val="10"/>
        <rFont val="Noto Sans CJK SC"/>
        <family val="2"/>
      </rPr>
      <t>配置主电机</t>
    </r>
  </si>
  <si>
    <t>R0602</t>
  </si>
  <si>
    <t>:BackExtCentrifuge1_P03</t>
  </si>
  <si>
    <r>
      <rPr>
        <sz val="10"/>
        <rFont val="Noto Sans CJK SC"/>
        <family val="2"/>
      </rPr>
      <t>抽提二级离心机组</t>
    </r>
    <r>
      <rPr>
        <sz val="10"/>
        <rFont val="微软雅黑"/>
        <family val="2"/>
        <charset val="134"/>
      </rPr>
      <t>(CT2)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</si>
  <si>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抽提（碳酸钾反萃）包含碟片离心机“抽提二级离心机组</t>
    </r>
    <r>
      <rPr>
        <sz val="10"/>
        <rFont val="微软雅黑"/>
        <family val="2"/>
        <charset val="134"/>
      </rPr>
      <t>(CT2)”</t>
    </r>
  </si>
  <si>
    <t>R0603</t>
  </si>
  <si>
    <t>:BackExtCentrifuge2</t>
  </si>
  <si>
    <r>
      <rPr>
        <sz val="10"/>
        <rFont val="Noto Sans CJK SC"/>
        <family val="2"/>
      </rPr>
      <t>抽提二级离心机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</si>
  <si>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抽提二级离心机组</t>
    </r>
    <r>
      <rPr>
        <sz val="10"/>
        <rFont val="微软雅黑"/>
        <family val="2"/>
        <charset val="134"/>
      </rPr>
      <t>(CT2)</t>
    </r>
    <r>
      <rPr>
        <sz val="10"/>
        <rFont val="Noto Sans CJK SC"/>
        <family val="2"/>
      </rPr>
      <t>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</si>
  <si>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R0604</t>
  </si>
  <si>
    <t>:BackExtCentrifuge2_M01</t>
  </si>
  <si>
    <r>
      <rPr>
        <sz val="10"/>
        <rFont val="Noto Sans CJK SC"/>
        <family val="2"/>
      </rPr>
      <t>抽提二级离心机</t>
    </r>
    <r>
      <rPr>
        <sz val="10"/>
        <rFont val="微软雅黑"/>
        <family val="2"/>
        <charset val="134"/>
      </rPr>
      <t>B</t>
    </r>
  </si>
  <si>
    <t>R0605</t>
  </si>
  <si>
    <t>:BackExtCentrifuge2_M02</t>
  </si>
  <si>
    <r>
      <rPr>
        <sz val="10"/>
        <rFont val="Noto Sans CJK SC"/>
        <family val="2"/>
      </rPr>
      <t>抽提二级离心机</t>
    </r>
    <r>
      <rPr>
        <sz val="10"/>
        <rFont val="微软雅黑"/>
        <family val="2"/>
        <charset val="134"/>
      </rPr>
      <t>C</t>
    </r>
  </si>
  <si>
    <t>R0606</t>
  </si>
  <si>
    <t>:BackExtCentrifuge2_M03</t>
  </si>
  <si>
    <r>
      <rPr>
        <sz val="10"/>
        <rFont val="Noto Sans CJK SC"/>
        <family val="2"/>
      </rPr>
      <t>抽提二级离心机</t>
    </r>
    <r>
      <rPr>
        <sz val="10"/>
        <rFont val="微软雅黑"/>
        <family val="2"/>
        <charset val="134"/>
      </rPr>
      <t>D</t>
    </r>
  </si>
  <si>
    <t>R0607</t>
  </si>
  <si>
    <t>:BackExtCentrifuge2_M04</t>
  </si>
  <si>
    <r>
      <rPr>
        <sz val="10"/>
        <rFont val="Noto Sans CJK SC"/>
        <family val="2"/>
      </rPr>
      <t>抽提二级离心机组</t>
    </r>
    <r>
      <rPr>
        <sz val="10"/>
        <rFont val="微软雅黑"/>
        <family val="2"/>
        <charset val="134"/>
      </rPr>
      <t>(CT2)·</t>
    </r>
    <r>
      <rPr>
        <sz val="10"/>
        <rFont val="Noto Sans CJK SC"/>
        <family val="2"/>
      </rPr>
      <t>碟片分离转鼓</t>
    </r>
  </si>
  <si>
    <r>
      <rPr>
        <sz val="10"/>
        <rFont val="Noto Sans CJK SC"/>
        <family val="2"/>
      </rPr>
      <t>抽提二级离心机组</t>
    </r>
    <r>
      <rPr>
        <sz val="10"/>
        <rFont val="微软雅黑"/>
        <family val="2"/>
        <charset val="134"/>
      </rPr>
      <t>(CT2)</t>
    </r>
    <r>
      <rPr>
        <sz val="10"/>
        <rFont val="Noto Sans CJK SC"/>
        <family val="2"/>
      </rPr>
      <t>配置碟片分离转鼓</t>
    </r>
  </si>
  <si>
    <t>R0608</t>
  </si>
  <si>
    <t>:BackExtCentrifuge2_P01</t>
  </si>
  <si>
    <r>
      <rPr>
        <sz val="10"/>
        <rFont val="Noto Sans CJK SC"/>
        <family val="2"/>
      </rPr>
      <t>抽提二级离心机组</t>
    </r>
    <r>
      <rPr>
        <sz val="10"/>
        <rFont val="微软雅黑"/>
        <family val="2"/>
        <charset val="134"/>
      </rPr>
      <t>(CT2)·BA</t>
    </r>
    <r>
      <rPr>
        <sz val="10"/>
        <rFont val="Noto Sans CJK SC"/>
        <family val="2"/>
      </rPr>
      <t>进口调节阀</t>
    </r>
    <r>
      <rPr>
        <sz val="10"/>
        <rFont val="微软雅黑"/>
        <family val="2"/>
        <charset val="134"/>
      </rPr>
      <t>HV_2006</t>
    </r>
  </si>
  <si>
    <r>
      <rPr>
        <sz val="10"/>
        <rFont val="Noto Sans CJK SC"/>
        <family val="2"/>
      </rPr>
      <t>抽提二级离心机组</t>
    </r>
    <r>
      <rPr>
        <sz val="10"/>
        <rFont val="微软雅黑"/>
        <family val="2"/>
        <charset val="134"/>
      </rPr>
      <t>(CT2)</t>
    </r>
    <r>
      <rPr>
        <sz val="10"/>
        <rFont val="Noto Sans CJK SC"/>
        <family val="2"/>
      </rPr>
      <t>配置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进口调节阀</t>
    </r>
    <r>
      <rPr>
        <sz val="10"/>
        <rFont val="微软雅黑"/>
        <family val="2"/>
        <charset val="134"/>
      </rPr>
      <t>HV_2006</t>
    </r>
  </si>
  <si>
    <t>R0609</t>
  </si>
  <si>
    <t>:BackExtCentrifuge2_P02</t>
  </si>
  <si>
    <r>
      <rPr>
        <sz val="10"/>
        <rFont val="Noto Sans CJK SC"/>
        <family val="2"/>
      </rPr>
      <t>抽提二级离心机组</t>
    </r>
    <r>
      <rPr>
        <sz val="10"/>
        <rFont val="微软雅黑"/>
        <family val="2"/>
        <charset val="134"/>
      </rPr>
      <t>(CT2)·</t>
    </r>
    <r>
      <rPr>
        <sz val="10"/>
        <rFont val="Noto Sans CJK SC"/>
        <family val="2"/>
      </rPr>
      <t>主电机</t>
    </r>
  </si>
  <si>
    <r>
      <rPr>
        <sz val="10"/>
        <rFont val="Noto Sans CJK SC"/>
        <family val="2"/>
      </rPr>
      <t>抽提二级离心机组</t>
    </r>
    <r>
      <rPr>
        <sz val="10"/>
        <rFont val="微软雅黑"/>
        <family val="2"/>
        <charset val="134"/>
      </rPr>
      <t>(CT2)</t>
    </r>
    <r>
      <rPr>
        <sz val="10"/>
        <rFont val="Noto Sans CJK SC"/>
        <family val="2"/>
      </rPr>
      <t>配置主电机</t>
    </r>
  </si>
  <si>
    <t>R0610</t>
  </si>
  <si>
    <t>:BackExtCentrifuge2_P03</t>
  </si>
  <si>
    <t>碳酸钾配制罐压力</t>
  </si>
  <si>
    <r>
      <rPr>
        <sz val="10"/>
        <rFont val="Noto Sans CJK SC"/>
        <family val="2"/>
      </rPr>
      <t>碳酸钾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碳酸钠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配制罐组的碳酸钾配制罐压力</t>
    </r>
  </si>
  <si>
    <t>R0611</t>
  </si>
  <si>
    <t>:Attr_064</t>
  </si>
  <si>
    <r>
      <rPr>
        <sz val="10"/>
        <rFont val="微软雅黑"/>
        <family val="2"/>
        <charset val="134"/>
      </rPr>
      <t>PT_2004A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PT_2004B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PT_2004C</t>
    </r>
  </si>
  <si>
    <t>碳酸钾配制软水流量</t>
  </si>
  <si>
    <t>点表描述为软水流量</t>
  </si>
  <si>
    <t>R0612</t>
  </si>
  <si>
    <t>:Attr_065</t>
  </si>
  <si>
    <t>LT_2009</t>
  </si>
  <si>
    <t>碳酸钾缓冲罐液位</t>
  </si>
  <si>
    <r>
      <rPr>
        <sz val="10"/>
        <rFont val="微软雅黑"/>
        <family val="2"/>
        <charset val="134"/>
      </rPr>
      <t>30%/5%</t>
    </r>
    <r>
      <rPr>
        <sz val="10"/>
        <rFont val="Noto Sans CJK SC"/>
        <family val="2"/>
      </rPr>
      <t>缓冲罐</t>
    </r>
  </si>
  <si>
    <t>R0613</t>
  </si>
  <si>
    <t>:Attr_066</t>
  </si>
  <si>
    <r>
      <rPr>
        <sz val="10"/>
        <rFont val="微软雅黑"/>
        <family val="2"/>
        <charset val="134"/>
      </rPr>
      <t>LT_2002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LT_2003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LT_2004</t>
    </r>
  </si>
  <si>
    <r>
      <rPr>
        <sz val="10"/>
        <rFont val="Noto Sans CJK SC"/>
        <family val="2"/>
      </rPr>
      <t>碳酸钾罐出口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</si>
  <si>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高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低浓度罐（离心机出口处）</t>
    </r>
  </si>
  <si>
    <t>R0614</t>
  </si>
  <si>
    <t>:Attr_067</t>
  </si>
  <si>
    <r>
      <rPr>
        <sz val="10"/>
        <rFont val="微软雅黑"/>
        <family val="2"/>
        <charset val="134"/>
      </rPr>
      <t>AT_1203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AT_1204</t>
    </r>
  </si>
  <si>
    <r>
      <rPr>
        <sz val="10"/>
        <rFont val="Noto Sans CJK SC"/>
        <family val="2"/>
      </rPr>
      <t>一级混合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</si>
  <si>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一级混合罐</t>
    </r>
    <r>
      <rPr>
        <sz val="10"/>
        <rFont val="微软雅黑"/>
        <family val="2"/>
        <charset val="134"/>
      </rPr>
      <t>R2175(6A</t>
    </r>
    <r>
      <rPr>
        <sz val="10"/>
        <rFont val="Noto Sans CJK SC"/>
        <family val="2"/>
      </rPr>
      <t>一混罐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的一级混合</t>
    </r>
    <r>
      <rPr>
        <sz val="10"/>
        <rFont val="微软雅黑"/>
        <family val="2"/>
        <charset val="134"/>
      </rPr>
      <t>pH</t>
    </r>
  </si>
  <si>
    <t>R0615</t>
  </si>
  <si>
    <t>:Attr_068</t>
  </si>
  <si>
    <r>
      <rPr>
        <sz val="10"/>
        <rFont val="微软雅黑"/>
        <family val="2"/>
        <charset val="134"/>
      </rPr>
      <t>AT_1201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AT_1205A</t>
    </r>
  </si>
  <si>
    <t>一级混合液位</t>
  </si>
  <si>
    <r>
      <rPr>
        <sz val="10"/>
        <rFont val="Noto Sans CJK SC"/>
        <family val="2"/>
      </rPr>
      <t>一级混合罐</t>
    </r>
    <r>
      <rPr>
        <sz val="10"/>
        <rFont val="微软雅黑"/>
        <family val="2"/>
        <charset val="134"/>
      </rPr>
      <t>R2175(6A</t>
    </r>
    <r>
      <rPr>
        <sz val="10"/>
        <rFont val="Noto Sans CJK SC"/>
        <family val="2"/>
      </rPr>
      <t>一混罐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的一级混合液位</t>
    </r>
  </si>
  <si>
    <t>R0616</t>
  </si>
  <si>
    <t>:Attr_069</t>
  </si>
  <si>
    <t>LT_2005</t>
  </si>
  <si>
    <t>一级混合温度</t>
  </si>
  <si>
    <r>
      <rPr>
        <sz val="10"/>
        <rFont val="Noto Sans CJK SC"/>
        <family val="2"/>
      </rPr>
      <t>一级混合罐</t>
    </r>
    <r>
      <rPr>
        <sz val="10"/>
        <rFont val="微软雅黑"/>
        <family val="2"/>
        <charset val="134"/>
      </rPr>
      <t>R2175(6A</t>
    </r>
    <r>
      <rPr>
        <sz val="10"/>
        <rFont val="Noto Sans CJK SC"/>
        <family val="2"/>
      </rPr>
      <t>一混罐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的一级混合温度</t>
    </r>
  </si>
  <si>
    <t>R0617</t>
  </si>
  <si>
    <t>:Attr_070</t>
  </si>
  <si>
    <t>TI_1201</t>
  </si>
  <si>
    <r>
      <rPr>
        <sz val="10"/>
        <rFont val="Noto Sans CJK SC"/>
        <family val="2"/>
      </rPr>
      <t>一离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总管流量</t>
    </r>
  </si>
  <si>
    <r>
      <rPr>
        <sz val="10"/>
        <rFont val="Noto Sans CJK SC"/>
        <family val="2"/>
      </rPr>
      <t>一级混合罐</t>
    </r>
    <r>
      <rPr>
        <sz val="10"/>
        <rFont val="微软雅黑"/>
        <family val="2"/>
        <charset val="134"/>
      </rPr>
      <t>R2175(6A</t>
    </r>
    <r>
      <rPr>
        <sz val="10"/>
        <rFont val="Noto Sans CJK SC"/>
        <family val="2"/>
      </rPr>
      <t>一混罐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的一离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总管流量</t>
    </r>
  </si>
  <si>
    <t>R0618</t>
  </si>
  <si>
    <t>:Attr_071</t>
  </si>
  <si>
    <t>FT_1210</t>
  </si>
  <si>
    <t>一离碳酸钾流量</t>
  </si>
  <si>
    <r>
      <rPr>
        <sz val="10"/>
        <rFont val="Noto Sans CJK SC"/>
        <family val="2"/>
      </rPr>
      <t>一级混合罐</t>
    </r>
    <r>
      <rPr>
        <sz val="10"/>
        <rFont val="微软雅黑"/>
        <family val="2"/>
        <charset val="134"/>
      </rPr>
      <t>R2175(6A</t>
    </r>
    <r>
      <rPr>
        <sz val="10"/>
        <rFont val="Noto Sans CJK SC"/>
        <family val="2"/>
      </rPr>
      <t>一混罐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的一离碳酸钾流量</t>
    </r>
  </si>
  <si>
    <t>R0619</t>
  </si>
  <si>
    <t>:Attr_072</t>
  </si>
  <si>
    <t>FT_1211</t>
  </si>
  <si>
    <r>
      <rPr>
        <sz val="10"/>
        <rFont val="Noto Sans CJK SC"/>
        <family val="2"/>
      </rPr>
      <t>二级混合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</si>
  <si>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二级混合罐</t>
    </r>
    <r>
      <rPr>
        <sz val="10"/>
        <rFont val="微软雅黑"/>
        <family val="2"/>
        <charset val="134"/>
      </rPr>
      <t>R2177(6A</t>
    </r>
    <r>
      <rPr>
        <sz val="10"/>
        <rFont val="Noto Sans CJK SC"/>
        <family val="2"/>
      </rPr>
      <t>二混罐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的二级混合</t>
    </r>
    <r>
      <rPr>
        <sz val="10"/>
        <rFont val="微软雅黑"/>
        <family val="2"/>
        <charset val="134"/>
      </rPr>
      <t>pH</t>
    </r>
  </si>
  <si>
    <t>R0620</t>
  </si>
  <si>
    <t>:Attr_073</t>
  </si>
  <si>
    <r>
      <rPr>
        <sz val="10"/>
        <rFont val="微软雅黑"/>
        <family val="2"/>
        <charset val="134"/>
      </rPr>
      <t>AT_1202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AT_1205B</t>
    </r>
  </si>
  <si>
    <t>二级混合液位</t>
  </si>
  <si>
    <r>
      <rPr>
        <sz val="10"/>
        <rFont val="Noto Sans CJK SC"/>
        <family val="2"/>
      </rPr>
      <t>二级混合罐</t>
    </r>
    <r>
      <rPr>
        <sz val="10"/>
        <rFont val="微软雅黑"/>
        <family val="2"/>
        <charset val="134"/>
      </rPr>
      <t>R2177(6A</t>
    </r>
    <r>
      <rPr>
        <sz val="10"/>
        <rFont val="Noto Sans CJK SC"/>
        <family val="2"/>
      </rPr>
      <t>二混罐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的二级混合液位</t>
    </r>
  </si>
  <si>
    <t>R0621</t>
  </si>
  <si>
    <t>:Attr_074</t>
  </si>
  <si>
    <t>LT_2006</t>
  </si>
  <si>
    <t>二级混合温度</t>
  </si>
  <si>
    <r>
      <rPr>
        <sz val="10"/>
        <rFont val="Noto Sans CJK SC"/>
        <family val="2"/>
      </rPr>
      <t>二级混合罐</t>
    </r>
    <r>
      <rPr>
        <sz val="10"/>
        <rFont val="微软雅黑"/>
        <family val="2"/>
        <charset val="134"/>
      </rPr>
      <t>R2177(6A</t>
    </r>
    <r>
      <rPr>
        <sz val="10"/>
        <rFont val="Noto Sans CJK SC"/>
        <family val="2"/>
      </rPr>
      <t>二混罐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的二级混合温度</t>
    </r>
  </si>
  <si>
    <t>R0622</t>
  </si>
  <si>
    <t>:Attr_075</t>
  </si>
  <si>
    <t>TI_1202</t>
  </si>
  <si>
    <t>二离入料流量</t>
  </si>
  <si>
    <r>
      <rPr>
        <sz val="10"/>
        <rFont val="Noto Sans CJK SC"/>
        <family val="2"/>
      </rPr>
      <t>二级混合罐</t>
    </r>
    <r>
      <rPr>
        <sz val="10"/>
        <rFont val="微软雅黑"/>
        <family val="2"/>
        <charset val="134"/>
      </rPr>
      <t>R2177(6A</t>
    </r>
    <r>
      <rPr>
        <sz val="10"/>
        <rFont val="Noto Sans CJK SC"/>
        <family val="2"/>
      </rPr>
      <t>二混罐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的二离入料流量</t>
    </r>
  </si>
  <si>
    <t>R0623</t>
  </si>
  <si>
    <t>:Attr_076</t>
  </si>
  <si>
    <t>FT_1212</t>
  </si>
  <si>
    <t>二离碳酸钾流量</t>
  </si>
  <si>
    <r>
      <rPr>
        <sz val="10"/>
        <rFont val="Noto Sans CJK SC"/>
        <family val="2"/>
      </rPr>
      <t>二级混合罐</t>
    </r>
    <r>
      <rPr>
        <sz val="10"/>
        <rFont val="微软雅黑"/>
        <family val="2"/>
        <charset val="134"/>
      </rPr>
      <t>R2177(6A</t>
    </r>
    <r>
      <rPr>
        <sz val="10"/>
        <rFont val="Noto Sans CJK SC"/>
        <family val="2"/>
      </rPr>
      <t>二混罐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的二离碳酸钾流量</t>
    </r>
  </si>
  <si>
    <t>R0624</t>
  </si>
  <si>
    <t>:Attr_077</t>
  </si>
  <si>
    <t>FT_1213</t>
  </si>
  <si>
    <r>
      <rPr>
        <sz val="10"/>
        <rFont val="Noto Sans CJK SC"/>
        <family val="2"/>
      </rPr>
      <t>一级离心机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进口流量</t>
    </r>
  </si>
  <si>
    <r>
      <rPr>
        <sz val="10"/>
        <rFont val="Noto Sans CJK SC"/>
        <family val="2"/>
      </rPr>
      <t>抽提一级离心机组</t>
    </r>
    <r>
      <rPr>
        <sz val="10"/>
        <rFont val="微软雅黑"/>
        <family val="2"/>
        <charset val="134"/>
      </rPr>
      <t>(CT1)</t>
    </r>
    <r>
      <rPr>
        <sz val="10"/>
        <rFont val="Noto Sans CJK SC"/>
        <family val="2"/>
      </rPr>
      <t>的一级离心机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进口流量</t>
    </r>
  </si>
  <si>
    <t>R0625</t>
  </si>
  <si>
    <t>:Attr_078</t>
  </si>
  <si>
    <r>
      <rPr>
        <sz val="10"/>
        <rFont val="微软雅黑"/>
        <family val="2"/>
        <charset val="134"/>
      </rPr>
      <t>FT_2007A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FT_2007B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FT_2007C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FT_2007D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FT_2007E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FT_2007F</t>
    </r>
  </si>
  <si>
    <r>
      <rPr>
        <sz val="10"/>
        <rFont val="Noto Sans CJK SC"/>
        <family val="2"/>
      </rPr>
      <t>一离出口</t>
    </r>
    <r>
      <rPr>
        <sz val="10"/>
        <rFont val="微软雅黑"/>
        <family val="2"/>
        <charset val="134"/>
      </rPr>
      <t>pH(RB</t>
    </r>
    <r>
      <rPr>
        <sz val="10"/>
        <rFont val="Noto Sans CJK SC"/>
        <family val="2"/>
      </rPr>
      <t>液</t>
    </r>
    <r>
      <rPr>
        <sz val="10"/>
        <rFont val="微软雅黑"/>
        <family val="2"/>
        <charset val="134"/>
      </rPr>
      <t>pH)</t>
    </r>
  </si>
  <si>
    <r>
      <rPr>
        <sz val="10"/>
        <rFont val="Noto Sans CJK SC"/>
        <family val="2"/>
      </rPr>
      <t>点表：一离</t>
    </r>
    <r>
      <rPr>
        <sz val="10"/>
        <rFont val="微软雅黑"/>
        <family val="2"/>
        <charset val="134"/>
      </rPr>
      <t>PH(</t>
    </r>
    <r>
      <rPr>
        <sz val="10"/>
        <rFont val="Noto Sans CJK SC"/>
        <family val="2"/>
      </rPr>
      <t>出口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；画面标注为二阶重相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，待确认</t>
    </r>
  </si>
  <si>
    <t>R0626</t>
  </si>
  <si>
    <t>:Attr_079</t>
  </si>
  <si>
    <t>AT_1206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</si>
  <si>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去薄膜流量</t>
    </r>
  </si>
  <si>
    <r>
      <rPr>
        <sz val="10"/>
        <rFont val="Noto Sans CJK SC"/>
        <family val="2"/>
      </rPr>
      <t>抽提一级离心机组</t>
    </r>
    <r>
      <rPr>
        <sz val="10"/>
        <rFont val="微软雅黑"/>
        <family val="2"/>
        <charset val="134"/>
      </rPr>
      <t>(CT1)</t>
    </r>
    <r>
      <rPr>
        <sz val="10"/>
        <rFont val="Noto Sans CJK SC"/>
        <family val="2"/>
      </rPr>
      <t>的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去薄膜流量</t>
    </r>
  </si>
  <si>
    <t>R0627</t>
  </si>
  <si>
    <t>:Attr_080</t>
  </si>
  <si>
    <t>FT_1316</t>
  </si>
  <si>
    <t>一级离心机轻相流量</t>
  </si>
  <si>
    <r>
      <rPr>
        <sz val="10"/>
        <rFont val="Noto Sans CJK SC"/>
        <family val="2"/>
      </rPr>
      <t>抽提一级离心机组</t>
    </r>
    <r>
      <rPr>
        <sz val="10"/>
        <rFont val="微软雅黑"/>
        <family val="2"/>
        <charset val="134"/>
      </rPr>
      <t>(CT1)</t>
    </r>
    <r>
      <rPr>
        <sz val="10"/>
        <rFont val="Noto Sans CJK SC"/>
        <family val="2"/>
      </rPr>
      <t>的一级离心机轻相流量</t>
    </r>
  </si>
  <si>
    <t>R0628</t>
  </si>
  <si>
    <t>:Attr_081</t>
  </si>
  <si>
    <r>
      <rPr>
        <sz val="10"/>
        <rFont val="微软雅黑"/>
        <family val="2"/>
        <charset val="134"/>
      </rPr>
      <t>FT_2002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FT_1209A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FT_1209B</t>
    </r>
  </si>
  <si>
    <t>抽提一级离心机电流</t>
  </si>
  <si>
    <r>
      <rPr>
        <sz val="10"/>
        <rFont val="Noto Sans CJK SC"/>
        <family val="2"/>
      </rPr>
      <t>抽提一级离心机组</t>
    </r>
    <r>
      <rPr>
        <sz val="10"/>
        <rFont val="微软雅黑"/>
        <family val="2"/>
        <charset val="134"/>
      </rPr>
      <t>(CT1)</t>
    </r>
    <r>
      <rPr>
        <sz val="10"/>
        <rFont val="Noto Sans CJK SC"/>
        <family val="2"/>
      </rPr>
      <t>的抽提一级离心机电流</t>
    </r>
  </si>
  <si>
    <t>R0629</t>
  </si>
  <si>
    <t>:Attr_082</t>
  </si>
  <si>
    <r>
      <rPr>
        <sz val="10"/>
        <rFont val="微软雅黑"/>
        <family val="2"/>
        <charset val="134"/>
      </rPr>
      <t>II_11CT1A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II_11CT1B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II_11CT1C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II_11CT1D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II_11CT1E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II_11CT1F</t>
    </r>
  </si>
  <si>
    <r>
      <rPr>
        <sz val="10"/>
        <rFont val="Noto Sans CJK SC"/>
        <family val="2"/>
      </rPr>
      <t>二级离心机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进口流量</t>
    </r>
  </si>
  <si>
    <r>
      <rPr>
        <sz val="10"/>
        <rFont val="Noto Sans CJK SC"/>
        <family val="2"/>
      </rPr>
      <t>抽提二级离心机组</t>
    </r>
    <r>
      <rPr>
        <sz val="10"/>
        <rFont val="微软雅黑"/>
        <family val="2"/>
        <charset val="134"/>
      </rPr>
      <t>(CT2)</t>
    </r>
    <r>
      <rPr>
        <sz val="10"/>
        <rFont val="Noto Sans CJK SC"/>
        <family val="2"/>
      </rPr>
      <t>的二级离心机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进口流量</t>
    </r>
  </si>
  <si>
    <t>R0630</t>
  </si>
  <si>
    <t>:Attr_083</t>
  </si>
  <si>
    <r>
      <rPr>
        <sz val="10"/>
        <rFont val="微软雅黑"/>
        <family val="2"/>
        <charset val="134"/>
      </rPr>
      <t>FT_2008A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FT_2008B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FT_2008C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FT_2008D</t>
    </r>
  </si>
  <si>
    <r>
      <rPr>
        <sz val="10"/>
        <rFont val="Noto Sans CJK SC"/>
        <family val="2"/>
      </rPr>
      <t>二离出口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</si>
  <si>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点表：二离</t>
    </r>
    <r>
      <rPr>
        <sz val="10"/>
        <rFont val="微软雅黑"/>
        <family val="2"/>
        <charset val="134"/>
      </rPr>
      <t>PH(</t>
    </r>
    <r>
      <rPr>
        <sz val="10"/>
        <rFont val="Noto Sans CJK SC"/>
        <family val="2"/>
      </rPr>
      <t>出口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；画面标注为一阶重相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，待确认</t>
    </r>
  </si>
  <si>
    <t>R0631</t>
  </si>
  <si>
    <t>:Attr_084</t>
  </si>
  <si>
    <t>AT_1207</t>
  </si>
  <si>
    <r>
      <rPr>
        <sz val="10"/>
        <rFont val="Noto Sans CJK SC"/>
        <family val="2"/>
      </rPr>
      <t>二级离心机轻相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退</t>
    </r>
    <r>
      <rPr>
        <sz val="10"/>
        <rFont val="微软雅黑"/>
        <family val="2"/>
        <charset val="134"/>
      </rPr>
      <t>BA)</t>
    </r>
    <r>
      <rPr>
        <sz val="10"/>
        <rFont val="Noto Sans CJK SC"/>
        <family val="2"/>
      </rPr>
      <t>流量</t>
    </r>
  </si>
  <si>
    <r>
      <rPr>
        <sz val="10"/>
        <rFont val="Noto Sans CJK SC"/>
        <family val="2"/>
      </rPr>
      <t>抽提二级离心机组</t>
    </r>
    <r>
      <rPr>
        <sz val="10"/>
        <rFont val="微软雅黑"/>
        <family val="2"/>
        <charset val="134"/>
      </rPr>
      <t>(CT2)</t>
    </r>
    <r>
      <rPr>
        <sz val="10"/>
        <rFont val="Noto Sans CJK SC"/>
        <family val="2"/>
      </rPr>
      <t>的二级离心机轻相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退</t>
    </r>
    <r>
      <rPr>
        <sz val="10"/>
        <rFont val="微软雅黑"/>
        <family val="2"/>
        <charset val="134"/>
      </rPr>
      <t>BA)</t>
    </r>
    <r>
      <rPr>
        <sz val="10"/>
        <rFont val="Noto Sans CJK SC"/>
        <family val="2"/>
      </rPr>
      <t>流量</t>
    </r>
  </si>
  <si>
    <t>R0632</t>
  </si>
  <si>
    <t>:Attr_085</t>
  </si>
  <si>
    <r>
      <rPr>
        <sz val="10"/>
        <rFont val="微软雅黑"/>
        <family val="2"/>
        <charset val="134"/>
      </rPr>
      <t>FT_2003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FT_1206</t>
    </r>
  </si>
  <si>
    <t>抽提二级离心机电流</t>
  </si>
  <si>
    <r>
      <rPr>
        <sz val="10"/>
        <rFont val="Noto Sans CJK SC"/>
        <family val="2"/>
      </rPr>
      <t>抽提二级离心机组</t>
    </r>
    <r>
      <rPr>
        <sz val="10"/>
        <rFont val="微软雅黑"/>
        <family val="2"/>
        <charset val="134"/>
      </rPr>
      <t>(CT2)</t>
    </r>
    <r>
      <rPr>
        <sz val="10"/>
        <rFont val="Noto Sans CJK SC"/>
        <family val="2"/>
      </rPr>
      <t>的抽提二级离心机电流</t>
    </r>
  </si>
  <si>
    <t>R0633</t>
  </si>
  <si>
    <t>:Attr_086</t>
  </si>
  <si>
    <r>
      <rPr>
        <sz val="10"/>
        <rFont val="微软雅黑"/>
        <family val="2"/>
        <charset val="134"/>
      </rPr>
      <t>II_11CT2A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II_11CT2B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II_11CT2C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II_11CT2D</t>
    </r>
  </si>
  <si>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与碳酸钾比例</t>
    </r>
  </si>
  <si>
    <r>
      <rPr>
        <sz val="10"/>
        <rFont val="Noto Sans CJK SC"/>
        <family val="2"/>
      </rPr>
      <t>画面“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与碳酸钾比例”</t>
    </r>
  </si>
  <si>
    <t>R0634</t>
  </si>
  <si>
    <t>:Attr_261</t>
  </si>
  <si>
    <t>反萃分配平衡度</t>
  </si>
  <si>
    <r>
      <rPr>
        <sz val="10"/>
        <rFont val="Noto Sans CJK SC"/>
        <family val="2"/>
      </rPr>
      <t>抽提一级离心机组</t>
    </r>
    <r>
      <rPr>
        <sz val="10"/>
        <rFont val="微软雅黑"/>
        <family val="2"/>
        <charset val="134"/>
      </rPr>
      <t>(CT1)</t>
    </r>
    <r>
      <rPr>
        <sz val="10"/>
        <rFont val="Noto Sans CJK SC"/>
        <family val="2"/>
      </rPr>
      <t>的反萃分配平衡度（机理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</si>
  <si>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R0635</t>
  </si>
  <si>
    <t>:Attr_262</t>
  </si>
  <si>
    <r>
      <rPr>
        <sz val="10"/>
        <rFont val="Noto Sans CJK SC"/>
        <family val="2"/>
      </rPr>
      <t>退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青霉素残效</t>
    </r>
  </si>
  <si>
    <r>
      <rPr>
        <sz val="10"/>
        <rFont val="Noto Sans CJK SC"/>
        <family val="2"/>
      </rPr>
      <t>贫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中残余青霉素</t>
    </r>
    <r>
      <rPr>
        <sz val="10"/>
        <rFont val="微软雅黑"/>
        <family val="2"/>
        <charset val="134"/>
      </rPr>
      <t>=</t>
    </r>
    <r>
      <rPr>
        <sz val="10"/>
        <rFont val="Noto Sans CJK SC"/>
        <family val="2"/>
      </rPr>
      <t>抽提损失</t>
    </r>
  </si>
  <si>
    <t>R0636</t>
  </si>
  <si>
    <t>:QKPI_263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</si>
  <si>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青霉素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钾水溶液</t>
    </r>
    <r>
      <rPr>
        <sz val="10"/>
        <rFont val="微软雅黑"/>
        <family val="2"/>
        <charset val="134"/>
      </rPr>
      <t>)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</si>
  <si>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青霉素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钾水溶液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的一离出口</t>
    </r>
    <r>
      <rPr>
        <sz val="10"/>
        <rFont val="微软雅黑"/>
        <family val="2"/>
        <charset val="134"/>
      </rPr>
      <t>pH(RB</t>
    </r>
    <r>
      <rPr>
        <sz val="10"/>
        <rFont val="Noto Sans CJK SC"/>
        <family val="2"/>
      </rPr>
      <t>液</t>
    </r>
    <r>
      <rPr>
        <sz val="10"/>
        <rFont val="微软雅黑"/>
        <family val="2"/>
        <charset val="134"/>
      </rPr>
      <t>pH)</t>
    </r>
    <r>
      <rPr>
        <sz val="10"/>
        <rFont val="Noto Sans CJK SC"/>
        <family val="2"/>
      </rPr>
      <t>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</si>
  <si>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R0637</t>
  </si>
  <si>
    <t>:MS_RB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</si>
  <si>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青霉素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钾水溶液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去薄膜流量（流股属性，测点位于管线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</si>
  <si>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R0638</t>
  </si>
  <si>
    <r>
      <rPr>
        <sz val="10"/>
        <rFont val="Noto Sans CJK SC"/>
        <family val="2"/>
      </rPr>
      <t>退</t>
    </r>
    <r>
      <rPr>
        <sz val="10"/>
        <rFont val="微软雅黑"/>
        <family val="2"/>
        <charset val="134"/>
      </rPr>
      <t>BA(</t>
    </r>
    <r>
      <rPr>
        <sz val="10"/>
        <rFont val="Noto Sans CJK SC"/>
        <family val="2"/>
      </rPr>
      <t>贫</t>
    </r>
    <r>
      <rPr>
        <sz val="10"/>
        <rFont val="微软雅黑"/>
        <family val="2"/>
        <charset val="134"/>
      </rPr>
      <t>BA)</t>
    </r>
    <r>
      <rPr>
        <sz val="10"/>
        <rFont val="Noto Sans CJK SC"/>
        <family val="2"/>
      </rPr>
      <t>的退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青霉素残效（流股属性，测点位于管线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</si>
  <si>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R0639</t>
  </si>
  <si>
    <t>PT_2004A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</si>
  <si>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30%</t>
    </r>
    <r>
      <rPr>
        <sz val="10"/>
        <rFont val="Noto Sans CJK SC"/>
        <family val="2"/>
      </rPr>
      <t>碳酸钾配制罐压力</t>
    </r>
    <r>
      <rPr>
        <sz val="10"/>
        <rFont val="微软雅黑"/>
        <family val="2"/>
        <charset val="134"/>
      </rPr>
      <t>a</t>
    </r>
  </si>
  <si>
    <t>R0640</t>
  </si>
  <si>
    <t>:PT_2004A</t>
  </si>
  <si>
    <t>PT_2004B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</si>
  <si>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30%</t>
    </r>
    <r>
      <rPr>
        <sz val="10"/>
        <rFont val="Noto Sans CJK SC"/>
        <family val="2"/>
      </rPr>
      <t>碳酸钾配制罐压力</t>
    </r>
    <r>
      <rPr>
        <sz val="10"/>
        <rFont val="微软雅黑"/>
        <family val="2"/>
        <charset val="134"/>
      </rPr>
      <t>b</t>
    </r>
  </si>
  <si>
    <t>R0641</t>
  </si>
  <si>
    <t>:PT_2004B</t>
  </si>
  <si>
    <t>PT_2004C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</si>
  <si>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30%</t>
    </r>
    <r>
      <rPr>
        <sz val="10"/>
        <rFont val="Noto Sans CJK SC"/>
        <family val="2"/>
      </rPr>
      <t>碳酸钾配制罐压力</t>
    </r>
    <r>
      <rPr>
        <sz val="10"/>
        <rFont val="微软雅黑"/>
        <family val="2"/>
        <charset val="134"/>
      </rPr>
      <t>c</t>
    </r>
  </si>
  <si>
    <t>R0642</t>
  </si>
  <si>
    <t>:PT_2004C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</si>
  <si>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原点描述：一楼</t>
    </r>
    <r>
      <rPr>
        <sz val="10"/>
        <rFont val="微软雅黑"/>
        <family val="2"/>
        <charset val="134"/>
      </rPr>
      <t>30%</t>
    </r>
    <r>
      <rPr>
        <sz val="10"/>
        <rFont val="Noto Sans CJK SC"/>
        <family val="2"/>
      </rPr>
      <t>碳酸钾配制罐软水流量</t>
    </r>
  </si>
  <si>
    <t>R0643</t>
  </si>
  <si>
    <t>:LT_2009</t>
  </si>
  <si>
    <t>LT_2002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</si>
  <si>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30%</t>
    </r>
    <r>
      <rPr>
        <sz val="10"/>
        <rFont val="Noto Sans CJK SC"/>
        <family val="2"/>
      </rPr>
      <t>碳酸钾缓冲罐液位</t>
    </r>
  </si>
  <si>
    <t>R0644</t>
  </si>
  <si>
    <t>:LT_2002</t>
  </si>
  <si>
    <t>LT_2003</t>
  </si>
  <si>
    <t>R0645</t>
  </si>
  <si>
    <t>:LT_2003</t>
  </si>
  <si>
    <t>LT_2004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</si>
  <si>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5%</t>
    </r>
    <r>
      <rPr>
        <sz val="10"/>
        <rFont val="Noto Sans CJK SC"/>
        <family val="2"/>
      </rPr>
      <t>碳酸钾缓冲罐液位</t>
    </r>
  </si>
  <si>
    <t>R0646</t>
  </si>
  <si>
    <t>:LT_2004</t>
  </si>
  <si>
    <t>AT_1203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</si>
  <si>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原点描述：高浓度碳酸钾罐</t>
    </r>
    <r>
      <rPr>
        <sz val="10"/>
        <rFont val="微软雅黑"/>
        <family val="2"/>
        <charset val="134"/>
      </rPr>
      <t>V2168 PH</t>
    </r>
    <r>
      <rPr>
        <sz val="10"/>
        <rFont val="Noto Sans CJK SC"/>
        <family val="2"/>
      </rPr>
      <t>（离心机出口处）</t>
    </r>
  </si>
  <si>
    <t>R0647</t>
  </si>
  <si>
    <t>:AT_1203</t>
  </si>
  <si>
    <t>AT_1204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</si>
  <si>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原点描述：低浓度碳酸钾罐</t>
    </r>
    <r>
      <rPr>
        <sz val="10"/>
        <rFont val="微软雅黑"/>
        <family val="2"/>
        <charset val="134"/>
      </rPr>
      <t>R2170 PH</t>
    </r>
    <r>
      <rPr>
        <sz val="10"/>
        <rFont val="Noto Sans CJK SC"/>
        <family val="2"/>
      </rPr>
      <t>（离心机出口处）</t>
    </r>
  </si>
  <si>
    <t>R0648</t>
  </si>
  <si>
    <t>:AT_1204</t>
  </si>
  <si>
    <t>AT_1201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</si>
  <si>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原点描述：一级混合罐</t>
    </r>
    <r>
      <rPr>
        <sz val="10"/>
        <rFont val="微软雅黑"/>
        <family val="2"/>
        <charset val="134"/>
      </rPr>
      <t>R2175 PH</t>
    </r>
  </si>
  <si>
    <t>R0649</t>
  </si>
  <si>
    <t>:AT_1201</t>
  </si>
  <si>
    <t>AT_1205A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</si>
  <si>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原点描述：抽提工序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检测</t>
    </r>
    <r>
      <rPr>
        <sz val="10"/>
        <rFont val="微软雅黑"/>
        <family val="2"/>
        <charset val="134"/>
      </rPr>
      <t>A</t>
    </r>
  </si>
  <si>
    <t>R0650</t>
  </si>
  <si>
    <t>:AT_1205A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</si>
  <si>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原点描述：一级混合器液位检测</t>
    </r>
  </si>
  <si>
    <t>R0651</t>
  </si>
  <si>
    <t>:LT_2005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</si>
  <si>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原点描述：混合罐</t>
    </r>
    <r>
      <rPr>
        <sz val="10"/>
        <rFont val="微软雅黑"/>
        <family val="2"/>
        <charset val="134"/>
      </rPr>
      <t>R2223</t>
    </r>
    <r>
      <rPr>
        <sz val="10"/>
        <rFont val="Noto Sans CJK SC"/>
        <family val="2"/>
      </rPr>
      <t>温度检测</t>
    </r>
  </si>
  <si>
    <t>R0652</t>
  </si>
  <si>
    <t>:TI_1201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</si>
  <si>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原点描述：一离总管入料流量检测</t>
    </r>
  </si>
  <si>
    <t>R0653</t>
  </si>
  <si>
    <t>:FT_1210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</si>
  <si>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原点描述：一离碳酸钾流量检测</t>
    </r>
  </si>
  <si>
    <t>R0654</t>
  </si>
  <si>
    <t>:FT_1211</t>
  </si>
  <si>
    <t>AT_1202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</si>
  <si>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原点描述：二级混合罐</t>
    </r>
    <r>
      <rPr>
        <sz val="10"/>
        <rFont val="微软雅黑"/>
        <family val="2"/>
        <charset val="134"/>
      </rPr>
      <t>R2177 PH</t>
    </r>
  </si>
  <si>
    <t>R0655</t>
  </si>
  <si>
    <t>:AT_1202</t>
  </si>
  <si>
    <t>AT_1205B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</si>
  <si>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原点描述：抽提工序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检测</t>
    </r>
    <r>
      <rPr>
        <sz val="10"/>
        <rFont val="微软雅黑"/>
        <family val="2"/>
        <charset val="134"/>
      </rPr>
      <t>B</t>
    </r>
  </si>
  <si>
    <t>R0656</t>
  </si>
  <si>
    <t>:AT_1205B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</si>
  <si>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原点描述：二级混合器液位检测</t>
    </r>
  </si>
  <si>
    <t>R0657</t>
  </si>
  <si>
    <t>:LT_2006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</si>
  <si>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原点描述：混合罐</t>
    </r>
    <r>
      <rPr>
        <sz val="10"/>
        <rFont val="微软雅黑"/>
        <family val="2"/>
        <charset val="134"/>
      </rPr>
      <t>R2228</t>
    </r>
    <r>
      <rPr>
        <sz val="10"/>
        <rFont val="Noto Sans CJK SC"/>
        <family val="2"/>
      </rPr>
      <t>温度检测</t>
    </r>
  </si>
  <si>
    <t>R0658</t>
  </si>
  <si>
    <t>:TI_1202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</si>
  <si>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原点描述：二离入料流量检测</t>
    </r>
  </si>
  <si>
    <t>R0659</t>
  </si>
  <si>
    <t>:FT_1212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</si>
  <si>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原点描述：二离碳酸钾流量</t>
    </r>
  </si>
  <si>
    <t>R0660</t>
  </si>
  <si>
    <t>:FT_1213</t>
  </si>
  <si>
    <t>FT_2007A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</si>
  <si>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原点描述：一级离心机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进口流量监测</t>
    </r>
    <r>
      <rPr>
        <sz val="10"/>
        <rFont val="微软雅黑"/>
        <family val="2"/>
        <charset val="134"/>
      </rPr>
      <t>a</t>
    </r>
  </si>
  <si>
    <t>R0661</t>
  </si>
  <si>
    <t>:FT_2007A</t>
  </si>
  <si>
    <t>FT_2007B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</si>
  <si>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原点描述：一级离心机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进口流量监测</t>
    </r>
    <r>
      <rPr>
        <sz val="10"/>
        <rFont val="微软雅黑"/>
        <family val="2"/>
        <charset val="134"/>
      </rPr>
      <t>b</t>
    </r>
  </si>
  <si>
    <t>R0662</t>
  </si>
  <si>
    <t>:FT_2007B</t>
  </si>
  <si>
    <t>FT_2007C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</si>
  <si>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原点描述：一级离心机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进口流量监测</t>
    </r>
    <r>
      <rPr>
        <sz val="10"/>
        <rFont val="微软雅黑"/>
        <family val="2"/>
        <charset val="134"/>
      </rPr>
      <t>c</t>
    </r>
  </si>
  <si>
    <t>R0663</t>
  </si>
  <si>
    <t>:FT_2007C</t>
  </si>
  <si>
    <t>FT_2007D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</si>
  <si>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原点描述：一级离心机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进口流量监测</t>
    </r>
    <r>
      <rPr>
        <sz val="10"/>
        <rFont val="微软雅黑"/>
        <family val="2"/>
        <charset val="134"/>
      </rPr>
      <t>d</t>
    </r>
  </si>
  <si>
    <t>R0664</t>
  </si>
  <si>
    <t>:FT_2007D</t>
  </si>
  <si>
    <t>FT_2007E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</si>
  <si>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原点描述：一级离心机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进口流量监测</t>
    </r>
    <r>
      <rPr>
        <sz val="10"/>
        <rFont val="微软雅黑"/>
        <family val="2"/>
        <charset val="134"/>
      </rPr>
      <t>e</t>
    </r>
  </si>
  <si>
    <t>R0665</t>
  </si>
  <si>
    <t>:FT_2007E</t>
  </si>
  <si>
    <t>FT_2007F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</si>
  <si>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原点描述：一级离心机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进口流量监测</t>
    </r>
    <r>
      <rPr>
        <sz val="10"/>
        <rFont val="微软雅黑"/>
        <family val="2"/>
        <charset val="134"/>
      </rPr>
      <t>f</t>
    </r>
  </si>
  <si>
    <t>R0666</t>
  </si>
  <si>
    <t>:FT_2007F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</si>
  <si>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原点描述：一离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（出口）检测</t>
    </r>
  </si>
  <si>
    <t>R0667</t>
  </si>
  <si>
    <t>:AT_1206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</si>
  <si>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去薄膜流量</t>
    </r>
  </si>
  <si>
    <t>R0668</t>
  </si>
  <si>
    <t>:FT_1316</t>
  </si>
  <si>
    <t>FT_2002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</si>
  <si>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原点描述：一级离心机轻相出口流量监测</t>
    </r>
  </si>
  <si>
    <t>R0669</t>
  </si>
  <si>
    <t>:FT_2002</t>
  </si>
  <si>
    <t>FT_1209A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</si>
  <si>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原点描述：混合罐</t>
    </r>
    <r>
      <rPr>
        <sz val="10"/>
        <rFont val="微软雅黑"/>
        <family val="2"/>
        <charset val="134"/>
      </rPr>
      <t>R2228</t>
    </r>
    <r>
      <rPr>
        <sz val="10"/>
        <rFont val="Noto Sans CJK SC"/>
        <family val="2"/>
      </rPr>
      <t>进料流量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检测</t>
    </r>
  </si>
  <si>
    <t>R0670</t>
  </si>
  <si>
    <t>:FT_1209A</t>
  </si>
  <si>
    <t>FT_1209B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</si>
  <si>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原点描述：混合罐</t>
    </r>
    <r>
      <rPr>
        <sz val="10"/>
        <rFont val="微软雅黑"/>
        <family val="2"/>
        <charset val="134"/>
      </rPr>
      <t>R2228</t>
    </r>
    <r>
      <rPr>
        <sz val="10"/>
        <rFont val="Noto Sans CJK SC"/>
        <family val="2"/>
      </rPr>
      <t>进料流量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检测</t>
    </r>
  </si>
  <si>
    <t>R0671</t>
  </si>
  <si>
    <t>:FT_1209B</t>
  </si>
  <si>
    <t>II_11CT1A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</si>
  <si>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原点描述：抽提一级离心机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电流反馈</t>
    </r>
  </si>
  <si>
    <t>R0672</t>
  </si>
  <si>
    <t>:II_11CT1A</t>
  </si>
  <si>
    <t>II_11CT1B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</si>
  <si>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原点描述：抽提一级离心机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电流反馈</t>
    </r>
  </si>
  <si>
    <t>R0673</t>
  </si>
  <si>
    <t>:II_11CT1B</t>
  </si>
  <si>
    <t>II_11CT1C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</si>
  <si>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原点描述：抽提一级离心机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电流反馈</t>
    </r>
  </si>
  <si>
    <t>R0674</t>
  </si>
  <si>
    <t>:II_11CT1C</t>
  </si>
  <si>
    <t>II_11CT1D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</si>
  <si>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原点描述：抽提一级离心机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电流反馈</t>
    </r>
  </si>
  <si>
    <t>R0675</t>
  </si>
  <si>
    <t>:II_11CT1D</t>
  </si>
  <si>
    <t>II_11CT1E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</si>
  <si>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原点描述：抽提一级离心机</t>
    </r>
    <r>
      <rPr>
        <sz val="10"/>
        <rFont val="微软雅黑"/>
        <family val="2"/>
        <charset val="134"/>
      </rPr>
      <t>E</t>
    </r>
    <r>
      <rPr>
        <sz val="10"/>
        <rFont val="Noto Sans CJK SC"/>
        <family val="2"/>
      </rPr>
      <t>电流反馈</t>
    </r>
  </si>
  <si>
    <t>R0676</t>
  </si>
  <si>
    <t>:II_11CT1E</t>
  </si>
  <si>
    <t>II_11CT1F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</si>
  <si>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原点描述：抽提一级离心机</t>
    </r>
    <r>
      <rPr>
        <sz val="10"/>
        <rFont val="微软雅黑"/>
        <family val="2"/>
        <charset val="134"/>
      </rPr>
      <t>F</t>
    </r>
    <r>
      <rPr>
        <sz val="10"/>
        <rFont val="Noto Sans CJK SC"/>
        <family val="2"/>
      </rPr>
      <t>电流反馈</t>
    </r>
  </si>
  <si>
    <t>R0677</t>
  </si>
  <si>
    <t>:II_11CT1F</t>
  </si>
  <si>
    <t>FT_2008A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</si>
  <si>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原点描述：二级离心机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进口流量监测</t>
    </r>
    <r>
      <rPr>
        <sz val="10"/>
        <rFont val="微软雅黑"/>
        <family val="2"/>
        <charset val="134"/>
      </rPr>
      <t>a</t>
    </r>
  </si>
  <si>
    <t>R0678</t>
  </si>
  <si>
    <t>:FT_2008A</t>
  </si>
  <si>
    <t>FT_2008B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</si>
  <si>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原点描述：二级离心机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进口流量监测</t>
    </r>
    <r>
      <rPr>
        <sz val="10"/>
        <rFont val="微软雅黑"/>
        <family val="2"/>
        <charset val="134"/>
      </rPr>
      <t>b</t>
    </r>
  </si>
  <si>
    <t>R0679</t>
  </si>
  <si>
    <t>:FT_2008B</t>
  </si>
  <si>
    <t>FT_2008C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</si>
  <si>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原点描述：二级离心机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进口流量监测</t>
    </r>
    <r>
      <rPr>
        <sz val="10"/>
        <rFont val="微软雅黑"/>
        <family val="2"/>
        <charset val="134"/>
      </rPr>
      <t>c</t>
    </r>
  </si>
  <si>
    <t>R0680</t>
  </si>
  <si>
    <t>:FT_2008C</t>
  </si>
  <si>
    <t>FT_2008D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</si>
  <si>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原点描述：二级离心机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进口流量监测</t>
    </r>
    <r>
      <rPr>
        <sz val="10"/>
        <rFont val="微软雅黑"/>
        <family val="2"/>
        <charset val="134"/>
      </rPr>
      <t>d</t>
    </r>
  </si>
  <si>
    <t>R0681</t>
  </si>
  <si>
    <t>:FT_2008D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</si>
  <si>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原点描述：二离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（出口）检测</t>
    </r>
  </si>
  <si>
    <t>R0682</t>
  </si>
  <si>
    <t>:AT_1207</t>
  </si>
  <si>
    <t>FT_2003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</si>
  <si>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原点描述：二级离心机轻相出口流量监测</t>
    </r>
  </si>
  <si>
    <t>R0683</t>
  </si>
  <si>
    <t>:FT_2003</t>
  </si>
  <si>
    <t>FT_1206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</si>
  <si>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原点描述：离心机出废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流量</t>
    </r>
  </si>
  <si>
    <t>R0684</t>
  </si>
  <si>
    <t>:FT_1206</t>
  </si>
  <si>
    <t>II_11CT2A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</si>
  <si>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原点描述：抽提二级离心机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电流反馈</t>
    </r>
  </si>
  <si>
    <t>R0685</t>
  </si>
  <si>
    <t>:II_11CT2A</t>
  </si>
  <si>
    <t>II_11CT2B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</si>
  <si>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原点描述：抽提二级离心机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电流反馈</t>
    </r>
  </si>
  <si>
    <t>R0686</t>
  </si>
  <si>
    <t>:II_11CT2B</t>
  </si>
  <si>
    <t>II_11CT2C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</si>
  <si>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原点描述：抽提二级离心机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电流反馈</t>
    </r>
  </si>
  <si>
    <t>R0687</t>
  </si>
  <si>
    <t>:II_11CT2C</t>
  </si>
  <si>
    <t>II_11CT2D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</si>
  <si>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原点描述：抽提二级离心机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电流反馈</t>
    </r>
  </si>
  <si>
    <t>R0688</t>
  </si>
  <si>
    <t>:II_11CT2D</t>
  </si>
  <si>
    <r>
      <rPr>
        <sz val="10"/>
        <rFont val="Noto Sans CJK SC"/>
        <family val="2"/>
      </rPr>
      <t>一级碳酸钾比值控制器</t>
    </r>
    <r>
      <rPr>
        <sz val="10"/>
        <rFont val="微软雅黑"/>
        <family val="2"/>
        <charset val="134"/>
      </rPr>
      <t>(FFC-1211)</t>
    </r>
  </si>
  <si>
    <r>
      <rPr>
        <sz val="10"/>
        <rFont val="Noto Sans CJK SC"/>
        <family val="2"/>
      </rPr>
      <t>碳酸钾进一级混合器调节阀</t>
    </r>
    <r>
      <rPr>
        <sz val="10"/>
        <rFont val="微软雅黑"/>
        <family val="2"/>
        <charset val="134"/>
      </rPr>
      <t>HV_2003/HV_2007</t>
    </r>
  </si>
  <si>
    <r>
      <rPr>
        <sz val="10"/>
        <rFont val="Noto Sans CJK SC"/>
        <family val="2"/>
      </rPr>
      <t>按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与碳酸钾比例跟踪一离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总管流量</t>
    </r>
  </si>
  <si>
    <t>R0689</t>
  </si>
  <si>
    <t>:Ctrl_012</t>
  </si>
  <si>
    <t>:Act_012</t>
  </si>
  <si>
    <r>
      <rPr>
        <sz val="10"/>
        <rFont val="微软雅黑"/>
        <family val="2"/>
        <charset val="134"/>
      </rPr>
      <t>HV_2003_AO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HV_2007_AO</t>
    </r>
  </si>
  <si>
    <r>
      <rPr>
        <sz val="10"/>
        <rFont val="Noto Sans CJK SC"/>
        <family val="2"/>
      </rPr>
      <t>一离碳酸钾流量作为过程变量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反馈给一级碳酸钾比值控制器</t>
    </r>
    <r>
      <rPr>
        <sz val="10"/>
        <rFont val="微软雅黑"/>
        <family val="2"/>
        <charset val="134"/>
      </rPr>
      <t>(FFC-1211)</t>
    </r>
  </si>
  <si>
    <t>R0690</t>
  </si>
  <si>
    <r>
      <rPr>
        <sz val="10"/>
        <rFont val="Noto Sans CJK SC"/>
        <family val="2"/>
      </rPr>
      <t>碳酸钾进一级混合器调节阀</t>
    </r>
    <r>
      <rPr>
        <sz val="10"/>
        <rFont val="微软雅黑"/>
        <family val="2"/>
        <charset val="134"/>
      </rPr>
      <t>HV_2003/HV_2007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频率变化直接改变一离碳酸钾流量</t>
    </r>
  </si>
  <si>
    <t>R0691</t>
  </si>
  <si>
    <r>
      <rPr>
        <sz val="10"/>
        <rFont val="Noto Sans CJK SC"/>
        <family val="2"/>
      </rPr>
      <t>二级碳酸钾比值控制器</t>
    </r>
    <r>
      <rPr>
        <sz val="10"/>
        <rFont val="微软雅黑"/>
        <family val="2"/>
        <charset val="134"/>
      </rPr>
      <t>(FFC-1213)</t>
    </r>
  </si>
  <si>
    <r>
      <rPr>
        <sz val="10"/>
        <rFont val="Noto Sans CJK SC"/>
        <family val="2"/>
      </rPr>
      <t>碳酸钾进二级混合器调节阀</t>
    </r>
    <r>
      <rPr>
        <sz val="10"/>
        <rFont val="微软雅黑"/>
        <family val="2"/>
        <charset val="134"/>
      </rPr>
      <t>HV_2005/HV_2010</t>
    </r>
  </si>
  <si>
    <t>R0692</t>
  </si>
  <si>
    <t>:Ctrl_013</t>
  </si>
  <si>
    <t>:Act_013</t>
  </si>
  <si>
    <r>
      <rPr>
        <sz val="10"/>
        <rFont val="微软雅黑"/>
        <family val="2"/>
        <charset val="134"/>
      </rPr>
      <t>HV_2005_AO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HV_2010_AO</t>
    </r>
  </si>
  <si>
    <r>
      <rPr>
        <sz val="10"/>
        <rFont val="Noto Sans CJK SC"/>
        <family val="2"/>
      </rPr>
      <t>二离碳酸钾流量作为过程变量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反馈给二级碳酸钾比值控制器</t>
    </r>
    <r>
      <rPr>
        <sz val="10"/>
        <rFont val="微软雅黑"/>
        <family val="2"/>
        <charset val="134"/>
      </rPr>
      <t>(FFC-1213)</t>
    </r>
  </si>
  <si>
    <t>R0693</t>
  </si>
  <si>
    <r>
      <rPr>
        <sz val="10"/>
        <rFont val="Noto Sans CJK SC"/>
        <family val="2"/>
      </rPr>
      <t>碳酸钾进二级混合器调节阀</t>
    </r>
    <r>
      <rPr>
        <sz val="10"/>
        <rFont val="微软雅黑"/>
        <family val="2"/>
        <charset val="134"/>
      </rPr>
      <t>HV_2005/HV_2010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频率变化直接改变二离碳酸钾流量</t>
    </r>
  </si>
  <si>
    <t>R0694</t>
  </si>
  <si>
    <r>
      <rPr>
        <sz val="10"/>
        <rFont val="Noto Sans CJK SC"/>
        <family val="2"/>
      </rPr>
      <t>一次离心机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控制器</t>
    </r>
    <r>
      <rPr>
        <sz val="10"/>
        <rFont val="微软雅黑"/>
        <family val="2"/>
        <charset val="134"/>
      </rPr>
      <t>(AIC-1206)</t>
    </r>
  </si>
  <si>
    <r>
      <rPr>
        <sz val="10"/>
        <rFont val="Noto Sans CJK SC"/>
        <family val="2"/>
      </rPr>
      <t>一次离心机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控制输出</t>
    </r>
    <r>
      <rPr>
        <sz val="10"/>
        <rFont val="微软雅黑"/>
        <family val="2"/>
        <charset val="134"/>
      </rPr>
      <t>HV_1202</t>
    </r>
  </si>
  <si>
    <r>
      <rPr>
        <sz val="10"/>
        <rFont val="Noto Sans CJK SC"/>
        <family val="2"/>
      </rPr>
      <t>维持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</t>
    </r>
    <r>
      <rPr>
        <sz val="10"/>
        <rFont val="微软雅黑"/>
        <family val="2"/>
        <charset val="134"/>
      </rPr>
      <t>pH≈6.5–7.2</t>
    </r>
    <r>
      <rPr>
        <sz val="10"/>
        <rFont val="Noto Sans CJK SC"/>
        <family val="2"/>
      </rPr>
      <t>避免青霉素碱降解</t>
    </r>
  </si>
  <si>
    <t>R0695</t>
  </si>
  <si>
    <t>:Ctrl_014</t>
  </si>
  <si>
    <t>:Act_014</t>
  </si>
  <si>
    <t>HV_1202_AO</t>
  </si>
  <si>
    <r>
      <rPr>
        <sz val="10"/>
        <rFont val="Noto Sans CJK SC"/>
        <family val="2"/>
      </rPr>
      <t>一离出口</t>
    </r>
    <r>
      <rPr>
        <sz val="10"/>
        <rFont val="微软雅黑"/>
        <family val="2"/>
        <charset val="134"/>
      </rPr>
      <t>pH(RB</t>
    </r>
    <r>
      <rPr>
        <sz val="10"/>
        <rFont val="Noto Sans CJK SC"/>
        <family val="2"/>
      </rPr>
      <t>液</t>
    </r>
    <r>
      <rPr>
        <sz val="10"/>
        <rFont val="微软雅黑"/>
        <family val="2"/>
        <charset val="134"/>
      </rPr>
      <t>pH)</t>
    </r>
    <r>
      <rPr>
        <sz val="10"/>
        <rFont val="Noto Sans CJK SC"/>
        <family val="2"/>
      </rPr>
      <t>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反馈给一次离心机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控制器</t>
    </r>
    <r>
      <rPr>
        <sz val="10"/>
        <rFont val="微软雅黑"/>
        <family val="2"/>
        <charset val="134"/>
      </rPr>
      <t>(AIC-1206)</t>
    </r>
  </si>
  <si>
    <t>R0696</t>
  </si>
  <si>
    <r>
      <rPr>
        <sz val="10"/>
        <rFont val="Noto Sans CJK SC"/>
        <family val="2"/>
      </rPr>
      <t>一次离心机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控制输出</t>
    </r>
    <r>
      <rPr>
        <sz val="10"/>
        <rFont val="微软雅黑"/>
        <family val="2"/>
        <charset val="134"/>
      </rPr>
      <t>HV_1202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频率变化直接改变一离出口</t>
    </r>
    <r>
      <rPr>
        <sz val="10"/>
        <rFont val="微软雅黑"/>
        <family val="2"/>
        <charset val="134"/>
      </rPr>
      <t>pH(RB</t>
    </r>
    <r>
      <rPr>
        <sz val="10"/>
        <rFont val="Noto Sans CJK SC"/>
        <family val="2"/>
      </rPr>
      <t>液</t>
    </r>
    <r>
      <rPr>
        <sz val="10"/>
        <rFont val="微软雅黑"/>
        <family val="2"/>
        <charset val="134"/>
      </rPr>
      <t>pH)</t>
    </r>
  </si>
  <si>
    <t>R0697</t>
  </si>
  <si>
    <r>
      <rPr>
        <sz val="10"/>
        <rFont val="Noto Sans CJK SC"/>
        <family val="2"/>
      </rPr>
      <t>二次离心机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控制器</t>
    </r>
    <r>
      <rPr>
        <sz val="10"/>
        <rFont val="微软雅黑"/>
        <family val="2"/>
        <charset val="134"/>
      </rPr>
      <t>(AIC-1207)</t>
    </r>
  </si>
  <si>
    <r>
      <rPr>
        <sz val="10"/>
        <rFont val="Noto Sans CJK SC"/>
        <family val="2"/>
      </rPr>
      <t>二次离心机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控制输出</t>
    </r>
    <r>
      <rPr>
        <sz val="10"/>
        <rFont val="微软雅黑"/>
        <family val="2"/>
        <charset val="134"/>
      </rPr>
      <t>HV_1203</t>
    </r>
  </si>
  <si>
    <t>R0698</t>
  </si>
  <si>
    <t>:Ctrl_015</t>
  </si>
  <si>
    <t>:Act_015</t>
  </si>
  <si>
    <t>HV_1203_AO</t>
  </si>
  <si>
    <r>
      <rPr>
        <sz val="10"/>
        <rFont val="Noto Sans CJK SC"/>
        <family val="2"/>
      </rPr>
      <t>二离出口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反馈给二次离心机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控制器</t>
    </r>
    <r>
      <rPr>
        <sz val="10"/>
        <rFont val="微软雅黑"/>
        <family val="2"/>
        <charset val="134"/>
      </rPr>
      <t>(AIC-1207)</t>
    </r>
  </si>
  <si>
    <t>R0699</t>
  </si>
  <si>
    <r>
      <rPr>
        <sz val="10"/>
        <rFont val="Noto Sans CJK SC"/>
        <family val="2"/>
      </rPr>
      <t>二次离心机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控制输出</t>
    </r>
    <r>
      <rPr>
        <sz val="10"/>
        <rFont val="微软雅黑"/>
        <family val="2"/>
        <charset val="134"/>
      </rPr>
      <t>HV_1203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频率变化直接改变二离出口</t>
    </r>
    <r>
      <rPr>
        <sz val="10"/>
        <rFont val="微软雅黑"/>
        <family val="2"/>
        <charset val="134"/>
      </rPr>
      <t>pH</t>
    </r>
  </si>
  <si>
    <t>R0700</t>
  </si>
  <si>
    <r>
      <rPr>
        <sz val="10"/>
        <rFont val="Noto Sans CJK SC"/>
        <family val="2"/>
      </rPr>
      <t>高浓度碳酸钾罐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控制器</t>
    </r>
    <r>
      <rPr>
        <sz val="10"/>
        <rFont val="微软雅黑"/>
        <family val="2"/>
        <charset val="134"/>
      </rPr>
      <t>(AIC-1203)</t>
    </r>
  </si>
  <si>
    <r>
      <rPr>
        <sz val="10"/>
        <rFont val="Noto Sans CJK SC"/>
        <family val="2"/>
      </rPr>
      <t>高浓度碳酸钾罐</t>
    </r>
    <r>
      <rPr>
        <sz val="10"/>
        <rFont val="微软雅黑"/>
        <family val="2"/>
        <charset val="134"/>
      </rPr>
      <t>V2168 pH</t>
    </r>
    <r>
      <rPr>
        <sz val="10"/>
        <rFont val="Noto Sans CJK SC"/>
        <family val="2"/>
      </rPr>
      <t>控制</t>
    </r>
    <r>
      <rPr>
        <sz val="10"/>
        <rFont val="微软雅黑"/>
        <family val="2"/>
        <charset val="134"/>
      </rPr>
      <t>HV_1201</t>
    </r>
  </si>
  <si>
    <t>R0701</t>
  </si>
  <si>
    <t>:Ctrl_016</t>
  </si>
  <si>
    <t>:Act_016</t>
  </si>
  <si>
    <t>HV_1201_AO</t>
  </si>
  <si>
    <r>
      <rPr>
        <sz val="10"/>
        <rFont val="Noto Sans CJK SC"/>
        <family val="2"/>
      </rPr>
      <t>碳酸钾罐出口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反馈给高浓度碳酸钾罐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控制器</t>
    </r>
    <r>
      <rPr>
        <sz val="10"/>
        <rFont val="微软雅黑"/>
        <family val="2"/>
        <charset val="134"/>
      </rPr>
      <t>(AIC-1203)</t>
    </r>
  </si>
  <si>
    <t>R0702</t>
  </si>
  <si>
    <r>
      <rPr>
        <sz val="10"/>
        <rFont val="Noto Sans CJK SC"/>
        <family val="2"/>
      </rPr>
      <t>高浓度碳酸钾罐</t>
    </r>
    <r>
      <rPr>
        <sz val="10"/>
        <rFont val="微软雅黑"/>
        <family val="2"/>
        <charset val="134"/>
      </rPr>
      <t>V2168 pH</t>
    </r>
    <r>
      <rPr>
        <sz val="10"/>
        <rFont val="Noto Sans CJK SC"/>
        <family val="2"/>
      </rPr>
      <t>控制</t>
    </r>
    <r>
      <rPr>
        <sz val="10"/>
        <rFont val="微软雅黑"/>
        <family val="2"/>
        <charset val="134"/>
      </rPr>
      <t>HV_1201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频率变化直接改变碳酸钾罐出口</t>
    </r>
    <r>
      <rPr>
        <sz val="10"/>
        <rFont val="微软雅黑"/>
        <family val="2"/>
        <charset val="134"/>
      </rPr>
      <t>pH</t>
    </r>
  </si>
  <si>
    <t>R0703</t>
  </si>
  <si>
    <r>
      <rPr>
        <sz val="10"/>
        <rFont val="Noto Sans CJK SC"/>
        <family val="2"/>
      </rPr>
      <t>抽提一级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进口流量控制器</t>
    </r>
  </si>
  <si>
    <r>
      <rPr>
        <sz val="10"/>
        <rFont val="Noto Sans CJK SC"/>
        <family val="2"/>
      </rPr>
      <t>一级离心机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进口调节阀</t>
    </r>
    <r>
      <rPr>
        <sz val="10"/>
        <rFont val="微软雅黑"/>
        <family val="2"/>
        <charset val="134"/>
      </rPr>
      <t>HV_2004A–F</t>
    </r>
  </si>
  <si>
    <t>R0704</t>
  </si>
  <si>
    <t>:Ctrl_017</t>
  </si>
  <si>
    <t>:Act_017</t>
  </si>
  <si>
    <r>
      <rPr>
        <sz val="10"/>
        <rFont val="微软雅黑"/>
        <family val="2"/>
        <charset val="134"/>
      </rPr>
      <t>HV_2004A_AO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HV_2004B_AO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HV_2004C_AO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HV_2004D_AO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HV_2004E_AO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HV_2004F_AO</t>
    </r>
  </si>
  <si>
    <r>
      <rPr>
        <sz val="10"/>
        <rFont val="Noto Sans CJK SC"/>
        <family val="2"/>
      </rPr>
      <t>一级离心机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进口流量作为过程变量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反馈给抽提一级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进口流量控制器</t>
    </r>
  </si>
  <si>
    <t>R0705</t>
  </si>
  <si>
    <r>
      <rPr>
        <sz val="10"/>
        <rFont val="Noto Sans CJK SC"/>
        <family val="2"/>
      </rPr>
      <t>一级离心机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进口调节阀</t>
    </r>
    <r>
      <rPr>
        <sz val="10"/>
        <rFont val="微软雅黑"/>
        <family val="2"/>
        <charset val="134"/>
      </rPr>
      <t>HV_2004A–F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频率变化直接改变一级离心机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进口流量</t>
    </r>
  </si>
  <si>
    <t>R0706</t>
  </si>
  <si>
    <r>
      <rPr>
        <sz val="10"/>
        <rFont val="Noto Sans CJK SC"/>
        <family val="2"/>
      </rPr>
      <t>抽提二级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进口流量控制器</t>
    </r>
  </si>
  <si>
    <r>
      <rPr>
        <sz val="10"/>
        <rFont val="Noto Sans CJK SC"/>
        <family val="2"/>
      </rPr>
      <t>二级离心机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进口调节阀</t>
    </r>
    <r>
      <rPr>
        <sz val="10"/>
        <rFont val="微软雅黑"/>
        <family val="2"/>
        <charset val="134"/>
      </rPr>
      <t>HV_2006A–D</t>
    </r>
  </si>
  <si>
    <t>R0707</t>
  </si>
  <si>
    <t>:Ctrl_018</t>
  </si>
  <si>
    <t>:Act_018</t>
  </si>
  <si>
    <r>
      <rPr>
        <sz val="10"/>
        <rFont val="微软雅黑"/>
        <family val="2"/>
        <charset val="134"/>
      </rPr>
      <t>HV_2006A_AO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HV_2006B_AO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HV_2006C_AO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HV_2006D_AO</t>
    </r>
  </si>
  <si>
    <r>
      <rPr>
        <sz val="10"/>
        <rFont val="Noto Sans CJK SC"/>
        <family val="2"/>
      </rPr>
      <t>二级离心机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进口流量作为过程变量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反馈给抽提二级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进口流量控制器</t>
    </r>
  </si>
  <si>
    <t>R0708</t>
  </si>
  <si>
    <r>
      <rPr>
        <sz val="10"/>
        <rFont val="Noto Sans CJK SC"/>
        <family val="2"/>
      </rPr>
      <t>二级离心机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进口调节阀</t>
    </r>
    <r>
      <rPr>
        <sz val="10"/>
        <rFont val="微软雅黑"/>
        <family val="2"/>
        <charset val="134"/>
      </rPr>
      <t>HV_2006A–D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频率变化直接改变二级离心机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进口流量</t>
    </r>
  </si>
  <si>
    <t>R0709</t>
  </si>
  <si>
    <r>
      <rPr>
        <sz val="10"/>
        <rFont val="Noto Sans CJK SC"/>
        <family val="2"/>
      </rPr>
      <t>真空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压空输送固体碳酸钾</t>
    </r>
  </si>
  <si>
    <t>R0710</t>
  </si>
  <si>
    <t>软水</t>
  </si>
  <si>
    <t>R0711</t>
  </si>
  <si>
    <t>:MS_SoftWater</t>
  </si>
  <si>
    <t>碳酸钾溶液</t>
  </si>
  <si>
    <t>R0712</t>
  </si>
  <si>
    <t>:MS_K2CO3</t>
  </si>
  <si>
    <t>R0713</t>
  </si>
  <si>
    <t>反萃过程</t>
  </si>
  <si>
    <t>R0714</t>
  </si>
  <si>
    <t>R0715</t>
  </si>
  <si>
    <t>R0716</t>
  </si>
  <si>
    <t>二阶重相</t>
  </si>
  <si>
    <t>逆流</t>
  </si>
  <si>
    <t>R0717</t>
  </si>
  <si>
    <t>:MS_Stage2Heavy</t>
  </si>
  <si>
    <t>一级混合液</t>
  </si>
  <si>
    <t>混合过程</t>
  </si>
  <si>
    <t>R0718</t>
  </si>
  <si>
    <t>:MS_Mix1</t>
  </si>
  <si>
    <t>一级混合输送泵</t>
  </si>
  <si>
    <t>离心分离</t>
  </si>
  <si>
    <t>R0719</t>
  </si>
  <si>
    <r>
      <rPr>
        <sz val="10"/>
        <rFont val="Noto Sans CJK SC"/>
        <family val="2"/>
      </rPr>
      <t>一阶重相去薄膜</t>
    </r>
    <r>
      <rPr>
        <sz val="10"/>
        <rFont val="微软雅黑"/>
        <family val="2"/>
        <charset val="134"/>
      </rPr>
      <t>(FT_1316)</t>
    </r>
  </si>
  <si>
    <t>R0720</t>
  </si>
  <si>
    <r>
      <rPr>
        <sz val="10"/>
        <rFont val="Noto Sans CJK SC"/>
        <family val="2"/>
      </rPr>
      <t>一阶轻相</t>
    </r>
    <r>
      <rPr>
        <sz val="10"/>
        <rFont val="微软雅黑"/>
        <family val="2"/>
        <charset val="134"/>
      </rPr>
      <t>BA</t>
    </r>
  </si>
  <si>
    <t>R0721</t>
  </si>
  <si>
    <t>:MS_Stage1Light</t>
  </si>
  <si>
    <t>R0722</t>
  </si>
  <si>
    <t>二级混合液</t>
  </si>
  <si>
    <t>R0723</t>
  </si>
  <si>
    <t>:MS_Mix2</t>
  </si>
  <si>
    <t>二级混合输送泵</t>
  </si>
  <si>
    <t>R0724</t>
  </si>
  <si>
    <r>
      <rPr>
        <sz val="10"/>
        <rFont val="Noto Sans CJK SC"/>
        <family val="2"/>
      </rPr>
      <t>二阶轻相</t>
    </r>
    <r>
      <rPr>
        <sz val="10"/>
        <rFont val="微软雅黑"/>
        <family val="2"/>
        <charset val="134"/>
      </rPr>
      <t>(FT_1215)</t>
    </r>
  </si>
  <si>
    <t>R0725</t>
  </si>
  <si>
    <t>R0726</t>
  </si>
  <si>
    <r>
      <rPr>
        <sz val="10"/>
        <rFont val="Noto Sans CJK SC"/>
        <family val="2"/>
      </rPr>
      <t>抽提氨水缓冲罐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氨水溢流罐</t>
    </r>
  </si>
  <si>
    <r>
      <rPr>
        <sz val="10"/>
        <rFont val="Noto Sans CJK SC"/>
        <family val="2"/>
      </rPr>
      <t>画面：氨气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去抽提（用途待确认）</t>
    </r>
  </si>
  <si>
    <t>辅助调节</t>
  </si>
  <si>
    <t>R0727</t>
  </si>
  <si>
    <t>:ExtAmmoniaBuffer</t>
  </si>
  <si>
    <r>
      <rPr>
        <sz val="10"/>
        <rFont val="Noto Sans CJK SC"/>
        <family val="2"/>
      </rPr>
      <t>碳酸钾量增大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升高</t>
    </r>
  </si>
  <si>
    <t>R0728</t>
  </si>
  <si>
    <r>
      <rPr>
        <sz val="10"/>
        <rFont val="微软雅黑"/>
        <family val="2"/>
        <charset val="134"/>
      </rPr>
      <t>FT_1211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AT_1206</t>
    </r>
  </si>
  <si>
    <t>R0729</t>
  </si>
  <si>
    <r>
      <rPr>
        <sz val="10"/>
        <rFont val="微软雅黑"/>
        <family val="2"/>
        <charset val="134"/>
      </rPr>
      <t>FT_1213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AT_1207</t>
    </r>
  </si>
  <si>
    <t>比例失衡导致反萃不完全或碱过量</t>
  </si>
  <si>
    <t>R0730</t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</si>
  <si>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足够高青霉素完全成盐转入水相</t>
    </r>
  </si>
  <si>
    <t>R0731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</si>
  <si>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液热降解率</t>
    </r>
  </si>
  <si>
    <r>
      <rPr>
        <sz val="10"/>
        <rFont val="微软雅黑"/>
        <family val="2"/>
        <charset val="134"/>
      </rPr>
      <t>pH&gt;7.5</t>
    </r>
    <r>
      <rPr>
        <sz val="10"/>
        <rFont val="Noto Sans CJK SC"/>
        <family val="2"/>
      </rPr>
      <t>青霉素碱性降解加速</t>
    </r>
  </si>
  <si>
    <t>R0732</t>
  </si>
  <si>
    <t>:QKPI_265</t>
  </si>
  <si>
    <t>R0733</t>
  </si>
  <si>
    <t>R0734</t>
  </si>
  <si>
    <r>
      <rPr>
        <sz val="10"/>
        <rFont val="Noto Sans CJK SC"/>
        <family val="2"/>
      </rPr>
      <t>贫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夹带青霉素损失</t>
    </r>
  </si>
  <si>
    <t>R0735</t>
  </si>
  <si>
    <r>
      <rPr>
        <sz val="10"/>
        <rFont val="Noto Sans CJK SC"/>
        <family val="2"/>
      </rPr>
      <t>衔接物料：退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（贫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）。钾盐退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FT_1214</t>
    </r>
    <r>
      <rPr>
        <sz val="10"/>
        <rFont val="Noto Sans CJK SC"/>
        <family val="2"/>
      </rPr>
      <t>）返回丁酯罐</t>
    </r>
  </si>
  <si>
    <t>S08</t>
  </si>
  <si>
    <t>R0736</t>
  </si>
  <si>
    <t>尾气与环保</t>
  </si>
  <si>
    <t>衔接物料：钾盐结晶真空尾气。钾盐真空泵出口→尾气系统</t>
  </si>
  <si>
    <t>R0737</t>
  </si>
  <si>
    <t>:Area_S23_OffgasTreatment</t>
  </si>
  <si>
    <r>
      <rPr>
        <sz val="10"/>
        <rFont val="Noto Sans CJK SC"/>
        <family val="2"/>
      </rPr>
      <t>青霉素钾盐支线（点表补充）包含搅拌混合罐“钾盐一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二混罐”</t>
    </r>
  </si>
  <si>
    <t>R0738</t>
  </si>
  <si>
    <t>（无画面，点表补充）</t>
  </si>
  <si>
    <t>钾盐一混罐</t>
  </si>
  <si>
    <r>
      <rPr>
        <sz val="10"/>
        <rFont val="Noto Sans CJK SC"/>
        <family val="2"/>
      </rPr>
      <t>钾盐一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二混罐的并联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</si>
  <si>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R0739</t>
  </si>
  <si>
    <t>:KSaltMixers_M01</t>
  </si>
  <si>
    <t>钾盐二混罐</t>
  </si>
  <si>
    <t>R0740</t>
  </si>
  <si>
    <t>:KSaltMixers_M02</t>
  </si>
  <si>
    <r>
      <rPr>
        <sz val="10"/>
        <rFont val="Noto Sans CJK SC"/>
        <family val="2"/>
      </rPr>
      <t>钾盐一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二混罐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搅拌器</t>
    </r>
  </si>
  <si>
    <r>
      <rPr>
        <sz val="10"/>
        <rFont val="Noto Sans CJK SC"/>
        <family val="2"/>
      </rPr>
      <t>钾盐一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二混罐配置搅拌器</t>
    </r>
  </si>
  <si>
    <t>R0741</t>
  </si>
  <si>
    <t>:KSaltMixers_P01</t>
  </si>
  <si>
    <t>钾盐离心机组</t>
  </si>
  <si>
    <t>青霉素钾盐支线（点表补充）包含碟片离心机“钾盐离心机组”</t>
  </si>
  <si>
    <t>R0742</t>
  </si>
  <si>
    <t>:KSaltCentrifuges</t>
  </si>
  <si>
    <r>
      <rPr>
        <sz val="10"/>
        <rFont val="Noto Sans CJK SC"/>
        <family val="2"/>
      </rPr>
      <t>钾盐离心机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</si>
  <si>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钾盐离心机组的并联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</si>
  <si>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R0743</t>
  </si>
  <si>
    <t>:KSaltCentrifuges_M01</t>
  </si>
  <si>
    <r>
      <rPr>
        <sz val="10"/>
        <rFont val="Noto Sans CJK SC"/>
        <family val="2"/>
      </rPr>
      <t>钾盐离心机</t>
    </r>
    <r>
      <rPr>
        <sz val="10"/>
        <rFont val="微软雅黑"/>
        <family val="2"/>
        <charset val="134"/>
      </rPr>
      <t>B</t>
    </r>
  </si>
  <si>
    <t>R0744</t>
  </si>
  <si>
    <t>:KSaltCentrifuges_M02</t>
  </si>
  <si>
    <r>
      <rPr>
        <sz val="10"/>
        <rFont val="Noto Sans CJK SC"/>
        <family val="2"/>
      </rPr>
      <t>钾盐离心机</t>
    </r>
    <r>
      <rPr>
        <sz val="10"/>
        <rFont val="微软雅黑"/>
        <family val="2"/>
        <charset val="134"/>
      </rPr>
      <t>C</t>
    </r>
  </si>
  <si>
    <t>R0745</t>
  </si>
  <si>
    <t>:KSaltCentrifuges_M03</t>
  </si>
  <si>
    <r>
      <rPr>
        <sz val="10"/>
        <rFont val="Noto Sans CJK SC"/>
        <family val="2"/>
      </rPr>
      <t>钾盐离心机</t>
    </r>
    <r>
      <rPr>
        <sz val="10"/>
        <rFont val="微软雅黑"/>
        <family val="2"/>
        <charset val="134"/>
      </rPr>
      <t>D</t>
    </r>
  </si>
  <si>
    <t>R0746</t>
  </si>
  <si>
    <t>:KSaltCentrifuges_M04</t>
  </si>
  <si>
    <r>
      <rPr>
        <sz val="10"/>
        <rFont val="Noto Sans CJK SC"/>
        <family val="2"/>
      </rPr>
      <t>钾盐离心机</t>
    </r>
    <r>
      <rPr>
        <sz val="10"/>
        <rFont val="微软雅黑"/>
        <family val="2"/>
        <charset val="134"/>
      </rPr>
      <t>E</t>
    </r>
  </si>
  <si>
    <t>R0747</t>
  </si>
  <si>
    <t>:KSaltCentrifuges_M05</t>
  </si>
  <si>
    <r>
      <rPr>
        <sz val="10"/>
        <rFont val="Noto Sans CJK SC"/>
        <family val="2"/>
      </rPr>
      <t>钾盐离心机</t>
    </r>
    <r>
      <rPr>
        <sz val="10"/>
        <rFont val="微软雅黑"/>
        <family val="2"/>
        <charset val="134"/>
      </rPr>
      <t>F</t>
    </r>
  </si>
  <si>
    <t>R0748</t>
  </si>
  <si>
    <t>:KSaltCentrifuges_M06</t>
  </si>
  <si>
    <r>
      <rPr>
        <sz val="10"/>
        <rFont val="Noto Sans CJK SC"/>
        <family val="2"/>
      </rPr>
      <t>钾盐离心机组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主电机</t>
    </r>
  </si>
  <si>
    <t>钾盐离心机组配置主电机</t>
  </si>
  <si>
    <t>R0749</t>
  </si>
  <si>
    <t>:KSaltCentrifuges_P01</t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</si>
  <si>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/RB</t>
    </r>
    <r>
      <rPr>
        <sz val="10"/>
        <rFont val="Noto Sans CJK SC"/>
        <family val="2"/>
      </rPr>
      <t>计量罐</t>
    </r>
  </si>
  <si>
    <r>
      <rPr>
        <sz val="10"/>
        <rFont val="Noto Sans CJK SC"/>
        <family val="2"/>
      </rPr>
      <t>青霉素钾盐支线（点表补充）包含储罐“钾盐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/RB</t>
    </r>
    <r>
      <rPr>
        <sz val="10"/>
        <rFont val="Noto Sans CJK SC"/>
        <family val="2"/>
      </rPr>
      <t>计量罐”</t>
    </r>
  </si>
  <si>
    <t>R0750</t>
  </si>
  <si>
    <t>:KSaltRBTank</t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</si>
  <si>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</si>
  <si>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/RB</t>
    </r>
    <r>
      <rPr>
        <sz val="10"/>
        <rFont val="Noto Sans CJK SC"/>
        <family val="2"/>
      </rPr>
      <t>计量罐的并联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</si>
  <si>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R0751</t>
  </si>
  <si>
    <t>:KSaltRBTank_M01</t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</si>
  <si>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罐</t>
    </r>
  </si>
  <si>
    <t>R0752</t>
  </si>
  <si>
    <t>:KSaltRBTank_M02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</si>
  <si>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计量罐</t>
    </r>
  </si>
  <si>
    <t>R0753</t>
  </si>
  <si>
    <t>:KSaltRBTank_M03</t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</si>
  <si>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/RB</t>
    </r>
    <r>
      <rPr>
        <sz val="10"/>
        <rFont val="Noto Sans CJK SC"/>
        <family val="2"/>
      </rPr>
      <t>计量罐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温控阀</t>
    </r>
    <r>
      <rPr>
        <sz val="10"/>
        <rFont val="微软雅黑"/>
        <family val="2"/>
        <charset val="134"/>
      </rPr>
      <t>HV_2009</t>
    </r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</si>
  <si>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/RB</t>
    </r>
    <r>
      <rPr>
        <sz val="10"/>
        <rFont val="Noto Sans CJK SC"/>
        <family val="2"/>
      </rPr>
      <t>计量罐配置温控阀</t>
    </r>
    <r>
      <rPr>
        <sz val="10"/>
        <rFont val="微软雅黑"/>
        <family val="2"/>
        <charset val="134"/>
      </rPr>
      <t>HV_2009</t>
    </r>
  </si>
  <si>
    <t>R0754</t>
  </si>
  <si>
    <t>:KSaltRBTank_P01</t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</si>
  <si>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/RB</t>
    </r>
    <r>
      <rPr>
        <sz val="10"/>
        <rFont val="Noto Sans CJK SC"/>
        <family val="2"/>
      </rPr>
      <t>计量罐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冰盐水调节阀</t>
    </r>
    <r>
      <rPr>
        <sz val="10"/>
        <rFont val="微软雅黑"/>
        <family val="2"/>
        <charset val="134"/>
      </rPr>
      <t>AO127</t>
    </r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</si>
  <si>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/RB</t>
    </r>
    <r>
      <rPr>
        <sz val="10"/>
        <rFont val="Noto Sans CJK SC"/>
        <family val="2"/>
      </rPr>
      <t>计量罐配置冰盐水调节阀</t>
    </r>
    <r>
      <rPr>
        <sz val="10"/>
        <rFont val="微软雅黑"/>
        <family val="2"/>
        <charset val="134"/>
      </rPr>
      <t>AO127</t>
    </r>
  </si>
  <si>
    <t>R0755</t>
  </si>
  <si>
    <t>:KSaltRBTank_P02</t>
  </si>
  <si>
    <r>
      <rPr>
        <sz val="10"/>
        <rFont val="Noto Sans CJK SC"/>
        <family val="2"/>
      </rPr>
      <t>钾盐结晶罐</t>
    </r>
    <r>
      <rPr>
        <sz val="10"/>
        <rFont val="微软雅黑"/>
        <family val="2"/>
        <charset val="134"/>
      </rPr>
      <t>R2185A–F</t>
    </r>
  </si>
  <si>
    <r>
      <rPr>
        <sz val="10"/>
        <rFont val="Noto Sans CJK SC"/>
        <family val="2"/>
      </rPr>
      <t>青霉素钾盐支线（点表补充）包含共沸结晶罐“钾盐结晶罐</t>
    </r>
    <r>
      <rPr>
        <sz val="10"/>
        <rFont val="微软雅黑"/>
        <family val="2"/>
        <charset val="134"/>
      </rPr>
      <t>R2185A–F”</t>
    </r>
  </si>
  <si>
    <t>R0756</t>
  </si>
  <si>
    <t>:KSaltCrystallizers</t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</si>
  <si>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R2185A</t>
    </r>
  </si>
  <si>
    <r>
      <rPr>
        <sz val="10"/>
        <rFont val="Noto Sans CJK SC"/>
        <family val="2"/>
      </rPr>
      <t>钾盐结晶罐</t>
    </r>
    <r>
      <rPr>
        <sz val="10"/>
        <rFont val="微软雅黑"/>
        <family val="2"/>
        <charset val="134"/>
      </rPr>
      <t>R2185A–F</t>
    </r>
    <r>
      <rPr>
        <sz val="10"/>
        <rFont val="Noto Sans CJK SC"/>
        <family val="2"/>
      </rPr>
      <t>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</si>
  <si>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R0757</t>
  </si>
  <si>
    <t>:KSaltCrystallizers_M01</t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</si>
  <si>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R2185B</t>
    </r>
  </si>
  <si>
    <t>R0758</t>
  </si>
  <si>
    <t>:KSaltCrystallizers_M02</t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</si>
  <si>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R2185C</t>
    </r>
  </si>
  <si>
    <t>R0759</t>
  </si>
  <si>
    <t>:KSaltCrystallizers_M03</t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</si>
  <si>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R2185D</t>
    </r>
  </si>
  <si>
    <t>R0760</t>
  </si>
  <si>
    <t>:KSaltCrystallizers_M04</t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</si>
  <si>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R2185E</t>
    </r>
  </si>
  <si>
    <t>R0761</t>
  </si>
  <si>
    <t>:KSaltCrystallizers_M05</t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</si>
  <si>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R2185F</t>
    </r>
  </si>
  <si>
    <t>R0762</t>
  </si>
  <si>
    <t>:KSaltCrystallizers_M06</t>
  </si>
  <si>
    <r>
      <rPr>
        <sz val="10"/>
        <rFont val="Noto Sans CJK SC"/>
        <family val="2"/>
      </rPr>
      <t>钾盐结晶罐</t>
    </r>
    <r>
      <rPr>
        <sz val="10"/>
        <rFont val="微软雅黑"/>
        <family val="2"/>
        <charset val="134"/>
      </rPr>
      <t>R2185A–F·</t>
    </r>
    <r>
      <rPr>
        <sz val="10"/>
        <rFont val="Noto Sans CJK SC"/>
        <family val="2"/>
      </rPr>
      <t>夹套蒸汽阀</t>
    </r>
    <r>
      <rPr>
        <sz val="10"/>
        <rFont val="微软雅黑"/>
        <family val="2"/>
        <charset val="134"/>
      </rPr>
      <t>JY_9</t>
    </r>
  </si>
  <si>
    <r>
      <rPr>
        <sz val="10"/>
        <rFont val="Noto Sans CJK SC"/>
        <family val="2"/>
      </rPr>
      <t>钾盐结晶罐</t>
    </r>
    <r>
      <rPr>
        <sz val="10"/>
        <rFont val="微软雅黑"/>
        <family val="2"/>
        <charset val="134"/>
      </rPr>
      <t>R2185A–F</t>
    </r>
    <r>
      <rPr>
        <sz val="10"/>
        <rFont val="Noto Sans CJK SC"/>
        <family val="2"/>
      </rPr>
      <t>配置夹套蒸汽阀</t>
    </r>
    <r>
      <rPr>
        <sz val="10"/>
        <rFont val="微软雅黑"/>
        <family val="2"/>
        <charset val="134"/>
      </rPr>
      <t>JY_9</t>
    </r>
  </si>
  <si>
    <t>R0763</t>
  </si>
  <si>
    <t>:KSaltCrystallizers_P01</t>
  </si>
  <si>
    <r>
      <rPr>
        <sz val="10"/>
        <rFont val="Noto Sans CJK SC"/>
        <family val="2"/>
      </rPr>
      <t>钾盐结晶罐</t>
    </r>
    <r>
      <rPr>
        <sz val="10"/>
        <rFont val="微软雅黑"/>
        <family val="2"/>
        <charset val="134"/>
      </rPr>
      <t>R2185A–F·</t>
    </r>
    <r>
      <rPr>
        <sz val="10"/>
        <rFont val="Noto Sans CJK SC"/>
        <family val="2"/>
      </rPr>
      <t>导流筒蒸汽阀</t>
    </r>
    <r>
      <rPr>
        <sz val="10"/>
        <rFont val="微软雅黑"/>
        <family val="2"/>
        <charset val="134"/>
      </rPr>
      <t>JY_10</t>
    </r>
  </si>
  <si>
    <r>
      <rPr>
        <sz val="10"/>
        <rFont val="Noto Sans CJK SC"/>
        <family val="2"/>
      </rPr>
      <t>钾盐结晶罐</t>
    </r>
    <r>
      <rPr>
        <sz val="10"/>
        <rFont val="微软雅黑"/>
        <family val="2"/>
        <charset val="134"/>
      </rPr>
      <t>R2185A–F</t>
    </r>
    <r>
      <rPr>
        <sz val="10"/>
        <rFont val="Noto Sans CJK SC"/>
        <family val="2"/>
      </rPr>
      <t>配置导流筒蒸汽阀</t>
    </r>
    <r>
      <rPr>
        <sz val="10"/>
        <rFont val="微软雅黑"/>
        <family val="2"/>
        <charset val="134"/>
      </rPr>
      <t>JY_10</t>
    </r>
  </si>
  <si>
    <t>R0764</t>
  </si>
  <si>
    <t>:KSaltCrystallizers_P02</t>
  </si>
  <si>
    <r>
      <rPr>
        <sz val="10"/>
        <rFont val="Noto Sans CJK SC"/>
        <family val="2"/>
      </rPr>
      <t>钾盐结晶罐</t>
    </r>
    <r>
      <rPr>
        <sz val="10"/>
        <rFont val="微软雅黑"/>
        <family val="2"/>
        <charset val="134"/>
      </rPr>
      <t>R2185A–F·</t>
    </r>
    <r>
      <rPr>
        <sz val="10"/>
        <rFont val="Noto Sans CJK SC"/>
        <family val="2"/>
      </rPr>
      <t>补丁醇调节阀</t>
    </r>
    <r>
      <rPr>
        <sz val="10"/>
        <rFont val="微软雅黑"/>
        <family val="2"/>
        <charset val="134"/>
      </rPr>
      <t>JY_6</t>
    </r>
  </si>
  <si>
    <r>
      <rPr>
        <sz val="10"/>
        <rFont val="Noto Sans CJK SC"/>
        <family val="2"/>
      </rPr>
      <t>钾盐结晶罐</t>
    </r>
    <r>
      <rPr>
        <sz val="10"/>
        <rFont val="微软雅黑"/>
        <family val="2"/>
        <charset val="134"/>
      </rPr>
      <t>R2185A–F</t>
    </r>
    <r>
      <rPr>
        <sz val="10"/>
        <rFont val="Noto Sans CJK SC"/>
        <family val="2"/>
      </rPr>
      <t>配置补丁醇调节阀</t>
    </r>
    <r>
      <rPr>
        <sz val="10"/>
        <rFont val="微软雅黑"/>
        <family val="2"/>
        <charset val="134"/>
      </rPr>
      <t>JY_6</t>
    </r>
  </si>
  <si>
    <t>R0765</t>
  </si>
  <si>
    <t>:KSaltCrystallizers_P03</t>
  </si>
  <si>
    <r>
      <rPr>
        <sz val="10"/>
        <rFont val="Noto Sans CJK SC"/>
        <family val="2"/>
      </rPr>
      <t>钾盐结晶罐</t>
    </r>
    <r>
      <rPr>
        <sz val="10"/>
        <rFont val="微软雅黑"/>
        <family val="2"/>
        <charset val="134"/>
      </rPr>
      <t>R2185A–F·</t>
    </r>
    <r>
      <rPr>
        <sz val="10"/>
        <rFont val="Noto Sans CJK SC"/>
        <family val="2"/>
      </rPr>
      <t>真空系统</t>
    </r>
  </si>
  <si>
    <r>
      <rPr>
        <sz val="10"/>
        <rFont val="Noto Sans CJK SC"/>
        <family val="2"/>
      </rPr>
      <t>钾盐结晶罐</t>
    </r>
    <r>
      <rPr>
        <sz val="10"/>
        <rFont val="微软雅黑"/>
        <family val="2"/>
        <charset val="134"/>
      </rPr>
      <t>R2185A–F</t>
    </r>
    <r>
      <rPr>
        <sz val="10"/>
        <rFont val="Noto Sans CJK SC"/>
        <family val="2"/>
      </rPr>
      <t>配置真空系统</t>
    </r>
  </si>
  <si>
    <t>R0766</t>
  </si>
  <si>
    <t>:KSaltCrystallizers_P04</t>
  </si>
  <si>
    <r>
      <rPr>
        <sz val="10"/>
        <rFont val="Noto Sans CJK SC"/>
        <family val="2"/>
      </rPr>
      <t>钾盐结晶罐</t>
    </r>
    <r>
      <rPr>
        <sz val="10"/>
        <rFont val="微软雅黑"/>
        <family val="2"/>
        <charset val="134"/>
      </rPr>
      <t>R2185A–F·</t>
    </r>
    <r>
      <rPr>
        <sz val="10"/>
        <rFont val="Noto Sans CJK SC"/>
        <family val="2"/>
      </rPr>
      <t>搅拌器</t>
    </r>
  </si>
  <si>
    <r>
      <rPr>
        <sz val="10"/>
        <rFont val="Noto Sans CJK SC"/>
        <family val="2"/>
      </rPr>
      <t>钾盐结晶罐</t>
    </r>
    <r>
      <rPr>
        <sz val="10"/>
        <rFont val="微软雅黑"/>
        <family val="2"/>
        <charset val="134"/>
      </rPr>
      <t>R2185A–F</t>
    </r>
    <r>
      <rPr>
        <sz val="10"/>
        <rFont val="Noto Sans CJK SC"/>
        <family val="2"/>
      </rPr>
      <t>配置搅拌器</t>
    </r>
  </si>
  <si>
    <t>R0767</t>
  </si>
  <si>
    <t>:KSaltCrystallizers_P05</t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</si>
  <si>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</t>
    </r>
  </si>
  <si>
    <r>
      <rPr>
        <sz val="10"/>
        <rFont val="Noto Sans CJK SC"/>
        <family val="2"/>
      </rPr>
      <t>青霉素钾盐支线（点表补充）包含卧式离心机“钾盐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离心机”</t>
    </r>
  </si>
  <si>
    <t>R0768</t>
  </si>
  <si>
    <t>:KSalt1600Centrifuge</t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</si>
  <si>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</si>
  <si>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</si>
  <si>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R0769</t>
  </si>
  <si>
    <t>:KSalt1600Centrifuge_M01</t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</si>
  <si>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B</t>
    </r>
  </si>
  <si>
    <t>R0770</t>
  </si>
  <si>
    <t>:KSalt1600Centrifuge_M02</t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</si>
  <si>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C</t>
    </r>
  </si>
  <si>
    <t>R0771</t>
  </si>
  <si>
    <t>:KSalt1600Centrifuge_M03</t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</si>
  <si>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D</t>
    </r>
  </si>
  <si>
    <t>R0772</t>
  </si>
  <si>
    <t>:KSalt1600Centrifuge_M04</t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</si>
  <si>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进料调节阀</t>
    </r>
    <r>
      <rPr>
        <sz val="10"/>
        <rFont val="微软雅黑"/>
        <family val="2"/>
        <charset val="134"/>
      </rPr>
      <t>JYLX_1</t>
    </r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</si>
  <si>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离心机配置进料调节阀</t>
    </r>
    <r>
      <rPr>
        <sz val="10"/>
        <rFont val="微软雅黑"/>
        <family val="2"/>
        <charset val="134"/>
      </rPr>
      <t>JYLX_1</t>
    </r>
  </si>
  <si>
    <t>R0773</t>
  </si>
  <si>
    <t>:KSalt1600Centrifuge_P01</t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</si>
  <si>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缓冲罐温度</t>
    </r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</si>
  <si>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/RB</t>
    </r>
    <r>
      <rPr>
        <sz val="10"/>
        <rFont val="Noto Sans CJK SC"/>
        <family val="2"/>
      </rPr>
      <t>计量罐的钾盐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缓冲罐温度</t>
    </r>
  </si>
  <si>
    <t>R0774</t>
  </si>
  <si>
    <t>:Attr_087</t>
  </si>
  <si>
    <t>TI_2001</t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</si>
  <si>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罐液位</t>
    </r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</si>
  <si>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/RB</t>
    </r>
    <r>
      <rPr>
        <sz val="10"/>
        <rFont val="Noto Sans CJK SC"/>
        <family val="2"/>
      </rPr>
      <t>计量罐的钾盐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罐液位</t>
    </r>
  </si>
  <si>
    <t>R0775</t>
  </si>
  <si>
    <t>:Attr_088</t>
  </si>
  <si>
    <t>LT_1206</t>
  </si>
  <si>
    <t>钾盐结晶罐液体温度</t>
  </si>
  <si>
    <r>
      <rPr>
        <sz val="10"/>
        <rFont val="Noto Sans CJK SC"/>
        <family val="2"/>
      </rPr>
      <t>钾盐结晶罐</t>
    </r>
    <r>
      <rPr>
        <sz val="10"/>
        <rFont val="微软雅黑"/>
        <family val="2"/>
        <charset val="134"/>
      </rPr>
      <t>R2185A–F</t>
    </r>
    <r>
      <rPr>
        <sz val="10"/>
        <rFont val="Noto Sans CJK SC"/>
        <family val="2"/>
      </rPr>
      <t>的钾盐结晶罐液体温度</t>
    </r>
  </si>
  <si>
    <t>R0776</t>
  </si>
  <si>
    <t>:Attr_089</t>
  </si>
  <si>
    <r>
      <rPr>
        <sz val="10"/>
        <rFont val="微软雅黑"/>
        <family val="2"/>
        <charset val="134"/>
      </rPr>
      <t>JY_16_2TI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JY_17_2TI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JY_18_2TI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JY_19_2TI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JY_20_2TI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JY_21_2TI</t>
    </r>
  </si>
  <si>
    <t>钾盐结晶真空度</t>
  </si>
  <si>
    <r>
      <rPr>
        <sz val="10"/>
        <rFont val="Noto Sans CJK SC"/>
        <family val="2"/>
      </rPr>
      <t>钾盐结晶罐</t>
    </r>
    <r>
      <rPr>
        <sz val="10"/>
        <rFont val="微软雅黑"/>
        <family val="2"/>
        <charset val="134"/>
      </rPr>
      <t>R2185A–F</t>
    </r>
    <r>
      <rPr>
        <sz val="10"/>
        <rFont val="Noto Sans CJK SC"/>
        <family val="2"/>
      </rPr>
      <t>的钾盐结晶真空度</t>
    </r>
  </si>
  <si>
    <t>R0777</t>
  </si>
  <si>
    <t>:Attr_090</t>
  </si>
  <si>
    <r>
      <rPr>
        <sz val="10"/>
        <rFont val="微软雅黑"/>
        <family val="2"/>
        <charset val="134"/>
      </rPr>
      <t>JY_11_1P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JY_11_2P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JY_11_3P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JY_11_4P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JY_11_5P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JY_11_6P</t>
    </r>
  </si>
  <si>
    <t>钾盐结晶补丁醇流量</t>
  </si>
  <si>
    <r>
      <rPr>
        <sz val="10"/>
        <rFont val="Noto Sans CJK SC"/>
        <family val="2"/>
      </rPr>
      <t>钾盐结晶罐</t>
    </r>
    <r>
      <rPr>
        <sz val="10"/>
        <rFont val="微软雅黑"/>
        <family val="2"/>
        <charset val="134"/>
      </rPr>
      <t>R2185A–F</t>
    </r>
    <r>
      <rPr>
        <sz val="10"/>
        <rFont val="Noto Sans CJK SC"/>
        <family val="2"/>
      </rPr>
      <t>的钾盐结晶补丁醇流量</t>
    </r>
  </si>
  <si>
    <t>R0778</t>
  </si>
  <si>
    <t>:Attr_091</t>
  </si>
  <si>
    <r>
      <rPr>
        <sz val="10"/>
        <rFont val="微软雅黑"/>
        <family val="2"/>
        <charset val="134"/>
      </rPr>
      <t>JY_12_1FI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JY_12_2FI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JY_12_3FI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JY_12_4FI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JY_12_5FI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JY_12_6FI</t>
    </r>
  </si>
  <si>
    <t>钾盐结晶罐液位</t>
  </si>
  <si>
    <r>
      <rPr>
        <sz val="10"/>
        <rFont val="Noto Sans CJK SC"/>
        <family val="2"/>
      </rPr>
      <t>钾盐结晶罐</t>
    </r>
    <r>
      <rPr>
        <sz val="10"/>
        <rFont val="微软雅黑"/>
        <family val="2"/>
        <charset val="134"/>
      </rPr>
      <t>R2185A–F</t>
    </r>
    <r>
      <rPr>
        <sz val="10"/>
        <rFont val="Noto Sans CJK SC"/>
        <family val="2"/>
      </rPr>
      <t>的钾盐结晶罐液位</t>
    </r>
  </si>
  <si>
    <t>R0779</t>
  </si>
  <si>
    <t>:Attr_092</t>
  </si>
  <si>
    <r>
      <rPr>
        <sz val="10"/>
        <rFont val="微软雅黑"/>
        <family val="2"/>
        <charset val="134"/>
      </rPr>
      <t>JY_13_1LT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JY_13_2LT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JY_13_3LT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JY_13_4LT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JY_13_5LT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JY_13_6LT</t>
    </r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</si>
  <si>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缓冲罐温度检测</t>
    </r>
  </si>
  <si>
    <t>R0780</t>
  </si>
  <si>
    <t>:TI_2001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</si>
  <si>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罐液位</t>
    </r>
  </si>
  <si>
    <t>R0781</t>
  </si>
  <si>
    <t>:LT_1206</t>
  </si>
  <si>
    <t>JY_16_2TI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</si>
  <si>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R2185A</t>
    </r>
    <r>
      <rPr>
        <sz val="10"/>
        <rFont val="Noto Sans CJK SC"/>
        <family val="2"/>
      </rPr>
      <t>气液温度</t>
    </r>
  </si>
  <si>
    <t>R0782</t>
  </si>
  <si>
    <t>:JY_16_2TI</t>
  </si>
  <si>
    <t>JY_17_2TI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</si>
  <si>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R2185B</t>
    </r>
    <r>
      <rPr>
        <sz val="10"/>
        <rFont val="Noto Sans CJK SC"/>
        <family val="2"/>
      </rPr>
      <t>液体温度</t>
    </r>
  </si>
  <si>
    <t>R0783</t>
  </si>
  <si>
    <t>:JY_17_2TI</t>
  </si>
  <si>
    <t>JY_18_2TI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</si>
  <si>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R2185C</t>
    </r>
    <r>
      <rPr>
        <sz val="10"/>
        <rFont val="Noto Sans CJK SC"/>
        <family val="2"/>
      </rPr>
      <t>液体温度</t>
    </r>
  </si>
  <si>
    <t>R0784</t>
  </si>
  <si>
    <t>:JY_18_2TI</t>
  </si>
  <si>
    <t>JY_19_2TI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</si>
  <si>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R2185D</t>
    </r>
    <r>
      <rPr>
        <sz val="10"/>
        <rFont val="Noto Sans CJK SC"/>
        <family val="2"/>
      </rPr>
      <t>液体温度</t>
    </r>
  </si>
  <si>
    <t>R0785</t>
  </si>
  <si>
    <t>:JY_19_2TI</t>
  </si>
  <si>
    <t>JY_20_2TI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</si>
  <si>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R2185E</t>
    </r>
    <r>
      <rPr>
        <sz val="10"/>
        <rFont val="Noto Sans CJK SC"/>
        <family val="2"/>
      </rPr>
      <t>液体温度</t>
    </r>
  </si>
  <si>
    <t>R0786</t>
  </si>
  <si>
    <t>:JY_20_2TI</t>
  </si>
  <si>
    <t>JY_21_2TI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</si>
  <si>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R2185F</t>
    </r>
    <r>
      <rPr>
        <sz val="10"/>
        <rFont val="Noto Sans CJK SC"/>
        <family val="2"/>
      </rPr>
      <t>液体温度</t>
    </r>
  </si>
  <si>
    <t>R0787</t>
  </si>
  <si>
    <t>:JY_21_2TI</t>
  </si>
  <si>
    <t>JY_11_1P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</si>
  <si>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原点描述：真空度检测</t>
    </r>
    <r>
      <rPr>
        <sz val="10"/>
        <rFont val="微软雅黑"/>
        <family val="2"/>
        <charset val="134"/>
      </rPr>
      <t>1#</t>
    </r>
  </si>
  <si>
    <t>R0788</t>
  </si>
  <si>
    <t>:JY_11_1P</t>
  </si>
  <si>
    <t>JY_11_2P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</si>
  <si>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原点描述：真空度检测</t>
    </r>
    <r>
      <rPr>
        <sz val="10"/>
        <rFont val="微软雅黑"/>
        <family val="2"/>
        <charset val="134"/>
      </rPr>
      <t>2#</t>
    </r>
  </si>
  <si>
    <t>R0789</t>
  </si>
  <si>
    <t>:JY_11_2P</t>
  </si>
  <si>
    <t>JY_11_3P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</si>
  <si>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原点描述：真空度检测</t>
    </r>
    <r>
      <rPr>
        <sz val="10"/>
        <rFont val="微软雅黑"/>
        <family val="2"/>
        <charset val="134"/>
      </rPr>
      <t>3#</t>
    </r>
  </si>
  <si>
    <t>R0790</t>
  </si>
  <si>
    <t>:JY_11_3P</t>
  </si>
  <si>
    <t>JY_11_4P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</si>
  <si>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原点描述：真空度检测</t>
    </r>
    <r>
      <rPr>
        <sz val="10"/>
        <rFont val="微软雅黑"/>
        <family val="2"/>
        <charset val="134"/>
      </rPr>
      <t>4#</t>
    </r>
  </si>
  <si>
    <t>R0791</t>
  </si>
  <si>
    <t>:JY_11_4P</t>
  </si>
  <si>
    <t>JY_11_5P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</si>
  <si>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原点描述：真空度检测</t>
    </r>
    <r>
      <rPr>
        <sz val="10"/>
        <rFont val="微软雅黑"/>
        <family val="2"/>
        <charset val="134"/>
      </rPr>
      <t>5#</t>
    </r>
  </si>
  <si>
    <t>R0792</t>
  </si>
  <si>
    <t>:JY_11_5P</t>
  </si>
  <si>
    <t>JY_11_6P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</si>
  <si>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原点描述：真空度检测</t>
    </r>
    <r>
      <rPr>
        <sz val="10"/>
        <rFont val="微软雅黑"/>
        <family val="2"/>
        <charset val="134"/>
      </rPr>
      <t>6#</t>
    </r>
  </si>
  <si>
    <t>R0793</t>
  </si>
  <si>
    <t>:JY_11_6P</t>
  </si>
  <si>
    <t>JY_12_1FI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</si>
  <si>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原点描述：钾盐结晶罐补丁醇流量计</t>
    </r>
    <r>
      <rPr>
        <sz val="10"/>
        <rFont val="微软雅黑"/>
        <family val="2"/>
        <charset val="134"/>
      </rPr>
      <t>1#</t>
    </r>
  </si>
  <si>
    <t>R0794</t>
  </si>
  <si>
    <t>:JY_12_1FI</t>
  </si>
  <si>
    <t>JY_12_2FI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</si>
  <si>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原点描述：钾盐结晶罐补丁醇流量计</t>
    </r>
    <r>
      <rPr>
        <sz val="10"/>
        <rFont val="微软雅黑"/>
        <family val="2"/>
        <charset val="134"/>
      </rPr>
      <t>2#</t>
    </r>
  </si>
  <si>
    <t>R0795</t>
  </si>
  <si>
    <t>:JY_12_2FI</t>
  </si>
  <si>
    <t>JY_12_3FI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</si>
  <si>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原点描述：钾盐结晶罐补丁醇流量计</t>
    </r>
    <r>
      <rPr>
        <sz val="10"/>
        <rFont val="微软雅黑"/>
        <family val="2"/>
        <charset val="134"/>
      </rPr>
      <t>3#</t>
    </r>
  </si>
  <si>
    <t>R0796</t>
  </si>
  <si>
    <t>:JY_12_3FI</t>
  </si>
  <si>
    <t>JY_12_4FI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</si>
  <si>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原点描述：钾盐结晶罐补丁醇流量计</t>
    </r>
    <r>
      <rPr>
        <sz val="10"/>
        <rFont val="微软雅黑"/>
        <family val="2"/>
        <charset val="134"/>
      </rPr>
      <t>4#</t>
    </r>
  </si>
  <si>
    <t>R0797</t>
  </si>
  <si>
    <t>:JY_12_4FI</t>
  </si>
  <si>
    <t>JY_12_5FI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</si>
  <si>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原点描述：钾盐结晶罐补丁醇流量计</t>
    </r>
    <r>
      <rPr>
        <sz val="10"/>
        <rFont val="微软雅黑"/>
        <family val="2"/>
        <charset val="134"/>
      </rPr>
      <t>5#</t>
    </r>
  </si>
  <si>
    <t>R0798</t>
  </si>
  <si>
    <t>:JY_12_5FI</t>
  </si>
  <si>
    <t>JY_12_6FI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</si>
  <si>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原点描述：钾盐结晶罐补丁醇流量计</t>
    </r>
    <r>
      <rPr>
        <sz val="10"/>
        <rFont val="微软雅黑"/>
        <family val="2"/>
        <charset val="134"/>
      </rPr>
      <t>6#</t>
    </r>
  </si>
  <si>
    <t>R0799</t>
  </si>
  <si>
    <t>:JY_12_6FI</t>
  </si>
  <si>
    <t>JY_13_1LT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</si>
  <si>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原点描述：钾直结晶罐雷达液位计</t>
    </r>
    <r>
      <rPr>
        <sz val="10"/>
        <rFont val="微软雅黑"/>
        <family val="2"/>
        <charset val="134"/>
      </rPr>
      <t>1#</t>
    </r>
  </si>
  <si>
    <t>R0800</t>
  </si>
  <si>
    <t>:JY_13_1LT</t>
  </si>
  <si>
    <t>JY_13_2LT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</si>
  <si>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原点描述：钾直结晶罐雷达液位计</t>
    </r>
    <r>
      <rPr>
        <sz val="10"/>
        <rFont val="微软雅黑"/>
        <family val="2"/>
        <charset val="134"/>
      </rPr>
      <t>2#</t>
    </r>
  </si>
  <si>
    <t>R0801</t>
  </si>
  <si>
    <t>:JY_13_2LT</t>
  </si>
  <si>
    <t>JY_13_3LT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</si>
  <si>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原点描述：钾直结晶罐雷达液位计</t>
    </r>
    <r>
      <rPr>
        <sz val="10"/>
        <rFont val="微软雅黑"/>
        <family val="2"/>
        <charset val="134"/>
      </rPr>
      <t>3#</t>
    </r>
  </si>
  <si>
    <t>R0802</t>
  </si>
  <si>
    <t>:JY_13_3LT</t>
  </si>
  <si>
    <t>JY_13_4LT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</si>
  <si>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原点描述：钾直结晶罐雷达液位计</t>
    </r>
    <r>
      <rPr>
        <sz val="10"/>
        <rFont val="微软雅黑"/>
        <family val="2"/>
        <charset val="134"/>
      </rPr>
      <t>4#</t>
    </r>
  </si>
  <si>
    <t>R0803</t>
  </si>
  <si>
    <t>:JY_13_4LT</t>
  </si>
  <si>
    <t>JY_13_5LT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</si>
  <si>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原点描述：钾直结晶罐雷达液位计</t>
    </r>
    <r>
      <rPr>
        <sz val="10"/>
        <rFont val="微软雅黑"/>
        <family val="2"/>
        <charset val="134"/>
      </rPr>
      <t>5#</t>
    </r>
  </si>
  <si>
    <t>R0804</t>
  </si>
  <si>
    <t>:JY_13_5LT</t>
  </si>
  <si>
    <t>JY_13_6LT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</si>
  <si>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原点描述：钾直结晶罐雷达液位计</t>
    </r>
    <r>
      <rPr>
        <sz val="10"/>
        <rFont val="微软雅黑"/>
        <family val="2"/>
        <charset val="134"/>
      </rPr>
      <t>6#</t>
    </r>
  </si>
  <si>
    <t>R0805</t>
  </si>
  <si>
    <t>:JY_13_6LT</t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</si>
  <si>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温度控制器</t>
    </r>
    <r>
      <rPr>
        <sz val="10"/>
        <rFont val="微软雅黑"/>
        <family val="2"/>
        <charset val="134"/>
      </rPr>
      <t>(TIC-2001)</t>
    </r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</si>
  <si>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缓冲罐温度控制阀</t>
    </r>
    <r>
      <rPr>
        <sz val="10"/>
        <rFont val="微软雅黑"/>
        <family val="2"/>
        <charset val="134"/>
      </rPr>
      <t>HV_2009</t>
    </r>
  </si>
  <si>
    <t>R0806</t>
  </si>
  <si>
    <t>:Ctrl_019</t>
  </si>
  <si>
    <t>:Act_019</t>
  </si>
  <si>
    <t>HV_2009_AO</t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</si>
  <si>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缓冲罐温度作为过程变量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温度控制器</t>
    </r>
    <r>
      <rPr>
        <sz val="10"/>
        <rFont val="微软雅黑"/>
        <family val="2"/>
        <charset val="134"/>
      </rPr>
      <t>(TIC-2001)</t>
    </r>
  </si>
  <si>
    <t>R0807</t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</si>
  <si>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缓冲罐温度控制阀</t>
    </r>
    <r>
      <rPr>
        <sz val="10"/>
        <rFont val="微软雅黑"/>
        <family val="2"/>
        <charset val="134"/>
      </rPr>
      <t>HV_2009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缓冲罐温度</t>
    </r>
  </si>
  <si>
    <t>R0808</t>
  </si>
  <si>
    <t>钾盐结晶补丁醇控制</t>
  </si>
  <si>
    <r>
      <rPr>
        <sz val="10"/>
        <rFont val="Noto Sans CJK SC"/>
        <family val="2"/>
      </rPr>
      <t>补丁醇调节阀</t>
    </r>
    <r>
      <rPr>
        <sz val="10"/>
        <rFont val="微软雅黑"/>
        <family val="2"/>
        <charset val="134"/>
      </rPr>
      <t>JY_6_1–6</t>
    </r>
  </si>
  <si>
    <t>共沸脱水维持丁醇比例</t>
  </si>
  <si>
    <t>R0809</t>
  </si>
  <si>
    <t>:Ctrl_020</t>
  </si>
  <si>
    <t>:Act_020</t>
  </si>
  <si>
    <r>
      <rPr>
        <sz val="10"/>
        <rFont val="微软雅黑"/>
        <family val="2"/>
        <charset val="134"/>
      </rPr>
      <t>JY_6_1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JY_6_2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JY_6_3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JY_6_4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JY_6_5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JY_6_6</t>
    </r>
  </si>
  <si>
    <r>
      <rPr>
        <sz val="10"/>
        <rFont val="Noto Sans CJK SC"/>
        <family val="2"/>
      </rPr>
      <t>钾盐结晶补丁醇流量作为过程变量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反馈给钾盐结晶补丁醇控制</t>
    </r>
  </si>
  <si>
    <t>R0810</t>
  </si>
  <si>
    <r>
      <rPr>
        <sz val="10"/>
        <rFont val="Noto Sans CJK SC"/>
        <family val="2"/>
      </rPr>
      <t>补丁醇调节阀</t>
    </r>
    <r>
      <rPr>
        <sz val="10"/>
        <rFont val="微软雅黑"/>
        <family val="2"/>
        <charset val="134"/>
      </rPr>
      <t>JY_6_1–6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频率变化直接改变钾盐结晶补丁醇流量</t>
    </r>
  </si>
  <si>
    <t>R0811</t>
  </si>
  <si>
    <t>钾盐结晶夹套温控</t>
  </si>
  <si>
    <r>
      <rPr>
        <sz val="10"/>
        <rFont val="Noto Sans CJK SC"/>
        <family val="2"/>
      </rPr>
      <t>夹套蒸汽控制阀</t>
    </r>
    <r>
      <rPr>
        <sz val="10"/>
        <rFont val="微软雅黑"/>
        <family val="2"/>
        <charset val="134"/>
      </rPr>
      <t>JY_9_1–6</t>
    </r>
  </si>
  <si>
    <t>R0812</t>
  </si>
  <si>
    <t>:Ctrl_021</t>
  </si>
  <si>
    <t>:Act_021</t>
  </si>
  <si>
    <r>
      <rPr>
        <sz val="10"/>
        <rFont val="微软雅黑"/>
        <family val="2"/>
        <charset val="134"/>
      </rPr>
      <t>JY_9_1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JY_9_2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JY_9_3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JY_9_4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JY_9_5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JY_9_6</t>
    </r>
  </si>
  <si>
    <r>
      <rPr>
        <sz val="10"/>
        <rFont val="Noto Sans CJK SC"/>
        <family val="2"/>
      </rPr>
      <t>钾盐结晶罐液体温度作为过程变量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反馈给钾盐结晶夹套温控</t>
    </r>
  </si>
  <si>
    <t>R0813</t>
  </si>
  <si>
    <r>
      <rPr>
        <sz val="10"/>
        <rFont val="Noto Sans CJK SC"/>
        <family val="2"/>
      </rPr>
      <t>夹套蒸汽控制阀</t>
    </r>
    <r>
      <rPr>
        <sz val="10"/>
        <rFont val="微软雅黑"/>
        <family val="2"/>
        <charset val="134"/>
      </rPr>
      <t>JY_9_1–6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频率变化直接改变钾盐结晶罐液体温度</t>
    </r>
  </si>
  <si>
    <t>R0814</t>
  </si>
  <si>
    <t>R0815</t>
  </si>
  <si>
    <t>R0816</t>
  </si>
  <si>
    <t>R0817</t>
  </si>
  <si>
    <r>
      <rPr>
        <sz val="10"/>
        <rFont val="Noto Sans CJK SC"/>
        <family val="2"/>
      </rPr>
      <t>钾盐退</t>
    </r>
    <r>
      <rPr>
        <sz val="10"/>
        <rFont val="微软雅黑"/>
        <family val="2"/>
        <charset val="134"/>
      </rPr>
      <t>BA(FT_1214)</t>
    </r>
  </si>
  <si>
    <t>R0818</t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</si>
  <si>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RB</t>
    </r>
  </si>
  <si>
    <t>R0819</t>
  </si>
  <si>
    <t>结晶过程</t>
  </si>
  <si>
    <t>R0820</t>
  </si>
  <si>
    <t>分离过程</t>
  </si>
  <si>
    <t>R0821</t>
  </si>
  <si>
    <r>
      <rPr>
        <sz val="10"/>
        <rFont val="Noto Sans CJK SC"/>
        <family val="2"/>
      </rPr>
      <t>青霉素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副产</t>
    </r>
    <r>
      <rPr>
        <sz val="10"/>
        <rFont val="微软雅黑"/>
        <family val="2"/>
        <charset val="134"/>
      </rPr>
      <t>)</t>
    </r>
  </si>
  <si>
    <t>R0822</t>
  </si>
  <si>
    <t>:MS_KSalt</t>
  </si>
  <si>
    <r>
      <rPr>
        <sz val="10"/>
        <rFont val="Noto Sans CJK SC"/>
        <family val="2"/>
      </rPr>
      <t>夹套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导流筒蒸汽</t>
    </r>
  </si>
  <si>
    <t>R0823</t>
  </si>
  <si>
    <t>共沸真空</t>
  </si>
  <si>
    <t>R0824</t>
  </si>
  <si>
    <t>真空度决定共沸温度</t>
  </si>
  <si>
    <t>R0825</t>
  </si>
  <si>
    <r>
      <rPr>
        <sz val="10"/>
        <rFont val="微软雅黑"/>
        <family val="2"/>
        <charset val="134"/>
      </rPr>
      <t>JY_11_1P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JY_11_2P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JY_11_3P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JY_11_4P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JY_11_5P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JY_11_6P…</t>
    </r>
  </si>
  <si>
    <t>钾盐结晶收率</t>
  </si>
  <si>
    <t>丁醇比例决定共沸脱水与析晶</t>
  </si>
  <si>
    <t>R0826</t>
  </si>
  <si>
    <t>:Attr_313</t>
  </si>
  <si>
    <t>酶法水解</t>
  </si>
  <si>
    <r>
      <rPr>
        <sz val="10"/>
        <rFont val="Noto Sans CJK SC"/>
        <family val="2"/>
      </rPr>
      <t>衔接物料：脱溶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液。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储罐→水解（</t>
    </r>
    <r>
      <rPr>
        <sz val="10"/>
        <rFont val="微软雅黑"/>
        <family val="2"/>
        <charset val="134"/>
      </rPr>
      <t>FT_1327</t>
    </r>
    <r>
      <rPr>
        <sz val="10"/>
        <rFont val="Noto Sans CJK SC"/>
        <family val="2"/>
      </rPr>
      <t>）</t>
    </r>
  </si>
  <si>
    <t>S09</t>
  </si>
  <si>
    <t>R0827</t>
  </si>
  <si>
    <t>:Area_S11_EnzymaticHydrolysis</t>
  </si>
  <si>
    <r>
      <rPr>
        <sz val="10"/>
        <rFont val="Noto Sans CJK SC"/>
        <family val="2"/>
      </rPr>
      <t>丁醇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丁酯精馏（溶媒回收）</t>
    </r>
  </si>
  <si>
    <r>
      <rPr>
        <sz val="10"/>
        <rFont val="Noto Sans CJK SC"/>
        <family val="2"/>
      </rPr>
      <t>衔接物料：薄膜馏出液（</t>
    </r>
    <r>
      <rPr>
        <sz val="10"/>
        <rFont val="微软雅黑"/>
        <family val="2"/>
        <charset val="134"/>
      </rPr>
      <t>BA/</t>
    </r>
    <r>
      <rPr>
        <sz val="10"/>
        <rFont val="Noto Sans CJK SC"/>
        <family val="2"/>
      </rPr>
      <t>水）。冷凝器→轻相罐→分水罐→溶媒回收</t>
    </r>
  </si>
  <si>
    <t>R0828</t>
  </si>
  <si>
    <t>:Area_S18_SolventDistillation</t>
  </si>
  <si>
    <t>薄膜蒸发器组</t>
  </si>
  <si>
    <r>
      <rPr>
        <sz val="10"/>
        <rFont val="Noto Sans CJK SC"/>
        <family val="2"/>
      </rPr>
      <t>薄膜蒸发（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脱溶）包含刮板薄膜蒸发器“薄膜蒸发器组”</t>
    </r>
  </si>
  <si>
    <t>R0829</t>
  </si>
  <si>
    <t>:TFEvaporatorGroup</t>
  </si>
  <si>
    <t>薄膜</t>
  </si>
  <si>
    <r>
      <rPr>
        <sz val="10"/>
        <rFont val="Noto Sans CJK SC"/>
        <family val="2"/>
      </rPr>
      <t>薄膜蒸发器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</si>
  <si>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薄膜蒸发器组的并联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</si>
  <si>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R0830</t>
  </si>
  <si>
    <t>:TFEvaporatorGroup_M01</t>
  </si>
  <si>
    <r>
      <rPr>
        <sz val="10"/>
        <rFont val="Noto Sans CJK SC"/>
        <family val="2"/>
      </rPr>
      <t>薄膜蒸发器</t>
    </r>
    <r>
      <rPr>
        <sz val="10"/>
        <rFont val="微软雅黑"/>
        <family val="2"/>
        <charset val="134"/>
      </rPr>
      <t>B</t>
    </r>
  </si>
  <si>
    <t>R0831</t>
  </si>
  <si>
    <t>:TFEvaporatorGroup_M02</t>
  </si>
  <si>
    <r>
      <rPr>
        <sz val="10"/>
        <rFont val="Noto Sans CJK SC"/>
        <family val="2"/>
      </rPr>
      <t>薄膜蒸发器</t>
    </r>
    <r>
      <rPr>
        <sz val="10"/>
        <rFont val="微软雅黑"/>
        <family val="2"/>
        <charset val="134"/>
      </rPr>
      <t>C</t>
    </r>
  </si>
  <si>
    <t>R0832</t>
  </si>
  <si>
    <t>:TFEvaporatorGroup_M03</t>
  </si>
  <si>
    <r>
      <rPr>
        <sz val="10"/>
        <rFont val="Noto Sans CJK SC"/>
        <family val="2"/>
      </rPr>
      <t>薄膜蒸发器</t>
    </r>
    <r>
      <rPr>
        <sz val="10"/>
        <rFont val="微软雅黑"/>
        <family val="2"/>
        <charset val="134"/>
      </rPr>
      <t>D</t>
    </r>
  </si>
  <si>
    <t>R0833</t>
  </si>
  <si>
    <t>:TFEvaporatorGroup_M04</t>
  </si>
  <si>
    <r>
      <rPr>
        <sz val="10"/>
        <rFont val="Noto Sans CJK SC"/>
        <family val="2"/>
      </rPr>
      <t>薄膜蒸发器组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转子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刮板电机</t>
    </r>
    <r>
      <rPr>
        <sz val="10"/>
        <rFont val="微软雅黑"/>
        <family val="2"/>
        <charset val="134"/>
      </rPr>
      <t>PB_1008</t>
    </r>
  </si>
  <si>
    <r>
      <rPr>
        <sz val="10"/>
        <rFont val="Noto Sans CJK SC"/>
        <family val="2"/>
      </rPr>
      <t>薄膜蒸发器组配置转子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刮板电机</t>
    </r>
    <r>
      <rPr>
        <sz val="10"/>
        <rFont val="微软雅黑"/>
        <family val="2"/>
        <charset val="134"/>
      </rPr>
      <t>PB_1008</t>
    </r>
  </si>
  <si>
    <t>R0834</t>
  </si>
  <si>
    <t>:TFEvaporatorGroup_P01</t>
  </si>
  <si>
    <r>
      <rPr>
        <sz val="10"/>
        <rFont val="Noto Sans CJK SC"/>
        <family val="2"/>
      </rPr>
      <t>薄膜蒸发器组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加热夹套</t>
    </r>
  </si>
  <si>
    <t>薄膜蒸发器组配置加热夹套</t>
  </si>
  <si>
    <t>R0835</t>
  </si>
  <si>
    <t>:TFEvaporatorGroup_P02</t>
  </si>
  <si>
    <r>
      <rPr>
        <sz val="10"/>
        <rFont val="Noto Sans CJK SC"/>
        <family val="2"/>
      </rPr>
      <t>薄膜蒸发器组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进口流量调节阀</t>
    </r>
    <r>
      <rPr>
        <sz val="10"/>
        <rFont val="微软雅黑"/>
        <family val="2"/>
        <charset val="134"/>
      </rPr>
      <t>HV_1011</t>
    </r>
  </si>
  <si>
    <r>
      <rPr>
        <sz val="10"/>
        <rFont val="Noto Sans CJK SC"/>
        <family val="2"/>
      </rPr>
      <t>薄膜蒸发器组配置进口流量调节阀</t>
    </r>
    <r>
      <rPr>
        <sz val="10"/>
        <rFont val="微软雅黑"/>
        <family val="2"/>
        <charset val="134"/>
      </rPr>
      <t>HV_1011</t>
    </r>
  </si>
  <si>
    <t>R0836</t>
  </si>
  <si>
    <t>:TFEvaporatorGroup_P03</t>
  </si>
  <si>
    <r>
      <rPr>
        <sz val="10"/>
        <rFont val="Noto Sans CJK SC"/>
        <family val="2"/>
      </rPr>
      <t>薄膜蒸发器组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泵后调节阀</t>
    </r>
    <r>
      <rPr>
        <sz val="10"/>
        <rFont val="微软雅黑"/>
        <family val="2"/>
        <charset val="134"/>
      </rPr>
      <t>HV_1012</t>
    </r>
  </si>
  <si>
    <r>
      <rPr>
        <sz val="10"/>
        <rFont val="Noto Sans CJK SC"/>
        <family val="2"/>
      </rPr>
      <t>薄膜蒸发器组配置泵后调节阀</t>
    </r>
    <r>
      <rPr>
        <sz val="10"/>
        <rFont val="微软雅黑"/>
        <family val="2"/>
        <charset val="134"/>
      </rPr>
      <t>HV_1012</t>
    </r>
  </si>
  <si>
    <t>R0837</t>
  </si>
  <si>
    <t>:TFEvaporatorGroup_P04</t>
  </si>
  <si>
    <t>薄膜冷凝器组</t>
  </si>
  <si>
    <r>
      <rPr>
        <sz val="10"/>
        <rFont val="Noto Sans CJK SC"/>
        <family val="2"/>
      </rPr>
      <t>薄膜蒸发（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脱溶）包含列管冷凝器“薄膜冷凝器组”</t>
    </r>
  </si>
  <si>
    <t>R0838</t>
  </si>
  <si>
    <t>:TFCondenserGroup</t>
  </si>
  <si>
    <r>
      <rPr>
        <sz val="10"/>
        <rFont val="Noto Sans CJK SC"/>
        <family val="2"/>
      </rPr>
      <t>冷凝器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</si>
  <si>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薄膜冷凝器组的并联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</si>
  <si>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R0839</t>
  </si>
  <si>
    <t>:TFCondenserGroup_M01</t>
  </si>
  <si>
    <r>
      <rPr>
        <sz val="10"/>
        <rFont val="Noto Sans CJK SC"/>
        <family val="2"/>
      </rPr>
      <t>冷凝器</t>
    </r>
    <r>
      <rPr>
        <sz val="10"/>
        <rFont val="微软雅黑"/>
        <family val="2"/>
        <charset val="134"/>
      </rPr>
      <t>B</t>
    </r>
  </si>
  <si>
    <t>R0840</t>
  </si>
  <si>
    <t>:TFCondenserGroup_M02</t>
  </si>
  <si>
    <r>
      <rPr>
        <sz val="10"/>
        <rFont val="Noto Sans CJK SC"/>
        <family val="2"/>
      </rPr>
      <t>冷凝器</t>
    </r>
    <r>
      <rPr>
        <sz val="10"/>
        <rFont val="微软雅黑"/>
        <family val="2"/>
        <charset val="134"/>
      </rPr>
      <t>C</t>
    </r>
  </si>
  <si>
    <t>R0841</t>
  </si>
  <si>
    <t>:TFCondenserGroup_M03</t>
  </si>
  <si>
    <r>
      <rPr>
        <sz val="10"/>
        <rFont val="Noto Sans CJK SC"/>
        <family val="2"/>
      </rPr>
      <t>冷凝器</t>
    </r>
    <r>
      <rPr>
        <sz val="10"/>
        <rFont val="微软雅黑"/>
        <family val="2"/>
        <charset val="134"/>
      </rPr>
      <t>D</t>
    </r>
  </si>
  <si>
    <t>R0842</t>
  </si>
  <si>
    <t>:TFCondenserGroup_M04</t>
  </si>
  <si>
    <r>
      <rPr>
        <sz val="10"/>
        <rFont val="Noto Sans CJK SC"/>
        <family val="2"/>
      </rPr>
      <t>薄膜冷凝器组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冷盐水分阀</t>
    </r>
    <r>
      <rPr>
        <sz val="10"/>
        <rFont val="微软雅黑"/>
        <family val="2"/>
        <charset val="134"/>
      </rPr>
      <t>HV_1014</t>
    </r>
  </si>
  <si>
    <r>
      <rPr>
        <sz val="10"/>
        <rFont val="Noto Sans CJK SC"/>
        <family val="2"/>
      </rPr>
      <t>薄膜冷凝器组配置冷盐水分阀</t>
    </r>
    <r>
      <rPr>
        <sz val="10"/>
        <rFont val="微软雅黑"/>
        <family val="2"/>
        <charset val="134"/>
      </rPr>
      <t>HV_1014</t>
    </r>
  </si>
  <si>
    <t>R0843</t>
  </si>
  <si>
    <t>:TFCondenserGroup_P01</t>
  </si>
  <si>
    <r>
      <rPr>
        <sz val="10"/>
        <rFont val="Noto Sans CJK SC"/>
        <family val="2"/>
      </rPr>
      <t>薄膜重相罐组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脱溶</t>
    </r>
    <r>
      <rPr>
        <sz val="10"/>
        <rFont val="微软雅黑"/>
        <family val="2"/>
        <charset val="134"/>
      </rPr>
      <t>RB)</t>
    </r>
  </si>
  <si>
    <r>
      <rPr>
        <sz val="10"/>
        <rFont val="Noto Sans CJK SC"/>
        <family val="2"/>
      </rPr>
      <t>薄膜蒸发（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脱溶）包含储罐“薄膜重相罐组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脱溶</t>
    </r>
    <r>
      <rPr>
        <sz val="10"/>
        <rFont val="微软雅黑"/>
        <family val="2"/>
        <charset val="134"/>
      </rPr>
      <t>RB)”</t>
    </r>
  </si>
  <si>
    <t>R0844</t>
  </si>
  <si>
    <t>:TFHeavyTanks</t>
  </si>
  <si>
    <r>
      <rPr>
        <sz val="10"/>
        <rFont val="Noto Sans CJK SC"/>
        <family val="2"/>
      </rPr>
      <t>重相罐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</si>
  <si>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薄膜重相罐组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脱溶</t>
    </r>
    <r>
      <rPr>
        <sz val="10"/>
        <rFont val="微软雅黑"/>
        <family val="2"/>
        <charset val="134"/>
      </rPr>
      <t>RB)</t>
    </r>
    <r>
      <rPr>
        <sz val="10"/>
        <rFont val="Noto Sans CJK SC"/>
        <family val="2"/>
      </rPr>
      <t>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</si>
  <si>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R0845</t>
  </si>
  <si>
    <t>:TFHeavyTanks_M01</t>
  </si>
  <si>
    <r>
      <rPr>
        <sz val="10"/>
        <rFont val="Noto Sans CJK SC"/>
        <family val="2"/>
      </rPr>
      <t>重相罐</t>
    </r>
    <r>
      <rPr>
        <sz val="10"/>
        <rFont val="微软雅黑"/>
        <family val="2"/>
        <charset val="134"/>
      </rPr>
      <t>B</t>
    </r>
  </si>
  <si>
    <t>R0846</t>
  </si>
  <si>
    <t>:TFHeavyTanks_M02</t>
  </si>
  <si>
    <r>
      <rPr>
        <sz val="10"/>
        <rFont val="Noto Sans CJK SC"/>
        <family val="2"/>
      </rPr>
      <t>重相罐</t>
    </r>
    <r>
      <rPr>
        <sz val="10"/>
        <rFont val="微软雅黑"/>
        <family val="2"/>
        <charset val="134"/>
      </rPr>
      <t>C</t>
    </r>
  </si>
  <si>
    <t>R0847</t>
  </si>
  <si>
    <t>:TFHeavyTanks_M03</t>
  </si>
  <si>
    <r>
      <rPr>
        <sz val="10"/>
        <rFont val="Noto Sans CJK SC"/>
        <family val="2"/>
      </rPr>
      <t>重相罐</t>
    </r>
    <r>
      <rPr>
        <sz val="10"/>
        <rFont val="微软雅黑"/>
        <family val="2"/>
        <charset val="134"/>
      </rPr>
      <t>D</t>
    </r>
  </si>
  <si>
    <t>R0848</t>
  </si>
  <si>
    <t>:TFHeavyTanks_M04</t>
  </si>
  <si>
    <r>
      <rPr>
        <sz val="10"/>
        <rFont val="Noto Sans CJK SC"/>
        <family val="2"/>
      </rPr>
      <t>薄膜重相罐组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脱溶</t>
    </r>
    <r>
      <rPr>
        <sz val="10"/>
        <rFont val="微软雅黑"/>
        <family val="2"/>
        <charset val="134"/>
      </rPr>
      <t>RB)·</t>
    </r>
    <r>
      <rPr>
        <sz val="10"/>
        <rFont val="Noto Sans CJK SC"/>
        <family val="2"/>
      </rPr>
      <t>液位计</t>
    </r>
  </si>
  <si>
    <r>
      <rPr>
        <sz val="10"/>
        <rFont val="Noto Sans CJK SC"/>
        <family val="2"/>
      </rPr>
      <t>薄膜重相罐组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脱溶</t>
    </r>
    <r>
      <rPr>
        <sz val="10"/>
        <rFont val="微软雅黑"/>
        <family val="2"/>
        <charset val="134"/>
      </rPr>
      <t>RB)</t>
    </r>
    <r>
      <rPr>
        <sz val="10"/>
        <rFont val="Noto Sans CJK SC"/>
        <family val="2"/>
      </rPr>
      <t>配置液位计</t>
    </r>
  </si>
  <si>
    <t>R0849</t>
  </si>
  <si>
    <t>:TFHeavyTanks_P01</t>
  </si>
  <si>
    <r>
      <rPr>
        <sz val="10"/>
        <rFont val="Noto Sans CJK SC"/>
        <family val="2"/>
      </rPr>
      <t>薄膜轻相罐组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馏出液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</si>
  <si>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薄膜蒸发（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脱溶）包含储罐“薄膜轻相罐组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馏出液</t>
    </r>
    <r>
      <rPr>
        <sz val="10"/>
        <rFont val="微软雅黑"/>
        <family val="2"/>
        <charset val="134"/>
      </rPr>
      <t>)”</t>
    </r>
  </si>
  <si>
    <t>R0850</t>
  </si>
  <si>
    <t>:TFLightTanks</t>
  </si>
  <si>
    <r>
      <rPr>
        <sz val="10"/>
        <rFont val="Noto Sans CJK SC"/>
        <family val="2"/>
      </rPr>
      <t>轻相罐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</si>
  <si>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薄膜轻相罐组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馏出液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</si>
  <si>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R0851</t>
  </si>
  <si>
    <t>:TFLightTanks_M01</t>
  </si>
  <si>
    <r>
      <rPr>
        <sz val="10"/>
        <rFont val="Noto Sans CJK SC"/>
        <family val="2"/>
      </rPr>
      <t>轻相罐</t>
    </r>
    <r>
      <rPr>
        <sz val="10"/>
        <rFont val="微软雅黑"/>
        <family val="2"/>
        <charset val="134"/>
      </rPr>
      <t>B</t>
    </r>
  </si>
  <si>
    <t>R0852</t>
  </si>
  <si>
    <t>:TFLightTanks_M02</t>
  </si>
  <si>
    <r>
      <rPr>
        <sz val="10"/>
        <rFont val="Noto Sans CJK SC"/>
        <family val="2"/>
      </rPr>
      <t>轻相罐</t>
    </r>
    <r>
      <rPr>
        <sz val="10"/>
        <rFont val="微软雅黑"/>
        <family val="2"/>
        <charset val="134"/>
      </rPr>
      <t>C</t>
    </r>
  </si>
  <si>
    <t>R0853</t>
  </si>
  <si>
    <t>:TFLightTanks_M03</t>
  </si>
  <si>
    <r>
      <rPr>
        <sz val="10"/>
        <rFont val="Noto Sans CJK SC"/>
        <family val="2"/>
      </rPr>
      <t>轻相罐</t>
    </r>
    <r>
      <rPr>
        <sz val="10"/>
        <rFont val="微软雅黑"/>
        <family val="2"/>
        <charset val="134"/>
      </rPr>
      <t>D</t>
    </r>
  </si>
  <si>
    <t>R0854</t>
  </si>
  <si>
    <t>:TFLightTanks_M04</t>
  </si>
  <si>
    <r>
      <rPr>
        <sz val="10"/>
        <rFont val="Noto Sans CJK SC"/>
        <family val="2"/>
      </rPr>
      <t>薄膜轻相罐组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馏出液</t>
    </r>
    <r>
      <rPr>
        <sz val="10"/>
        <rFont val="微软雅黑"/>
        <family val="2"/>
        <charset val="134"/>
      </rPr>
      <t>)·</t>
    </r>
    <r>
      <rPr>
        <sz val="10"/>
        <rFont val="Noto Sans CJK SC"/>
        <family val="2"/>
      </rPr>
      <t>液位计</t>
    </r>
  </si>
  <si>
    <r>
      <rPr>
        <sz val="10"/>
        <rFont val="Noto Sans CJK SC"/>
        <family val="2"/>
      </rPr>
      <t>薄膜轻相罐组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馏出液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配置液位计</t>
    </r>
  </si>
  <si>
    <t>R0855</t>
  </si>
  <si>
    <t>:TFLightTanks_P01</t>
  </si>
  <si>
    <t>分水罐</t>
  </si>
  <si>
    <r>
      <rPr>
        <sz val="10"/>
        <rFont val="Noto Sans CJK SC"/>
        <family val="2"/>
      </rPr>
      <t>薄膜蒸发（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脱溶）包含分层罐“分水罐”</t>
    </r>
  </si>
  <si>
    <t>R0856</t>
  </si>
  <si>
    <t>:WaterSeparator</t>
  </si>
  <si>
    <r>
      <rPr>
        <sz val="10"/>
        <rFont val="Noto Sans CJK SC"/>
        <family val="2"/>
      </rPr>
      <t>分水罐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</si>
  <si>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t>分水罐配置液位计</t>
  </si>
  <si>
    <t>R0857</t>
  </si>
  <si>
    <t>:WaterSeparator_P01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</si>
  <si>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（薄膜出料）</t>
    </r>
  </si>
  <si>
    <r>
      <rPr>
        <sz val="10"/>
        <rFont val="Noto Sans CJK SC"/>
        <family val="2"/>
      </rPr>
      <t>薄膜蒸发（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脱溶）包含储罐“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（薄膜出料）”</t>
    </r>
  </si>
  <si>
    <t>R0858</t>
  </si>
  <si>
    <t>:RBStorageTF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</si>
  <si>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A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</si>
  <si>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（薄膜出料）的并联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</si>
  <si>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R0859</t>
  </si>
  <si>
    <t>:RBStorageTF_M01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</si>
  <si>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B</t>
    </r>
  </si>
  <si>
    <t>R0860</t>
  </si>
  <si>
    <t>:RBStorageTF_M02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</si>
  <si>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（薄膜出料）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</si>
  <si>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（薄膜出料）配置液位计</t>
    </r>
  </si>
  <si>
    <t>R0861</t>
  </si>
  <si>
    <t>:RBStorageTF_P01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</si>
  <si>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（薄膜出料）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温度计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</si>
  <si>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（薄膜出料）配置温度计</t>
    </r>
  </si>
  <si>
    <t>R0862</t>
  </si>
  <si>
    <t>:RBStorageTF_P02</t>
  </si>
  <si>
    <r>
      <rPr>
        <sz val="10"/>
        <rFont val="Noto Sans CJK SC"/>
        <family val="2"/>
      </rPr>
      <t>薄膜热水罐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余热软水罐</t>
    </r>
  </si>
  <si>
    <r>
      <rPr>
        <sz val="10"/>
        <rFont val="Noto Sans CJK SC"/>
        <family val="2"/>
      </rPr>
      <t>薄膜蒸发（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脱溶）包含储罐“薄膜热水罐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余热软水罐”</t>
    </r>
  </si>
  <si>
    <t>R0863</t>
  </si>
  <si>
    <t>:TFHotWaterTank</t>
  </si>
  <si>
    <r>
      <rPr>
        <sz val="10"/>
        <rFont val="Noto Sans CJK SC"/>
        <family val="2"/>
      </rPr>
      <t>薄膜热水罐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余热软水罐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板式换热器</t>
    </r>
  </si>
  <si>
    <r>
      <rPr>
        <sz val="10"/>
        <rFont val="Noto Sans CJK SC"/>
        <family val="2"/>
      </rPr>
      <t>薄膜热水罐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余热软水罐配置板式换热器</t>
    </r>
  </si>
  <si>
    <t>R0864</t>
  </si>
  <si>
    <t>:TFHotWaterTank_P01</t>
  </si>
  <si>
    <r>
      <rPr>
        <sz val="10"/>
        <rFont val="Noto Sans CJK SC"/>
        <family val="2"/>
      </rPr>
      <t>薄膜热水罐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余热软水罐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</si>
  <si>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r>
      <rPr>
        <sz val="10"/>
        <rFont val="Noto Sans CJK SC"/>
        <family val="2"/>
      </rPr>
      <t>薄膜热水罐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余热软水罐配置液位计</t>
    </r>
  </si>
  <si>
    <t>R0865</t>
  </si>
  <si>
    <t>:TFHotWaterTank_P02</t>
  </si>
  <si>
    <r>
      <rPr>
        <sz val="10"/>
        <rFont val="Noto Sans CJK SC"/>
        <family val="2"/>
      </rPr>
      <t>薄膜热水罐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余热软水罐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温度计</t>
    </r>
  </si>
  <si>
    <r>
      <rPr>
        <sz val="10"/>
        <rFont val="Noto Sans CJK SC"/>
        <family val="2"/>
      </rPr>
      <t>薄膜热水罐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余热软水罐配置温度计</t>
    </r>
  </si>
  <si>
    <t>R0866</t>
  </si>
  <si>
    <t>:TFHotWaterTank_P03</t>
  </si>
  <si>
    <t>薄膜真空泵</t>
  </si>
  <si>
    <r>
      <rPr>
        <sz val="10"/>
        <rFont val="Noto Sans CJK SC"/>
        <family val="2"/>
      </rPr>
      <t>薄膜蒸发（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脱溶）包含真空泵“薄膜真空泵”</t>
    </r>
  </si>
  <si>
    <t>R0867</t>
  </si>
  <si>
    <t>:TFVacuumPump</t>
  </si>
  <si>
    <r>
      <rPr>
        <sz val="10"/>
        <rFont val="Noto Sans CJK SC"/>
        <family val="2"/>
      </rPr>
      <t>薄膜真空泵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工作水罐</t>
    </r>
  </si>
  <si>
    <t>薄膜真空泵配置工作水罐</t>
  </si>
  <si>
    <t>R0868</t>
  </si>
  <si>
    <t>:TFVacuumPump_P01</t>
  </si>
  <si>
    <t>薄膜进料流量</t>
  </si>
  <si>
    <t>薄膜蒸发器组的薄膜进料流量</t>
  </si>
  <si>
    <t>R0869</t>
  </si>
  <si>
    <t>:Attr_093</t>
  </si>
  <si>
    <r>
      <rPr>
        <sz val="10"/>
        <rFont val="微软雅黑"/>
        <family val="2"/>
        <charset val="134"/>
      </rPr>
      <t>FT_1001A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FT_1001B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FT_1001C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FT_1001D</t>
    </r>
  </si>
  <si>
    <t>蒸发器出口温度</t>
  </si>
  <si>
    <t>薄膜蒸发器组的蒸发器出口温度</t>
  </si>
  <si>
    <t>R0870</t>
  </si>
  <si>
    <t>:Attr_094</t>
  </si>
  <si>
    <r>
      <rPr>
        <sz val="10"/>
        <rFont val="微软雅黑"/>
        <family val="2"/>
        <charset val="134"/>
      </rPr>
      <t>TI_1311A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TI_1311B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TI_1311C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TI_1311D</t>
    </r>
  </si>
  <si>
    <t>蒸发器真空压力</t>
  </si>
  <si>
    <t>薄膜蒸发器组的蒸发器真空压力</t>
  </si>
  <si>
    <t>R0871</t>
  </si>
  <si>
    <t>:Attr_095</t>
  </si>
  <si>
    <r>
      <rPr>
        <sz val="10"/>
        <rFont val="微软雅黑"/>
        <family val="2"/>
        <charset val="134"/>
      </rPr>
      <t>PT_1026A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PT_1026B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PT_1026C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PT_1026D</t>
    </r>
  </si>
  <si>
    <t>刮板转子频率</t>
  </si>
  <si>
    <t>薄膜蒸发器组的刮板转子频率</t>
  </si>
  <si>
    <t>R0872</t>
  </si>
  <si>
    <t>:Attr_096</t>
  </si>
  <si>
    <r>
      <rPr>
        <sz val="10"/>
        <rFont val="微软雅黑"/>
        <family val="2"/>
        <charset val="134"/>
      </rPr>
      <t>PB_1008A_FB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PB_1008B_FB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PB_1008C_FB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PB_1008D_FB</t>
    </r>
  </si>
  <si>
    <t>冷凝器出口温度</t>
  </si>
  <si>
    <t>薄膜冷凝器组的冷凝器出口温度</t>
  </si>
  <si>
    <t>R0873</t>
  </si>
  <si>
    <t>:Attr_097</t>
  </si>
  <si>
    <r>
      <rPr>
        <sz val="10"/>
        <rFont val="微软雅黑"/>
        <family val="2"/>
        <charset val="134"/>
      </rPr>
      <t>TI_1003A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TI_1003B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TI_1003C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TI_1003D</t>
    </r>
  </si>
  <si>
    <t>薄膜重相罐液位</t>
  </si>
  <si>
    <r>
      <rPr>
        <sz val="10"/>
        <rFont val="Noto Sans CJK SC"/>
        <family val="2"/>
      </rPr>
      <t>薄膜重相罐组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脱溶</t>
    </r>
    <r>
      <rPr>
        <sz val="10"/>
        <rFont val="微软雅黑"/>
        <family val="2"/>
        <charset val="134"/>
      </rPr>
      <t>RB)</t>
    </r>
    <r>
      <rPr>
        <sz val="10"/>
        <rFont val="Noto Sans CJK SC"/>
        <family val="2"/>
      </rPr>
      <t>的薄膜重相罐液位</t>
    </r>
  </si>
  <si>
    <t>R0874</t>
  </si>
  <si>
    <t>:Attr_098</t>
  </si>
  <si>
    <r>
      <rPr>
        <sz val="10"/>
        <rFont val="微软雅黑"/>
        <family val="2"/>
        <charset val="134"/>
      </rPr>
      <t>LT_1320A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LT_1320B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LT_1320C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LT_1320D</t>
    </r>
  </si>
  <si>
    <t>薄膜轻相罐液位</t>
  </si>
  <si>
    <r>
      <rPr>
        <sz val="10"/>
        <rFont val="Noto Sans CJK SC"/>
        <family val="2"/>
      </rPr>
      <t>薄膜轻相罐组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馏出液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的薄膜轻相罐液位</t>
    </r>
  </si>
  <si>
    <t>R0875</t>
  </si>
  <si>
    <t>:Attr_099</t>
  </si>
  <si>
    <r>
      <rPr>
        <sz val="10"/>
        <rFont val="微软雅黑"/>
        <family val="2"/>
        <charset val="134"/>
      </rPr>
      <t>LT_1321A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LT_1321B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LT_1321C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LT_1321D</t>
    </r>
  </si>
  <si>
    <t>分水罐液位</t>
  </si>
  <si>
    <t>分水罐的分水罐液位</t>
  </si>
  <si>
    <t>R0876</t>
  </si>
  <si>
    <t>:Attr_100</t>
  </si>
  <si>
    <t>LT_1002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</si>
  <si>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缓冲罐液位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</si>
  <si>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（薄膜出料）的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缓冲罐液位</t>
    </r>
  </si>
  <si>
    <t>R0877</t>
  </si>
  <si>
    <t>:Attr_101</t>
  </si>
  <si>
    <r>
      <rPr>
        <sz val="10"/>
        <rFont val="微软雅黑"/>
        <family val="2"/>
        <charset val="134"/>
      </rPr>
      <t>LT_RB01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LT_RB02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</si>
  <si>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储罐温度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</si>
  <si>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（薄膜出料）的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储罐温度</t>
    </r>
  </si>
  <si>
    <t>R0878</t>
  </si>
  <si>
    <t>:Attr_102</t>
  </si>
  <si>
    <r>
      <rPr>
        <sz val="10"/>
        <rFont val="微软雅黑"/>
        <family val="2"/>
        <charset val="134"/>
      </rPr>
      <t>TI_1203A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TI_1203B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</si>
  <si>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效价</t>
    </r>
  </si>
  <si>
    <r>
      <rPr>
        <sz val="10"/>
        <rFont val="Noto Sans CJK SC"/>
        <family val="2"/>
      </rPr>
      <t>在线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录入效价</t>
    </r>
  </si>
  <si>
    <t>R0879</t>
  </si>
  <si>
    <t>:Attr_103</t>
  </si>
  <si>
    <t>RB_XJ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</si>
  <si>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透光率</t>
    </r>
  </si>
  <si>
    <t>色级指标</t>
  </si>
  <si>
    <t>R0880</t>
  </si>
  <si>
    <t>:Attr_104</t>
  </si>
  <si>
    <t>RB_TG</t>
  </si>
  <si>
    <r>
      <rPr>
        <sz val="10"/>
        <rFont val="Noto Sans CJK SC"/>
        <family val="2"/>
      </rPr>
      <t>薄膜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去水解流量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</si>
  <si>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（薄膜出料）的薄膜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去水解流量</t>
    </r>
  </si>
  <si>
    <t>R0881</t>
  </si>
  <si>
    <t>:Attr_105</t>
  </si>
  <si>
    <t>FT_1327</t>
  </si>
  <si>
    <t>热水罐出水温度</t>
  </si>
  <si>
    <t>加热介质温度</t>
  </si>
  <si>
    <t>R0882</t>
  </si>
  <si>
    <t>:Attr_106</t>
  </si>
  <si>
    <t>TI_1310</t>
  </si>
  <si>
    <t>热水罐液位</t>
  </si>
  <si>
    <r>
      <rPr>
        <sz val="10"/>
        <rFont val="Noto Sans CJK SC"/>
        <family val="2"/>
      </rPr>
      <t>薄膜热水罐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余热软水罐的热水罐液位</t>
    </r>
  </si>
  <si>
    <t>R0883</t>
  </si>
  <si>
    <t>:Attr_107</t>
  </si>
  <si>
    <r>
      <rPr>
        <sz val="10"/>
        <rFont val="微软雅黑"/>
        <family val="2"/>
        <charset val="134"/>
      </rPr>
      <t>LT_1319A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LT_1319B</t>
    </r>
  </si>
  <si>
    <t>薄膜脱脂温度</t>
  </si>
  <si>
    <t>薄膜蒸发器组的薄膜脱脂温度</t>
  </si>
  <si>
    <t>R0884</t>
  </si>
  <si>
    <t>:Attr_108</t>
  </si>
  <si>
    <t>TI_1308B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</si>
  <si>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液残留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含量</t>
    </r>
  </si>
  <si>
    <t>薄膜脱溶终点指标</t>
  </si>
  <si>
    <t>R0885</t>
  </si>
  <si>
    <t>:QKPI_264</t>
  </si>
  <si>
    <r>
      <rPr>
        <sz val="10"/>
        <rFont val="Noto Sans CJK SC"/>
        <family val="2"/>
      </rPr>
      <t>受热时间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温度导致青霉素降解</t>
    </r>
  </si>
  <si>
    <t>R0886</t>
  </si>
  <si>
    <t>物料蒸发器停留时间</t>
  </si>
  <si>
    <r>
      <rPr>
        <sz val="10"/>
        <rFont val="Noto Sans CJK SC"/>
        <family val="2"/>
      </rPr>
      <t>薄膜蒸发器组的物料蒸发器停留时间（机理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</si>
  <si>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R0887</t>
  </si>
  <si>
    <t>:Attr_266</t>
  </si>
  <si>
    <r>
      <rPr>
        <sz val="10"/>
        <rFont val="Noto Sans CJK SC"/>
        <family val="2"/>
      </rPr>
      <t>脱溶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</si>
  <si>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进料温度</t>
    </r>
  </si>
  <si>
    <r>
      <rPr>
        <sz val="10"/>
        <rFont val="Noto Sans CJK SC"/>
        <family val="2"/>
      </rPr>
      <t>脱溶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液的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进料温度（流股属性，测点位于管线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</si>
  <si>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R0888</t>
  </si>
  <si>
    <t>:MS_RB_Desolv</t>
  </si>
  <si>
    <t>:Attr_122</t>
  </si>
  <si>
    <t>TI_1303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</si>
  <si>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进料流量</t>
    </r>
  </si>
  <si>
    <r>
      <rPr>
        <sz val="10"/>
        <rFont val="Noto Sans CJK SC"/>
        <family val="2"/>
      </rPr>
      <t>脱溶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液的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进料流量（流股属性，测点位于管线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</si>
  <si>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R0889</t>
  </si>
  <si>
    <t>:Attr_123</t>
  </si>
  <si>
    <r>
      <rPr>
        <sz val="10"/>
        <rFont val="微软雅黑"/>
        <family val="2"/>
        <charset val="134"/>
      </rPr>
      <t>FT_1302A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FT_1302B</t>
    </r>
  </si>
  <si>
    <r>
      <rPr>
        <sz val="10"/>
        <rFont val="Noto Sans CJK SC"/>
        <family val="2"/>
      </rPr>
      <t>脱溶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液的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效价（流股属性，测点位于管线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</si>
  <si>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R0890</t>
  </si>
  <si>
    <r>
      <rPr>
        <sz val="10"/>
        <rFont val="Noto Sans CJK SC"/>
        <family val="2"/>
      </rPr>
      <t>脱溶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液的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透光率（流股属性，测点位于管线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</si>
  <si>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R0891</t>
  </si>
  <si>
    <r>
      <rPr>
        <sz val="10"/>
        <rFont val="Noto Sans CJK SC"/>
        <family val="2"/>
      </rPr>
      <t>脱溶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液的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液残留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含量（流股属性，测点位于管线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</si>
  <si>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R0892</t>
  </si>
  <si>
    <t>FT_1001A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</si>
  <si>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原点描述：薄膜蒸发器进口流量检测</t>
    </r>
    <r>
      <rPr>
        <sz val="10"/>
        <rFont val="微软雅黑"/>
        <family val="2"/>
        <charset val="134"/>
      </rPr>
      <t>a</t>
    </r>
  </si>
  <si>
    <t>R0893</t>
  </si>
  <si>
    <t>:FT_1001A</t>
  </si>
  <si>
    <t>FT_1001B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</si>
  <si>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原点描述：薄膜蒸发器进口流量检测</t>
    </r>
    <r>
      <rPr>
        <sz val="10"/>
        <rFont val="微软雅黑"/>
        <family val="2"/>
        <charset val="134"/>
      </rPr>
      <t>b</t>
    </r>
  </si>
  <si>
    <t>R0894</t>
  </si>
  <si>
    <t>:FT_1001B</t>
  </si>
  <si>
    <t>FT_1001C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</si>
  <si>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原点描述：薄膜蒸发器进口流量检测</t>
    </r>
    <r>
      <rPr>
        <sz val="10"/>
        <rFont val="微软雅黑"/>
        <family val="2"/>
        <charset val="134"/>
      </rPr>
      <t>c</t>
    </r>
  </si>
  <si>
    <t>R0895</t>
  </si>
  <si>
    <t>:FT_1001C</t>
  </si>
  <si>
    <t>FT_1001D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</si>
  <si>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原点描述：薄膜蒸发器进口流量检测</t>
    </r>
    <r>
      <rPr>
        <sz val="10"/>
        <rFont val="微软雅黑"/>
        <family val="2"/>
        <charset val="134"/>
      </rPr>
      <t>d</t>
    </r>
  </si>
  <si>
    <t>R0896</t>
  </si>
  <si>
    <t>:FT_1001D</t>
  </si>
  <si>
    <t>TI_1311A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</si>
  <si>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原点描述：蒸发器出口温度检测</t>
    </r>
    <r>
      <rPr>
        <sz val="10"/>
        <rFont val="微软雅黑"/>
        <family val="2"/>
        <charset val="134"/>
      </rPr>
      <t>A</t>
    </r>
  </si>
  <si>
    <t>R0897</t>
  </si>
  <si>
    <t>:TI_1311A</t>
  </si>
  <si>
    <t>TI_1311B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</si>
  <si>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原点描述：蒸发器出口温度检测</t>
    </r>
    <r>
      <rPr>
        <sz val="10"/>
        <rFont val="微软雅黑"/>
        <family val="2"/>
        <charset val="134"/>
      </rPr>
      <t>B</t>
    </r>
  </si>
  <si>
    <t>R0898</t>
  </si>
  <si>
    <t>:TI_1311B</t>
  </si>
  <si>
    <t>TI_1311C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</si>
  <si>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原点描述：蒸发器出口温度检测</t>
    </r>
    <r>
      <rPr>
        <sz val="10"/>
        <rFont val="微软雅黑"/>
        <family val="2"/>
        <charset val="134"/>
      </rPr>
      <t>C</t>
    </r>
  </si>
  <si>
    <t>R0899</t>
  </si>
  <si>
    <t>:TI_1311C</t>
  </si>
  <si>
    <t>TI_1311D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</si>
  <si>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原点描述：蒸发器出口温度检测</t>
    </r>
    <r>
      <rPr>
        <sz val="10"/>
        <rFont val="微软雅黑"/>
        <family val="2"/>
        <charset val="134"/>
      </rPr>
      <t>D</t>
    </r>
  </si>
  <si>
    <t>R0900</t>
  </si>
  <si>
    <t>:TI_1311D</t>
  </si>
  <si>
    <t>PT_1026A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</si>
  <si>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原点描述：薄膜蒸发器压力检测</t>
    </r>
    <r>
      <rPr>
        <sz val="10"/>
        <rFont val="微软雅黑"/>
        <family val="2"/>
        <charset val="134"/>
      </rPr>
      <t>a</t>
    </r>
  </si>
  <si>
    <t>R0901</t>
  </si>
  <si>
    <t>:PT_1026A</t>
  </si>
  <si>
    <t>PT_1026B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</si>
  <si>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原点描述：薄膜蒸发器压力检测</t>
    </r>
    <r>
      <rPr>
        <sz val="10"/>
        <rFont val="微软雅黑"/>
        <family val="2"/>
        <charset val="134"/>
      </rPr>
      <t>b</t>
    </r>
  </si>
  <si>
    <t>R0902</t>
  </si>
  <si>
    <t>:PT_1026B</t>
  </si>
  <si>
    <t>PT_1026C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</si>
  <si>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原点描述：薄膜蒸发器压力检测</t>
    </r>
    <r>
      <rPr>
        <sz val="10"/>
        <rFont val="微软雅黑"/>
        <family val="2"/>
        <charset val="134"/>
      </rPr>
      <t>c</t>
    </r>
  </si>
  <si>
    <t>R0903</t>
  </si>
  <si>
    <t>:PT_1026C</t>
  </si>
  <si>
    <t>PT_1026D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</si>
  <si>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原点描述：薄膜蒸发器压力检测</t>
    </r>
    <r>
      <rPr>
        <sz val="10"/>
        <rFont val="微软雅黑"/>
        <family val="2"/>
        <charset val="134"/>
      </rPr>
      <t>d</t>
    </r>
  </si>
  <si>
    <t>R0904</t>
  </si>
  <si>
    <t>:PT_1026D</t>
  </si>
  <si>
    <t>PB_1008A_FB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</si>
  <si>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原点描述：薄膜蒸发器搅拌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频率反馈</t>
    </r>
  </si>
  <si>
    <t>R0905</t>
  </si>
  <si>
    <t>:PB_1008A_FB</t>
  </si>
  <si>
    <t>PB_1008B_FB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</si>
  <si>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原点描述：薄膜蒸发器搅拌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频率反馈</t>
    </r>
  </si>
  <si>
    <t>R0906</t>
  </si>
  <si>
    <t>:PB_1008B_FB</t>
  </si>
  <si>
    <t>PB_1008C_FB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</si>
  <si>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原点描述：薄膜蒸发器搅拌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频率反馈</t>
    </r>
  </si>
  <si>
    <t>R0907</t>
  </si>
  <si>
    <t>:PB_1008C_FB</t>
  </si>
  <si>
    <t>PB_1008D_FB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</si>
  <si>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原点描述：薄膜蒸发器搅拌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频率反馈</t>
    </r>
  </si>
  <si>
    <t>R0908</t>
  </si>
  <si>
    <t>:PB_1008D_FB</t>
  </si>
  <si>
    <t>TI_1003A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</si>
  <si>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原点描述：冷凝器出口温度检测</t>
    </r>
    <r>
      <rPr>
        <sz val="10"/>
        <rFont val="微软雅黑"/>
        <family val="2"/>
        <charset val="134"/>
      </rPr>
      <t>a</t>
    </r>
  </si>
  <si>
    <t>R0909</t>
  </si>
  <si>
    <t>:TI_1003A</t>
  </si>
  <si>
    <t>TI_1003B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</si>
  <si>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原点描述：冷凝器出口温度检测</t>
    </r>
    <r>
      <rPr>
        <sz val="10"/>
        <rFont val="微软雅黑"/>
        <family val="2"/>
        <charset val="134"/>
      </rPr>
      <t>b</t>
    </r>
  </si>
  <si>
    <t>R0910</t>
  </si>
  <si>
    <t>:TI_1003B</t>
  </si>
  <si>
    <t>TI_1003C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</si>
  <si>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原点描述：冷凝器出口温度检测</t>
    </r>
    <r>
      <rPr>
        <sz val="10"/>
        <rFont val="微软雅黑"/>
        <family val="2"/>
        <charset val="134"/>
      </rPr>
      <t>c</t>
    </r>
  </si>
  <si>
    <t>R0911</t>
  </si>
  <si>
    <t>:TI_1003C</t>
  </si>
  <si>
    <t>TI_1003D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</si>
  <si>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原点描述：冷凝器出口温度检测</t>
    </r>
    <r>
      <rPr>
        <sz val="10"/>
        <rFont val="微软雅黑"/>
        <family val="2"/>
        <charset val="134"/>
      </rPr>
      <t>d</t>
    </r>
  </si>
  <si>
    <t>R0912</t>
  </si>
  <si>
    <t>:TI_1003D</t>
  </si>
  <si>
    <t>LT_1320A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</si>
  <si>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原点描述：重相罐液位检测</t>
    </r>
    <r>
      <rPr>
        <sz val="10"/>
        <rFont val="微软雅黑"/>
        <family val="2"/>
        <charset val="134"/>
      </rPr>
      <t>A</t>
    </r>
  </si>
  <si>
    <t>R0913</t>
  </si>
  <si>
    <t>:LT_1320A</t>
  </si>
  <si>
    <t>LT_1320B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</si>
  <si>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原点描述：重相罐液位检测</t>
    </r>
    <r>
      <rPr>
        <sz val="10"/>
        <rFont val="微软雅黑"/>
        <family val="2"/>
        <charset val="134"/>
      </rPr>
      <t>B</t>
    </r>
  </si>
  <si>
    <t>R0914</t>
  </si>
  <si>
    <t>:LT_1320B</t>
  </si>
  <si>
    <t>LT_1320C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</si>
  <si>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原点描述：重相罐液位检测</t>
    </r>
    <r>
      <rPr>
        <sz val="10"/>
        <rFont val="微软雅黑"/>
        <family val="2"/>
        <charset val="134"/>
      </rPr>
      <t>C</t>
    </r>
  </si>
  <si>
    <t>R0915</t>
  </si>
  <si>
    <t>:LT_1320C</t>
  </si>
  <si>
    <t>LT_1320D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</si>
  <si>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原点描述：重相罐液位检测</t>
    </r>
    <r>
      <rPr>
        <sz val="10"/>
        <rFont val="微软雅黑"/>
        <family val="2"/>
        <charset val="134"/>
      </rPr>
      <t>D</t>
    </r>
  </si>
  <si>
    <t>R0916</t>
  </si>
  <si>
    <t>:LT_1320D</t>
  </si>
  <si>
    <t>LT_1321A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</si>
  <si>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原点描述：轻相罐液位检测</t>
    </r>
    <r>
      <rPr>
        <sz val="10"/>
        <rFont val="微软雅黑"/>
        <family val="2"/>
        <charset val="134"/>
      </rPr>
      <t>A</t>
    </r>
  </si>
  <si>
    <t>R0917</t>
  </si>
  <si>
    <t>:LT_1321A</t>
  </si>
  <si>
    <t>LT_1321B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</si>
  <si>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原点描述：轻相罐液位检测</t>
    </r>
    <r>
      <rPr>
        <sz val="10"/>
        <rFont val="微软雅黑"/>
        <family val="2"/>
        <charset val="134"/>
      </rPr>
      <t>B</t>
    </r>
  </si>
  <si>
    <t>R0918</t>
  </si>
  <si>
    <t>:LT_1321B</t>
  </si>
  <si>
    <t>LT_1321C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</si>
  <si>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原点描述：轻相罐液位检测</t>
    </r>
    <r>
      <rPr>
        <sz val="10"/>
        <rFont val="微软雅黑"/>
        <family val="2"/>
        <charset val="134"/>
      </rPr>
      <t>C</t>
    </r>
  </si>
  <si>
    <t>R0919</t>
  </si>
  <si>
    <t>:LT_1321C</t>
  </si>
  <si>
    <t>LT_1321D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</si>
  <si>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原点描述：轻相罐液位检测</t>
    </r>
    <r>
      <rPr>
        <sz val="10"/>
        <rFont val="微软雅黑"/>
        <family val="2"/>
        <charset val="134"/>
      </rPr>
      <t>D</t>
    </r>
  </si>
  <si>
    <t>R0920</t>
  </si>
  <si>
    <t>:LT_1321D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</si>
  <si>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原点描述：分水罐液位检测</t>
    </r>
  </si>
  <si>
    <t>R0921</t>
  </si>
  <si>
    <t>:LT_1002</t>
  </si>
  <si>
    <t>LT_RB01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</si>
  <si>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液位</t>
    </r>
  </si>
  <si>
    <t>R0922</t>
  </si>
  <si>
    <t>:LT_RB01</t>
  </si>
  <si>
    <t>LT_RB02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</si>
  <si>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液位</t>
    </r>
  </si>
  <si>
    <t>R0923</t>
  </si>
  <si>
    <t>:LT_RB02</t>
  </si>
  <si>
    <t>TI_1203A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</si>
  <si>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储罐温度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检测</t>
    </r>
  </si>
  <si>
    <t>R0924</t>
  </si>
  <si>
    <t>:TI_1203A</t>
  </si>
  <si>
    <t>TI_1203B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</si>
  <si>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储罐温度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检测</t>
    </r>
  </si>
  <si>
    <t>R0925</t>
  </si>
  <si>
    <t>:TI_1203B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</si>
  <si>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效价</t>
    </r>
  </si>
  <si>
    <t>R0926</t>
  </si>
  <si>
    <t>:RB_XJ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</si>
  <si>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透过率</t>
    </r>
  </si>
  <si>
    <t>R0927</t>
  </si>
  <si>
    <t>:RB_TG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</si>
  <si>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原点描述：薄膜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去水解流量</t>
    </r>
  </si>
  <si>
    <t>R0928</t>
  </si>
  <si>
    <t>:FT_1327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</si>
  <si>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原点描述：热水罐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温度检测</t>
    </r>
  </si>
  <si>
    <t>R0929</t>
  </si>
  <si>
    <t>:TI_1310</t>
  </si>
  <si>
    <t>LT_1319A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</si>
  <si>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原点描述：热水罐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液位检测</t>
    </r>
  </si>
  <si>
    <t>R0930</t>
  </si>
  <si>
    <t>:LT_1319A</t>
  </si>
  <si>
    <t>LT_1319B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</si>
  <si>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原点描述：热水罐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液位检测</t>
    </r>
  </si>
  <si>
    <t>R0931</t>
  </si>
  <si>
    <t>:LT_1319B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</si>
  <si>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原点描述：薄膜脱脂温度</t>
    </r>
  </si>
  <si>
    <t>R0932</t>
  </si>
  <si>
    <t>:TI_1308B</t>
  </si>
  <si>
    <r>
      <rPr>
        <sz val="10"/>
        <rFont val="Noto Sans CJK SC"/>
        <family val="2"/>
      </rPr>
      <t>薄膜进料流量控制器</t>
    </r>
    <r>
      <rPr>
        <sz val="10"/>
        <rFont val="微软雅黑"/>
        <family val="2"/>
        <charset val="134"/>
      </rPr>
      <t>(FIC-1001)</t>
    </r>
  </si>
  <si>
    <r>
      <rPr>
        <sz val="10"/>
        <rFont val="Noto Sans CJK SC"/>
        <family val="2"/>
      </rPr>
      <t>薄膜蒸发器进口流量调节阀</t>
    </r>
    <r>
      <rPr>
        <sz val="10"/>
        <rFont val="微软雅黑"/>
        <family val="2"/>
        <charset val="134"/>
      </rPr>
      <t>HV_1011A–D</t>
    </r>
  </si>
  <si>
    <t>R0933</t>
  </si>
  <si>
    <t>:Ctrl_022</t>
  </si>
  <si>
    <t>:Act_022</t>
  </si>
  <si>
    <r>
      <rPr>
        <sz val="10"/>
        <rFont val="微软雅黑"/>
        <family val="2"/>
        <charset val="134"/>
      </rPr>
      <t>HV_1011A_AO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HV_1011B_AO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HV_1011C_AO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HV_1011D_AO</t>
    </r>
  </si>
  <si>
    <r>
      <rPr>
        <sz val="10"/>
        <rFont val="Noto Sans CJK SC"/>
        <family val="2"/>
      </rPr>
      <t>薄膜进料流量作为过程变量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反馈给薄膜进料流量控制器</t>
    </r>
    <r>
      <rPr>
        <sz val="10"/>
        <rFont val="微软雅黑"/>
        <family val="2"/>
        <charset val="134"/>
      </rPr>
      <t>(FIC-1001)</t>
    </r>
  </si>
  <si>
    <t>R0934</t>
  </si>
  <si>
    <r>
      <rPr>
        <sz val="10"/>
        <rFont val="Noto Sans CJK SC"/>
        <family val="2"/>
      </rPr>
      <t>薄膜蒸发器进口流量调节阀</t>
    </r>
    <r>
      <rPr>
        <sz val="10"/>
        <rFont val="微软雅黑"/>
        <family val="2"/>
        <charset val="134"/>
      </rPr>
      <t>HV_1011A–D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频率变化直接改变薄膜进料流量</t>
    </r>
  </si>
  <si>
    <t>R0935</t>
  </si>
  <si>
    <t>薄膜重相出料控制器</t>
  </si>
  <si>
    <r>
      <rPr>
        <sz val="10"/>
        <rFont val="Noto Sans CJK SC"/>
        <family val="2"/>
      </rPr>
      <t>薄膜蒸发器泵后调节阀</t>
    </r>
    <r>
      <rPr>
        <sz val="10"/>
        <rFont val="微软雅黑"/>
        <family val="2"/>
        <charset val="134"/>
      </rPr>
      <t>HV_1012A–D</t>
    </r>
  </si>
  <si>
    <t>R0936</t>
  </si>
  <si>
    <t>:Ctrl_023</t>
  </si>
  <si>
    <t>:Act_023</t>
  </si>
  <si>
    <r>
      <rPr>
        <sz val="10"/>
        <rFont val="微软雅黑"/>
        <family val="2"/>
        <charset val="134"/>
      </rPr>
      <t>HV_1012A_AO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HV_1012B_AO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HV_1012C_AO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HV_1012D_AO</t>
    </r>
  </si>
  <si>
    <r>
      <rPr>
        <sz val="10"/>
        <rFont val="Noto Sans CJK SC"/>
        <family val="2"/>
      </rPr>
      <t>薄膜重相罐液位作为过程变量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反馈给薄膜重相出料控制器</t>
    </r>
  </si>
  <si>
    <t>R0937</t>
  </si>
  <si>
    <r>
      <rPr>
        <sz val="10"/>
        <rFont val="Noto Sans CJK SC"/>
        <family val="2"/>
      </rPr>
      <t>薄膜蒸发器泵后调节阀</t>
    </r>
    <r>
      <rPr>
        <sz val="10"/>
        <rFont val="微软雅黑"/>
        <family val="2"/>
        <charset val="134"/>
      </rPr>
      <t>HV_1012A–D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频率变化直接改变薄膜重相罐液位</t>
    </r>
  </si>
  <si>
    <t>R0938</t>
  </si>
  <si>
    <r>
      <rPr>
        <sz val="10"/>
        <rFont val="Noto Sans CJK SC"/>
        <family val="2"/>
      </rPr>
      <t>冷凝器温度控制器</t>
    </r>
    <r>
      <rPr>
        <sz val="10"/>
        <rFont val="微软雅黑"/>
        <family val="2"/>
        <charset val="134"/>
      </rPr>
      <t>(TIC-1003)</t>
    </r>
  </si>
  <si>
    <r>
      <rPr>
        <sz val="10"/>
        <rFont val="Noto Sans CJK SC"/>
        <family val="2"/>
      </rPr>
      <t>冷凝器冷盐水总阀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分阀</t>
    </r>
    <r>
      <rPr>
        <sz val="10"/>
        <rFont val="微软雅黑"/>
        <family val="2"/>
        <charset val="134"/>
      </rPr>
      <t>HV_1013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HV_1014A–I</t>
    </r>
  </si>
  <si>
    <t>R0939</t>
  </si>
  <si>
    <t>:Ctrl_024</t>
  </si>
  <si>
    <t>:Act_024</t>
  </si>
  <si>
    <r>
      <rPr>
        <sz val="10"/>
        <rFont val="微软雅黑"/>
        <family val="2"/>
        <charset val="134"/>
      </rPr>
      <t>HV_1013_AO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HV_1014A_AO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HV_1014B_AO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HV_1014C_AO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HV_1014D_AO</t>
    </r>
  </si>
  <si>
    <r>
      <rPr>
        <sz val="10"/>
        <rFont val="Noto Sans CJK SC"/>
        <family val="2"/>
      </rPr>
      <t>冷凝器出口温度作为过程变量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反馈给冷凝器温度控制器</t>
    </r>
    <r>
      <rPr>
        <sz val="10"/>
        <rFont val="微软雅黑"/>
        <family val="2"/>
        <charset val="134"/>
      </rPr>
      <t>(TIC-1003)</t>
    </r>
  </si>
  <si>
    <t>R0940</t>
  </si>
  <si>
    <r>
      <rPr>
        <sz val="10"/>
        <rFont val="Noto Sans CJK SC"/>
        <family val="2"/>
      </rPr>
      <t>冷凝器冷盐水总阀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分阀</t>
    </r>
    <r>
      <rPr>
        <sz val="10"/>
        <rFont val="微软雅黑"/>
        <family val="2"/>
        <charset val="134"/>
      </rPr>
      <t>HV_1013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HV_1014A–I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频率变化直接改变冷凝器出口温度</t>
    </r>
  </si>
  <si>
    <t>R0941</t>
  </si>
  <si>
    <r>
      <rPr>
        <sz val="10"/>
        <rFont val="Noto Sans CJK SC"/>
        <family val="2"/>
      </rPr>
      <t>薄膜自动起停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一脱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二脱模式</t>
    </r>
    <r>
      <rPr>
        <sz val="10"/>
        <rFont val="微软雅黑"/>
        <family val="2"/>
        <charset val="134"/>
      </rPr>
      <t>)</t>
    </r>
  </si>
  <si>
    <t>R0942</t>
  </si>
  <si>
    <t>:Seq_05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</si>
  <si>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储罐液位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</si>
  <si>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高液位回流提示</t>
    </r>
  </si>
  <si>
    <r>
      <rPr>
        <sz val="10"/>
        <rFont val="Noto Sans CJK SC"/>
        <family val="2"/>
      </rPr>
      <t>越限触发“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高液位回流提示”：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回流</t>
    </r>
  </si>
  <si>
    <t>R0943</t>
  </si>
  <si>
    <t>:Attr_121</t>
  </si>
  <si>
    <t>:Alarm_12</t>
  </si>
  <si>
    <r>
      <rPr>
        <sz val="10"/>
        <rFont val="微软雅黑"/>
        <family val="2"/>
        <charset val="134"/>
      </rPr>
      <t>LT_1301A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LT_1301B</t>
    </r>
  </si>
  <si>
    <t>FT_1001A–D</t>
  </si>
  <si>
    <t>蒸发过程</t>
  </si>
  <si>
    <t>R0944</t>
  </si>
  <si>
    <t>热水</t>
  </si>
  <si>
    <t>热水罐→板换→夹套</t>
  </si>
  <si>
    <t>R0945</t>
  </si>
  <si>
    <t>:MS_HotWater</t>
  </si>
  <si>
    <t>R0946</t>
  </si>
  <si>
    <t>底部出料</t>
  </si>
  <si>
    <t>R0947</t>
  </si>
  <si>
    <r>
      <rPr>
        <sz val="10"/>
        <rFont val="Noto Sans CJK SC"/>
        <family val="2"/>
      </rPr>
      <t>薄膜馏出液</t>
    </r>
    <r>
      <rPr>
        <sz val="10"/>
        <rFont val="微软雅黑"/>
        <family val="2"/>
        <charset val="134"/>
      </rPr>
      <t>(BA/</t>
    </r>
    <r>
      <rPr>
        <sz val="10"/>
        <rFont val="Noto Sans CJK SC"/>
        <family val="2"/>
      </rPr>
      <t>水</t>
    </r>
    <r>
      <rPr>
        <sz val="10"/>
        <rFont val="微软雅黑"/>
        <family val="2"/>
        <charset val="134"/>
      </rPr>
      <t>)</t>
    </r>
  </si>
  <si>
    <t>二次蒸汽</t>
  </si>
  <si>
    <t>R0948</t>
  </si>
  <si>
    <t>:MS_TFDistillate</t>
  </si>
  <si>
    <t>冷凝过程</t>
  </si>
  <si>
    <t>R0949</t>
  </si>
  <si>
    <r>
      <rPr>
        <sz val="10"/>
        <rFont val="Noto Sans CJK SC"/>
        <family val="2"/>
      </rPr>
      <t>冷盐水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冰盐水</t>
    </r>
  </si>
  <si>
    <r>
      <rPr>
        <sz val="10"/>
        <rFont val="微软雅黑"/>
        <family val="2"/>
        <charset val="134"/>
      </rPr>
      <t>HV_1014</t>
    </r>
    <r>
      <rPr>
        <sz val="10"/>
        <rFont val="Noto Sans CJK SC"/>
        <family val="2"/>
      </rPr>
      <t>分阀</t>
    </r>
  </si>
  <si>
    <t>R0950</t>
  </si>
  <si>
    <t>:MS_Brine</t>
  </si>
  <si>
    <t>R0951</t>
  </si>
  <si>
    <r>
      <rPr>
        <sz val="10"/>
        <rFont val="微软雅黑"/>
        <family val="2"/>
        <charset val="134"/>
      </rPr>
      <t>BA/</t>
    </r>
    <r>
      <rPr>
        <sz val="10"/>
        <rFont val="Noto Sans CJK SC"/>
        <family val="2"/>
      </rPr>
      <t>水分层</t>
    </r>
  </si>
  <si>
    <t>R0952</t>
  </si>
  <si>
    <t>出料过程</t>
  </si>
  <si>
    <t>R0953</t>
  </si>
  <si>
    <t>重相泵</t>
  </si>
  <si>
    <t>R0954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</si>
  <si>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（水解进料）</t>
    </r>
  </si>
  <si>
    <r>
      <rPr>
        <sz val="10"/>
        <rFont val="Noto Sans CJK SC"/>
        <family val="2"/>
      </rPr>
      <t>去水解</t>
    </r>
    <r>
      <rPr>
        <sz val="10"/>
        <rFont val="微软雅黑"/>
        <family val="2"/>
        <charset val="134"/>
      </rPr>
      <t>(FT_1327)</t>
    </r>
  </si>
  <si>
    <t>R0955</t>
  </si>
  <si>
    <t>:RBStorageHydro</t>
  </si>
  <si>
    <t>热水循环</t>
  </si>
  <si>
    <t>R0956</t>
  </si>
  <si>
    <t>薄膜蒸发真空源</t>
  </si>
  <si>
    <t>R0957</t>
  </si>
  <si>
    <t>加热介质温度升高物料出口温度升高</t>
  </si>
  <si>
    <t>R0958</t>
  </si>
  <si>
    <r>
      <rPr>
        <sz val="10"/>
        <rFont val="微软雅黑"/>
        <family val="2"/>
        <charset val="134"/>
      </rPr>
      <t>TI_1310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TI_1311A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TI_1311B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TI_1311C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TI_1311D</t>
    </r>
  </si>
  <si>
    <t>真空度越高（压力越低）沸点越低</t>
  </si>
  <si>
    <t>R0959</t>
  </si>
  <si>
    <r>
      <rPr>
        <sz val="10"/>
        <rFont val="微软雅黑"/>
        <family val="2"/>
        <charset val="134"/>
      </rPr>
      <t>PT_1026A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PT_1026B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PT_1026C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PT_1026D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TI_1311A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TI_1311B…</t>
    </r>
  </si>
  <si>
    <t>温度高脱溶更彻底</t>
  </si>
  <si>
    <t>R0960</t>
  </si>
  <si>
    <t>温度过高青霉素降解</t>
  </si>
  <si>
    <t>R0961</t>
  </si>
  <si>
    <t>R0962</t>
  </si>
  <si>
    <t>R0963</t>
  </si>
  <si>
    <t>R0964</t>
  </si>
  <si>
    <t>溶媒单耗</t>
  </si>
  <si>
    <r>
      <rPr>
        <sz val="10"/>
        <rFont val="Noto Sans CJK SC"/>
        <family val="2"/>
      </rPr>
      <t>冷凝不彻底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随真空尾气损失</t>
    </r>
  </si>
  <si>
    <t>R0965</t>
  </si>
  <si>
    <t>:BKPI_302</t>
  </si>
  <si>
    <t>固定化酶活力稳定性</t>
  </si>
  <si>
    <t>有机溶剂残留使酰化酶变性失活（跨工段关键耦合）</t>
  </si>
  <si>
    <t>跨工段耦合</t>
  </si>
  <si>
    <t>R0966</t>
  </si>
  <si>
    <t>:Attr_268</t>
  </si>
  <si>
    <t>R0967</t>
  </si>
  <si>
    <t>水解酶解转化率</t>
  </si>
  <si>
    <t>底物浓度与纯度影响投料与转化</t>
  </si>
  <si>
    <t>R0968</t>
  </si>
  <si>
    <t>:QKPI_274</t>
  </si>
  <si>
    <t>R0969</t>
  </si>
  <si>
    <t>水解辅料配制</t>
  </si>
  <si>
    <r>
      <rPr>
        <sz val="10"/>
        <rFont val="Noto Sans CJK SC"/>
        <family val="2"/>
      </rPr>
      <t>衔接物料：硼酸缓冲液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水解氨水。硼酸缓冲罐与氨水计量罐向水解罐供料</t>
    </r>
  </si>
  <si>
    <t>S10</t>
  </si>
  <si>
    <t>R0970</t>
  </si>
  <si>
    <t>:Area_S10_HydrolysisAuxPrep</t>
  </si>
  <si>
    <t>萃取与反萃（苯乙酸分离）</t>
  </si>
  <si>
    <t>衔接物料：稀碱（液碱）。萃取稀碱配制罐→反萃取</t>
  </si>
  <si>
    <t>R0971</t>
  </si>
  <si>
    <t>:Area_S12_PAAExtraction</t>
  </si>
  <si>
    <t>衔接物料：抽提氨水。抽提氨水缓冲罐→去抽提</t>
  </si>
  <si>
    <t>R0972</t>
  </si>
  <si>
    <t>水解软水罐</t>
  </si>
  <si>
    <t>水解辅料配制包含储罐“水解软水罐”</t>
  </si>
  <si>
    <t>R0973</t>
  </si>
  <si>
    <t>:HydroSoftWaterTank</t>
  </si>
  <si>
    <t>水解配制</t>
  </si>
  <si>
    <r>
      <rPr>
        <sz val="10"/>
        <rFont val="Noto Sans CJK SC"/>
        <family val="2"/>
      </rPr>
      <t>水解软水罐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</si>
  <si>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t>水解软水罐配置液位计</t>
  </si>
  <si>
    <t>R0974</t>
  </si>
  <si>
    <t>:HydroSoftWaterTank_P01</t>
  </si>
  <si>
    <r>
      <rPr>
        <sz val="10"/>
        <rFont val="Noto Sans CJK SC"/>
        <family val="2"/>
      </rPr>
      <t>萃取稀碱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液碱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配制罐</t>
    </r>
  </si>
  <si>
    <r>
      <rPr>
        <sz val="10"/>
        <rFont val="Noto Sans CJK SC"/>
        <family val="2"/>
      </rPr>
      <t>水解辅料配制包含配制罐“萃取稀碱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液碱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配制罐”</t>
    </r>
  </si>
  <si>
    <t>R0975</t>
  </si>
  <si>
    <t>:CausticPrepTanks</t>
  </si>
  <si>
    <r>
      <rPr>
        <sz val="10"/>
        <rFont val="Noto Sans CJK SC"/>
        <family val="2"/>
      </rPr>
      <t>液碱配制罐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</si>
  <si>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萃取稀碱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液碱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配制罐的并联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</si>
  <si>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R0976</t>
  </si>
  <si>
    <t>:CausticPrepTanks_M01</t>
  </si>
  <si>
    <r>
      <rPr>
        <sz val="10"/>
        <rFont val="Noto Sans CJK SC"/>
        <family val="2"/>
      </rPr>
      <t>液碱配制罐</t>
    </r>
    <r>
      <rPr>
        <sz val="10"/>
        <rFont val="微软雅黑"/>
        <family val="2"/>
        <charset val="134"/>
      </rPr>
      <t>B</t>
    </r>
  </si>
  <si>
    <t>R0977</t>
  </si>
  <si>
    <t>:CausticPrepTanks_M02</t>
  </si>
  <si>
    <r>
      <rPr>
        <sz val="10"/>
        <rFont val="Noto Sans CJK SC"/>
        <family val="2"/>
      </rPr>
      <t>萃取稀碱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液碱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配制罐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</si>
  <si>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r>
      <rPr>
        <sz val="10"/>
        <rFont val="Noto Sans CJK SC"/>
        <family val="2"/>
      </rPr>
      <t>萃取稀碱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液碱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配制罐配置液位计</t>
    </r>
  </si>
  <si>
    <t>R0978</t>
  </si>
  <si>
    <t>:CausticPrepTanks_P01</t>
  </si>
  <si>
    <t>浓氨计量罐</t>
  </si>
  <si>
    <t>水解辅料配制包含计量罐“浓氨计量罐”</t>
  </si>
  <si>
    <t>R0979</t>
  </si>
  <si>
    <t>:ConcAmmoniaMeter</t>
  </si>
  <si>
    <r>
      <rPr>
        <sz val="10"/>
        <rFont val="Noto Sans CJK SC"/>
        <family val="2"/>
      </rPr>
      <t>浓氨计量罐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</si>
  <si>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t>浓氨计量罐配置液位计</t>
  </si>
  <si>
    <t>R0980</t>
  </si>
  <si>
    <t>:ConcAmmoniaMeter_P01</t>
  </si>
  <si>
    <t>氨水配制罐</t>
  </si>
  <si>
    <t>水解辅料配制包含搅拌配制罐“氨水配制罐”</t>
  </si>
  <si>
    <t>R0981</t>
  </si>
  <si>
    <t>:AmmoniaPrepTank</t>
  </si>
  <si>
    <r>
      <rPr>
        <sz val="10"/>
        <rFont val="Noto Sans CJK SC"/>
        <family val="2"/>
      </rPr>
      <t>氨水配制罐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搅拌器</t>
    </r>
  </si>
  <si>
    <t>氨水配制罐配置搅拌器</t>
  </si>
  <si>
    <t>R0982</t>
  </si>
  <si>
    <t>:AmmoniaPrepTank_P01</t>
  </si>
  <si>
    <r>
      <rPr>
        <sz val="10"/>
        <rFont val="Noto Sans CJK SC"/>
        <family val="2"/>
      </rPr>
      <t>氨水配制罐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</si>
  <si>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t>氨水配制罐配置液位计</t>
  </si>
  <si>
    <t>R0983</t>
  </si>
  <si>
    <t>:AmmoniaPrepTank_P02</t>
  </si>
  <si>
    <r>
      <rPr>
        <sz val="10"/>
        <rFont val="Noto Sans CJK SC"/>
        <family val="2"/>
      </rPr>
      <t>氨水配制罐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软水流量计</t>
    </r>
    <r>
      <rPr>
        <sz val="10"/>
        <rFont val="微软雅黑"/>
        <family val="2"/>
        <charset val="134"/>
      </rPr>
      <t>SJ_NH3FLOW</t>
    </r>
  </si>
  <si>
    <r>
      <rPr>
        <sz val="10"/>
        <rFont val="Noto Sans CJK SC"/>
        <family val="2"/>
      </rPr>
      <t>氨水配制罐配置软水流量计</t>
    </r>
    <r>
      <rPr>
        <sz val="10"/>
        <rFont val="微软雅黑"/>
        <family val="2"/>
        <charset val="134"/>
      </rPr>
      <t>SJ_NH3FLOW</t>
    </r>
  </si>
  <si>
    <t>R0984</t>
  </si>
  <si>
    <t>:AmmoniaPrepTank_P03</t>
  </si>
  <si>
    <r>
      <rPr>
        <sz val="10"/>
        <rFont val="Noto Sans CJK SC"/>
        <family val="2"/>
      </rPr>
      <t>水解氨水缓冲罐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稀氨水缓冲罐</t>
    </r>
  </si>
  <si>
    <r>
      <rPr>
        <sz val="10"/>
        <rFont val="Noto Sans CJK SC"/>
        <family val="2"/>
      </rPr>
      <t>水解辅料配制包含储罐“水解氨水缓冲罐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稀氨水缓冲罐”</t>
    </r>
  </si>
  <si>
    <t>R0985</t>
  </si>
  <si>
    <t>:HydroAmmoniaBuffer</t>
  </si>
  <si>
    <r>
      <rPr>
        <sz val="10"/>
        <rFont val="Noto Sans CJK SC"/>
        <family val="2"/>
      </rPr>
      <t>水解氨水缓冲罐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稀氨水缓冲罐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</si>
  <si>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r>
      <rPr>
        <sz val="10"/>
        <rFont val="Noto Sans CJK SC"/>
        <family val="2"/>
      </rPr>
      <t>水解氨水缓冲罐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稀氨水缓冲罐配置液位计</t>
    </r>
  </si>
  <si>
    <t>R0986</t>
  </si>
  <si>
    <t>:HydroAmmoniaBuffer_P01</t>
  </si>
  <si>
    <r>
      <rPr>
        <sz val="10"/>
        <rFont val="Noto Sans CJK SC"/>
        <family val="2"/>
      </rPr>
      <t>水解辅料配制包含储罐“抽提氨水缓冲罐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氨水溢流罐”</t>
    </r>
  </si>
  <si>
    <t>R0987</t>
  </si>
  <si>
    <r>
      <rPr>
        <sz val="10"/>
        <rFont val="Noto Sans CJK SC"/>
        <family val="2"/>
      </rPr>
      <t>抽提氨水缓冲罐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氨水溢流罐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</si>
  <si>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r>
      <rPr>
        <sz val="10"/>
        <rFont val="Noto Sans CJK SC"/>
        <family val="2"/>
      </rPr>
      <t>抽提氨水缓冲罐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氨水溢流罐配置液位计</t>
    </r>
  </si>
  <si>
    <t>R0988</t>
  </si>
  <si>
    <t>:ExtAmmoniaBuffer_P01</t>
  </si>
  <si>
    <r>
      <rPr>
        <sz val="10"/>
        <rFont val="Noto Sans CJK SC"/>
        <family val="2"/>
      </rPr>
      <t>硼酸配制罐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真空上料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</si>
  <si>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水解辅料配制包含搅拌配制罐“硼酸配制罐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真空上料</t>
    </r>
    <r>
      <rPr>
        <sz val="10"/>
        <rFont val="微软雅黑"/>
        <family val="2"/>
        <charset val="134"/>
      </rPr>
      <t>)”</t>
    </r>
  </si>
  <si>
    <t>R0989</t>
  </si>
  <si>
    <t>:BoricAcidPrep</t>
  </si>
  <si>
    <r>
      <rPr>
        <sz val="10"/>
        <rFont val="Noto Sans CJK SC"/>
        <family val="2"/>
      </rPr>
      <t>硼酸配制罐</t>
    </r>
    <r>
      <rPr>
        <sz val="10"/>
        <rFont val="微软雅黑"/>
        <family val="2"/>
        <charset val="134"/>
      </rPr>
      <t>1</t>
    </r>
    <r>
      <rPr>
        <sz val="10"/>
        <rFont val="Noto Sans CJK SC"/>
        <family val="2"/>
      </rPr>
      <t>号</t>
    </r>
  </si>
  <si>
    <r>
      <rPr>
        <sz val="10"/>
        <rFont val="Noto Sans CJK SC"/>
        <family val="2"/>
      </rPr>
      <t>硼酸配制罐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真空上料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</si>
  <si>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R0990</t>
  </si>
  <si>
    <t>:BoricAcidPrep_M01</t>
  </si>
  <si>
    <r>
      <rPr>
        <sz val="10"/>
        <rFont val="Noto Sans CJK SC"/>
        <family val="2"/>
      </rPr>
      <t>硼酸配制罐</t>
    </r>
    <r>
      <rPr>
        <sz val="10"/>
        <rFont val="微软雅黑"/>
        <family val="2"/>
        <charset val="134"/>
      </rPr>
      <t>2</t>
    </r>
    <r>
      <rPr>
        <sz val="10"/>
        <rFont val="Noto Sans CJK SC"/>
        <family val="2"/>
      </rPr>
      <t>号</t>
    </r>
  </si>
  <si>
    <t>R0991</t>
  </si>
  <si>
    <t>:BoricAcidPrep_M02</t>
  </si>
  <si>
    <r>
      <rPr>
        <sz val="10"/>
        <rFont val="Noto Sans CJK SC"/>
        <family val="2"/>
      </rPr>
      <t>硼酸配制罐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真空上料</t>
    </r>
    <r>
      <rPr>
        <sz val="10"/>
        <rFont val="微软雅黑"/>
        <family val="2"/>
        <charset val="134"/>
      </rPr>
      <t>)·</t>
    </r>
    <r>
      <rPr>
        <sz val="10"/>
        <rFont val="Noto Sans CJK SC"/>
        <family val="2"/>
      </rPr>
      <t>真空上料料仓</t>
    </r>
  </si>
  <si>
    <r>
      <rPr>
        <sz val="10"/>
        <rFont val="Noto Sans CJK SC"/>
        <family val="2"/>
      </rPr>
      <t>硼酸配制罐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真空上料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配置真空上料料仓</t>
    </r>
  </si>
  <si>
    <t>R0992</t>
  </si>
  <si>
    <t>:BoricAcidPrep_P01</t>
  </si>
  <si>
    <r>
      <rPr>
        <sz val="10"/>
        <rFont val="Noto Sans CJK SC"/>
        <family val="2"/>
      </rPr>
      <t>硼酸配制罐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真空上料</t>
    </r>
    <r>
      <rPr>
        <sz val="10"/>
        <rFont val="微软雅黑"/>
        <family val="2"/>
        <charset val="134"/>
      </rPr>
      <t>)·</t>
    </r>
    <r>
      <rPr>
        <sz val="10"/>
        <rFont val="Noto Sans CJK SC"/>
        <family val="2"/>
      </rPr>
      <t>搅拌器</t>
    </r>
  </si>
  <si>
    <r>
      <rPr>
        <sz val="10"/>
        <rFont val="Noto Sans CJK SC"/>
        <family val="2"/>
      </rPr>
      <t>硼酸配制罐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真空上料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配置搅拌器</t>
    </r>
  </si>
  <si>
    <t>R0993</t>
  </si>
  <si>
    <t>:BoricAcidPrep_P02</t>
  </si>
  <si>
    <r>
      <rPr>
        <sz val="10"/>
        <rFont val="Noto Sans CJK SC"/>
        <family val="2"/>
      </rPr>
      <t>硼酸配制罐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真空上料</t>
    </r>
    <r>
      <rPr>
        <sz val="10"/>
        <rFont val="微软雅黑"/>
        <family val="2"/>
        <charset val="134"/>
      </rPr>
      <t>)·</t>
    </r>
    <r>
      <rPr>
        <sz val="10"/>
        <rFont val="Noto Sans CJK SC"/>
        <family val="2"/>
      </rPr>
      <t>温度计</t>
    </r>
  </si>
  <si>
    <r>
      <rPr>
        <sz val="10"/>
        <rFont val="Noto Sans CJK SC"/>
        <family val="2"/>
      </rPr>
      <t>硼酸配制罐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真空上料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配置温度计</t>
    </r>
  </si>
  <si>
    <t>R0994</t>
  </si>
  <si>
    <t>:BoricAcidPrep_P03</t>
  </si>
  <si>
    <r>
      <rPr>
        <sz val="10"/>
        <rFont val="Noto Sans CJK SC"/>
        <family val="2"/>
      </rPr>
      <t>硼酸罐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硼酸缓冲罐</t>
    </r>
  </si>
  <si>
    <r>
      <rPr>
        <sz val="10"/>
        <rFont val="Noto Sans CJK SC"/>
        <family val="2"/>
      </rPr>
      <t>水解辅料配制包含储罐“硼酸罐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硼酸缓冲罐”</t>
    </r>
  </si>
  <si>
    <t>R0995</t>
  </si>
  <si>
    <t>:BoricAcidTanks</t>
  </si>
  <si>
    <r>
      <rPr>
        <sz val="10"/>
        <rFont val="Noto Sans CJK SC"/>
        <family val="2"/>
      </rPr>
      <t>硼酸罐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</si>
  <si>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硼酸罐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硼酸缓冲罐的并联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</si>
  <si>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R0996</t>
  </si>
  <si>
    <t>:BoricAcidTanks_M01</t>
  </si>
  <si>
    <r>
      <rPr>
        <sz val="10"/>
        <rFont val="Noto Sans CJK SC"/>
        <family val="2"/>
      </rPr>
      <t>硼酸罐</t>
    </r>
    <r>
      <rPr>
        <sz val="10"/>
        <rFont val="微软雅黑"/>
        <family val="2"/>
        <charset val="134"/>
      </rPr>
      <t>B</t>
    </r>
  </si>
  <si>
    <t>R0997</t>
  </si>
  <si>
    <t>:BoricAcidTanks_M02</t>
  </si>
  <si>
    <r>
      <rPr>
        <sz val="10"/>
        <rFont val="Noto Sans CJK SC"/>
        <family val="2"/>
      </rPr>
      <t>硼酸罐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硼酸缓冲罐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</si>
  <si>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r>
      <rPr>
        <sz val="10"/>
        <rFont val="Noto Sans CJK SC"/>
        <family val="2"/>
      </rPr>
      <t>硼酸罐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硼酸缓冲罐配置液位计</t>
    </r>
  </si>
  <si>
    <t>R0998</t>
  </si>
  <si>
    <t>:BoricAcidTanks_P01</t>
  </si>
  <si>
    <r>
      <rPr>
        <sz val="10"/>
        <rFont val="Noto Sans CJK SC"/>
        <family val="2"/>
      </rPr>
      <t>硼酸罐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硼酸缓冲罐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温度计</t>
    </r>
    <r>
      <rPr>
        <sz val="10"/>
        <rFont val="微软雅黑"/>
        <family val="2"/>
        <charset val="134"/>
      </rPr>
      <t>TE_9004</t>
    </r>
  </si>
  <si>
    <r>
      <rPr>
        <sz val="10"/>
        <rFont val="Noto Sans CJK SC"/>
        <family val="2"/>
      </rPr>
      <t>硼酸罐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硼酸缓冲罐配置温度计</t>
    </r>
    <r>
      <rPr>
        <sz val="10"/>
        <rFont val="微软雅黑"/>
        <family val="2"/>
        <charset val="134"/>
      </rPr>
      <t>TE_9004</t>
    </r>
  </si>
  <si>
    <t>R0999</t>
  </si>
  <si>
    <t>:BoricAcidTanks_P02</t>
  </si>
  <si>
    <t>水解热水罐</t>
  </si>
  <si>
    <t>水解辅料配制包含储罐“水解热水罐”</t>
  </si>
  <si>
    <t>R1000</t>
  </si>
  <si>
    <t>:HydroHotWaterTank</t>
  </si>
  <si>
    <r>
      <rPr>
        <sz val="10"/>
        <rFont val="Noto Sans CJK SC"/>
        <family val="2"/>
      </rPr>
      <t>水解热水罐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蒸汽阀</t>
    </r>
  </si>
  <si>
    <t>水解热水罐配置蒸汽阀</t>
  </si>
  <si>
    <t>R1001</t>
  </si>
  <si>
    <t>:HydroHotWaterTank_P01</t>
  </si>
  <si>
    <r>
      <rPr>
        <sz val="10"/>
        <rFont val="Noto Sans CJK SC"/>
        <family val="2"/>
      </rPr>
      <t>水解热水罐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温度计</t>
    </r>
  </si>
  <si>
    <t>水解热水罐配置温度计</t>
  </si>
  <si>
    <t>R1002</t>
  </si>
  <si>
    <t>:HydroHotWaterTank_P02</t>
  </si>
  <si>
    <t>水解软水罐液位</t>
  </si>
  <si>
    <t>水解软水罐的水解软水罐液位</t>
  </si>
  <si>
    <t>R1003</t>
  </si>
  <si>
    <t>:Attr_109</t>
  </si>
  <si>
    <t>LT_1316</t>
  </si>
  <si>
    <t>液碱配制罐液位</t>
  </si>
  <si>
    <r>
      <rPr>
        <sz val="10"/>
        <rFont val="Noto Sans CJK SC"/>
        <family val="2"/>
      </rPr>
      <t>萃取稀碱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液碱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配制罐的液碱配制罐液位</t>
    </r>
  </si>
  <si>
    <t>R1004</t>
  </si>
  <si>
    <t>:Attr_110</t>
  </si>
  <si>
    <r>
      <rPr>
        <sz val="10"/>
        <rFont val="微软雅黑"/>
        <family val="2"/>
        <charset val="134"/>
      </rPr>
      <t>LT_1307A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LT_1307B</t>
    </r>
  </si>
  <si>
    <t>浓碱去萃取浓碱罐流量</t>
  </si>
  <si>
    <r>
      <rPr>
        <sz val="10"/>
        <rFont val="Noto Sans CJK SC"/>
        <family val="2"/>
      </rPr>
      <t>萃取稀碱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液碱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配制罐的浓碱去萃取浓碱罐流量</t>
    </r>
  </si>
  <si>
    <t>R1005</t>
  </si>
  <si>
    <t>:Attr_111</t>
  </si>
  <si>
    <t>FT_13NJ</t>
  </si>
  <si>
    <t>浓氨计量罐液位</t>
  </si>
  <si>
    <t>浓氨计量罐的浓氨计量罐液位</t>
  </si>
  <si>
    <t>R1006</t>
  </si>
  <si>
    <t>:Attr_112</t>
  </si>
  <si>
    <t>LT_1309</t>
  </si>
  <si>
    <t>氨水配制罐液位</t>
  </si>
  <si>
    <t>氨水配制罐的氨水配制罐液位</t>
  </si>
  <si>
    <t>R1007</t>
  </si>
  <si>
    <t>:Attr_113</t>
  </si>
  <si>
    <t>LT_1308</t>
  </si>
  <si>
    <t>氨水配制软水流量</t>
  </si>
  <si>
    <t>氨水配制罐的氨水配制软水流量</t>
  </si>
  <si>
    <t>R1008</t>
  </si>
  <si>
    <t>:Attr_114</t>
  </si>
  <si>
    <t>SJ_NH3FLOW</t>
  </si>
  <si>
    <t>氨水缓冲罐液位</t>
  </si>
  <si>
    <r>
      <rPr>
        <sz val="10"/>
        <rFont val="Noto Sans CJK SC"/>
        <family val="2"/>
      </rPr>
      <t>水解氨水缓冲罐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稀氨水缓冲罐的氨水缓冲罐液位</t>
    </r>
  </si>
  <si>
    <t>R1009</t>
  </si>
  <si>
    <t>:Attr_115</t>
  </si>
  <si>
    <t>LT_1310</t>
  </si>
  <si>
    <t>氨水溢流罐液位</t>
  </si>
  <si>
    <r>
      <rPr>
        <sz val="10"/>
        <rFont val="Noto Sans CJK SC"/>
        <family val="2"/>
      </rPr>
      <t>抽提氨水缓冲罐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氨水溢流罐的氨水溢流罐液位</t>
    </r>
  </si>
  <si>
    <t>R1010</t>
  </si>
  <si>
    <t>:Attr_116</t>
  </si>
  <si>
    <t>LT_1311</t>
  </si>
  <si>
    <t>硼酸配制出料温度</t>
  </si>
  <si>
    <r>
      <rPr>
        <sz val="10"/>
        <rFont val="Noto Sans CJK SC"/>
        <family val="2"/>
      </rPr>
      <t>硼酸配制罐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真空上料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的硼酸配制出料温度</t>
    </r>
  </si>
  <si>
    <t>R1011</t>
  </si>
  <si>
    <t>:Attr_117</t>
  </si>
  <si>
    <t>TI_1302</t>
  </si>
  <si>
    <t>硼酸罐液位</t>
  </si>
  <si>
    <r>
      <rPr>
        <sz val="10"/>
        <rFont val="Noto Sans CJK SC"/>
        <family val="2"/>
      </rPr>
      <t>硼酸罐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硼酸缓冲罐的硼酸罐液位</t>
    </r>
  </si>
  <si>
    <t>R1012</t>
  </si>
  <si>
    <t>:Attr_118</t>
  </si>
  <si>
    <r>
      <rPr>
        <sz val="10"/>
        <rFont val="微软雅黑"/>
        <family val="2"/>
        <charset val="134"/>
      </rPr>
      <t>LT_1304A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LT_1304B</t>
    </r>
  </si>
  <si>
    <t>硼酸溶液温度</t>
  </si>
  <si>
    <r>
      <rPr>
        <sz val="10"/>
        <rFont val="Noto Sans CJK SC"/>
        <family val="2"/>
      </rPr>
      <t>硼酸罐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硼酸缓冲罐的硼酸溶液温度</t>
    </r>
  </si>
  <si>
    <t>R1013</t>
  </si>
  <si>
    <t>:Attr_119</t>
  </si>
  <si>
    <t>TE_9004</t>
  </si>
  <si>
    <t>水解热水罐温度</t>
  </si>
  <si>
    <t>水解热水罐的水解热水罐温度</t>
  </si>
  <si>
    <t>R1014</t>
  </si>
  <si>
    <t>:Attr_120</t>
  </si>
  <si>
    <t>TI_1304</t>
  </si>
  <si>
    <t>硼酸缓冲容量</t>
  </si>
  <si>
    <r>
      <rPr>
        <sz val="10"/>
        <rFont val="Noto Sans CJK SC"/>
        <family val="2"/>
      </rPr>
      <t>硼酸罐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硼酸缓冲罐的硼酸缓冲容量（机理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</si>
  <si>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R1015</t>
  </si>
  <si>
    <t>:Attr_267</t>
  </si>
  <si>
    <t>硼酸缓冲液</t>
  </si>
  <si>
    <r>
      <rPr>
        <sz val="10"/>
        <rFont val="Noto Sans CJK SC"/>
        <family val="2"/>
      </rPr>
      <t>硼酸缓冲液的硼酸溶液温度（流股属性，测点位于管线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</si>
  <si>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R1016</t>
  </si>
  <si>
    <t>:MS_Borate</t>
  </si>
  <si>
    <t>原有保留</t>
  </si>
  <si>
    <t>硼酸进料流量</t>
  </si>
  <si>
    <r>
      <rPr>
        <sz val="10"/>
        <rFont val="Noto Sans CJK SC"/>
        <family val="2"/>
      </rPr>
      <t>硼酸缓冲液的硼酸进料流量（流股属性，测点位于管线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</si>
  <si>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R1017</t>
  </si>
  <si>
    <t>:Attr_124</t>
  </si>
  <si>
    <r>
      <rPr>
        <sz val="10"/>
        <rFont val="微软雅黑"/>
        <family val="2"/>
        <charset val="134"/>
      </rPr>
      <t>FT_1301A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FT_1301B</t>
    </r>
  </si>
  <si>
    <t>中和氨水</t>
  </si>
  <si>
    <t>氨水累计加量</t>
  </si>
  <si>
    <r>
      <rPr>
        <sz val="10"/>
        <rFont val="Noto Sans CJK SC"/>
        <family val="2"/>
      </rPr>
      <t>中和氨水的氨水累计加量（流股属性，测点位于管线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</si>
  <si>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R1018</t>
  </si>
  <si>
    <t>:MS_Ammonia_Hydro</t>
  </si>
  <si>
    <t>:Attr_272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</si>
  <si>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原点描述：软水缓冲罐液位</t>
    </r>
  </si>
  <si>
    <t>R1019</t>
  </si>
  <si>
    <t>:LT_1316</t>
  </si>
  <si>
    <t>LT_1307A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</si>
  <si>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原点描述：液碱配制罐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液位</t>
    </r>
  </si>
  <si>
    <t>R1020</t>
  </si>
  <si>
    <t>:LT_1307A</t>
  </si>
  <si>
    <t>LT_1307B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</si>
  <si>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原点描述：液碱配制罐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液位</t>
    </r>
  </si>
  <si>
    <t>R1021</t>
  </si>
  <si>
    <t>:LT_1307B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</si>
  <si>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原点描述：浓碱储罐输送泵后去三楼萃取浓碱罐流量</t>
    </r>
  </si>
  <si>
    <t>R1022</t>
  </si>
  <si>
    <t>:FT_13NJ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</si>
  <si>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原点描述：浓氨计量罐液位</t>
    </r>
  </si>
  <si>
    <t>R1023</t>
  </si>
  <si>
    <t>:LT_1309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</si>
  <si>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原点描述：氨水配制罐液位</t>
    </r>
  </si>
  <si>
    <t>R1024</t>
  </si>
  <si>
    <t>:LT_1308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</si>
  <si>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原点描述：水解氨水配制软水流量</t>
    </r>
  </si>
  <si>
    <t>R1025</t>
  </si>
  <si>
    <t>:SJ_NH3FLOW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</si>
  <si>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原点描述：氨水缓冲罐液位</t>
    </r>
  </si>
  <si>
    <t>R1026</t>
  </si>
  <si>
    <t>:LT_1310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</si>
  <si>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原点描述：氨水溢流罐液位</t>
    </r>
  </si>
  <si>
    <t>R1027</t>
  </si>
  <si>
    <t>:LT_1311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</si>
  <si>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原点描述：硼酸配制出料温度</t>
    </r>
  </si>
  <si>
    <t>R1028</t>
  </si>
  <si>
    <t>:TI_1302</t>
  </si>
  <si>
    <t>LT_1304A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</si>
  <si>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原点描述：硼酸罐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液位</t>
    </r>
  </si>
  <si>
    <t>R1029</t>
  </si>
  <si>
    <t>:LT_1304A</t>
  </si>
  <si>
    <t>LT_1304B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</si>
  <si>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原点描述：硼酸罐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液位</t>
    </r>
  </si>
  <si>
    <t>R1030</t>
  </si>
  <si>
    <t>:LT_1304B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</si>
  <si>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原点描述：硼酸温度</t>
    </r>
  </si>
  <si>
    <t>R1031</t>
  </si>
  <si>
    <t>:TE_9004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</si>
  <si>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原点描述：热水罐温度</t>
    </r>
  </si>
  <si>
    <t>R1032</t>
  </si>
  <si>
    <t>:TI_1304</t>
  </si>
  <si>
    <t>软水来至一楼</t>
  </si>
  <si>
    <t>R1033</t>
  </si>
  <si>
    <t>R1034</t>
  </si>
  <si>
    <r>
      <rPr>
        <sz val="10"/>
        <rFont val="Noto Sans CJK SC"/>
        <family val="2"/>
      </rPr>
      <t>浓碱去三楼萃取浓碱罐</t>
    </r>
    <r>
      <rPr>
        <sz val="10"/>
        <rFont val="微软雅黑"/>
        <family val="2"/>
        <charset val="134"/>
      </rPr>
      <t>(FT_13NJ)</t>
    </r>
  </si>
  <si>
    <t>R1035</t>
  </si>
  <si>
    <t>去反萃取</t>
  </si>
  <si>
    <t>R1036</t>
  </si>
  <si>
    <t>R1037</t>
  </si>
  <si>
    <t>R1038</t>
  </si>
  <si>
    <t>R1039</t>
  </si>
  <si>
    <t>去水解</t>
  </si>
  <si>
    <t>R1040</t>
  </si>
  <si>
    <t>去抽提</t>
  </si>
  <si>
    <t>R1041</t>
  </si>
  <si>
    <t>水解氨水计量罐组</t>
  </si>
  <si>
    <t>R1042</t>
  </si>
  <si>
    <t>:AmmoniaMeterTanks</t>
  </si>
  <si>
    <t>热水罐至硼酸罐</t>
  </si>
  <si>
    <t>R1043</t>
  </si>
  <si>
    <t>R1044</t>
  </si>
  <si>
    <t>R1045</t>
  </si>
  <si>
    <t>R1046</t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</si>
  <si>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</t>
    </r>
  </si>
  <si>
    <r>
      <rPr>
        <sz val="10"/>
        <rFont val="Noto Sans CJK SC"/>
        <family val="2"/>
      </rPr>
      <t>硼酸进水解罐</t>
    </r>
    <r>
      <rPr>
        <sz val="10"/>
        <rFont val="微软雅黑"/>
        <family val="2"/>
        <charset val="134"/>
      </rPr>
      <t>(FT_1301A/B)</t>
    </r>
  </si>
  <si>
    <t>R1047</t>
  </si>
  <si>
    <t>:HydrolysisReactorGroup</t>
  </si>
  <si>
    <t>釜内反应温度</t>
  </si>
  <si>
    <t>缓冲液温度异常波动打破反应热平衡</t>
  </si>
  <si>
    <t>R1048</t>
  </si>
  <si>
    <t>:Attr_125</t>
  </si>
  <si>
    <r>
      <rPr>
        <sz val="10"/>
        <rFont val="微软雅黑"/>
        <family val="2"/>
        <charset val="134"/>
      </rPr>
      <t>TE_9004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TI_1301A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TI_1301B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TI_1301C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TI_1301D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TI_1301E…</t>
    </r>
  </si>
  <si>
    <r>
      <rPr>
        <sz val="10"/>
        <rFont val="Noto Sans CJK SC"/>
        <family val="2"/>
      </rPr>
      <t>反应体系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</si>
  <si>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缓冲容量足则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波动小（抑制波动幅度）</t>
    </r>
  </si>
  <si>
    <t>R1049</t>
  </si>
  <si>
    <t>:Attr_126</t>
  </si>
  <si>
    <r>
      <rPr>
        <sz val="10"/>
        <rFont val="微软雅黑"/>
        <family val="2"/>
        <charset val="134"/>
      </rPr>
      <t>AT_1301A1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AT_1301A2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AT_1301B1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AT_1301B2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AT_1301C1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AT_1301C2…</t>
    </r>
  </si>
  <si>
    <t>R1050</t>
  </si>
  <si>
    <r>
      <rPr>
        <sz val="10"/>
        <rFont val="微软雅黑"/>
        <family val="2"/>
        <charset val="134"/>
      </rPr>
      <t>TI_1304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TE_9004</t>
    </r>
  </si>
  <si>
    <t>衔接物料：水解液。水解液缓冲罐→换热→萃取</t>
  </si>
  <si>
    <t>S11</t>
  </si>
  <si>
    <t>R1051</t>
  </si>
  <si>
    <r>
      <rPr>
        <sz val="10"/>
        <rFont val="Noto Sans CJK SC"/>
        <family val="2"/>
      </rPr>
      <t>酶法水解包含固定化酶反应罐“水解反应釜组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A–K)”</t>
    </r>
  </si>
  <si>
    <t>R1052</t>
  </si>
  <si>
    <r>
      <rPr>
        <sz val="10"/>
        <rFont val="Noto Sans CJK SC"/>
        <family val="2"/>
      </rPr>
      <t>水解</t>
    </r>
    <r>
      <rPr>
        <sz val="10"/>
        <rFont val="微软雅黑"/>
        <family val="2"/>
        <charset val="134"/>
      </rPr>
      <t xml:space="preserve">A-F / </t>
    </r>
    <r>
      <rPr>
        <sz val="10"/>
        <rFont val="Noto Sans CJK SC"/>
        <family val="2"/>
      </rPr>
      <t>水解</t>
    </r>
    <r>
      <rPr>
        <sz val="10"/>
        <rFont val="微软雅黑"/>
        <family val="2"/>
        <charset val="134"/>
      </rPr>
      <t>G-K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</si>
  <si>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</si>
  <si>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</t>
    </r>
    <r>
      <rPr>
        <sz val="10"/>
        <rFont val="Noto Sans CJK SC"/>
        <family val="2"/>
      </rPr>
      <t>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</si>
  <si>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R1053</t>
  </si>
  <si>
    <t>:HydrolysisReactorGroup_M01</t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</si>
  <si>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B</t>
    </r>
  </si>
  <si>
    <t>R1054</t>
  </si>
  <si>
    <t>:HydrolysisReactorGroup_M02</t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</si>
  <si>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C</t>
    </r>
  </si>
  <si>
    <t>R1055</t>
  </si>
  <si>
    <t>:HydrolysisReactorGroup_M03</t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</si>
  <si>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D</t>
    </r>
  </si>
  <si>
    <t>R1056</t>
  </si>
  <si>
    <t>:HydrolysisReactorGroup_M04</t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</si>
  <si>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E</t>
    </r>
  </si>
  <si>
    <t>R1057</t>
  </si>
  <si>
    <t>:HydrolysisReactorGroup_M05</t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</si>
  <si>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F</t>
    </r>
  </si>
  <si>
    <t>R1058</t>
  </si>
  <si>
    <t>:HydrolysisReactorGroup_M06</t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</si>
  <si>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G</t>
    </r>
  </si>
  <si>
    <t>R1059</t>
  </si>
  <si>
    <t>:HydrolysisReactorGroup_M07</t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</si>
  <si>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H</t>
    </r>
  </si>
  <si>
    <t>R1060</t>
  </si>
  <si>
    <t>:HydrolysisReactorGroup_M08</t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</si>
  <si>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I</t>
    </r>
  </si>
  <si>
    <t>R1061</t>
  </si>
  <si>
    <t>:HydrolysisReactorGroup_M09</t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</si>
  <si>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J</t>
    </r>
  </si>
  <si>
    <t>R1062</t>
  </si>
  <si>
    <t>:HydrolysisReactorGroup_M10</t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</si>
  <si>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K</t>
    </r>
  </si>
  <si>
    <t>R1063</t>
  </si>
  <si>
    <t>:HydrolysisReactorGroup_M11</t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</si>
  <si>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A–K)·</t>
    </r>
    <r>
      <rPr>
        <sz val="10"/>
        <rFont val="Noto Sans CJK SC"/>
        <family val="2"/>
      </rPr>
      <t>夹套换热系统</t>
    </r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</si>
  <si>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</t>
    </r>
    <r>
      <rPr>
        <sz val="10"/>
        <rFont val="Noto Sans CJK SC"/>
        <family val="2"/>
      </rPr>
      <t>配置夹套换热系统</t>
    </r>
  </si>
  <si>
    <t>R1064</t>
  </si>
  <si>
    <t>:HydrolysisReactorGroup_P01</t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</si>
  <si>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A–K)·</t>
    </r>
    <r>
      <rPr>
        <sz val="10"/>
        <rFont val="Noto Sans CJK SC"/>
        <family val="2"/>
      </rPr>
      <t>机械搅拌装置</t>
    </r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</si>
  <si>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</t>
    </r>
    <r>
      <rPr>
        <sz val="10"/>
        <rFont val="Noto Sans CJK SC"/>
        <family val="2"/>
      </rPr>
      <t>配置机械搅拌装置</t>
    </r>
  </si>
  <si>
    <t>R1065</t>
  </si>
  <si>
    <t>:HydrolysisReactorGroup_P02</t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</si>
  <si>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A–K)·</t>
    </r>
    <r>
      <rPr>
        <sz val="10"/>
        <rFont val="Noto Sans CJK SC"/>
        <family val="2"/>
      </rPr>
      <t>固定化酶截留筛网</t>
    </r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</si>
  <si>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</t>
    </r>
    <r>
      <rPr>
        <sz val="10"/>
        <rFont val="Noto Sans CJK SC"/>
        <family val="2"/>
      </rPr>
      <t>配置固定化酶截留筛网</t>
    </r>
  </si>
  <si>
    <t>R1066</t>
  </si>
  <si>
    <t>:HydrolysisReactorGroup_P03</t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</si>
  <si>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A–K)·</t>
    </r>
    <r>
      <rPr>
        <sz val="10"/>
        <rFont val="Noto Sans CJK SC"/>
        <family val="2"/>
      </rPr>
      <t>双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电极</t>
    </r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</si>
  <si>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</t>
    </r>
    <r>
      <rPr>
        <sz val="10"/>
        <rFont val="Noto Sans CJK SC"/>
        <family val="2"/>
      </rPr>
      <t>配置双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电极</t>
    </r>
  </si>
  <si>
    <t>R1067</t>
  </si>
  <si>
    <t>:HydrolysisReactorGroup_P04</t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</si>
  <si>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A–K)·</t>
    </r>
    <r>
      <rPr>
        <sz val="10"/>
        <rFont val="Noto Sans CJK SC"/>
        <family val="2"/>
      </rPr>
      <t>温度计</t>
    </r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</si>
  <si>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</t>
    </r>
    <r>
      <rPr>
        <sz val="10"/>
        <rFont val="Noto Sans CJK SC"/>
        <family val="2"/>
      </rPr>
      <t>配置温度计</t>
    </r>
  </si>
  <si>
    <t>R1068</t>
  </si>
  <si>
    <t>:HydrolysisReactorGroup_P05</t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</si>
  <si>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A–K)·</t>
    </r>
    <r>
      <rPr>
        <sz val="10"/>
        <rFont val="Noto Sans CJK SC"/>
        <family val="2"/>
      </rPr>
      <t>液位计</t>
    </r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</si>
  <si>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</t>
    </r>
    <r>
      <rPr>
        <sz val="10"/>
        <rFont val="Noto Sans CJK SC"/>
        <family val="2"/>
      </rPr>
      <t>配置液位计</t>
    </r>
  </si>
  <si>
    <t>R1069</t>
  </si>
  <si>
    <t>:HydrolysisReactorGroup_P06</t>
  </si>
  <si>
    <t>酶法水解包含计量罐“水解氨水计量罐组”</t>
  </si>
  <si>
    <t>R1070</t>
  </si>
  <si>
    <r>
      <rPr>
        <sz val="10"/>
        <rFont val="Noto Sans CJK SC"/>
        <family val="2"/>
      </rPr>
      <t>氨水计量罐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</si>
  <si>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水解氨水计量罐组的并联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</si>
  <si>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R1071</t>
  </si>
  <si>
    <t>:AmmoniaMeterTanks_M01</t>
  </si>
  <si>
    <r>
      <rPr>
        <sz val="10"/>
        <rFont val="Noto Sans CJK SC"/>
        <family val="2"/>
      </rPr>
      <t>氨水计量罐</t>
    </r>
    <r>
      <rPr>
        <sz val="10"/>
        <rFont val="微软雅黑"/>
        <family val="2"/>
        <charset val="134"/>
      </rPr>
      <t>B</t>
    </r>
  </si>
  <si>
    <t>R1072</t>
  </si>
  <si>
    <t>:AmmoniaMeterTanks_M02</t>
  </si>
  <si>
    <r>
      <rPr>
        <sz val="10"/>
        <rFont val="Noto Sans CJK SC"/>
        <family val="2"/>
      </rPr>
      <t>氨水计量罐</t>
    </r>
    <r>
      <rPr>
        <sz val="10"/>
        <rFont val="微软雅黑"/>
        <family val="2"/>
        <charset val="134"/>
      </rPr>
      <t>C</t>
    </r>
  </si>
  <si>
    <t>R1073</t>
  </si>
  <si>
    <t>:AmmoniaMeterTanks_M03</t>
  </si>
  <si>
    <r>
      <rPr>
        <sz val="10"/>
        <rFont val="Noto Sans CJK SC"/>
        <family val="2"/>
      </rPr>
      <t>氨水计量罐</t>
    </r>
    <r>
      <rPr>
        <sz val="10"/>
        <rFont val="微软雅黑"/>
        <family val="2"/>
        <charset val="134"/>
      </rPr>
      <t>D</t>
    </r>
  </si>
  <si>
    <t>R1074</t>
  </si>
  <si>
    <t>:AmmoniaMeterTanks_M04</t>
  </si>
  <si>
    <r>
      <rPr>
        <sz val="10"/>
        <rFont val="Noto Sans CJK SC"/>
        <family val="2"/>
      </rPr>
      <t>氨水计量罐</t>
    </r>
    <r>
      <rPr>
        <sz val="10"/>
        <rFont val="微软雅黑"/>
        <family val="2"/>
        <charset val="134"/>
      </rPr>
      <t>E</t>
    </r>
  </si>
  <si>
    <t>R1075</t>
  </si>
  <si>
    <t>:AmmoniaMeterTanks_M05</t>
  </si>
  <si>
    <r>
      <rPr>
        <sz val="10"/>
        <rFont val="Noto Sans CJK SC"/>
        <family val="2"/>
      </rPr>
      <t>氨水计量罐</t>
    </r>
    <r>
      <rPr>
        <sz val="10"/>
        <rFont val="微软雅黑"/>
        <family val="2"/>
        <charset val="134"/>
      </rPr>
      <t>F</t>
    </r>
  </si>
  <si>
    <t>R1076</t>
  </si>
  <si>
    <t>:AmmoniaMeterTanks_M06</t>
  </si>
  <si>
    <r>
      <rPr>
        <sz val="10"/>
        <rFont val="Noto Sans CJK SC"/>
        <family val="2"/>
      </rPr>
      <t>氨水计量罐</t>
    </r>
    <r>
      <rPr>
        <sz val="10"/>
        <rFont val="微软雅黑"/>
        <family val="2"/>
        <charset val="134"/>
      </rPr>
      <t>G</t>
    </r>
  </si>
  <si>
    <t>R1077</t>
  </si>
  <si>
    <t>:AmmoniaMeterTanks_M07</t>
  </si>
  <si>
    <r>
      <rPr>
        <sz val="10"/>
        <rFont val="Noto Sans CJK SC"/>
        <family val="2"/>
      </rPr>
      <t>氨水计量罐</t>
    </r>
    <r>
      <rPr>
        <sz val="10"/>
        <rFont val="微软雅黑"/>
        <family val="2"/>
        <charset val="134"/>
      </rPr>
      <t>H</t>
    </r>
  </si>
  <si>
    <t>R1078</t>
  </si>
  <si>
    <t>:AmmoniaMeterTanks_M08</t>
  </si>
  <si>
    <r>
      <rPr>
        <sz val="10"/>
        <rFont val="Noto Sans CJK SC"/>
        <family val="2"/>
      </rPr>
      <t>氨水计量罐</t>
    </r>
    <r>
      <rPr>
        <sz val="10"/>
        <rFont val="微软雅黑"/>
        <family val="2"/>
        <charset val="134"/>
      </rPr>
      <t>J</t>
    </r>
  </si>
  <si>
    <t>R1079</t>
  </si>
  <si>
    <t>:AmmoniaMeterTanks_M09</t>
  </si>
  <si>
    <r>
      <rPr>
        <sz val="10"/>
        <rFont val="Noto Sans CJK SC"/>
        <family val="2"/>
      </rPr>
      <t>氨水计量罐</t>
    </r>
    <r>
      <rPr>
        <sz val="10"/>
        <rFont val="微软雅黑"/>
        <family val="2"/>
        <charset val="134"/>
      </rPr>
      <t>K</t>
    </r>
  </si>
  <si>
    <t>R1080</t>
  </si>
  <si>
    <t>:AmmoniaMeterTanks_M10</t>
  </si>
  <si>
    <r>
      <rPr>
        <sz val="10"/>
        <rFont val="Noto Sans CJK SC"/>
        <family val="2"/>
      </rPr>
      <t>氨水计量罐</t>
    </r>
    <r>
      <rPr>
        <sz val="10"/>
        <rFont val="微软雅黑"/>
        <family val="2"/>
        <charset val="134"/>
      </rPr>
      <t>L</t>
    </r>
  </si>
  <si>
    <t>R1081</t>
  </si>
  <si>
    <t>:AmmoniaMeterTanks_M11</t>
  </si>
  <si>
    <r>
      <rPr>
        <sz val="10"/>
        <rFont val="Noto Sans CJK SC"/>
        <family val="2"/>
      </rPr>
      <t>水解氨水计量罐组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</si>
  <si>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t>水解氨水计量罐组配置液位计</t>
  </si>
  <si>
    <t>R1082</t>
  </si>
  <si>
    <t>:AmmoniaMeterTanks_P01</t>
  </si>
  <si>
    <r>
      <rPr>
        <sz val="10"/>
        <rFont val="Noto Sans CJK SC"/>
        <family val="2"/>
      </rPr>
      <t>水解氨水计量罐组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加氨阀</t>
    </r>
  </si>
  <si>
    <t>水解氨水计量罐组配置加氨阀</t>
  </si>
  <si>
    <t>R1083</t>
  </si>
  <si>
    <t>:AmmoniaMeterTanks_P02</t>
  </si>
  <si>
    <r>
      <rPr>
        <sz val="10"/>
        <rFont val="Noto Sans CJK SC"/>
        <family val="2"/>
      </rPr>
      <t>酶法水解包含储罐“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（水解进料）”</t>
    </r>
  </si>
  <si>
    <t>R1084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</si>
  <si>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</t>
    </r>
    <r>
      <rPr>
        <sz val="10"/>
        <rFont val="微软雅黑"/>
        <family val="2"/>
        <charset val="134"/>
      </rPr>
      <t>A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</si>
  <si>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（水解进料）的并联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</si>
  <si>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R1085</t>
  </si>
  <si>
    <t>:RBStorageHydro_M01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</si>
  <si>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</t>
    </r>
    <r>
      <rPr>
        <sz val="10"/>
        <rFont val="微软雅黑"/>
        <family val="2"/>
        <charset val="134"/>
      </rPr>
      <t>B</t>
    </r>
  </si>
  <si>
    <t>R1086</t>
  </si>
  <si>
    <t>:RBStorageHydro_M02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</si>
  <si>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（水解进料）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</si>
  <si>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（水解进料）配置液位计</t>
    </r>
  </si>
  <si>
    <t>R1087</t>
  </si>
  <si>
    <t>:RBStorageHydro_P01</t>
  </si>
  <si>
    <t>水解液缓冲罐</t>
  </si>
  <si>
    <t>酶法水解包含储罐“水解液缓冲罐”</t>
  </si>
  <si>
    <t>R1088</t>
  </si>
  <si>
    <t>:HydrolysateBuffer</t>
  </si>
  <si>
    <r>
      <rPr>
        <sz val="10"/>
        <rFont val="Noto Sans CJK SC"/>
        <family val="2"/>
      </rPr>
      <t>水解液缓冲罐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</si>
  <si>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t>水解液缓冲罐配置液位计</t>
  </si>
  <si>
    <t>R1089</t>
  </si>
  <si>
    <t>:HydrolysateBuffer_P01</t>
  </si>
  <si>
    <r>
      <rPr>
        <sz val="10"/>
        <rFont val="Noto Sans CJK SC"/>
        <family val="2"/>
      </rPr>
      <t>水解液缓冲罐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高位报警</t>
    </r>
  </si>
  <si>
    <t>水解液缓冲罐配置高位报警</t>
  </si>
  <si>
    <t>R1090</t>
  </si>
  <si>
    <t>:HydrolysateBuffer_P02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</si>
  <si>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（水解进料）的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储罐液位</t>
    </r>
  </si>
  <si>
    <t>R1091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</si>
  <si>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进料总管温度</t>
    </r>
  </si>
  <si>
    <t>R1092</t>
  </si>
  <si>
    <r>
      <rPr>
        <sz val="10"/>
        <rFont val="Noto Sans CJK SC"/>
        <family val="2"/>
      </rPr>
      <t>北排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南排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瞬时流量</t>
    </r>
  </si>
  <si>
    <t>R1093</t>
  </si>
  <si>
    <r>
      <rPr>
        <sz val="10"/>
        <rFont val="Noto Sans CJK SC"/>
        <family val="2"/>
      </rPr>
      <t>北排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南排硼酸瞬时流量</t>
    </r>
  </si>
  <si>
    <t>R1094</t>
  </si>
  <si>
    <r>
      <rPr>
        <sz val="10"/>
        <rFont val="Noto Sans CJK SC"/>
        <family val="2"/>
      </rPr>
      <t>注意：</t>
    </r>
    <r>
      <rPr>
        <sz val="10"/>
        <rFont val="微软雅黑"/>
        <family val="2"/>
        <charset val="134"/>
      </rPr>
      <t>TI_1301J/K/L</t>
    </r>
    <r>
      <rPr>
        <sz val="10"/>
        <rFont val="Noto Sans CJK SC"/>
        <family val="2"/>
      </rPr>
      <t>对应水解罐</t>
    </r>
    <r>
      <rPr>
        <sz val="10"/>
        <rFont val="微软雅黑"/>
        <family val="2"/>
        <charset val="134"/>
      </rPr>
      <t>I/J/K</t>
    </r>
  </si>
  <si>
    <t>R1095</t>
  </si>
  <si>
    <r>
      <rPr>
        <sz val="10"/>
        <rFont val="微软雅黑"/>
        <family val="2"/>
        <charset val="134"/>
      </rPr>
      <t>TI_1301A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TI_1301B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TI_1301C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TI_1301D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TI_1301E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TI_1301F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TI_1301G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TI_1301H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TI_1301J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TI_1301K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TI_1301L</t>
    </r>
  </si>
  <si>
    <t>双电极冗余</t>
  </si>
  <si>
    <t>R1096</t>
  </si>
  <si>
    <r>
      <rPr>
        <sz val="10"/>
        <rFont val="微软雅黑"/>
        <family val="2"/>
        <charset val="134"/>
      </rPr>
      <t>AT_1301A1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AT_1301A2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AT_1301B1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AT_1301B2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AT_1301C1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AT_1301C2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AT_1301D1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AT_1301D2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AT_1301E1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AT_1301E2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AT_1301F1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AT_1301F2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AT_1301G1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AT_1301G2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AT_1301H1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AT_1301H2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AT_1301J1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AT_1301J2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AT_1301K1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AT_1301K2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AT_1301L1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AT_1301L2</t>
    </r>
  </si>
  <si>
    <t>釜内反应液位</t>
  </si>
  <si>
    <r>
      <rPr>
        <sz val="10"/>
        <rFont val="Noto Sans CJK SC"/>
        <family val="2"/>
      </rPr>
      <t>仅</t>
    </r>
    <r>
      <rPr>
        <sz val="10"/>
        <rFont val="微软雅黑"/>
        <family val="2"/>
        <charset val="134"/>
      </rPr>
      <t>A–F</t>
    </r>
    <r>
      <rPr>
        <sz val="10"/>
        <rFont val="Noto Sans CJK SC"/>
        <family val="2"/>
      </rPr>
      <t>有液位点</t>
    </r>
  </si>
  <si>
    <t>R1097</t>
  </si>
  <si>
    <t>:Attr_127</t>
  </si>
  <si>
    <r>
      <rPr>
        <sz val="10"/>
        <rFont val="微软雅黑"/>
        <family val="2"/>
        <charset val="134"/>
      </rPr>
      <t>SJGYW_A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SJGYW_B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SJGYW_C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SJGYW_D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SJGYW_E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SJGYW_F</t>
    </r>
  </si>
  <si>
    <t>搅拌运行状态</t>
  </si>
  <si>
    <t>搅拌启停反馈</t>
  </si>
  <si>
    <t>R1098</t>
  </si>
  <si>
    <t>:Attr_128</t>
  </si>
  <si>
    <r>
      <rPr>
        <sz val="10"/>
        <rFont val="微软雅黑"/>
        <family val="2"/>
        <charset val="134"/>
      </rPr>
      <t>P_1303A_RUN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P_1303B_RUN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P_1303C_RUN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P_1303D_RUN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P_1303E_RUN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P_1303F_RUN</t>
    </r>
  </si>
  <si>
    <t>氨水计量罐液位</t>
  </si>
  <si>
    <r>
      <rPr>
        <sz val="10"/>
        <rFont val="Noto Sans CJK SC"/>
        <family val="2"/>
      </rPr>
      <t>液位差</t>
    </r>
    <r>
      <rPr>
        <sz val="10"/>
        <rFont val="微软雅黑"/>
        <family val="2"/>
        <charset val="134"/>
      </rPr>
      <t>=</t>
    </r>
    <r>
      <rPr>
        <sz val="10"/>
        <rFont val="Noto Sans CJK SC"/>
        <family val="2"/>
      </rPr>
      <t>氨水加量</t>
    </r>
  </si>
  <si>
    <t>R1099</t>
  </si>
  <si>
    <t>:Attr_129</t>
  </si>
  <si>
    <r>
      <rPr>
        <sz val="10"/>
        <rFont val="微软雅黑"/>
        <family val="2"/>
        <charset val="134"/>
      </rPr>
      <t>LT_1302A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LT_1302B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LT_1302C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LT_1302D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LT_1302E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LT_1302F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LT_1302G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LT_1302H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LT_1302J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LT_1302K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LT_1302L</t>
    </r>
  </si>
  <si>
    <t>压料动力</t>
  </si>
  <si>
    <t>R1100</t>
  </si>
  <si>
    <t>水解液缓冲罐液位</t>
  </si>
  <si>
    <t>R1101</t>
  </si>
  <si>
    <t>:Attr_131</t>
  </si>
  <si>
    <t>LT_1303</t>
  </si>
  <si>
    <t>水解液泵出口压力</t>
  </si>
  <si>
    <t>水解液缓冲罐的水解液泵出口压力</t>
  </si>
  <si>
    <t>R1102</t>
  </si>
  <si>
    <t>:Attr_132</t>
  </si>
  <si>
    <r>
      <rPr>
        <sz val="10"/>
        <rFont val="微软雅黑"/>
        <family val="2"/>
        <charset val="134"/>
      </rPr>
      <t>SJGAB_PT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SJGCD_PT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PT_1020</t>
    </r>
  </si>
  <si>
    <r>
      <rPr>
        <sz val="10"/>
        <rFont val="Noto Sans CJK SC"/>
        <family val="2"/>
      </rPr>
      <t>固定化青霉素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酰化酶活力保持</t>
    </r>
  </si>
  <si>
    <t>R1103</t>
  </si>
  <si>
    <t>酶催化水解反应速率</t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</si>
  <si>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</t>
    </r>
    <r>
      <rPr>
        <sz val="10"/>
        <rFont val="Noto Sans CJK SC"/>
        <family val="2"/>
      </rPr>
      <t>的酶催化水解反应速率（机理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</si>
  <si>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R1104</t>
  </si>
  <si>
    <t>:Attr_269</t>
  </si>
  <si>
    <t>固液传质速率</t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</si>
  <si>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</t>
    </r>
    <r>
      <rPr>
        <sz val="10"/>
        <rFont val="Noto Sans CJK SC"/>
        <family val="2"/>
      </rPr>
      <t>的固液传质速率（机理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</si>
  <si>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R1105</t>
  </si>
  <si>
    <t>:Attr_270</t>
  </si>
  <si>
    <t>固定化酶载体寿命</t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</si>
  <si>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</t>
    </r>
    <r>
      <rPr>
        <sz val="10"/>
        <rFont val="Noto Sans CJK SC"/>
        <family val="2"/>
      </rPr>
      <t>的固定化酶载体寿命（机理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</si>
  <si>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R1106</t>
  </si>
  <si>
    <t>:Attr_271</t>
  </si>
  <si>
    <t>由计量罐液位差计算，表征反应进度</t>
  </si>
  <si>
    <t>R1107</t>
  </si>
  <si>
    <t>水解终点判定</t>
  </si>
  <si>
    <r>
      <rPr>
        <sz val="10"/>
        <rFont val="Noto Sans CJK SC"/>
        <family val="2"/>
      </rPr>
      <t>氨水消耗速率趋零</t>
    </r>
    <r>
      <rPr>
        <sz val="10"/>
        <rFont val="微软雅黑"/>
        <family val="2"/>
        <charset val="134"/>
      </rPr>
      <t>/pH</t>
    </r>
    <r>
      <rPr>
        <sz val="10"/>
        <rFont val="Noto Sans CJK SC"/>
        <family val="2"/>
      </rPr>
      <t>稳定</t>
    </r>
  </si>
  <si>
    <t>R1108</t>
  </si>
  <si>
    <t>:Attr_273</t>
  </si>
  <si>
    <r>
      <rPr>
        <sz val="10"/>
        <rFont val="Noto Sans CJK SC"/>
        <family val="2"/>
      </rPr>
      <t>青霉素</t>
    </r>
    <r>
      <rPr>
        <sz val="10"/>
        <rFont val="微软雅黑"/>
        <family val="2"/>
        <charset val="134"/>
      </rPr>
      <t>G→6-APA</t>
    </r>
    <r>
      <rPr>
        <sz val="10"/>
        <rFont val="Noto Sans CJK SC"/>
        <family val="2"/>
      </rPr>
      <t>转化率</t>
    </r>
  </si>
  <si>
    <t>R1109</t>
  </si>
  <si>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热降解损失率</t>
    </r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</si>
  <si>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</t>
    </r>
    <r>
      <rPr>
        <sz val="10"/>
        <rFont val="Noto Sans CJK SC"/>
        <family val="2"/>
      </rPr>
      <t>的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热降解损失率（机理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</si>
  <si>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R1110</t>
  </si>
  <si>
    <t>:QKPI_275</t>
  </si>
  <si>
    <r>
      <rPr>
        <sz val="10"/>
        <rFont val="Noto Sans CJK SC"/>
        <family val="2"/>
      </rPr>
      <t>夹套热水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蒸汽加热量</t>
    </r>
  </si>
  <si>
    <r>
      <rPr>
        <sz val="10"/>
        <rFont val="Noto Sans CJK SC"/>
        <family val="2"/>
      </rPr>
      <t>由热水阀</t>
    </r>
    <r>
      <rPr>
        <sz val="10"/>
        <rFont val="微软雅黑"/>
        <family val="2"/>
        <charset val="134"/>
      </rPr>
      <t>HV_1301</t>
    </r>
    <r>
      <rPr>
        <sz val="10"/>
        <rFont val="Noto Sans CJK SC"/>
        <family val="2"/>
      </rPr>
      <t>开度表征</t>
    </r>
  </si>
  <si>
    <t>R1111</t>
  </si>
  <si>
    <t>:Attr_311</t>
  </si>
  <si>
    <t>酶解水解反应液</t>
  </si>
  <si>
    <t>水解液进料流量</t>
  </si>
  <si>
    <r>
      <rPr>
        <sz val="10"/>
        <rFont val="Noto Sans CJK SC"/>
        <family val="2"/>
      </rPr>
      <t>酶解水解反应液的水解液进料流量（流股属性，测点位于管线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</si>
  <si>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R1112</t>
  </si>
  <si>
    <t>:MS_Hydrolysate</t>
  </si>
  <si>
    <t>:Attr_137</t>
  </si>
  <si>
    <t>FT_1304</t>
  </si>
  <si>
    <t>水解进料换热温度</t>
  </si>
  <si>
    <r>
      <rPr>
        <sz val="10"/>
        <rFont val="Noto Sans CJK SC"/>
        <family val="2"/>
      </rPr>
      <t>酶解水解反应液的水解进料换热温度（流股属性，测点位于管线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</si>
  <si>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R1113</t>
  </si>
  <si>
    <t>:Attr_133</t>
  </si>
  <si>
    <r>
      <rPr>
        <sz val="10"/>
        <rFont val="微软雅黑"/>
        <family val="2"/>
        <charset val="134"/>
      </rPr>
      <t>TI_1006A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TI_1006B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TI_1006C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TI_1307D</t>
    </r>
  </si>
  <si>
    <t>LT_1301A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</si>
  <si>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液位</t>
    </r>
  </si>
  <si>
    <t>R1114</t>
  </si>
  <si>
    <t>:LT_1301A</t>
  </si>
  <si>
    <t>LT_1301B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</si>
  <si>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液位</t>
    </r>
  </si>
  <si>
    <t>R1115</t>
  </si>
  <si>
    <t>:LT_1301B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</si>
  <si>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进料总管温度</t>
    </r>
  </si>
  <si>
    <t>R1116</t>
  </si>
  <si>
    <t>:TI_1303</t>
  </si>
  <si>
    <t>FT_1302A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</si>
  <si>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进水解罐流量</t>
    </r>
    <r>
      <rPr>
        <sz val="10"/>
        <rFont val="微软雅黑"/>
        <family val="2"/>
        <charset val="134"/>
      </rPr>
      <t>A</t>
    </r>
  </si>
  <si>
    <t>R1117</t>
  </si>
  <si>
    <t>:FT_1302A</t>
  </si>
  <si>
    <t>FT_1302B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</si>
  <si>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进水解罐流量</t>
    </r>
    <r>
      <rPr>
        <sz val="10"/>
        <rFont val="微软雅黑"/>
        <family val="2"/>
        <charset val="134"/>
      </rPr>
      <t>B</t>
    </r>
  </si>
  <si>
    <t>R1118</t>
  </si>
  <si>
    <t>:FT_1302B</t>
  </si>
  <si>
    <t>FT_1301A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</si>
  <si>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原点描述：硼酸流量</t>
    </r>
    <r>
      <rPr>
        <sz val="10"/>
        <rFont val="微软雅黑"/>
        <family val="2"/>
        <charset val="134"/>
      </rPr>
      <t>A</t>
    </r>
  </si>
  <si>
    <t>R1119</t>
  </si>
  <si>
    <t>:FT_1301A</t>
  </si>
  <si>
    <t>FT_1301B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</si>
  <si>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原点描述：硼酸流量</t>
    </r>
    <r>
      <rPr>
        <sz val="10"/>
        <rFont val="微软雅黑"/>
        <family val="2"/>
        <charset val="134"/>
      </rPr>
      <t>B</t>
    </r>
  </si>
  <si>
    <t>R1120</t>
  </si>
  <si>
    <t>:FT_1301B</t>
  </si>
  <si>
    <t>TI_1301A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</si>
  <si>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温度</t>
    </r>
  </si>
  <si>
    <t>R1121</t>
  </si>
  <si>
    <t>:TI_1301A</t>
  </si>
  <si>
    <t>TI_1301B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</si>
  <si>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温度</t>
    </r>
  </si>
  <si>
    <t>R1122</t>
  </si>
  <si>
    <t>:TI_1301B</t>
  </si>
  <si>
    <t>TI_1301C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</si>
  <si>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原点描述：水解罐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温度</t>
    </r>
  </si>
  <si>
    <t>R1123</t>
  </si>
  <si>
    <t>:TI_1301C</t>
  </si>
  <si>
    <t>TI_1301D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</si>
  <si>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原点描述：水解罐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温度</t>
    </r>
  </si>
  <si>
    <t>R1124</t>
  </si>
  <si>
    <t>:TI_1301D</t>
  </si>
  <si>
    <t>TI_1301E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</si>
  <si>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原点描述：水解罐</t>
    </r>
    <r>
      <rPr>
        <sz val="10"/>
        <rFont val="微软雅黑"/>
        <family val="2"/>
        <charset val="134"/>
      </rPr>
      <t>E</t>
    </r>
    <r>
      <rPr>
        <sz val="10"/>
        <rFont val="Noto Sans CJK SC"/>
        <family val="2"/>
      </rPr>
      <t>温度</t>
    </r>
  </si>
  <si>
    <t>R1125</t>
  </si>
  <si>
    <t>:TI_1301E</t>
  </si>
  <si>
    <t>TI_1301F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</si>
  <si>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原点描述：水解罐</t>
    </r>
    <r>
      <rPr>
        <sz val="10"/>
        <rFont val="微软雅黑"/>
        <family val="2"/>
        <charset val="134"/>
      </rPr>
      <t>F</t>
    </r>
    <r>
      <rPr>
        <sz val="10"/>
        <rFont val="Noto Sans CJK SC"/>
        <family val="2"/>
      </rPr>
      <t>温度</t>
    </r>
  </si>
  <si>
    <t>R1126</t>
  </si>
  <si>
    <t>:TI_1301F</t>
  </si>
  <si>
    <t>TI_1301G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</si>
  <si>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原点描述：水解罐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温度</t>
    </r>
  </si>
  <si>
    <t>R1127</t>
  </si>
  <si>
    <t>:TI_1301G</t>
  </si>
  <si>
    <t>TI_1301H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</si>
  <si>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原点描述：水解罐</t>
    </r>
    <r>
      <rPr>
        <sz val="10"/>
        <rFont val="微软雅黑"/>
        <family val="2"/>
        <charset val="134"/>
      </rPr>
      <t>H</t>
    </r>
    <r>
      <rPr>
        <sz val="10"/>
        <rFont val="Noto Sans CJK SC"/>
        <family val="2"/>
      </rPr>
      <t>温度</t>
    </r>
  </si>
  <si>
    <t>R1128</t>
  </si>
  <si>
    <t>:TI_1301H</t>
  </si>
  <si>
    <t>TI_1301J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</si>
  <si>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原点描述：水解罐</t>
    </r>
    <r>
      <rPr>
        <sz val="10"/>
        <rFont val="微软雅黑"/>
        <family val="2"/>
        <charset val="134"/>
      </rPr>
      <t>I</t>
    </r>
    <r>
      <rPr>
        <sz val="10"/>
        <rFont val="Noto Sans CJK SC"/>
        <family val="2"/>
      </rPr>
      <t>温度</t>
    </r>
  </si>
  <si>
    <t>R1129</t>
  </si>
  <si>
    <t>:TI_1301J</t>
  </si>
  <si>
    <t>TI_1301K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</si>
  <si>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原点描述：水解罐</t>
    </r>
    <r>
      <rPr>
        <sz val="10"/>
        <rFont val="微软雅黑"/>
        <family val="2"/>
        <charset val="134"/>
      </rPr>
      <t>J</t>
    </r>
    <r>
      <rPr>
        <sz val="10"/>
        <rFont val="Noto Sans CJK SC"/>
        <family val="2"/>
      </rPr>
      <t>温度</t>
    </r>
  </si>
  <si>
    <t>R1130</t>
  </si>
  <si>
    <t>:TI_1301K</t>
  </si>
  <si>
    <t>TI_1301L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</si>
  <si>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原点描述：水解罐</t>
    </r>
    <r>
      <rPr>
        <sz val="10"/>
        <rFont val="微软雅黑"/>
        <family val="2"/>
        <charset val="134"/>
      </rPr>
      <t>K</t>
    </r>
    <r>
      <rPr>
        <sz val="10"/>
        <rFont val="Noto Sans CJK SC"/>
        <family val="2"/>
      </rPr>
      <t>温度</t>
    </r>
  </si>
  <si>
    <t>R1131</t>
  </si>
  <si>
    <t>:TI_1301L</t>
  </si>
  <si>
    <t>AT_1301A1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</si>
  <si>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A1</t>
    </r>
  </si>
  <si>
    <t>R1132</t>
  </si>
  <si>
    <t>:AT_1301A1</t>
  </si>
  <si>
    <t>AT_1301A2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</si>
  <si>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A2</t>
    </r>
  </si>
  <si>
    <t>R1133</t>
  </si>
  <si>
    <t>:AT_1301A2</t>
  </si>
  <si>
    <t>AT_1301B1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</si>
  <si>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B1</t>
    </r>
  </si>
  <si>
    <t>R1134</t>
  </si>
  <si>
    <t>:AT_1301B1</t>
  </si>
  <si>
    <t>AT_1301B2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</si>
  <si>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B2</t>
    </r>
  </si>
  <si>
    <t>R1135</t>
  </si>
  <si>
    <t>:AT_1301B2</t>
  </si>
  <si>
    <t>AT_1301C1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</si>
  <si>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C1</t>
    </r>
  </si>
  <si>
    <t>R1136</t>
  </si>
  <si>
    <t>:AT_1301C1</t>
  </si>
  <si>
    <t>AT_1301C2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</si>
  <si>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C2</t>
    </r>
  </si>
  <si>
    <t>R1137</t>
  </si>
  <si>
    <t>:AT_1301C2</t>
  </si>
  <si>
    <t>AT_1301D1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</si>
  <si>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D1</t>
    </r>
  </si>
  <si>
    <t>R1138</t>
  </si>
  <si>
    <t>:AT_1301D1</t>
  </si>
  <si>
    <t>AT_1301D2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</si>
  <si>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D2</t>
    </r>
  </si>
  <si>
    <t>R1139</t>
  </si>
  <si>
    <t>:AT_1301D2</t>
  </si>
  <si>
    <t>AT_1301E1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</si>
  <si>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E1</t>
    </r>
  </si>
  <si>
    <t>R1140</t>
  </si>
  <si>
    <t>:AT_1301E1</t>
  </si>
  <si>
    <t>AT_1301E2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</si>
  <si>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E2</t>
    </r>
  </si>
  <si>
    <t>R1141</t>
  </si>
  <si>
    <t>:AT_1301E2</t>
  </si>
  <si>
    <t>AT_1301F1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</si>
  <si>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F1</t>
    </r>
  </si>
  <si>
    <t>R1142</t>
  </si>
  <si>
    <t>:AT_1301F1</t>
  </si>
  <si>
    <t>AT_1301F2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</si>
  <si>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F2</t>
    </r>
  </si>
  <si>
    <t>R1143</t>
  </si>
  <si>
    <t>:AT_1301F2</t>
  </si>
  <si>
    <t>AT_1301G1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</si>
  <si>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G1</t>
    </r>
  </si>
  <si>
    <t>R1144</t>
  </si>
  <si>
    <t>:AT_1301G1</t>
  </si>
  <si>
    <t>AT_1301G2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</si>
  <si>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G2</t>
    </r>
  </si>
  <si>
    <t>R1145</t>
  </si>
  <si>
    <t>:AT_1301G2</t>
  </si>
  <si>
    <t>AT_1301H1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</si>
  <si>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H1</t>
    </r>
  </si>
  <si>
    <t>R1146</t>
  </si>
  <si>
    <t>:AT_1301H1</t>
  </si>
  <si>
    <t>AT_1301H2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</si>
  <si>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H2</t>
    </r>
  </si>
  <si>
    <t>R1147</t>
  </si>
  <si>
    <t>:AT_1301H2</t>
  </si>
  <si>
    <t>AT_1301J1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</si>
  <si>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I1</t>
    </r>
  </si>
  <si>
    <t>R1148</t>
  </si>
  <si>
    <t>:AT_1301J1</t>
  </si>
  <si>
    <t>AT_1301J2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</si>
  <si>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I2</t>
    </r>
  </si>
  <si>
    <t>R1149</t>
  </si>
  <si>
    <t>:AT_1301J2</t>
  </si>
  <si>
    <t>AT_1301K1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</si>
  <si>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J1</t>
    </r>
  </si>
  <si>
    <t>R1150</t>
  </si>
  <si>
    <t>:AT_1301K1</t>
  </si>
  <si>
    <t>AT_1301K2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</si>
  <si>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J2</t>
    </r>
  </si>
  <si>
    <t>R1151</t>
  </si>
  <si>
    <t>:AT_1301K2</t>
  </si>
  <si>
    <t>AT_1301L1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</si>
  <si>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K1</t>
    </r>
  </si>
  <si>
    <t>R1152</t>
  </si>
  <si>
    <t>:AT_1301L1</t>
  </si>
  <si>
    <t>AT_1301L2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</si>
  <si>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K2</t>
    </r>
  </si>
  <si>
    <t>R1153</t>
  </si>
  <si>
    <t>:AT_1301L2</t>
  </si>
  <si>
    <t>SJGYW_A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</si>
  <si>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液位</t>
    </r>
  </si>
  <si>
    <t>R1154</t>
  </si>
  <si>
    <t>:SJGYW_A</t>
  </si>
  <si>
    <t>SJGYW_B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</si>
  <si>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液位</t>
    </r>
  </si>
  <si>
    <t>R1155</t>
  </si>
  <si>
    <t>:SJGYW_B</t>
  </si>
  <si>
    <t>SJGYW_C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</si>
  <si>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原点描述：水解罐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液位</t>
    </r>
  </si>
  <si>
    <t>R1156</t>
  </si>
  <si>
    <t>:SJGYW_C</t>
  </si>
  <si>
    <t>SJGYW_D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</si>
  <si>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原点描述：水解罐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液位</t>
    </r>
  </si>
  <si>
    <t>R1157</t>
  </si>
  <si>
    <t>:SJGYW_D</t>
  </si>
  <si>
    <t>SJGYW_E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</si>
  <si>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原点描述：水解罐</t>
    </r>
    <r>
      <rPr>
        <sz val="10"/>
        <rFont val="微软雅黑"/>
        <family val="2"/>
        <charset val="134"/>
      </rPr>
      <t>E</t>
    </r>
    <r>
      <rPr>
        <sz val="10"/>
        <rFont val="Noto Sans CJK SC"/>
        <family val="2"/>
      </rPr>
      <t>液位</t>
    </r>
  </si>
  <si>
    <t>R1158</t>
  </si>
  <si>
    <t>:SJGYW_E</t>
  </si>
  <si>
    <t>SJGYW_F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</si>
  <si>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原点描述：水解罐</t>
    </r>
    <r>
      <rPr>
        <sz val="10"/>
        <rFont val="微软雅黑"/>
        <family val="2"/>
        <charset val="134"/>
      </rPr>
      <t>F</t>
    </r>
    <r>
      <rPr>
        <sz val="10"/>
        <rFont val="Noto Sans CJK SC"/>
        <family val="2"/>
      </rPr>
      <t>液位</t>
    </r>
  </si>
  <si>
    <t>R1159</t>
  </si>
  <si>
    <t>:SJGYW_F</t>
  </si>
  <si>
    <t>P_1303A_RUN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</si>
  <si>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搅拌运行</t>
    </r>
  </si>
  <si>
    <t>R1160</t>
  </si>
  <si>
    <t>:P_1303A_RUN</t>
  </si>
  <si>
    <t>P_1303B_RUN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</si>
  <si>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搅拌运行</t>
    </r>
  </si>
  <si>
    <t>R1161</t>
  </si>
  <si>
    <t>:P_1303B_RUN</t>
  </si>
  <si>
    <t>P_1303C_RUN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</si>
  <si>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原点描述：水解罐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搅拌运行</t>
    </r>
  </si>
  <si>
    <t>R1162</t>
  </si>
  <si>
    <t>:P_1303C_RUN</t>
  </si>
  <si>
    <t>P_1303D_RUN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</si>
  <si>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原点描述：水解罐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搅拌运行</t>
    </r>
  </si>
  <si>
    <t>R1163</t>
  </si>
  <si>
    <t>:P_1303D_RUN</t>
  </si>
  <si>
    <t>P_1303E_RUN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</si>
  <si>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原点描述：水解罐</t>
    </r>
    <r>
      <rPr>
        <sz val="10"/>
        <rFont val="微软雅黑"/>
        <family val="2"/>
        <charset val="134"/>
      </rPr>
      <t>E</t>
    </r>
    <r>
      <rPr>
        <sz val="10"/>
        <rFont val="Noto Sans CJK SC"/>
        <family val="2"/>
      </rPr>
      <t>搅拌运行</t>
    </r>
  </si>
  <si>
    <t>R1164</t>
  </si>
  <si>
    <t>:P_1303E_RUN</t>
  </si>
  <si>
    <t>P_1303F_RUN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</si>
  <si>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原点描述：水解罐</t>
    </r>
    <r>
      <rPr>
        <sz val="10"/>
        <rFont val="微软雅黑"/>
        <family val="2"/>
        <charset val="134"/>
      </rPr>
      <t>F</t>
    </r>
    <r>
      <rPr>
        <sz val="10"/>
        <rFont val="Noto Sans CJK SC"/>
        <family val="2"/>
      </rPr>
      <t>搅拌运行</t>
    </r>
  </si>
  <si>
    <t>R1165</t>
  </si>
  <si>
    <t>:P_1303F_RUN</t>
  </si>
  <si>
    <t>LT_1302A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</si>
  <si>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原点描述：氨水计量罐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液位</t>
    </r>
  </si>
  <si>
    <t>R1166</t>
  </si>
  <si>
    <t>:LT_1302A</t>
  </si>
  <si>
    <t>LT_1302B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</si>
  <si>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原点描述：氨水计量罐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液位</t>
    </r>
  </si>
  <si>
    <t>R1167</t>
  </si>
  <si>
    <t>:LT_1302B</t>
  </si>
  <si>
    <t>LT_1302C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</si>
  <si>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原点描述：氨水计量罐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液位</t>
    </r>
  </si>
  <si>
    <t>R1168</t>
  </si>
  <si>
    <t>:LT_1302C</t>
  </si>
  <si>
    <t>LT_1302D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</si>
  <si>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原点描述：氨水计量罐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液位</t>
    </r>
  </si>
  <si>
    <t>R1169</t>
  </si>
  <si>
    <t>:LT_1302D</t>
  </si>
  <si>
    <t>LT_1302E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</si>
  <si>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原点描述：氨水计量罐</t>
    </r>
    <r>
      <rPr>
        <sz val="10"/>
        <rFont val="微软雅黑"/>
        <family val="2"/>
        <charset val="134"/>
      </rPr>
      <t>E</t>
    </r>
    <r>
      <rPr>
        <sz val="10"/>
        <rFont val="Noto Sans CJK SC"/>
        <family val="2"/>
      </rPr>
      <t>液位</t>
    </r>
  </si>
  <si>
    <t>R1170</t>
  </si>
  <si>
    <t>:LT_1302E</t>
  </si>
  <si>
    <t>LT_1302F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</si>
  <si>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原点描述：氨水计量罐</t>
    </r>
    <r>
      <rPr>
        <sz val="10"/>
        <rFont val="微软雅黑"/>
        <family val="2"/>
        <charset val="134"/>
      </rPr>
      <t>F</t>
    </r>
    <r>
      <rPr>
        <sz val="10"/>
        <rFont val="Noto Sans CJK SC"/>
        <family val="2"/>
      </rPr>
      <t>液位</t>
    </r>
  </si>
  <si>
    <t>R1171</t>
  </si>
  <si>
    <t>:LT_1302F</t>
  </si>
  <si>
    <t>LT_1302G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</si>
  <si>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原点描述：氨水计量罐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液位</t>
    </r>
  </si>
  <si>
    <t>R1172</t>
  </si>
  <si>
    <t>:LT_1302G</t>
  </si>
  <si>
    <t>LT_1302H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</si>
  <si>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原点描述：氨水计量罐</t>
    </r>
    <r>
      <rPr>
        <sz val="10"/>
        <rFont val="微软雅黑"/>
        <family val="2"/>
        <charset val="134"/>
      </rPr>
      <t>H</t>
    </r>
    <r>
      <rPr>
        <sz val="10"/>
        <rFont val="Noto Sans CJK SC"/>
        <family val="2"/>
      </rPr>
      <t>液位</t>
    </r>
  </si>
  <si>
    <t>R1173</t>
  </si>
  <si>
    <t>:LT_1302H</t>
  </si>
  <si>
    <t>LT_1302J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</si>
  <si>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原点描述：氨水计量罐</t>
    </r>
    <r>
      <rPr>
        <sz val="10"/>
        <rFont val="微软雅黑"/>
        <family val="2"/>
        <charset val="134"/>
      </rPr>
      <t>J</t>
    </r>
    <r>
      <rPr>
        <sz val="10"/>
        <rFont val="Noto Sans CJK SC"/>
        <family val="2"/>
      </rPr>
      <t>液位</t>
    </r>
  </si>
  <si>
    <t>R1174</t>
  </si>
  <si>
    <t>:LT_1302J</t>
  </si>
  <si>
    <t>LT_1302K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</si>
  <si>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原点描述：氨水计量罐</t>
    </r>
    <r>
      <rPr>
        <sz val="10"/>
        <rFont val="微软雅黑"/>
        <family val="2"/>
        <charset val="134"/>
      </rPr>
      <t>K</t>
    </r>
    <r>
      <rPr>
        <sz val="10"/>
        <rFont val="Noto Sans CJK SC"/>
        <family val="2"/>
      </rPr>
      <t>液位</t>
    </r>
  </si>
  <si>
    <t>R1175</t>
  </si>
  <si>
    <t>:LT_1302K</t>
  </si>
  <si>
    <t>LT_1302L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</si>
  <si>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原点描述：氨水计量罐</t>
    </r>
    <r>
      <rPr>
        <sz val="10"/>
        <rFont val="微软雅黑"/>
        <family val="2"/>
        <charset val="134"/>
      </rPr>
      <t>L</t>
    </r>
    <r>
      <rPr>
        <sz val="10"/>
        <rFont val="Noto Sans CJK SC"/>
        <family val="2"/>
      </rPr>
      <t>液位</t>
    </r>
  </si>
  <si>
    <t>R1176</t>
  </si>
  <si>
    <t>:LT_1302L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</si>
  <si>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原点描述：压缩气体总管压力</t>
    </r>
  </si>
  <si>
    <t>R1177</t>
  </si>
  <si>
    <t>:PT_1301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</si>
  <si>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原点描述：水解缓冲罐液位</t>
    </r>
  </si>
  <si>
    <t>R1178</t>
  </si>
  <si>
    <t>:LT_1303</t>
  </si>
  <si>
    <t>SJGAB_PT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</si>
  <si>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原点描述：水解液</t>
    </r>
    <r>
      <rPr>
        <sz val="10"/>
        <rFont val="微软雅黑"/>
        <family val="2"/>
        <charset val="134"/>
      </rPr>
      <t>AB</t>
    </r>
    <r>
      <rPr>
        <sz val="10"/>
        <rFont val="Noto Sans CJK SC"/>
        <family val="2"/>
      </rPr>
      <t>泵压力反馈</t>
    </r>
  </si>
  <si>
    <t>R1179</t>
  </si>
  <si>
    <t>:SJGAB_PT</t>
  </si>
  <si>
    <t>SJGCD_PT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</si>
  <si>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原点描述：水解液</t>
    </r>
    <r>
      <rPr>
        <sz val="10"/>
        <rFont val="微软雅黑"/>
        <family val="2"/>
        <charset val="134"/>
      </rPr>
      <t>CD</t>
    </r>
    <r>
      <rPr>
        <sz val="10"/>
        <rFont val="Noto Sans CJK SC"/>
        <family val="2"/>
      </rPr>
      <t>泵压力反馈</t>
    </r>
  </si>
  <si>
    <t>R1180</t>
  </si>
  <si>
    <t>:SJGCD_PT</t>
  </si>
  <si>
    <t>PT_1020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</si>
  <si>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原点描述：水解缓冲罐输送泵后压力</t>
    </r>
  </si>
  <si>
    <t>R1181</t>
  </si>
  <si>
    <t>:PT_1020</t>
  </si>
  <si>
    <r>
      <rPr>
        <sz val="10"/>
        <rFont val="Noto Sans CJK SC"/>
        <family val="2"/>
      </rPr>
      <t>水解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指示控制器</t>
    </r>
    <r>
      <rPr>
        <sz val="10"/>
        <rFont val="微软雅黑"/>
        <family val="2"/>
        <charset val="134"/>
      </rPr>
      <t>(AIC-1301)</t>
    </r>
  </si>
  <si>
    <r>
      <rPr>
        <sz val="10"/>
        <rFont val="Noto Sans CJK SC"/>
        <family val="2"/>
      </rPr>
      <t>氨水调节阀</t>
    </r>
    <r>
      <rPr>
        <sz val="10"/>
        <rFont val="微软雅黑"/>
        <family val="2"/>
        <charset val="134"/>
      </rPr>
      <t>HV_1302</t>
    </r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</si>
  <si>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控制器根据偏差调节氨水滴加（经氨水计量罐）</t>
    </r>
  </si>
  <si>
    <t>R1182</t>
  </si>
  <si>
    <t>:Ctrl_025</t>
  </si>
  <si>
    <t>:Act_025</t>
  </si>
  <si>
    <t>HV_1302_AO</t>
  </si>
  <si>
    <r>
      <rPr>
        <sz val="10"/>
        <rFont val="Noto Sans CJK SC"/>
        <family val="2"/>
      </rPr>
      <t>反应体系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反馈给水解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指示控制器</t>
    </r>
    <r>
      <rPr>
        <sz val="10"/>
        <rFont val="微软雅黑"/>
        <family val="2"/>
        <charset val="134"/>
      </rPr>
      <t>(AIC-1301)</t>
    </r>
  </si>
  <si>
    <t>R1183</t>
  </si>
  <si>
    <r>
      <rPr>
        <sz val="10"/>
        <rFont val="Noto Sans CJK SC"/>
        <family val="2"/>
      </rPr>
      <t>氨水调节阀</t>
    </r>
    <r>
      <rPr>
        <sz val="10"/>
        <rFont val="微软雅黑"/>
        <family val="2"/>
        <charset val="134"/>
      </rPr>
      <t>HV_1302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频率变化直接改变反应体系</t>
    </r>
    <r>
      <rPr>
        <sz val="10"/>
        <rFont val="微软雅黑"/>
        <family val="2"/>
        <charset val="134"/>
      </rPr>
      <t>pH</t>
    </r>
  </si>
  <si>
    <t>R1184</t>
  </si>
  <si>
    <r>
      <rPr>
        <sz val="10"/>
        <rFont val="Noto Sans CJK SC"/>
        <family val="2"/>
      </rPr>
      <t>水解温度指示控制器</t>
    </r>
    <r>
      <rPr>
        <sz val="10"/>
        <rFont val="微软雅黑"/>
        <family val="2"/>
        <charset val="134"/>
      </rPr>
      <t>(TIC-1301)</t>
    </r>
  </si>
  <si>
    <r>
      <rPr>
        <sz val="10"/>
        <rFont val="Noto Sans CJK SC"/>
        <family val="2"/>
      </rPr>
      <t>热水阀</t>
    </r>
    <r>
      <rPr>
        <sz val="10"/>
        <rFont val="微软雅黑"/>
        <family val="2"/>
        <charset val="134"/>
      </rPr>
      <t>HV_1301</t>
    </r>
  </si>
  <si>
    <t>调节热水维持反应温度</t>
  </si>
  <si>
    <t>R1185</t>
  </si>
  <si>
    <t>:Ctrl_026</t>
  </si>
  <si>
    <t>:Act_026</t>
  </si>
  <si>
    <t>HV_1301_AO</t>
  </si>
  <si>
    <r>
      <rPr>
        <sz val="10"/>
        <rFont val="Noto Sans CJK SC"/>
        <family val="2"/>
      </rPr>
      <t>釜内反应温度作为过程变量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反馈给水解温度指示控制器</t>
    </r>
    <r>
      <rPr>
        <sz val="10"/>
        <rFont val="微软雅黑"/>
        <family val="2"/>
        <charset val="134"/>
      </rPr>
      <t>(TIC-1301)</t>
    </r>
  </si>
  <si>
    <t>R1186</t>
  </si>
  <si>
    <r>
      <rPr>
        <sz val="10"/>
        <rFont val="Noto Sans CJK SC"/>
        <family val="2"/>
      </rPr>
      <t>热水阀</t>
    </r>
    <r>
      <rPr>
        <sz val="10"/>
        <rFont val="微软雅黑"/>
        <family val="2"/>
        <charset val="134"/>
      </rPr>
      <t>HV_1301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频率变化直接改变釜内反应温度</t>
    </r>
  </si>
  <si>
    <t>R1187</t>
  </si>
  <si>
    <r>
      <rPr>
        <sz val="10"/>
        <rFont val="Noto Sans CJK SC"/>
        <family val="2"/>
      </rPr>
      <t>北排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进料控制器</t>
    </r>
    <r>
      <rPr>
        <sz val="10"/>
        <rFont val="微软雅黑"/>
        <family val="2"/>
        <charset val="134"/>
      </rPr>
      <t>(FIC-1302A)</t>
    </r>
  </si>
  <si>
    <r>
      <rPr>
        <sz val="10"/>
        <rFont val="Noto Sans CJK SC"/>
        <family val="2"/>
      </rPr>
      <t>北排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调节阀</t>
    </r>
    <r>
      <rPr>
        <sz val="10"/>
        <rFont val="微软雅黑"/>
        <family val="2"/>
        <charset val="134"/>
      </rPr>
      <t>HV_1308</t>
    </r>
  </si>
  <si>
    <r>
      <rPr>
        <sz val="10"/>
        <rFont val="Noto Sans CJK SC"/>
        <family val="2"/>
      </rPr>
      <t>按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初始量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加量定量进料</t>
    </r>
  </si>
  <si>
    <t>批次定量</t>
  </si>
  <si>
    <t>R1188</t>
  </si>
  <si>
    <t>:Ctrl_027</t>
  </si>
  <si>
    <t>:Act_027</t>
  </si>
  <si>
    <t>HV_1308_AO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</si>
  <si>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进料流量作为过程变量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反馈给北排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进料控制器</t>
    </r>
    <r>
      <rPr>
        <sz val="10"/>
        <rFont val="微软雅黑"/>
        <family val="2"/>
        <charset val="134"/>
      </rPr>
      <t>(FIC-1302A)</t>
    </r>
  </si>
  <si>
    <t>R1189</t>
  </si>
  <si>
    <r>
      <rPr>
        <sz val="10"/>
        <rFont val="Noto Sans CJK SC"/>
        <family val="2"/>
      </rPr>
      <t>北排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调节阀</t>
    </r>
    <r>
      <rPr>
        <sz val="10"/>
        <rFont val="微软雅黑"/>
        <family val="2"/>
        <charset val="134"/>
      </rPr>
      <t>HV_1308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进料流量</t>
    </r>
  </si>
  <si>
    <t>R1190</t>
  </si>
  <si>
    <r>
      <rPr>
        <sz val="10"/>
        <rFont val="Noto Sans CJK SC"/>
        <family val="2"/>
      </rPr>
      <t>南排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进料控制器</t>
    </r>
    <r>
      <rPr>
        <sz val="10"/>
        <rFont val="微软雅黑"/>
        <family val="2"/>
        <charset val="134"/>
      </rPr>
      <t>(FIC-1302B)</t>
    </r>
  </si>
  <si>
    <r>
      <rPr>
        <sz val="10"/>
        <rFont val="Noto Sans CJK SC"/>
        <family val="2"/>
      </rPr>
      <t>南排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调节阀</t>
    </r>
    <r>
      <rPr>
        <sz val="10"/>
        <rFont val="微软雅黑"/>
        <family val="2"/>
        <charset val="134"/>
      </rPr>
      <t>HV_1309</t>
    </r>
  </si>
  <si>
    <t>R1191</t>
  </si>
  <si>
    <t>:Ctrl_028</t>
  </si>
  <si>
    <t>:Act_028</t>
  </si>
  <si>
    <t>HV_1309_AO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</si>
  <si>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进料流量作为过程变量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反馈给南排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进料控制器</t>
    </r>
    <r>
      <rPr>
        <sz val="10"/>
        <rFont val="微软雅黑"/>
        <family val="2"/>
        <charset val="134"/>
      </rPr>
      <t>(FIC-1302B)</t>
    </r>
  </si>
  <si>
    <t>R1192</t>
  </si>
  <si>
    <r>
      <rPr>
        <sz val="10"/>
        <rFont val="Noto Sans CJK SC"/>
        <family val="2"/>
      </rPr>
      <t>南排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调节阀</t>
    </r>
    <r>
      <rPr>
        <sz val="10"/>
        <rFont val="微软雅黑"/>
        <family val="2"/>
        <charset val="134"/>
      </rPr>
      <t>HV_1309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进料流量</t>
    </r>
  </si>
  <si>
    <t>R1193</t>
  </si>
  <si>
    <r>
      <rPr>
        <sz val="10"/>
        <rFont val="Noto Sans CJK SC"/>
        <family val="2"/>
      </rPr>
      <t>北排硼酸进料控制器</t>
    </r>
    <r>
      <rPr>
        <sz val="10"/>
        <rFont val="微软雅黑"/>
        <family val="2"/>
        <charset val="134"/>
      </rPr>
      <t>(FIC-1301A)</t>
    </r>
  </si>
  <si>
    <r>
      <rPr>
        <sz val="10"/>
        <rFont val="Noto Sans CJK SC"/>
        <family val="2"/>
      </rPr>
      <t>北排硼酸调节阀</t>
    </r>
    <r>
      <rPr>
        <sz val="10"/>
        <rFont val="微软雅黑"/>
        <family val="2"/>
        <charset val="134"/>
      </rPr>
      <t>HV_1310</t>
    </r>
  </si>
  <si>
    <t>R1194</t>
  </si>
  <si>
    <t>:Ctrl_029</t>
  </si>
  <si>
    <t>:Act_029</t>
  </si>
  <si>
    <t>HV_1310_AO</t>
  </si>
  <si>
    <r>
      <rPr>
        <sz val="10"/>
        <rFont val="Noto Sans CJK SC"/>
        <family val="2"/>
      </rPr>
      <t>硼酸进料流量作为过程变量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反馈给北排硼酸进料控制器</t>
    </r>
    <r>
      <rPr>
        <sz val="10"/>
        <rFont val="微软雅黑"/>
        <family val="2"/>
        <charset val="134"/>
      </rPr>
      <t>(FIC-1301A)</t>
    </r>
  </si>
  <si>
    <t>R1195</t>
  </si>
  <si>
    <r>
      <rPr>
        <sz val="10"/>
        <rFont val="Noto Sans CJK SC"/>
        <family val="2"/>
      </rPr>
      <t>北排硼酸调节阀</t>
    </r>
    <r>
      <rPr>
        <sz val="10"/>
        <rFont val="微软雅黑"/>
        <family val="2"/>
        <charset val="134"/>
      </rPr>
      <t>HV_1310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频率变化直接改变硼酸进料流量</t>
    </r>
  </si>
  <si>
    <t>R1196</t>
  </si>
  <si>
    <r>
      <rPr>
        <sz val="10"/>
        <rFont val="Noto Sans CJK SC"/>
        <family val="2"/>
      </rPr>
      <t>南排硼酸进料控制器</t>
    </r>
    <r>
      <rPr>
        <sz val="10"/>
        <rFont val="微软雅黑"/>
        <family val="2"/>
        <charset val="134"/>
      </rPr>
      <t>(FIC-1301B)</t>
    </r>
  </si>
  <si>
    <r>
      <rPr>
        <sz val="10"/>
        <rFont val="Noto Sans CJK SC"/>
        <family val="2"/>
      </rPr>
      <t>南排硼酸调节阀</t>
    </r>
    <r>
      <rPr>
        <sz val="10"/>
        <rFont val="微软雅黑"/>
        <family val="2"/>
        <charset val="134"/>
      </rPr>
      <t>HV_1311</t>
    </r>
  </si>
  <si>
    <t>R1197</t>
  </si>
  <si>
    <t>:Ctrl_030</t>
  </si>
  <si>
    <t>:Act_030</t>
  </si>
  <si>
    <t>HV_1311_AO</t>
  </si>
  <si>
    <r>
      <rPr>
        <sz val="10"/>
        <rFont val="Noto Sans CJK SC"/>
        <family val="2"/>
      </rPr>
      <t>硼酸进料流量作为过程变量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反馈给南排硼酸进料控制器</t>
    </r>
    <r>
      <rPr>
        <sz val="10"/>
        <rFont val="微软雅黑"/>
        <family val="2"/>
        <charset val="134"/>
      </rPr>
      <t>(FIC-1301B)</t>
    </r>
  </si>
  <si>
    <t>R1198</t>
  </si>
  <si>
    <r>
      <rPr>
        <sz val="10"/>
        <rFont val="Noto Sans CJK SC"/>
        <family val="2"/>
      </rPr>
      <t>南排硼酸调节阀</t>
    </r>
    <r>
      <rPr>
        <sz val="10"/>
        <rFont val="微软雅黑"/>
        <family val="2"/>
        <charset val="134"/>
      </rPr>
      <t>HV_1311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频率变化直接改变硼酸进料流量</t>
    </r>
  </si>
  <si>
    <t>R1199</t>
  </si>
  <si>
    <t>水解液出料控制</t>
  </si>
  <si>
    <r>
      <rPr>
        <sz val="10"/>
        <rFont val="Noto Sans CJK SC"/>
        <family val="2"/>
      </rPr>
      <t>水解液泵调节阀</t>
    </r>
    <r>
      <rPr>
        <sz val="10"/>
        <rFont val="微软雅黑"/>
        <family val="2"/>
        <charset val="134"/>
      </rPr>
      <t>SJGAB/SJGCD/SJGEF</t>
    </r>
  </si>
  <si>
    <t>R1200</t>
  </si>
  <si>
    <t>:Ctrl_031</t>
  </si>
  <si>
    <t>:Act_031</t>
  </si>
  <si>
    <r>
      <rPr>
        <sz val="10"/>
        <rFont val="微软雅黑"/>
        <family val="2"/>
        <charset val="134"/>
      </rPr>
      <t>SJGAB_TJFZL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SJGCD_TJFZL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SJGEF_TJFZL</t>
    </r>
  </si>
  <si>
    <r>
      <rPr>
        <sz val="10"/>
        <rFont val="Noto Sans CJK SC"/>
        <family val="2"/>
      </rPr>
      <t>水解液缓冲罐液位作为过程变量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反馈给水解液出料控制</t>
    </r>
  </si>
  <si>
    <t>R1201</t>
  </si>
  <si>
    <r>
      <rPr>
        <sz val="10"/>
        <rFont val="Noto Sans CJK SC"/>
        <family val="2"/>
      </rPr>
      <t>水解液泵调节阀</t>
    </r>
    <r>
      <rPr>
        <sz val="10"/>
        <rFont val="微软雅黑"/>
        <family val="2"/>
        <charset val="134"/>
      </rPr>
      <t>SJGAB/SJGCD/SJGEF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频率变化直接改变水解液缓冲罐液位</t>
    </r>
  </si>
  <si>
    <t>R1202</t>
  </si>
  <si>
    <t>水解罐进出料气动切断阀</t>
  </si>
  <si>
    <r>
      <rPr>
        <sz val="10"/>
        <rFont val="Noto Sans CJK SC"/>
        <family val="2"/>
      </rPr>
      <t>连续水解批次调度程序</t>
    </r>
    <r>
      <rPr>
        <sz val="10"/>
        <rFont val="微软雅黑"/>
        <family val="2"/>
        <charset val="134"/>
      </rPr>
      <t>(SFC)</t>
    </r>
  </si>
  <si>
    <r>
      <rPr>
        <sz val="10"/>
        <rFont val="Noto Sans CJK SC"/>
        <family val="2"/>
      </rPr>
      <t>水解连续控制面板：启动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停止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暂停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当前输出罐号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编号状态</t>
    </r>
  </si>
  <si>
    <t>R1203</t>
  </si>
  <si>
    <t>:Act_S06_1157</t>
  </si>
  <si>
    <t>:Seq_06</t>
  </si>
  <si>
    <t>R1204</t>
  </si>
  <si>
    <t>R1205</t>
  </si>
  <si>
    <t>水解液缓冲罐高位报警</t>
  </si>
  <si>
    <r>
      <rPr>
        <sz val="10"/>
        <rFont val="Noto Sans CJK SC"/>
        <family val="2"/>
      </rPr>
      <t>越限触发“水解液缓冲罐高位报警”：检查各水解罐进料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暂停出料</t>
    </r>
  </si>
  <si>
    <t>R1206</t>
  </si>
  <si>
    <t>:Alarm_09</t>
  </si>
  <si>
    <t>压缩空气压力低出料注意</t>
  </si>
  <si>
    <t>越限触发“压缩空气压力低出料注意”：压料出料不畅</t>
  </si>
  <si>
    <t>R1207</t>
  </si>
  <si>
    <t>:Alarm_10</t>
  </si>
  <si>
    <r>
      <rPr>
        <sz val="10"/>
        <rFont val="Noto Sans CJK SC"/>
        <family val="2"/>
      </rPr>
      <t>水解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不合格</t>
    </r>
  </si>
  <si>
    <r>
      <rPr>
        <sz val="10"/>
        <rFont val="Noto Sans CJK SC"/>
        <family val="2"/>
      </rPr>
      <t>越限触发“水解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不合格”：罐状态显示“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不合格”</t>
    </r>
  </si>
  <si>
    <t>R1208</t>
  </si>
  <si>
    <t>:Alarm_11</t>
  </si>
  <si>
    <r>
      <rPr>
        <sz val="10"/>
        <rFont val="微软雅黑"/>
        <family val="2"/>
        <charset val="134"/>
      </rPr>
      <t>AT_1301A1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AT_1301A2</t>
    </r>
  </si>
  <si>
    <t>R1209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</si>
  <si>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进水解罐</t>
    </r>
    <r>
      <rPr>
        <sz val="10"/>
        <rFont val="微软雅黑"/>
        <family val="2"/>
        <charset val="134"/>
      </rPr>
      <t>(FT_1302A/B)</t>
    </r>
  </si>
  <si>
    <t>R1210</t>
  </si>
  <si>
    <t>底物浓缩液定量打入水解釜</t>
  </si>
  <si>
    <t>R1211</t>
  </si>
  <si>
    <t>配制好的硼酸缓冲体系进入水解釜</t>
  </si>
  <si>
    <t>R1212</t>
  </si>
  <si>
    <t>滴加入</t>
  </si>
  <si>
    <r>
      <rPr>
        <sz val="10"/>
        <rFont val="Noto Sans CJK SC"/>
        <family val="2"/>
      </rPr>
      <t>经氨水计量罐根据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动态滴加</t>
    </r>
  </si>
  <si>
    <t>R1213</t>
  </si>
  <si>
    <t>:dosedInto</t>
  </si>
  <si>
    <r>
      <rPr>
        <sz val="10"/>
        <rFont val="Noto Sans CJK SC"/>
        <family val="2"/>
      </rPr>
      <t>压缩空气压料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排空</t>
    </r>
  </si>
  <si>
    <t>R1214</t>
  </si>
  <si>
    <r>
      <rPr>
        <sz val="10"/>
        <rFont val="Noto Sans CJK SC"/>
        <family val="2"/>
      </rPr>
      <t>热水阀</t>
    </r>
    <r>
      <rPr>
        <sz val="10"/>
        <rFont val="微软雅黑"/>
        <family val="2"/>
        <charset val="134"/>
      </rPr>
      <t>HV_1301</t>
    </r>
    <r>
      <rPr>
        <sz val="10"/>
        <rFont val="Noto Sans CJK SC"/>
        <family val="2"/>
      </rPr>
      <t>控温</t>
    </r>
  </si>
  <si>
    <t>反应过程</t>
  </si>
  <si>
    <t>R1215</t>
  </si>
  <si>
    <r>
      <rPr>
        <sz val="10"/>
        <rFont val="Noto Sans CJK SC"/>
        <family val="2"/>
      </rPr>
      <t>酶催化裂解生成含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与苯乙酸的混合反应液</t>
    </r>
  </si>
  <si>
    <t>R1216</t>
  </si>
  <si>
    <t>水解终点出料汇入水解液缓冲罐暂存</t>
  </si>
  <si>
    <t>R1217</t>
  </si>
  <si>
    <t>母液返工料</t>
  </si>
  <si>
    <r>
      <rPr>
        <sz val="10"/>
        <rFont val="Noto Sans CJK SC"/>
        <family val="2"/>
      </rPr>
      <t>母液回收</t>
    </r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返工</t>
    </r>
  </si>
  <si>
    <t>R1218</t>
  </si>
  <si>
    <t>:MS_MLRework</t>
  </si>
  <si>
    <r>
      <rPr>
        <sz val="10"/>
        <rFont val="Noto Sans CJK SC"/>
        <family val="2"/>
      </rPr>
      <t>热水预热伴热温度升高，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进料温度同向升高</t>
    </r>
  </si>
  <si>
    <t>R1219</t>
  </si>
  <si>
    <r>
      <rPr>
        <sz val="10"/>
        <rFont val="微软雅黑"/>
        <family val="2"/>
        <charset val="134"/>
      </rPr>
      <t>TI_1310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TI_1303</t>
    </r>
  </si>
  <si>
    <t>底物来料温度高直接拉高初始釜温</t>
  </si>
  <si>
    <t>R1220</t>
  </si>
  <si>
    <r>
      <rPr>
        <sz val="10"/>
        <rFont val="微软雅黑"/>
        <family val="2"/>
        <charset val="134"/>
      </rPr>
      <t>TI_1303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TI_1301A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TI_1301B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TI_1301C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TI_1301D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TI_1301E…</t>
    </r>
  </si>
  <si>
    <r>
      <rPr>
        <sz val="10"/>
        <rFont val="Noto Sans CJK SC"/>
        <family val="2"/>
      </rPr>
      <t>反应超温</t>
    </r>
    <r>
      <rPr>
        <sz val="10"/>
        <rFont val="微软雅黑"/>
        <family val="2"/>
        <charset val="134"/>
      </rPr>
      <t>(&gt;35℃)</t>
    </r>
    <r>
      <rPr>
        <sz val="10"/>
        <rFont val="Noto Sans CJK SC"/>
        <family val="2"/>
      </rPr>
      <t>导致酰化酶热变性失活</t>
    </r>
  </si>
  <si>
    <t>R1221</t>
  </si>
  <si>
    <r>
      <rPr>
        <sz val="10"/>
        <rFont val="微软雅黑"/>
        <family val="2"/>
        <charset val="134"/>
      </rPr>
      <t>TI_1301A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TI_1301B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TI_1301C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TI_1301D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TI_1301E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TI_1301F…</t>
    </r>
  </si>
  <si>
    <r>
      <rPr>
        <sz val="10"/>
        <rFont val="Noto Sans CJK SC"/>
        <family val="2"/>
      </rPr>
      <t>超温加速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母环开环降解</t>
    </r>
  </si>
  <si>
    <t>R1222</t>
  </si>
  <si>
    <t>最适温度范围内升温加快反应</t>
  </si>
  <si>
    <t>R1223</t>
  </si>
  <si>
    <r>
      <rPr>
        <sz val="10"/>
        <rFont val="Noto Sans CJK SC"/>
        <family val="2"/>
      </rPr>
      <t>最适</t>
    </r>
    <r>
      <rPr>
        <sz val="10"/>
        <rFont val="微软雅黑"/>
        <family val="2"/>
        <charset val="134"/>
      </rPr>
      <t>pH(7.8–8.2)</t>
    </r>
    <r>
      <rPr>
        <sz val="10"/>
        <rFont val="Noto Sans CJK SC"/>
        <family val="2"/>
      </rPr>
      <t>效率最高，偏离则受抑</t>
    </r>
  </si>
  <si>
    <t>R1224</t>
  </si>
  <si>
    <r>
      <rPr>
        <sz val="10"/>
        <rFont val="微软雅黑"/>
        <family val="2"/>
        <charset val="134"/>
      </rPr>
      <t>pH&gt;8.5</t>
    </r>
    <r>
      <rPr>
        <sz val="10"/>
        <rFont val="Noto Sans CJK SC"/>
        <family val="2"/>
      </rPr>
      <t>碱性开环加剧</t>
    </r>
  </si>
  <si>
    <t>R1225</t>
  </si>
  <si>
    <r>
      <rPr>
        <sz val="10"/>
        <rFont val="Noto Sans CJK SC"/>
        <family val="2"/>
      </rPr>
      <t>滴加氨水中和苯乙酸，抬升</t>
    </r>
    <r>
      <rPr>
        <sz val="10"/>
        <rFont val="微软雅黑"/>
        <family val="2"/>
        <charset val="134"/>
      </rPr>
      <t>pH</t>
    </r>
  </si>
  <si>
    <t>R1226</t>
  </si>
  <si>
    <t>计量罐液位下降量即加氨量</t>
  </si>
  <si>
    <t>数据派生</t>
  </si>
  <si>
    <t>R1227</t>
  </si>
  <si>
    <r>
      <rPr>
        <sz val="10"/>
        <rFont val="微软雅黑"/>
        <family val="2"/>
        <charset val="134"/>
      </rPr>
      <t>LT_1302A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LT_1302B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LT_1302C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LT_1302D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LT_1302E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LT_1302F…</t>
    </r>
  </si>
  <si>
    <t>反应释放苯乙酸需等当量氨中和，氨耗即反应进度</t>
  </si>
  <si>
    <t>R1228</t>
  </si>
  <si>
    <t>氨耗速率趋零判定终点</t>
  </si>
  <si>
    <t>R1229</t>
  </si>
  <si>
    <t>适度剪切加速底物向酶颗粒微孔扩散</t>
  </si>
  <si>
    <t>R1230</t>
  </si>
  <si>
    <t>剪切过大造成酶颗粒破碎流失</t>
  </si>
  <si>
    <t>R1231</t>
  </si>
  <si>
    <t>R1232</t>
  </si>
  <si>
    <t>R1233</t>
  </si>
  <si>
    <r>
      <rPr>
        <sz val="10"/>
        <rFont val="微软雅黑"/>
        <family val="2"/>
        <charset val="134"/>
      </rPr>
      <t>FT_1302A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FT_1302B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SJGYW_A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SJGYW_B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SJGYW_C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SJGYW_D…</t>
    </r>
  </si>
  <si>
    <t>压料动力不足出料慢</t>
  </si>
  <si>
    <t>R1234</t>
  </si>
  <si>
    <r>
      <rPr>
        <sz val="10"/>
        <rFont val="微软雅黑"/>
        <family val="2"/>
        <charset val="134"/>
      </rPr>
      <t>PT_1301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SJGAB_PT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SJGCD_PT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PT_1020</t>
    </r>
  </si>
  <si>
    <r>
      <rPr>
        <sz val="10"/>
        <rFont val="Noto Sans CJK SC"/>
        <family val="2"/>
      </rPr>
      <t>伴热进汽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热水量增大导致反应釜温上升</t>
    </r>
  </si>
  <si>
    <t>R1235</t>
  </si>
  <si>
    <t>反应速率快且彻底，转化率高</t>
  </si>
  <si>
    <t>R1236</t>
  </si>
  <si>
    <t>酶活稳定保证批次转化彻底</t>
  </si>
  <si>
    <t>R1237</t>
  </si>
  <si>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单位能耗</t>
    </r>
  </si>
  <si>
    <t>酶寿命影响吨产品酶耗与成本（以成本类指标承载）</t>
  </si>
  <si>
    <t>成本关联</t>
  </si>
  <si>
    <t>R1238</t>
  </si>
  <si>
    <t>:BKPI_305</t>
  </si>
  <si>
    <t>前体转化不完全直接导致终点结晶收率下跌</t>
  </si>
  <si>
    <t>R1239</t>
  </si>
  <si>
    <t>R1240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</si>
  <si>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批次结晶与离心</t>
    </r>
  </si>
  <si>
    <r>
      <rPr>
        <sz val="10"/>
        <rFont val="Noto Sans CJK SC"/>
        <family val="2"/>
      </rPr>
      <t>衔接物料：</t>
    </r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重液。重液缓冲罐→去结晶换热器→结晶罐（</t>
    </r>
    <r>
      <rPr>
        <sz val="10"/>
        <rFont val="微软雅黑"/>
        <family val="2"/>
        <charset val="134"/>
      </rPr>
      <t>FT_1005/FT_1310</t>
    </r>
    <r>
      <rPr>
        <sz val="10"/>
        <rFont val="Noto Sans CJK SC"/>
        <family val="2"/>
      </rPr>
      <t>）</t>
    </r>
  </si>
  <si>
    <t>S12</t>
  </si>
  <si>
    <t>R1241</t>
  </si>
  <si>
    <t>:Area_S13_BatchCrystallization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</si>
  <si>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连续结晶</t>
    </r>
  </si>
  <si>
    <r>
      <rPr>
        <sz val="10"/>
        <rFont val="Noto Sans CJK SC"/>
        <family val="2"/>
      </rPr>
      <t>衔接物料：</t>
    </r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重液。</t>
    </r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重液总管→</t>
    </r>
    <r>
      <rPr>
        <sz val="10"/>
        <rFont val="微软雅黑"/>
        <family val="2"/>
        <charset val="134"/>
      </rPr>
      <t>E101→C101</t>
    </r>
  </si>
  <si>
    <t>R1242</t>
  </si>
  <si>
    <t>:Area_S14_ContinuousCrystallization</t>
  </si>
  <si>
    <t>苯乙酸回收与混合溶媒配制</t>
  </si>
  <si>
    <t>衔接物料：反萃重相（苯乙酸钠液）。反萃离心机重相送苯乙酸回收</t>
  </si>
  <si>
    <t>R1243</t>
  </si>
  <si>
    <t>:Area_S19_PAARecovery</t>
  </si>
  <si>
    <r>
      <rPr>
        <sz val="10"/>
        <rFont val="Noto Sans CJK SC"/>
        <family val="2"/>
      </rPr>
      <t>衔接物料：反萃轻相（废溶媒）。反萃轻相缓冲罐去回收（</t>
    </r>
    <r>
      <rPr>
        <sz val="10"/>
        <rFont val="微软雅黑"/>
        <family val="2"/>
        <charset val="134"/>
      </rPr>
      <t>HV_1026</t>
    </r>
    <r>
      <rPr>
        <sz val="10"/>
        <rFont val="Noto Sans CJK SC"/>
        <family val="2"/>
      </rPr>
      <t>）</t>
    </r>
  </si>
  <si>
    <t>R1244</t>
  </si>
  <si>
    <t>水解液换热器组</t>
  </si>
  <si>
    <t>萃取与反萃（苯乙酸分离）包含板式换热器“水解液换热器组”</t>
  </si>
  <si>
    <t>R1245</t>
  </si>
  <si>
    <t>:HydrolysateCoolers</t>
  </si>
  <si>
    <t>萃取</t>
  </si>
  <si>
    <t>水解液缓冲罐回流换热器</t>
  </si>
  <si>
    <r>
      <rPr>
        <sz val="10"/>
        <rFont val="Noto Sans CJK SC"/>
        <family val="2"/>
      </rPr>
      <t>水解液换热器组的并联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</si>
  <si>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R1246</t>
  </si>
  <si>
    <t>:HydrolysateCoolers_M01</t>
  </si>
  <si>
    <t>水解液缓冲罐去萃取换热器</t>
  </si>
  <si>
    <t>R1247</t>
  </si>
  <si>
    <t>:HydrolysateCoolers_M02</t>
  </si>
  <si>
    <r>
      <rPr>
        <sz val="10"/>
        <rFont val="Noto Sans CJK SC"/>
        <family val="2"/>
      </rPr>
      <t>水解液换热器组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冷盐水调节阀</t>
    </r>
    <r>
      <rPr>
        <sz val="10"/>
        <rFont val="微软雅黑"/>
        <family val="2"/>
        <charset val="134"/>
      </rPr>
      <t>HV_1016/1017/1018</t>
    </r>
  </si>
  <si>
    <r>
      <rPr>
        <sz val="10"/>
        <rFont val="Noto Sans CJK SC"/>
        <family val="2"/>
      </rPr>
      <t>水解液换热器组配置冷盐水调节阀</t>
    </r>
    <r>
      <rPr>
        <sz val="10"/>
        <rFont val="微软雅黑"/>
        <family val="2"/>
        <charset val="134"/>
      </rPr>
      <t>HV_1016/1017/1018</t>
    </r>
  </si>
  <si>
    <t>R1248</t>
  </si>
  <si>
    <t>:HydrolysateCoolers_P01</t>
  </si>
  <si>
    <t>盐酸缓冲罐</t>
  </si>
  <si>
    <t>萃取与反萃（苯乙酸分离）包含储罐“盐酸缓冲罐”</t>
  </si>
  <si>
    <t>R1249</t>
  </si>
  <si>
    <t>:HClBufferTank</t>
  </si>
  <si>
    <r>
      <rPr>
        <sz val="10"/>
        <rFont val="Noto Sans CJK SC"/>
        <family val="2"/>
      </rPr>
      <t>盐酸缓冲罐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输送泵</t>
    </r>
  </si>
  <si>
    <t>盐酸缓冲罐配置输送泵</t>
  </si>
  <si>
    <t>R1250</t>
  </si>
  <si>
    <t>:HClBufferTank_P01</t>
  </si>
  <si>
    <r>
      <rPr>
        <sz val="10"/>
        <rFont val="Noto Sans CJK SC"/>
        <family val="2"/>
      </rPr>
      <t>萃取喷射器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酸化混合器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</si>
  <si>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萃取与反萃（苯乙酸分离）包含喷射混合器“萃取喷射器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酸化混合器</t>
    </r>
    <r>
      <rPr>
        <sz val="10"/>
        <rFont val="微软雅黑"/>
        <family val="2"/>
        <charset val="134"/>
      </rPr>
      <t>)”</t>
    </r>
  </si>
  <si>
    <t>R1251</t>
  </si>
  <si>
    <t>:ExtractionEjector</t>
  </si>
  <si>
    <r>
      <rPr>
        <sz val="10"/>
        <rFont val="Noto Sans CJK SC"/>
        <family val="2"/>
      </rPr>
      <t>萃取喷射器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</si>
  <si>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萃取喷射器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酸化混合器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</si>
  <si>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R1252</t>
  </si>
  <si>
    <t>:ExtractionEjector_M01</t>
  </si>
  <si>
    <r>
      <rPr>
        <sz val="10"/>
        <rFont val="Noto Sans CJK SC"/>
        <family val="2"/>
      </rPr>
      <t>萃取喷射器</t>
    </r>
    <r>
      <rPr>
        <sz val="10"/>
        <rFont val="微软雅黑"/>
        <family val="2"/>
        <charset val="134"/>
      </rPr>
      <t>B</t>
    </r>
  </si>
  <si>
    <t>R1253</t>
  </si>
  <si>
    <t>:ExtractionEjector_M02</t>
  </si>
  <si>
    <r>
      <rPr>
        <sz val="10"/>
        <rFont val="Noto Sans CJK SC"/>
        <family val="2"/>
      </rPr>
      <t>萃取喷射器</t>
    </r>
    <r>
      <rPr>
        <sz val="10"/>
        <rFont val="微软雅黑"/>
        <family val="2"/>
        <charset val="134"/>
      </rPr>
      <t>C</t>
    </r>
  </si>
  <si>
    <t>R1254</t>
  </si>
  <si>
    <t>:ExtractionEjector_M03</t>
  </si>
  <si>
    <r>
      <rPr>
        <sz val="10"/>
        <rFont val="Noto Sans CJK SC"/>
        <family val="2"/>
      </rPr>
      <t>萃取喷射器</t>
    </r>
    <r>
      <rPr>
        <sz val="10"/>
        <rFont val="微软雅黑"/>
        <family val="2"/>
        <charset val="134"/>
      </rPr>
      <t>D</t>
    </r>
  </si>
  <si>
    <t>R1255</t>
  </si>
  <si>
    <t>:ExtractionEjector_M04</t>
  </si>
  <si>
    <r>
      <rPr>
        <sz val="10"/>
        <rFont val="Noto Sans CJK SC"/>
        <family val="2"/>
      </rPr>
      <t>混合溶媒罐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缓冲罐</t>
    </r>
  </si>
  <si>
    <r>
      <rPr>
        <sz val="10"/>
        <rFont val="Noto Sans CJK SC"/>
        <family val="2"/>
      </rPr>
      <t>萃取与反萃（苯乙酸分离）包含储罐“混合溶媒罐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缓冲罐”</t>
    </r>
  </si>
  <si>
    <t>R1256</t>
  </si>
  <si>
    <t>:MixedSolventTank</t>
  </si>
  <si>
    <t>混合溶媒罐</t>
  </si>
  <si>
    <r>
      <rPr>
        <sz val="10"/>
        <rFont val="Noto Sans CJK SC"/>
        <family val="2"/>
      </rPr>
      <t>混合溶媒罐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缓冲罐的并联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</si>
  <si>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R1257</t>
  </si>
  <si>
    <t>:MixedSolventTank_M01</t>
  </si>
  <si>
    <t>混合溶媒缓冲罐</t>
  </si>
  <si>
    <t>R1258</t>
  </si>
  <si>
    <t>:MixedSolventTank_M02</t>
  </si>
  <si>
    <t>混合溶媒储罐卧罐</t>
  </si>
  <si>
    <t>R1259</t>
  </si>
  <si>
    <t>:MixedSolventTank_M03</t>
  </si>
  <si>
    <r>
      <rPr>
        <sz val="10"/>
        <rFont val="Noto Sans CJK SC"/>
        <family val="2"/>
      </rPr>
      <t>混合溶媒罐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换热器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冷盐水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</si>
  <si>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混合溶媒罐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缓冲罐配置换热器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冷盐水</t>
    </r>
    <r>
      <rPr>
        <sz val="10"/>
        <rFont val="微软雅黑"/>
        <family val="2"/>
        <charset val="134"/>
      </rPr>
      <t>)</t>
    </r>
  </si>
  <si>
    <t>R1260</t>
  </si>
  <si>
    <t>:MixedSolventTank_P01</t>
  </si>
  <si>
    <r>
      <rPr>
        <sz val="10"/>
        <rFont val="Noto Sans CJK SC"/>
        <family val="2"/>
      </rPr>
      <t>混合溶媒罐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</si>
  <si>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r>
      <rPr>
        <sz val="10"/>
        <rFont val="Noto Sans CJK SC"/>
        <family val="2"/>
      </rPr>
      <t>混合溶媒罐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缓冲罐配置液位计</t>
    </r>
  </si>
  <si>
    <t>R1261</t>
  </si>
  <si>
    <t>:MixedSolventTank_P02</t>
  </si>
  <si>
    <t>一萃离心机组</t>
  </si>
  <si>
    <t>萃取与反萃（苯乙酸分离）包含碟片离心机“一萃离心机组”</t>
  </si>
  <si>
    <t>R1262</t>
  </si>
  <si>
    <t>:ExtCentrifuge1</t>
  </si>
  <si>
    <r>
      <rPr>
        <sz val="10"/>
        <rFont val="Noto Sans CJK SC"/>
        <family val="2"/>
      </rPr>
      <t>萃取离心机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</si>
  <si>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一萃离心机组的并联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</si>
  <si>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R1263</t>
  </si>
  <si>
    <t>:ExtCentrifuge1_M01</t>
  </si>
  <si>
    <r>
      <rPr>
        <sz val="10"/>
        <rFont val="Noto Sans CJK SC"/>
        <family val="2"/>
      </rPr>
      <t>萃取离心机</t>
    </r>
    <r>
      <rPr>
        <sz val="10"/>
        <rFont val="微软雅黑"/>
        <family val="2"/>
        <charset val="134"/>
      </rPr>
      <t>B</t>
    </r>
  </si>
  <si>
    <t>R1264</t>
  </si>
  <si>
    <t>:ExtCentrifuge1_M02</t>
  </si>
  <si>
    <r>
      <rPr>
        <sz val="10"/>
        <rFont val="Noto Sans CJK SC"/>
        <family val="2"/>
      </rPr>
      <t>萃取离心机</t>
    </r>
    <r>
      <rPr>
        <sz val="10"/>
        <rFont val="微软雅黑"/>
        <family val="2"/>
        <charset val="134"/>
      </rPr>
      <t>C</t>
    </r>
  </si>
  <si>
    <t>R1265</t>
  </si>
  <si>
    <t>:ExtCentrifuge1_M03</t>
  </si>
  <si>
    <r>
      <rPr>
        <sz val="10"/>
        <rFont val="Noto Sans CJK SC"/>
        <family val="2"/>
      </rPr>
      <t>萃取离心机</t>
    </r>
    <r>
      <rPr>
        <sz val="10"/>
        <rFont val="微软雅黑"/>
        <family val="2"/>
        <charset val="134"/>
      </rPr>
      <t>D</t>
    </r>
  </si>
  <si>
    <t>R1266</t>
  </si>
  <si>
    <t>:ExtCentrifuge1_M04</t>
  </si>
  <si>
    <r>
      <rPr>
        <sz val="10"/>
        <rFont val="Noto Sans CJK SC"/>
        <family val="2"/>
      </rPr>
      <t>一萃离心机组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碟片分离转鼓</t>
    </r>
  </si>
  <si>
    <t>一萃离心机组配置碟片分离转鼓</t>
  </si>
  <si>
    <t>R1267</t>
  </si>
  <si>
    <t>:ExtCentrifuge1_P01</t>
  </si>
  <si>
    <r>
      <rPr>
        <sz val="10"/>
        <rFont val="Noto Sans CJK SC"/>
        <family val="2"/>
      </rPr>
      <t>一萃离心机组</t>
    </r>
    <r>
      <rPr>
        <sz val="10"/>
        <rFont val="微软雅黑"/>
        <family val="2"/>
        <charset val="134"/>
      </rPr>
      <t>·pH</t>
    </r>
    <r>
      <rPr>
        <sz val="10"/>
        <rFont val="Noto Sans CJK SC"/>
        <family val="2"/>
      </rPr>
      <t>开关阀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保护阀</t>
    </r>
    <r>
      <rPr>
        <sz val="10"/>
        <rFont val="微软雅黑"/>
        <family val="2"/>
        <charset val="134"/>
      </rPr>
      <t>XV_1314</t>
    </r>
  </si>
  <si>
    <r>
      <rPr>
        <sz val="10"/>
        <rFont val="Noto Sans CJK SC"/>
        <family val="2"/>
      </rPr>
      <t>一萃离心机组配置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开关阀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保护阀</t>
    </r>
    <r>
      <rPr>
        <sz val="10"/>
        <rFont val="微软雅黑"/>
        <family val="2"/>
        <charset val="134"/>
      </rPr>
      <t>XV_1314</t>
    </r>
  </si>
  <si>
    <t>R1268</t>
  </si>
  <si>
    <t>:ExtCentrifuge1_P02</t>
  </si>
  <si>
    <t>二萃离心机组</t>
  </si>
  <si>
    <t>萃取与反萃（苯乙酸分离）包含碟片离心机“二萃离心机组”</t>
  </si>
  <si>
    <t>R1269</t>
  </si>
  <si>
    <t>:ExtCentrifuge2</t>
  </si>
  <si>
    <r>
      <rPr>
        <sz val="10"/>
        <rFont val="Noto Sans CJK SC"/>
        <family val="2"/>
      </rPr>
      <t>萃取离心机</t>
    </r>
    <r>
      <rPr>
        <sz val="10"/>
        <rFont val="微软雅黑"/>
        <family val="2"/>
        <charset val="134"/>
      </rPr>
      <t>E</t>
    </r>
  </si>
  <si>
    <r>
      <rPr>
        <sz val="10"/>
        <rFont val="Noto Sans CJK SC"/>
        <family val="2"/>
      </rPr>
      <t>二萃离心机组的并联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</si>
  <si>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R1270</t>
  </si>
  <si>
    <t>:ExtCentrifuge2_M01</t>
  </si>
  <si>
    <r>
      <rPr>
        <sz val="10"/>
        <rFont val="Noto Sans CJK SC"/>
        <family val="2"/>
      </rPr>
      <t>萃取离心机</t>
    </r>
    <r>
      <rPr>
        <sz val="10"/>
        <rFont val="微软雅黑"/>
        <family val="2"/>
        <charset val="134"/>
      </rPr>
      <t>F</t>
    </r>
  </si>
  <si>
    <t>R1271</t>
  </si>
  <si>
    <t>:ExtCentrifuge2_M02</t>
  </si>
  <si>
    <r>
      <rPr>
        <sz val="10"/>
        <rFont val="Noto Sans CJK SC"/>
        <family val="2"/>
      </rPr>
      <t>萃取离心机</t>
    </r>
    <r>
      <rPr>
        <sz val="10"/>
        <rFont val="微软雅黑"/>
        <family val="2"/>
        <charset val="134"/>
      </rPr>
      <t>G</t>
    </r>
  </si>
  <si>
    <t>R1272</t>
  </si>
  <si>
    <t>:ExtCentrifuge2_M03</t>
  </si>
  <si>
    <r>
      <rPr>
        <sz val="10"/>
        <rFont val="Noto Sans CJK SC"/>
        <family val="2"/>
      </rPr>
      <t>萃取离心机</t>
    </r>
    <r>
      <rPr>
        <sz val="10"/>
        <rFont val="微软雅黑"/>
        <family val="2"/>
        <charset val="134"/>
      </rPr>
      <t>H</t>
    </r>
  </si>
  <si>
    <t>R1273</t>
  </si>
  <si>
    <t>:ExtCentrifuge2_M04</t>
  </si>
  <si>
    <r>
      <rPr>
        <sz val="10"/>
        <rFont val="Noto Sans CJK SC"/>
        <family val="2"/>
      </rPr>
      <t>二萃离心机组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碟片分离转鼓</t>
    </r>
  </si>
  <si>
    <t>二萃离心机组配置碟片分离转鼓</t>
  </si>
  <si>
    <t>R1274</t>
  </si>
  <si>
    <t>:ExtCentrifuge2_P01</t>
  </si>
  <si>
    <r>
      <rPr>
        <sz val="10"/>
        <rFont val="Noto Sans CJK SC"/>
        <family val="2"/>
      </rPr>
      <t>二萃离心机组</t>
    </r>
    <r>
      <rPr>
        <sz val="10"/>
        <rFont val="微软雅黑"/>
        <family val="2"/>
        <charset val="134"/>
      </rPr>
      <t>·pH</t>
    </r>
    <r>
      <rPr>
        <sz val="10"/>
        <rFont val="Noto Sans CJK SC"/>
        <family val="2"/>
      </rPr>
      <t>开关阀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保护阀</t>
    </r>
    <r>
      <rPr>
        <sz val="10"/>
        <rFont val="微软雅黑"/>
        <family val="2"/>
        <charset val="134"/>
      </rPr>
      <t>XV_1315</t>
    </r>
  </si>
  <si>
    <r>
      <rPr>
        <sz val="10"/>
        <rFont val="Noto Sans CJK SC"/>
        <family val="2"/>
      </rPr>
      <t>二萃离心机组配置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开关阀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保护阀</t>
    </r>
    <r>
      <rPr>
        <sz val="10"/>
        <rFont val="微软雅黑"/>
        <family val="2"/>
        <charset val="134"/>
      </rPr>
      <t>XV_1315</t>
    </r>
  </si>
  <si>
    <t>R1275</t>
  </si>
  <si>
    <t>:ExtCentrifuge2_P02</t>
  </si>
  <si>
    <t>反萃离心机组</t>
  </si>
  <si>
    <t>萃取与反萃（苯乙酸分离）包含碟片离心机“反萃离心机组”</t>
  </si>
  <si>
    <t>R1276</t>
  </si>
  <si>
    <t>:BackExtCentrifugeR</t>
  </si>
  <si>
    <r>
      <rPr>
        <sz val="10"/>
        <rFont val="Noto Sans CJK SC"/>
        <family val="2"/>
      </rPr>
      <t>萃取离心机</t>
    </r>
    <r>
      <rPr>
        <sz val="10"/>
        <rFont val="微软雅黑"/>
        <family val="2"/>
        <charset val="134"/>
      </rPr>
      <t>I</t>
    </r>
  </si>
  <si>
    <r>
      <rPr>
        <sz val="10"/>
        <rFont val="Noto Sans CJK SC"/>
        <family val="2"/>
      </rPr>
      <t>反萃离心机组的并联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</si>
  <si>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R1277</t>
  </si>
  <si>
    <t>:BackExtCentrifugeR_M01</t>
  </si>
  <si>
    <r>
      <rPr>
        <sz val="10"/>
        <rFont val="Noto Sans CJK SC"/>
        <family val="2"/>
      </rPr>
      <t>萃取离心机</t>
    </r>
    <r>
      <rPr>
        <sz val="10"/>
        <rFont val="微软雅黑"/>
        <family val="2"/>
        <charset val="134"/>
      </rPr>
      <t>J</t>
    </r>
  </si>
  <si>
    <t>R1278</t>
  </si>
  <si>
    <t>:BackExtCentrifugeR_M02</t>
  </si>
  <si>
    <r>
      <rPr>
        <sz val="10"/>
        <rFont val="Noto Sans CJK SC"/>
        <family val="2"/>
      </rPr>
      <t>反萃离心机组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碟片分离转鼓</t>
    </r>
  </si>
  <si>
    <t>反萃离心机组配置碟片分离转鼓</t>
  </si>
  <si>
    <t>R1279</t>
  </si>
  <si>
    <t>:BackExtCentrifugeR_P01</t>
  </si>
  <si>
    <r>
      <rPr>
        <sz val="10"/>
        <rFont val="Noto Sans CJK SC"/>
        <family val="2"/>
      </rPr>
      <t>萃取分相罐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室外分相罐</t>
    </r>
  </si>
  <si>
    <r>
      <rPr>
        <sz val="10"/>
        <rFont val="Noto Sans CJK SC"/>
        <family val="2"/>
      </rPr>
      <t>萃取与反萃（苯乙酸分离）包含分相罐“萃取分相罐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室外分相罐”</t>
    </r>
  </si>
  <si>
    <t>R1280</t>
  </si>
  <si>
    <t>:PhaseSeparator</t>
  </si>
  <si>
    <r>
      <rPr>
        <sz val="10"/>
        <rFont val="Noto Sans CJK SC"/>
        <family val="2"/>
      </rPr>
      <t>萃取分相罐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室外分相罐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</si>
  <si>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r>
      <rPr>
        <sz val="10"/>
        <rFont val="Noto Sans CJK SC"/>
        <family val="2"/>
      </rPr>
      <t>萃取分相罐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室外分相罐配置液位计</t>
    </r>
  </si>
  <si>
    <t>R1281</t>
  </si>
  <si>
    <t>:PhaseSeparator_P01</t>
  </si>
  <si>
    <r>
      <rPr>
        <sz val="10"/>
        <rFont val="Noto Sans CJK SC"/>
        <family val="2"/>
      </rPr>
      <t>萃取分相罐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室外分相罐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温度计</t>
    </r>
  </si>
  <si>
    <r>
      <rPr>
        <sz val="10"/>
        <rFont val="Noto Sans CJK SC"/>
        <family val="2"/>
      </rPr>
      <t>萃取分相罐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室外分相罐配置温度计</t>
    </r>
  </si>
  <si>
    <t>R1282</t>
  </si>
  <si>
    <t>:PhaseSeparator_P02</t>
  </si>
  <si>
    <r>
      <rPr>
        <sz val="10"/>
        <rFont val="Noto Sans CJK SC"/>
        <family val="2"/>
      </rPr>
      <t>萃取分相罐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室外分相罐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出料调节阀</t>
    </r>
  </si>
  <si>
    <r>
      <rPr>
        <sz val="10"/>
        <rFont val="Noto Sans CJK SC"/>
        <family val="2"/>
      </rPr>
      <t>萃取分相罐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室外分相罐配置出料调节阀</t>
    </r>
  </si>
  <si>
    <t>R1283</t>
  </si>
  <si>
    <t>:PhaseSeparator_P03</t>
  </si>
  <si>
    <r>
      <rPr>
        <sz val="10"/>
        <rFont val="Noto Sans CJK SC"/>
        <family val="2"/>
      </rPr>
      <t>重液缓冲罐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萃取离心机重相缓冲罐</t>
    </r>
  </si>
  <si>
    <r>
      <rPr>
        <sz val="10"/>
        <rFont val="Noto Sans CJK SC"/>
        <family val="2"/>
      </rPr>
      <t>萃取与反萃（苯乙酸分离）包含储罐“重液缓冲罐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萃取离心机重相缓冲罐”</t>
    </r>
  </si>
  <si>
    <t>R1284</t>
  </si>
  <si>
    <t>:HeavyLiquorBuffer</t>
  </si>
  <si>
    <t>重液缓冲罐</t>
  </si>
  <si>
    <r>
      <rPr>
        <sz val="10"/>
        <rFont val="Noto Sans CJK SC"/>
        <family val="2"/>
      </rPr>
      <t>重液缓冲罐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萃取离心机重相缓冲罐的并联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</si>
  <si>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R1285</t>
  </si>
  <si>
    <t>:HeavyLiquorBuffer_M01</t>
  </si>
  <si>
    <t>萃取离心机重相缓冲罐</t>
  </si>
  <si>
    <t>R1286</t>
  </si>
  <si>
    <t>:HeavyLiquorBuffer_M02</t>
  </si>
  <si>
    <t>重相缓冲罐</t>
  </si>
  <si>
    <t>R1287</t>
  </si>
  <si>
    <t>:HeavyLiquorBuffer_M03</t>
  </si>
  <si>
    <r>
      <rPr>
        <sz val="10"/>
        <rFont val="Noto Sans CJK SC"/>
        <family val="2"/>
      </rPr>
      <t>重液缓冲罐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萃取离心机重相缓冲罐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回流换热器</t>
    </r>
  </si>
  <si>
    <r>
      <rPr>
        <sz val="10"/>
        <rFont val="Noto Sans CJK SC"/>
        <family val="2"/>
      </rPr>
      <t>重液缓冲罐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萃取离心机重相缓冲罐配置回流换热器</t>
    </r>
  </si>
  <si>
    <t>R1288</t>
  </si>
  <si>
    <t>:HeavyLiquorBuffer_P01</t>
  </si>
  <si>
    <r>
      <rPr>
        <sz val="10"/>
        <rFont val="Noto Sans CJK SC"/>
        <family val="2"/>
      </rPr>
      <t>重液缓冲罐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萃取离心机重相缓冲罐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去结晶换热器</t>
    </r>
  </si>
  <si>
    <r>
      <rPr>
        <sz val="10"/>
        <rFont val="Noto Sans CJK SC"/>
        <family val="2"/>
      </rPr>
      <t>重液缓冲罐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萃取离心机重相缓冲罐配置去结晶换热器</t>
    </r>
  </si>
  <si>
    <t>R1289</t>
  </si>
  <si>
    <t>:HeavyLiquorBuffer_P02</t>
  </si>
  <si>
    <t>萃取重液过滤器</t>
  </si>
  <si>
    <t>萃取与反萃（苯乙酸分离）包含过滤器“萃取重液过滤器”</t>
  </si>
  <si>
    <t>R1290</t>
  </si>
  <si>
    <t>:HeavyLiquorFilter</t>
  </si>
  <si>
    <r>
      <rPr>
        <sz val="10"/>
        <rFont val="Noto Sans CJK SC"/>
        <family val="2"/>
      </rPr>
      <t>过滤器</t>
    </r>
    <r>
      <rPr>
        <sz val="10"/>
        <rFont val="微软雅黑"/>
        <family val="2"/>
        <charset val="134"/>
      </rPr>
      <t>1#–6#</t>
    </r>
  </si>
  <si>
    <r>
      <rPr>
        <sz val="10"/>
        <rFont val="Noto Sans CJK SC"/>
        <family val="2"/>
      </rPr>
      <t>萃取重液过滤器的并联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</si>
  <si>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R1291</t>
  </si>
  <si>
    <t>:HeavyLiquorFilter_M01</t>
  </si>
  <si>
    <t>萃取轻相罐</t>
  </si>
  <si>
    <t>萃取与反萃（苯乙酸分离）包含储罐“萃取轻相罐”</t>
  </si>
  <si>
    <t>R1292</t>
  </si>
  <si>
    <t>:ExtLightTank</t>
  </si>
  <si>
    <r>
      <rPr>
        <sz val="10"/>
        <rFont val="Noto Sans CJK SC"/>
        <family val="2"/>
      </rPr>
      <t>萃取轻相罐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</si>
  <si>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萃取轻相罐的并联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</si>
  <si>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R1293</t>
  </si>
  <si>
    <t>:ExtLightTank_M01</t>
  </si>
  <si>
    <r>
      <rPr>
        <sz val="10"/>
        <rFont val="Noto Sans CJK SC"/>
        <family val="2"/>
      </rPr>
      <t>萃取轻相罐</t>
    </r>
    <r>
      <rPr>
        <sz val="10"/>
        <rFont val="微软雅黑"/>
        <family val="2"/>
        <charset val="134"/>
      </rPr>
      <t>B</t>
    </r>
  </si>
  <si>
    <t>R1294</t>
  </si>
  <si>
    <t>:ExtLightTank_M02</t>
  </si>
  <si>
    <r>
      <rPr>
        <sz val="10"/>
        <rFont val="Noto Sans CJK SC"/>
        <family val="2"/>
      </rPr>
      <t>萃取轻相罐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</si>
  <si>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t>萃取轻相罐配置液位计</t>
  </si>
  <si>
    <t>R1295</t>
  </si>
  <si>
    <t>:ExtLightTank_P01</t>
  </si>
  <si>
    <r>
      <rPr>
        <sz val="10"/>
        <rFont val="Noto Sans CJK SC"/>
        <family val="2"/>
      </rPr>
      <t>反萃取轻相罐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反萃轻相缓冲罐</t>
    </r>
  </si>
  <si>
    <r>
      <rPr>
        <sz val="10"/>
        <rFont val="Noto Sans CJK SC"/>
        <family val="2"/>
      </rPr>
      <t>萃取与反萃（苯乙酸分离）包含储罐“反萃取轻相罐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反萃轻相缓冲罐”</t>
    </r>
  </si>
  <si>
    <t>R1296</t>
  </si>
  <si>
    <t>:BackExtLightTank</t>
  </si>
  <si>
    <r>
      <rPr>
        <sz val="10"/>
        <rFont val="Noto Sans CJK SC"/>
        <family val="2"/>
      </rPr>
      <t>反萃取轻相罐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反萃轻相缓冲罐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密度计</t>
    </r>
  </si>
  <si>
    <r>
      <rPr>
        <sz val="10"/>
        <rFont val="Noto Sans CJK SC"/>
        <family val="2"/>
      </rPr>
      <t>反萃取轻相罐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反萃轻相缓冲罐配置密度计</t>
    </r>
  </si>
  <si>
    <t>R1297</t>
  </si>
  <si>
    <t>:BackExtLightTank_P01</t>
  </si>
  <si>
    <r>
      <rPr>
        <sz val="10"/>
        <rFont val="Noto Sans CJK SC"/>
        <family val="2"/>
      </rPr>
      <t>反萃取轻相罐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反萃轻相缓冲罐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去回收调节阀</t>
    </r>
    <r>
      <rPr>
        <sz val="10"/>
        <rFont val="微软雅黑"/>
        <family val="2"/>
        <charset val="134"/>
      </rPr>
      <t>HV_1026</t>
    </r>
  </si>
  <si>
    <r>
      <rPr>
        <sz val="10"/>
        <rFont val="Noto Sans CJK SC"/>
        <family val="2"/>
      </rPr>
      <t>反萃取轻相罐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反萃轻相缓冲罐配置去回收调节阀</t>
    </r>
    <r>
      <rPr>
        <sz val="10"/>
        <rFont val="微软雅黑"/>
        <family val="2"/>
        <charset val="134"/>
      </rPr>
      <t>HV_1026</t>
    </r>
  </si>
  <si>
    <t>R1298</t>
  </si>
  <si>
    <t>:BackExtLightTank_P02</t>
  </si>
  <si>
    <t>去萃取换热器出口温度</t>
  </si>
  <si>
    <t>R1299</t>
  </si>
  <si>
    <t>回流换热器出口温度</t>
  </si>
  <si>
    <t>水解液换热器组的回流换热器出口温度</t>
  </si>
  <si>
    <t>R1300</t>
  </si>
  <si>
    <t>:Attr_134</t>
  </si>
  <si>
    <r>
      <rPr>
        <sz val="10"/>
        <rFont val="微软雅黑"/>
        <family val="2"/>
        <charset val="134"/>
      </rPr>
      <t>TI_1005A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TI_1005B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TI_1307C</t>
    </r>
  </si>
  <si>
    <r>
      <rPr>
        <sz val="10"/>
        <rFont val="Noto Sans CJK SC"/>
        <family val="2"/>
      </rPr>
      <t>酸化体系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</si>
  <si>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萃取离心机进料</t>
    </r>
    <r>
      <rPr>
        <sz val="10"/>
        <rFont val="微软雅黑"/>
        <family val="2"/>
        <charset val="134"/>
      </rPr>
      <t>pH</t>
    </r>
  </si>
  <si>
    <t>R1301</t>
  </si>
  <si>
    <t>:Attr_135</t>
  </si>
  <si>
    <t>AT_1302</t>
  </si>
  <si>
    <t>萃取混合液温度</t>
  </si>
  <si>
    <r>
      <rPr>
        <sz val="10"/>
        <rFont val="Noto Sans CJK SC"/>
        <family val="2"/>
      </rPr>
      <t>萃取喷射器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酸化混合器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的萃取混合液温度</t>
    </r>
  </si>
  <si>
    <t>R1302</t>
  </si>
  <si>
    <t>:Attr_136</t>
  </si>
  <si>
    <r>
      <rPr>
        <sz val="10"/>
        <rFont val="微软雅黑"/>
        <family val="2"/>
        <charset val="134"/>
      </rPr>
      <t>TI_CQ01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TI_CQ02</t>
    </r>
  </si>
  <si>
    <t>一萃离心机组的水解液进料流量</t>
  </si>
  <si>
    <t>R1303</t>
  </si>
  <si>
    <t>盐酸进料流量</t>
  </si>
  <si>
    <t>一萃离心机组的盐酸进料流量</t>
  </si>
  <si>
    <t>R1304</t>
  </si>
  <si>
    <t>:Attr_138</t>
  </si>
  <si>
    <t>FT_1305</t>
  </si>
  <si>
    <t>混合溶媒进料流量</t>
  </si>
  <si>
    <t>一萃离心机组的混合溶媒进料流量</t>
  </si>
  <si>
    <t>R1305</t>
  </si>
  <si>
    <t>:Attr_139</t>
  </si>
  <si>
    <t>FT_1303</t>
  </si>
  <si>
    <t>回流混合溶媒流量</t>
  </si>
  <si>
    <t>一萃离心机组的回流混合溶媒流量</t>
  </si>
  <si>
    <t>R1306</t>
  </si>
  <si>
    <t>:Attr_140</t>
  </si>
  <si>
    <t>FT_1003</t>
  </si>
  <si>
    <t>一萃重液流量</t>
  </si>
  <si>
    <t>二萃离心机组的一萃重液流量</t>
  </si>
  <si>
    <t>R1307</t>
  </si>
  <si>
    <t>:Attr_141</t>
  </si>
  <si>
    <t>FT_1307</t>
  </si>
  <si>
    <t>二萃溶媒流量</t>
  </si>
  <si>
    <t>二萃离心机组的二萃溶媒流量</t>
  </si>
  <si>
    <t>R1308</t>
  </si>
  <si>
    <t>:Attr_142</t>
  </si>
  <si>
    <t>FT_1306</t>
  </si>
  <si>
    <r>
      <rPr>
        <sz val="10"/>
        <rFont val="Noto Sans CJK SC"/>
        <family val="2"/>
      </rPr>
      <t>萃取出料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</si>
  <si>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二萃离心机组的萃取出料</t>
    </r>
    <r>
      <rPr>
        <sz val="10"/>
        <rFont val="微软雅黑"/>
        <family val="2"/>
        <charset val="134"/>
      </rPr>
      <t>pH</t>
    </r>
  </si>
  <si>
    <t>R1309</t>
  </si>
  <si>
    <t>:Attr_143</t>
  </si>
  <si>
    <t>AT_1304</t>
  </si>
  <si>
    <t>反萃液碱流量</t>
  </si>
  <si>
    <t>反萃离心机组的反萃液碱流量</t>
  </si>
  <si>
    <t>R1310</t>
  </si>
  <si>
    <t>:Attr_144</t>
  </si>
  <si>
    <t>FT_1309</t>
  </si>
  <si>
    <t>反萃混合流量</t>
  </si>
  <si>
    <t>反萃离心机组的反萃混合流量</t>
  </si>
  <si>
    <t>R1311</t>
  </si>
  <si>
    <t>:Attr_145</t>
  </si>
  <si>
    <t>FT_1308</t>
  </si>
  <si>
    <r>
      <rPr>
        <sz val="10"/>
        <rFont val="Noto Sans CJK SC"/>
        <family val="2"/>
      </rPr>
      <t>反萃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</si>
  <si>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反萃离心机组的反萃</t>
    </r>
    <r>
      <rPr>
        <sz val="10"/>
        <rFont val="微软雅黑"/>
        <family val="2"/>
        <charset val="134"/>
      </rPr>
      <t>pH</t>
    </r>
  </si>
  <si>
    <t>R1312</t>
  </si>
  <si>
    <t>:Attr_146</t>
  </si>
  <si>
    <t>AT_1303</t>
  </si>
  <si>
    <t>分相罐液位</t>
  </si>
  <si>
    <r>
      <rPr>
        <sz val="10"/>
        <rFont val="Noto Sans CJK SC"/>
        <family val="2"/>
      </rPr>
      <t>萃取分相罐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室外分相罐的分相罐液位</t>
    </r>
  </si>
  <si>
    <t>R1313</t>
  </si>
  <si>
    <t>:Attr_147</t>
  </si>
  <si>
    <r>
      <rPr>
        <sz val="10"/>
        <rFont val="微软雅黑"/>
        <family val="2"/>
        <charset val="134"/>
      </rPr>
      <t>LE_FXG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LE_FXG01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LT_RM01</t>
    </r>
  </si>
  <si>
    <t>分相罐温度</t>
  </si>
  <si>
    <r>
      <rPr>
        <sz val="10"/>
        <rFont val="Noto Sans CJK SC"/>
        <family val="2"/>
      </rPr>
      <t>萃取分相罐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室外分相罐的分相罐温度</t>
    </r>
  </si>
  <si>
    <t>R1314</t>
  </si>
  <si>
    <t>:Attr_148</t>
  </si>
  <si>
    <t>TE_FXG</t>
  </si>
  <si>
    <t>分相罐重相流量</t>
  </si>
  <si>
    <r>
      <rPr>
        <sz val="10"/>
        <rFont val="Noto Sans CJK SC"/>
        <family val="2"/>
      </rPr>
      <t>萃取分相罐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室外分相罐的分相罐重相流量</t>
    </r>
  </si>
  <si>
    <t>R1315</t>
  </si>
  <si>
    <t>:Attr_149</t>
  </si>
  <si>
    <r>
      <rPr>
        <sz val="10"/>
        <rFont val="微软雅黑"/>
        <family val="2"/>
        <charset val="134"/>
      </rPr>
      <t>FE_FXG_ZX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FE_FXG_ZX0</t>
    </r>
  </si>
  <si>
    <t>重液缓冲罐液位</t>
  </si>
  <si>
    <r>
      <rPr>
        <sz val="10"/>
        <rFont val="Noto Sans CJK SC"/>
        <family val="2"/>
      </rPr>
      <t>重液缓冲罐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萃取离心机重相缓冲罐的重液缓冲罐液位</t>
    </r>
  </si>
  <si>
    <t>R1316</t>
  </si>
  <si>
    <t>:Attr_150</t>
  </si>
  <si>
    <r>
      <rPr>
        <sz val="10"/>
        <rFont val="微软雅黑"/>
        <family val="2"/>
        <charset val="134"/>
      </rPr>
      <t>LT_1314A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LT_1314B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LT_1318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LE_ZXHCG</t>
    </r>
  </si>
  <si>
    <t>重液去结晶温度</t>
  </si>
  <si>
    <r>
      <rPr>
        <sz val="10"/>
        <rFont val="Noto Sans CJK SC"/>
        <family val="2"/>
      </rPr>
      <t>重液缓冲罐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萃取离心机重相缓冲罐的重液去结晶温度</t>
    </r>
  </si>
  <si>
    <t>R1317</t>
  </si>
  <si>
    <t>:Attr_151</t>
  </si>
  <si>
    <r>
      <rPr>
        <sz val="10"/>
        <rFont val="微软雅黑"/>
        <family val="2"/>
        <charset val="134"/>
      </rPr>
      <t>TI_1305A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TI_1305B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TI_1009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TI_1010A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TI_1010B</t>
    </r>
  </si>
  <si>
    <t>重液去结晶流量</t>
  </si>
  <si>
    <r>
      <rPr>
        <sz val="10"/>
        <rFont val="Noto Sans CJK SC"/>
        <family val="2"/>
      </rPr>
      <t>重液缓冲罐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萃取离心机重相缓冲罐的重液去结晶流量</t>
    </r>
  </si>
  <si>
    <t>R1318</t>
  </si>
  <si>
    <t>:Attr_152</t>
  </si>
  <si>
    <r>
      <rPr>
        <sz val="10"/>
        <rFont val="微软雅黑"/>
        <family val="2"/>
        <charset val="134"/>
      </rPr>
      <t>FT_1310A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FT_1310B</t>
    </r>
  </si>
  <si>
    <t>萃取轻相罐液位</t>
  </si>
  <si>
    <t>萃取轻相罐的萃取轻相罐液位</t>
  </si>
  <si>
    <t>R1319</t>
  </si>
  <si>
    <t>:Attr_153</t>
  </si>
  <si>
    <r>
      <rPr>
        <sz val="10"/>
        <rFont val="微软雅黑"/>
        <family val="2"/>
        <charset val="134"/>
      </rPr>
      <t>LT_1315A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LT_1315B</t>
    </r>
  </si>
  <si>
    <t>反萃轻相罐液位</t>
  </si>
  <si>
    <r>
      <rPr>
        <sz val="10"/>
        <rFont val="Noto Sans CJK SC"/>
        <family val="2"/>
      </rPr>
      <t>反萃取轻相罐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反萃轻相缓冲罐的反萃轻相罐液位</t>
    </r>
  </si>
  <si>
    <t>R1320</t>
  </si>
  <si>
    <t>:Attr_154</t>
  </si>
  <si>
    <t>LT_1313</t>
  </si>
  <si>
    <t>反萃轻相密度</t>
  </si>
  <si>
    <t>点表描述为密度</t>
  </si>
  <si>
    <t>R1321</t>
  </si>
  <si>
    <t>:Attr_155</t>
  </si>
  <si>
    <t>HV_1019_FB</t>
  </si>
  <si>
    <t>混合溶媒罐液位</t>
  </si>
  <si>
    <r>
      <rPr>
        <sz val="10"/>
        <rFont val="Noto Sans CJK SC"/>
        <family val="2"/>
      </rPr>
      <t>混合溶媒罐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缓冲罐的混合溶媒罐液位</t>
    </r>
  </si>
  <si>
    <t>R1322</t>
  </si>
  <si>
    <t>:Attr_156</t>
  </si>
  <si>
    <t>LT_1312</t>
  </si>
  <si>
    <t>混合溶媒温度</t>
  </si>
  <si>
    <r>
      <rPr>
        <sz val="10"/>
        <rFont val="Noto Sans CJK SC"/>
        <family val="2"/>
      </rPr>
      <t>混合溶媒罐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缓冲罐的混合溶媒温度</t>
    </r>
  </si>
  <si>
    <t>R1323</t>
  </si>
  <si>
    <t>:Attr_157</t>
  </si>
  <si>
    <r>
      <rPr>
        <sz val="10"/>
        <rFont val="微软雅黑"/>
        <family val="2"/>
        <charset val="134"/>
      </rPr>
      <t>TI_1306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TI_1007</t>
    </r>
  </si>
  <si>
    <t>来自回收溶媒流量</t>
  </si>
  <si>
    <r>
      <rPr>
        <sz val="10"/>
        <rFont val="Noto Sans CJK SC"/>
        <family val="2"/>
      </rPr>
      <t>混合溶媒罐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缓冲罐的来自回收溶媒流量</t>
    </r>
  </si>
  <si>
    <t>R1324</t>
  </si>
  <si>
    <t>:Attr_158</t>
  </si>
  <si>
    <t>FT_1314</t>
  </si>
  <si>
    <t>苯乙酸两相分配系数</t>
  </si>
  <si>
    <r>
      <rPr>
        <sz val="10"/>
        <rFont val="Noto Sans CJK SC"/>
        <family val="2"/>
      </rPr>
      <t>一萃离心机组的苯乙酸两相分配系数（机理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</si>
  <si>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R1325</t>
  </si>
  <si>
    <t>:Attr_276</t>
  </si>
  <si>
    <r>
      <rPr>
        <sz val="10"/>
        <rFont val="Noto Sans CJK SC"/>
        <family val="2"/>
      </rPr>
      <t>一萃离心机组的有机水相相比</t>
    </r>
    <r>
      <rPr>
        <sz val="10"/>
        <rFont val="微软雅黑"/>
        <family val="2"/>
        <charset val="134"/>
      </rPr>
      <t>(O/A</t>
    </r>
    <r>
      <rPr>
        <sz val="10"/>
        <rFont val="Noto Sans CJK SC"/>
        <family val="2"/>
      </rPr>
      <t>比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</si>
  <si>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R1326</t>
  </si>
  <si>
    <t>萃取分配平衡度</t>
  </si>
  <si>
    <r>
      <rPr>
        <sz val="10"/>
        <rFont val="Noto Sans CJK SC"/>
        <family val="2"/>
      </rPr>
      <t>一萃离心机组的萃取分配平衡度（机理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</si>
  <si>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R1327</t>
  </si>
  <si>
    <t>:Attr_278</t>
  </si>
  <si>
    <t>相界面热乳化程度</t>
  </si>
  <si>
    <r>
      <rPr>
        <sz val="10"/>
        <rFont val="Noto Sans CJK SC"/>
        <family val="2"/>
      </rPr>
      <t>一萃离心机组的相界面热乳化程度（机理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</si>
  <si>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R1328</t>
  </si>
  <si>
    <t>:Attr_279</t>
  </si>
  <si>
    <r>
      <rPr>
        <sz val="10"/>
        <rFont val="Noto Sans CJK SC"/>
        <family val="2"/>
      </rPr>
      <t>二萃离心机组的离心分相澄清度（机理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</si>
  <si>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R1329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</si>
  <si>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酸性降解速率</t>
    </r>
  </si>
  <si>
    <r>
      <rPr>
        <sz val="10"/>
        <rFont val="微软雅黑"/>
        <family val="2"/>
        <charset val="134"/>
      </rPr>
      <t>β-</t>
    </r>
    <r>
      <rPr>
        <sz val="10"/>
        <rFont val="Noto Sans CJK SC"/>
        <family val="2"/>
      </rPr>
      <t>内酰胺在低</t>
    </r>
    <r>
      <rPr>
        <sz val="10"/>
        <rFont val="微软雅黑"/>
        <family val="2"/>
        <charset val="134"/>
      </rPr>
      <t>pH/</t>
    </r>
    <r>
      <rPr>
        <sz val="10"/>
        <rFont val="Noto Sans CJK SC"/>
        <family val="2"/>
      </rPr>
      <t>高温下开环</t>
    </r>
  </si>
  <si>
    <t>R1330</t>
  </si>
  <si>
    <t>:Attr_281</t>
  </si>
  <si>
    <t>重液苯乙酸残留</t>
  </si>
  <si>
    <r>
      <rPr>
        <sz val="10"/>
        <rFont val="Noto Sans CJK SC"/>
        <family val="2"/>
      </rPr>
      <t>重液缓冲罐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萃取离心机重相缓冲罐的重液苯乙酸残留（机理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</si>
  <si>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R1331</t>
  </si>
  <si>
    <t>:QKPI_282</t>
  </si>
  <si>
    <r>
      <rPr>
        <sz val="10"/>
        <rFont val="Noto Sans CJK SC"/>
        <family val="2"/>
      </rPr>
      <t>废有机相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夹带残效</t>
    </r>
  </si>
  <si>
    <r>
      <rPr>
        <sz val="10"/>
        <rFont val="Noto Sans CJK SC"/>
        <family val="2"/>
      </rPr>
      <t>萃取轻相罐的废有机相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夹带残效（机理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</si>
  <si>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R1332</t>
  </si>
  <si>
    <t>:QKPI_283</t>
  </si>
  <si>
    <t>溶媒再生率</t>
  </si>
  <si>
    <r>
      <rPr>
        <sz val="10"/>
        <rFont val="Noto Sans CJK SC"/>
        <family val="2"/>
      </rPr>
      <t>反萃取轻相罐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反萃轻相缓冲罐的溶媒再生率（机理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</si>
  <si>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R1333</t>
  </si>
  <si>
    <t>:QKPI_284</t>
  </si>
  <si>
    <t>萃取离心机转速</t>
  </si>
  <si>
    <r>
      <rPr>
        <sz val="10"/>
        <rFont val="Noto Sans CJK SC"/>
        <family val="2"/>
      </rPr>
      <t>碟片离心机运行分离因数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转速（画面</t>
    </r>
    <r>
      <rPr>
        <sz val="10"/>
        <rFont val="微软雅黑"/>
        <family val="2"/>
        <charset val="134"/>
      </rPr>
      <t>22HJ</t>
    </r>
    <r>
      <rPr>
        <sz val="10"/>
        <rFont val="Noto Sans CJK SC"/>
        <family val="2"/>
      </rPr>
      <t>位号，点表未收录）</t>
    </r>
  </si>
  <si>
    <t>R1334</t>
  </si>
  <si>
    <t>:Attr_306</t>
  </si>
  <si>
    <t>萃取离心机轻相背压</t>
  </si>
  <si>
    <t>有机相出口向心泵背压</t>
  </si>
  <si>
    <t>R1335</t>
  </si>
  <si>
    <t>:Attr_307</t>
  </si>
  <si>
    <t>萃取离心机重相背压</t>
  </si>
  <si>
    <t>水相出口向心泵背压</t>
  </si>
  <si>
    <t>R1336</t>
  </si>
  <si>
    <t>:Attr_308</t>
  </si>
  <si>
    <t>萃取离心机轻重相背压差</t>
  </si>
  <si>
    <r>
      <rPr>
        <sz val="10"/>
        <rFont val="Noto Sans CJK SC"/>
        <family val="2"/>
      </rPr>
      <t>一萃离心机组的萃取离心机轻重相背压差（机理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</si>
  <si>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R1337</t>
  </si>
  <si>
    <t>:Attr_309</t>
  </si>
  <si>
    <r>
      <rPr>
        <sz val="10"/>
        <rFont val="Noto Sans CJK SC"/>
        <family val="2"/>
      </rPr>
      <t>冷盐水流量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水解液换热器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</si>
  <si>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由</t>
    </r>
    <r>
      <rPr>
        <sz val="10"/>
        <rFont val="微软雅黑"/>
        <family val="2"/>
        <charset val="134"/>
      </rPr>
      <t>HV_1016/1018</t>
    </r>
    <r>
      <rPr>
        <sz val="10"/>
        <rFont val="Noto Sans CJK SC"/>
        <family val="2"/>
      </rPr>
      <t>开度表征</t>
    </r>
  </si>
  <si>
    <t>R1338</t>
  </si>
  <si>
    <t>:Attr_310</t>
  </si>
  <si>
    <t>混合溶媒</t>
  </si>
  <si>
    <r>
      <rPr>
        <sz val="10"/>
        <rFont val="Noto Sans CJK SC"/>
        <family val="2"/>
      </rPr>
      <t>混合溶媒的混合溶媒进料流量（流股属性，测点位于管线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</si>
  <si>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R1339</t>
  </si>
  <si>
    <t>:MS_MixedSolvent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</si>
  <si>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重液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</si>
  <si>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重液的重液去结晶流量（流股属性，测点位于管线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</si>
  <si>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R1340</t>
  </si>
  <si>
    <t>:MS_HeavyLiquor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</si>
  <si>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重液的重液去结晶温度（流股属性，测点位于管线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</si>
  <si>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R1341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</si>
  <si>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重液的重液苯乙酸残留（流股属性，测点位于管线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</si>
  <si>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R1342</t>
  </si>
  <si>
    <t>TI_1006A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</si>
  <si>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原点描述：水解液缓冲罐去萃取换热器出口温度</t>
    </r>
    <r>
      <rPr>
        <sz val="10"/>
        <rFont val="微软雅黑"/>
        <family val="2"/>
        <charset val="134"/>
      </rPr>
      <t>a</t>
    </r>
  </si>
  <si>
    <t>R1343</t>
  </si>
  <si>
    <t>:TI_1006A</t>
  </si>
  <si>
    <t>TI_1006B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</si>
  <si>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原点描述：水解液缓冲罐去萃取换热器出口温度</t>
    </r>
    <r>
      <rPr>
        <sz val="10"/>
        <rFont val="微软雅黑"/>
        <family val="2"/>
        <charset val="134"/>
      </rPr>
      <t>b</t>
    </r>
  </si>
  <si>
    <t>R1344</t>
  </si>
  <si>
    <t>:TI_1006B</t>
  </si>
  <si>
    <t>TI_1006C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</si>
  <si>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原点描述：水解液缓冲罐去萃取换热器出口温度</t>
    </r>
    <r>
      <rPr>
        <sz val="10"/>
        <rFont val="微软雅黑"/>
        <family val="2"/>
        <charset val="134"/>
      </rPr>
      <t>c</t>
    </r>
  </si>
  <si>
    <t>R1345</t>
  </si>
  <si>
    <t>:TI_1006C</t>
  </si>
  <si>
    <t>TI_1307D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</si>
  <si>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原点描述：萃取水解液温度</t>
    </r>
  </si>
  <si>
    <t>R1346</t>
  </si>
  <si>
    <t>:TI_1307D</t>
  </si>
  <si>
    <t>TI_1005A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</si>
  <si>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原点描述：水解液缓冲罐回流换热器出口温度</t>
    </r>
    <r>
      <rPr>
        <sz val="10"/>
        <rFont val="微软雅黑"/>
        <family val="2"/>
        <charset val="134"/>
      </rPr>
      <t>a</t>
    </r>
  </si>
  <si>
    <t>R1347</t>
  </si>
  <si>
    <t>:TI_1005A</t>
  </si>
  <si>
    <t>TI_1005B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</si>
  <si>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原点描述：水解液缓冲罐回流换热器出口温度</t>
    </r>
    <r>
      <rPr>
        <sz val="10"/>
        <rFont val="微软雅黑"/>
        <family val="2"/>
        <charset val="134"/>
      </rPr>
      <t>b</t>
    </r>
  </si>
  <si>
    <t>R1348</t>
  </si>
  <si>
    <t>:TI_1005B</t>
  </si>
  <si>
    <t>TI_1307C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</si>
  <si>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原点描述：水解液循环温度</t>
    </r>
  </si>
  <si>
    <t>R1349</t>
  </si>
  <si>
    <t>:TI_1307C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</si>
  <si>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原点描述：萃取离心机进料</t>
    </r>
    <r>
      <rPr>
        <sz val="10"/>
        <rFont val="微软雅黑"/>
        <family val="2"/>
        <charset val="134"/>
      </rPr>
      <t>PH</t>
    </r>
  </si>
  <si>
    <t>R1350</t>
  </si>
  <si>
    <t>:AT_1302</t>
  </si>
  <si>
    <t>TI_CQ01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</si>
  <si>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原点描述：萃取混合液温度</t>
    </r>
    <r>
      <rPr>
        <sz val="10"/>
        <rFont val="微软雅黑"/>
        <family val="2"/>
        <charset val="134"/>
      </rPr>
      <t>1</t>
    </r>
  </si>
  <si>
    <t>R1351</t>
  </si>
  <si>
    <t>:TI_CQ01</t>
  </si>
  <si>
    <t>TI_CQ02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</si>
  <si>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原点描述：萃取混合液温度</t>
    </r>
    <r>
      <rPr>
        <sz val="10"/>
        <rFont val="微软雅黑"/>
        <family val="2"/>
        <charset val="134"/>
      </rPr>
      <t>2</t>
    </r>
  </si>
  <si>
    <t>R1352</t>
  </si>
  <si>
    <t>:TI_CQ02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</si>
  <si>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原点描述：水解液流量检测</t>
    </r>
  </si>
  <si>
    <t>R1353</t>
  </si>
  <si>
    <t>:FT_1304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</si>
  <si>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原点描述：盐酸流量检测</t>
    </r>
  </si>
  <si>
    <t>R1354</t>
  </si>
  <si>
    <t>:FT_1305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</si>
  <si>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原点描述：溶媒流量检测</t>
    </r>
  </si>
  <si>
    <t>R1355</t>
  </si>
  <si>
    <t>:FT_1303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</si>
  <si>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原点描述：萃取离心机回流混合溶媒进料流量检测</t>
    </r>
  </si>
  <si>
    <t>R1356</t>
  </si>
  <si>
    <t>:FT_1003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</si>
  <si>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原点描述：一萃重液流量</t>
    </r>
  </si>
  <si>
    <t>R1357</t>
  </si>
  <si>
    <t>:FT_1307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</si>
  <si>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原点描述：二萃溶媒流量</t>
    </r>
  </si>
  <si>
    <t>R1358</t>
  </si>
  <si>
    <t>:FT_1306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</si>
  <si>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原点描述：萃取离心机出料</t>
    </r>
    <r>
      <rPr>
        <sz val="10"/>
        <rFont val="微软雅黑"/>
        <family val="2"/>
        <charset val="134"/>
      </rPr>
      <t>PH</t>
    </r>
  </si>
  <si>
    <t>R1359</t>
  </si>
  <si>
    <t>:AT_1304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</si>
  <si>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原点描述：反萃取液碱流量</t>
    </r>
  </si>
  <si>
    <t>R1360</t>
  </si>
  <si>
    <t>:FT_1309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</si>
  <si>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原点描述：反萃取混合流量</t>
    </r>
  </si>
  <si>
    <t>R1361</t>
  </si>
  <si>
    <t>:FT_1308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</si>
  <si>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原点描述：反萃取离心机</t>
    </r>
    <r>
      <rPr>
        <sz val="10"/>
        <rFont val="微软雅黑"/>
        <family val="2"/>
        <charset val="134"/>
      </rPr>
      <t>PH</t>
    </r>
  </si>
  <si>
    <t>R1362</t>
  </si>
  <si>
    <t>:AT_1303</t>
  </si>
  <si>
    <t>LE_FXG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</si>
  <si>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原点描述：分相罐液位（新增）</t>
    </r>
  </si>
  <si>
    <t>R1363</t>
  </si>
  <si>
    <t>:LE_FXG</t>
  </si>
  <si>
    <t>LE_FXG01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</si>
  <si>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原点描述：分相罐液位</t>
    </r>
    <r>
      <rPr>
        <sz val="10"/>
        <rFont val="微软雅黑"/>
        <family val="2"/>
        <charset val="134"/>
      </rPr>
      <t>01</t>
    </r>
    <r>
      <rPr>
        <sz val="10"/>
        <rFont val="Noto Sans CJK SC"/>
        <family val="2"/>
      </rPr>
      <t>（新增）</t>
    </r>
  </si>
  <si>
    <t>R1364</t>
  </si>
  <si>
    <t>:LE_FXG01</t>
  </si>
  <si>
    <t>LT_RM01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</si>
  <si>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原点描述：萃取室外分相罐液位</t>
    </r>
  </si>
  <si>
    <t>R1365</t>
  </si>
  <si>
    <t>:LT_RM01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</si>
  <si>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原点描述：分相罐温度（新增）</t>
    </r>
  </si>
  <si>
    <t>R1366</t>
  </si>
  <si>
    <t>:TE_FXG</t>
  </si>
  <si>
    <t>FE_FXG_ZX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</si>
  <si>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原点描述：分相罐重相流量（新增</t>
    </r>
  </si>
  <si>
    <t>R1367</t>
  </si>
  <si>
    <t>:FE_FXG_ZX</t>
  </si>
  <si>
    <t>FE_FXG_ZX0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</si>
  <si>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原点描述：分相罐重相流量</t>
    </r>
  </si>
  <si>
    <t>R1368</t>
  </si>
  <si>
    <t>:FE_FXG_ZX0</t>
  </si>
  <si>
    <t>LT_1314A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</si>
  <si>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原点描述：重液缓冲罐液位</t>
    </r>
    <r>
      <rPr>
        <sz val="10"/>
        <rFont val="微软雅黑"/>
        <family val="2"/>
        <charset val="134"/>
      </rPr>
      <t>1</t>
    </r>
  </si>
  <si>
    <t>R1369</t>
  </si>
  <si>
    <t>:LT_1314A</t>
  </si>
  <si>
    <t>LT_1314B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</si>
  <si>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原点描述：重液缓冲罐液位</t>
    </r>
    <r>
      <rPr>
        <sz val="10"/>
        <rFont val="微软雅黑"/>
        <family val="2"/>
        <charset val="134"/>
      </rPr>
      <t>2</t>
    </r>
  </si>
  <si>
    <t>R1370</t>
  </si>
  <si>
    <t>:LT_1314B</t>
  </si>
  <si>
    <t>LT_1318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</si>
  <si>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原点描述：重相缓冲罐液位检测</t>
    </r>
  </si>
  <si>
    <t>R1371</t>
  </si>
  <si>
    <t>:LT_1318</t>
  </si>
  <si>
    <t>LE_ZXHCG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</si>
  <si>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原点描述：重相缓冲罐液位（新增）</t>
    </r>
  </si>
  <si>
    <t>R1372</t>
  </si>
  <si>
    <t>:LE_ZXHCG</t>
  </si>
  <si>
    <t>TI_1305A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</si>
  <si>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原点描述：重液去结晶温度</t>
    </r>
    <r>
      <rPr>
        <sz val="10"/>
        <rFont val="微软雅黑"/>
        <family val="2"/>
        <charset val="134"/>
      </rPr>
      <t>A</t>
    </r>
  </si>
  <si>
    <t>R1373</t>
  </si>
  <si>
    <t>:TI_1305A</t>
  </si>
  <si>
    <t>TI_1305B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</si>
  <si>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原点描述：重液去结晶温度</t>
    </r>
    <r>
      <rPr>
        <sz val="10"/>
        <rFont val="微软雅黑"/>
        <family val="2"/>
        <charset val="134"/>
      </rPr>
      <t>B</t>
    </r>
  </si>
  <si>
    <t>R1374</t>
  </si>
  <si>
    <t>:TI_1305B</t>
  </si>
  <si>
    <t>TI_1009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</si>
  <si>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原点描述：萃取离心机重相缓冲罐去结晶换热器冷盐水出口温度</t>
    </r>
  </si>
  <si>
    <t>R1375</t>
  </si>
  <si>
    <t>:TI_1009</t>
  </si>
  <si>
    <t>TI_1010A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</si>
  <si>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原点描述：萃取离心机重相缓冲罐去结晶换热器冷盐水出口温度</t>
    </r>
    <r>
      <rPr>
        <sz val="10"/>
        <rFont val="微软雅黑"/>
        <family val="2"/>
        <charset val="134"/>
      </rPr>
      <t>a</t>
    </r>
  </si>
  <si>
    <t>R1376</t>
  </si>
  <si>
    <t>:TI_1010A</t>
  </si>
  <si>
    <t>TI_1010B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</si>
  <si>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原点描述：萃取离心机重相缓冲罐去结晶换热器冷盐水出口温度</t>
    </r>
    <r>
      <rPr>
        <sz val="10"/>
        <rFont val="微软雅黑"/>
        <family val="2"/>
        <charset val="134"/>
      </rPr>
      <t>b</t>
    </r>
  </si>
  <si>
    <t>R1377</t>
  </si>
  <si>
    <t>:TI_1010B</t>
  </si>
  <si>
    <t>FT_1310A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</si>
  <si>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原点描述：重液去结晶流量</t>
    </r>
    <r>
      <rPr>
        <sz val="10"/>
        <rFont val="微软雅黑"/>
        <family val="2"/>
        <charset val="134"/>
      </rPr>
      <t>A</t>
    </r>
  </si>
  <si>
    <t>R1378</t>
  </si>
  <si>
    <t>:FT_1310A</t>
  </si>
  <si>
    <t>FT_1310B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</si>
  <si>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原点描述：重液去结晶流量</t>
    </r>
    <r>
      <rPr>
        <sz val="10"/>
        <rFont val="微软雅黑"/>
        <family val="2"/>
        <charset val="134"/>
      </rPr>
      <t>B</t>
    </r>
  </si>
  <si>
    <t>R1379</t>
  </si>
  <si>
    <t>:FT_1310B</t>
  </si>
  <si>
    <t>LT_1315A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</si>
  <si>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原点描述：萃取轻相罐液位</t>
    </r>
    <r>
      <rPr>
        <sz val="10"/>
        <rFont val="微软雅黑"/>
        <family val="2"/>
        <charset val="134"/>
      </rPr>
      <t>A</t>
    </r>
  </si>
  <si>
    <t>R1380</t>
  </si>
  <si>
    <t>:LT_1315A</t>
  </si>
  <si>
    <t>LT_1315B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</si>
  <si>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原点描述：萃取轻相罐液位</t>
    </r>
    <r>
      <rPr>
        <sz val="10"/>
        <rFont val="微软雅黑"/>
        <family val="2"/>
        <charset val="134"/>
      </rPr>
      <t>B</t>
    </r>
  </si>
  <si>
    <t>R1381</t>
  </si>
  <si>
    <t>:LT_1315B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</si>
  <si>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原点描述：反萃取轻相罐液位</t>
    </r>
  </si>
  <si>
    <t>R1382</t>
  </si>
  <si>
    <t>:LT_1313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</si>
  <si>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原点描述：反萃取轻相密度</t>
    </r>
  </si>
  <si>
    <t>R1383</t>
  </si>
  <si>
    <t>:HV_1019_FB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</si>
  <si>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原点描述：混合溶媒罐液位</t>
    </r>
  </si>
  <si>
    <t>R1384</t>
  </si>
  <si>
    <t>:LT_1312</t>
  </si>
  <si>
    <t>TI_1306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</si>
  <si>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原点描述：混合溶媒温度</t>
    </r>
  </si>
  <si>
    <t>R1385</t>
  </si>
  <si>
    <t>:TI_1306</t>
  </si>
  <si>
    <t>TI_1007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</si>
  <si>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原点描述：混合溶媒缓冲罐出料换热器冷盐水出口温度</t>
    </r>
  </si>
  <si>
    <t>R1386</t>
  </si>
  <si>
    <t>:TI_1007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</si>
  <si>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原点描述：来自回收溶媒流量</t>
    </r>
  </si>
  <si>
    <t>R1387</t>
  </si>
  <si>
    <t>:FT_1314</t>
  </si>
  <si>
    <r>
      <rPr>
        <sz val="10"/>
        <rFont val="Noto Sans CJK SC"/>
        <family val="2"/>
      </rPr>
      <t>水解液去萃取温度控制器</t>
    </r>
    <r>
      <rPr>
        <sz val="10"/>
        <rFont val="微软雅黑"/>
        <family val="2"/>
        <charset val="134"/>
      </rPr>
      <t>(TIC-1006)</t>
    </r>
  </si>
  <si>
    <r>
      <rPr>
        <sz val="10"/>
        <rFont val="Noto Sans CJK SC"/>
        <family val="2"/>
      </rPr>
      <t>去萃取换热器冷盐水调节阀</t>
    </r>
    <r>
      <rPr>
        <sz val="10"/>
        <rFont val="微软雅黑"/>
        <family val="2"/>
        <charset val="134"/>
      </rPr>
      <t>HV_1016A/B/HV_1018</t>
    </r>
  </si>
  <si>
    <t>控制冷媒流量保证水解液进料充分冷却</t>
  </si>
  <si>
    <t>R1388</t>
  </si>
  <si>
    <t>:Ctrl_032</t>
  </si>
  <si>
    <t>:Act_032</t>
  </si>
  <si>
    <r>
      <rPr>
        <sz val="10"/>
        <rFont val="微软雅黑"/>
        <family val="2"/>
        <charset val="134"/>
      </rPr>
      <t>HV_1016A_AO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HV_1016B_AO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HV_1018_AO</t>
    </r>
  </si>
  <si>
    <r>
      <rPr>
        <sz val="10"/>
        <rFont val="Noto Sans CJK SC"/>
        <family val="2"/>
      </rPr>
      <t>水解进料换热温度作为过程变量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反馈给水解液去萃取温度控制器</t>
    </r>
    <r>
      <rPr>
        <sz val="10"/>
        <rFont val="微软雅黑"/>
        <family val="2"/>
        <charset val="134"/>
      </rPr>
      <t>(TIC-1006)</t>
    </r>
  </si>
  <si>
    <t>R1389</t>
  </si>
  <si>
    <r>
      <rPr>
        <sz val="10"/>
        <rFont val="Noto Sans CJK SC"/>
        <family val="2"/>
      </rPr>
      <t>去萃取换热器冷盐水调节阀</t>
    </r>
    <r>
      <rPr>
        <sz val="10"/>
        <rFont val="微软雅黑"/>
        <family val="2"/>
        <charset val="134"/>
      </rPr>
      <t>HV_1016A/B/HV_1018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频率变化直接改变水解进料换热温度</t>
    </r>
  </si>
  <si>
    <t>R1390</t>
  </si>
  <si>
    <r>
      <rPr>
        <sz val="10"/>
        <rFont val="Noto Sans CJK SC"/>
        <family val="2"/>
      </rPr>
      <t>水解液回流温度控制器</t>
    </r>
    <r>
      <rPr>
        <sz val="10"/>
        <rFont val="微软雅黑"/>
        <family val="2"/>
        <charset val="134"/>
      </rPr>
      <t>(TIC-1005)</t>
    </r>
  </si>
  <si>
    <r>
      <rPr>
        <sz val="10"/>
        <rFont val="Noto Sans CJK SC"/>
        <family val="2"/>
      </rPr>
      <t>回流换热器冷盐水调节阀</t>
    </r>
    <r>
      <rPr>
        <sz val="10"/>
        <rFont val="微软雅黑"/>
        <family val="2"/>
        <charset val="134"/>
      </rPr>
      <t>HV_1017</t>
    </r>
  </si>
  <si>
    <t>R1391</t>
  </si>
  <si>
    <t>:Ctrl_033</t>
  </si>
  <si>
    <t>:Act_033</t>
  </si>
  <si>
    <t>HV_1017_AO</t>
  </si>
  <si>
    <r>
      <rPr>
        <sz val="10"/>
        <rFont val="Noto Sans CJK SC"/>
        <family val="2"/>
      </rPr>
      <t>回流换热器出口温度作为过程变量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反馈给水解液回流温度控制器</t>
    </r>
    <r>
      <rPr>
        <sz val="10"/>
        <rFont val="微软雅黑"/>
        <family val="2"/>
        <charset val="134"/>
      </rPr>
      <t>(TIC-1005)</t>
    </r>
  </si>
  <si>
    <t>R1392</t>
  </si>
  <si>
    <r>
      <rPr>
        <sz val="10"/>
        <rFont val="Noto Sans CJK SC"/>
        <family val="2"/>
      </rPr>
      <t>回流换热器冷盐水调节阀</t>
    </r>
    <r>
      <rPr>
        <sz val="10"/>
        <rFont val="微软雅黑"/>
        <family val="2"/>
        <charset val="134"/>
      </rPr>
      <t>HV_1017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频率变化直接改变回流换热器出口温度</t>
    </r>
  </si>
  <si>
    <t>R1393</t>
  </si>
  <si>
    <r>
      <rPr>
        <sz val="10"/>
        <rFont val="Noto Sans CJK SC"/>
        <family val="2"/>
      </rPr>
      <t>水解液进料流量控制器</t>
    </r>
    <r>
      <rPr>
        <sz val="10"/>
        <rFont val="微软雅黑"/>
        <family val="2"/>
        <charset val="134"/>
      </rPr>
      <t>(FIC-1304)</t>
    </r>
  </si>
  <si>
    <r>
      <rPr>
        <sz val="10"/>
        <rFont val="Noto Sans CJK SC"/>
        <family val="2"/>
      </rPr>
      <t>水解液流量调节阀</t>
    </r>
    <r>
      <rPr>
        <sz val="10"/>
        <rFont val="微软雅黑"/>
        <family val="2"/>
        <charset val="134"/>
      </rPr>
      <t>HV_1304</t>
    </r>
  </si>
  <si>
    <t>R1394</t>
  </si>
  <si>
    <t>:Ctrl_034</t>
  </si>
  <si>
    <t>:Act_034</t>
  </si>
  <si>
    <t>HV_1304_AO</t>
  </si>
  <si>
    <r>
      <rPr>
        <sz val="10"/>
        <rFont val="Noto Sans CJK SC"/>
        <family val="2"/>
      </rPr>
      <t>水解液进料流量作为过程变量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反馈给水解液进料流量控制器</t>
    </r>
    <r>
      <rPr>
        <sz val="10"/>
        <rFont val="微软雅黑"/>
        <family val="2"/>
        <charset val="134"/>
      </rPr>
      <t>(FIC-1304)</t>
    </r>
  </si>
  <si>
    <t>R1395</t>
  </si>
  <si>
    <r>
      <rPr>
        <sz val="10"/>
        <rFont val="Noto Sans CJK SC"/>
        <family val="2"/>
      </rPr>
      <t>水解液流量调节阀</t>
    </r>
    <r>
      <rPr>
        <sz val="10"/>
        <rFont val="微软雅黑"/>
        <family val="2"/>
        <charset val="134"/>
      </rPr>
      <t>HV_1304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频率变化直接改变水解液进料流量</t>
    </r>
  </si>
  <si>
    <t>R1396</t>
  </si>
  <si>
    <r>
      <rPr>
        <sz val="10"/>
        <rFont val="Noto Sans CJK SC"/>
        <family val="2"/>
      </rPr>
      <t>萃取酸化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控制器</t>
    </r>
    <r>
      <rPr>
        <sz val="10"/>
        <rFont val="微软雅黑"/>
        <family val="2"/>
        <charset val="134"/>
      </rPr>
      <t>(AIC-1302)</t>
    </r>
  </si>
  <si>
    <r>
      <rPr>
        <sz val="10"/>
        <rFont val="Noto Sans CJK SC"/>
        <family val="2"/>
      </rPr>
      <t>盐酸流量调节阀</t>
    </r>
    <r>
      <rPr>
        <sz val="10"/>
        <rFont val="微软雅黑"/>
        <family val="2"/>
        <charset val="134"/>
      </rPr>
      <t>HV_1305</t>
    </r>
  </si>
  <si>
    <r>
      <rPr>
        <sz val="10"/>
        <rFont val="Noto Sans CJK SC"/>
        <family val="2"/>
      </rPr>
      <t>根据在线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调节盐酸注入量</t>
    </r>
  </si>
  <si>
    <t>R1397</t>
  </si>
  <si>
    <t>:Ctrl_035</t>
  </si>
  <si>
    <t>:Act_035</t>
  </si>
  <si>
    <t>HV_1305_AO</t>
  </si>
  <si>
    <r>
      <rPr>
        <sz val="10"/>
        <rFont val="Noto Sans CJK SC"/>
        <family val="2"/>
      </rPr>
      <t>酸化体系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反馈给萃取酸化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控制器</t>
    </r>
    <r>
      <rPr>
        <sz val="10"/>
        <rFont val="微软雅黑"/>
        <family val="2"/>
        <charset val="134"/>
      </rPr>
      <t>(AIC-1302)</t>
    </r>
  </si>
  <si>
    <t>R1398</t>
  </si>
  <si>
    <r>
      <rPr>
        <sz val="10"/>
        <rFont val="Noto Sans CJK SC"/>
        <family val="2"/>
      </rPr>
      <t>盐酸流量调节阀</t>
    </r>
    <r>
      <rPr>
        <sz val="10"/>
        <rFont val="微软雅黑"/>
        <family val="2"/>
        <charset val="134"/>
      </rPr>
      <t>HV_1305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频率变化直接改变酸化体系</t>
    </r>
    <r>
      <rPr>
        <sz val="10"/>
        <rFont val="微软雅黑"/>
        <family val="2"/>
        <charset val="134"/>
      </rPr>
      <t>pH</t>
    </r>
  </si>
  <si>
    <t>R1399</t>
  </si>
  <si>
    <r>
      <rPr>
        <sz val="10"/>
        <rFont val="Noto Sans CJK SC"/>
        <family val="2"/>
      </rPr>
      <t>混合溶媒比值控制器</t>
    </r>
    <r>
      <rPr>
        <sz val="10"/>
        <rFont val="微软雅黑"/>
        <family val="2"/>
        <charset val="134"/>
      </rPr>
      <t>(FFC-1303)</t>
    </r>
  </si>
  <si>
    <r>
      <rPr>
        <sz val="10"/>
        <rFont val="Noto Sans CJK SC"/>
        <family val="2"/>
      </rPr>
      <t>溶媒流量调节阀</t>
    </r>
    <r>
      <rPr>
        <sz val="10"/>
        <rFont val="微软雅黑"/>
        <family val="2"/>
        <charset val="134"/>
      </rPr>
      <t>HV_1303</t>
    </r>
  </si>
  <si>
    <t>根据水解液流量跟踪调节溶媒流量维持相比</t>
  </si>
  <si>
    <t>R1400</t>
  </si>
  <si>
    <t>:Ctrl_036</t>
  </si>
  <si>
    <t>:Act_036</t>
  </si>
  <si>
    <t>HV_1303_AO</t>
  </si>
  <si>
    <r>
      <rPr>
        <sz val="10"/>
        <rFont val="Noto Sans CJK SC"/>
        <family val="2"/>
      </rPr>
      <t>混合溶媒进料流量作为过程变量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反馈给混合溶媒比值控制器</t>
    </r>
    <r>
      <rPr>
        <sz val="10"/>
        <rFont val="微软雅黑"/>
        <family val="2"/>
        <charset val="134"/>
      </rPr>
      <t>(FFC-1303)</t>
    </r>
  </si>
  <si>
    <t>R1401</t>
  </si>
  <si>
    <r>
      <rPr>
        <sz val="10"/>
        <rFont val="Noto Sans CJK SC"/>
        <family val="2"/>
      </rPr>
      <t>溶媒流量调节阀</t>
    </r>
    <r>
      <rPr>
        <sz val="10"/>
        <rFont val="微软雅黑"/>
        <family val="2"/>
        <charset val="134"/>
      </rPr>
      <t>HV_1303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频率变化直接改变混合溶媒进料流量</t>
    </r>
  </si>
  <si>
    <t>R1402</t>
  </si>
  <si>
    <r>
      <rPr>
        <sz val="10"/>
        <rFont val="Noto Sans CJK SC"/>
        <family val="2"/>
      </rPr>
      <t>回流混合溶媒流量控制器</t>
    </r>
    <r>
      <rPr>
        <sz val="10"/>
        <rFont val="微软雅黑"/>
        <family val="2"/>
        <charset val="134"/>
      </rPr>
      <t>(FIC-1003)</t>
    </r>
  </si>
  <si>
    <r>
      <rPr>
        <sz val="10"/>
        <rFont val="Noto Sans CJK SC"/>
        <family val="2"/>
      </rPr>
      <t>回流混合溶媒调节阀</t>
    </r>
    <r>
      <rPr>
        <sz val="10"/>
        <rFont val="微软雅黑"/>
        <family val="2"/>
        <charset val="134"/>
      </rPr>
      <t>HV_1020</t>
    </r>
  </si>
  <si>
    <t>R1403</t>
  </si>
  <si>
    <t>:Ctrl_037</t>
  </si>
  <si>
    <t>:Act_037</t>
  </si>
  <si>
    <t>HV_1020_AO</t>
  </si>
  <si>
    <r>
      <rPr>
        <sz val="10"/>
        <rFont val="Noto Sans CJK SC"/>
        <family val="2"/>
      </rPr>
      <t>回流混合溶媒流量作为过程变量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反馈给回流混合溶媒流量控制器</t>
    </r>
    <r>
      <rPr>
        <sz val="10"/>
        <rFont val="微软雅黑"/>
        <family val="2"/>
        <charset val="134"/>
      </rPr>
      <t>(FIC-1003)</t>
    </r>
  </si>
  <si>
    <t>R1404</t>
  </si>
  <si>
    <r>
      <rPr>
        <sz val="10"/>
        <rFont val="Noto Sans CJK SC"/>
        <family val="2"/>
      </rPr>
      <t>回流混合溶媒调节阀</t>
    </r>
    <r>
      <rPr>
        <sz val="10"/>
        <rFont val="微软雅黑"/>
        <family val="2"/>
        <charset val="134"/>
      </rPr>
      <t>HV_1020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频率变化直接改变回流混合溶媒流量</t>
    </r>
  </si>
  <si>
    <t>R1405</t>
  </si>
  <si>
    <r>
      <rPr>
        <sz val="10"/>
        <rFont val="Noto Sans CJK SC"/>
        <family val="2"/>
      </rPr>
      <t>反萃液碱流量控制器</t>
    </r>
    <r>
      <rPr>
        <sz val="10"/>
        <rFont val="微软雅黑"/>
        <family val="2"/>
        <charset val="134"/>
      </rPr>
      <t>(FIC-1309)</t>
    </r>
  </si>
  <si>
    <r>
      <rPr>
        <sz val="10"/>
        <rFont val="Noto Sans CJK SC"/>
        <family val="2"/>
      </rPr>
      <t>反萃取液碱流量调节阀</t>
    </r>
    <r>
      <rPr>
        <sz val="10"/>
        <rFont val="微软雅黑"/>
        <family val="2"/>
        <charset val="134"/>
      </rPr>
      <t>HV_1307</t>
    </r>
  </si>
  <si>
    <r>
      <rPr>
        <sz val="10"/>
        <rFont val="Noto Sans CJK SC"/>
        <family val="2"/>
      </rPr>
      <t>按反萃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调节液碱</t>
    </r>
  </si>
  <si>
    <t>串级控制</t>
  </si>
  <si>
    <t>R1406</t>
  </si>
  <si>
    <t>:Ctrl_038</t>
  </si>
  <si>
    <t>:Act_038</t>
  </si>
  <si>
    <t>HV_1307_AO</t>
  </si>
  <si>
    <r>
      <rPr>
        <sz val="10"/>
        <rFont val="Noto Sans CJK SC"/>
        <family val="2"/>
      </rPr>
      <t>反萃液碱流量作为过程变量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反馈给反萃液碱流量控制器</t>
    </r>
    <r>
      <rPr>
        <sz val="10"/>
        <rFont val="微软雅黑"/>
        <family val="2"/>
        <charset val="134"/>
      </rPr>
      <t>(FIC-1309)</t>
    </r>
  </si>
  <si>
    <t>R1407</t>
  </si>
  <si>
    <r>
      <rPr>
        <sz val="10"/>
        <rFont val="Noto Sans CJK SC"/>
        <family val="2"/>
      </rPr>
      <t>反萃取液碱流量调节阀</t>
    </r>
    <r>
      <rPr>
        <sz val="10"/>
        <rFont val="微软雅黑"/>
        <family val="2"/>
        <charset val="134"/>
      </rPr>
      <t>HV_1307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频率变化直接改变反萃液碱流量</t>
    </r>
  </si>
  <si>
    <t>R1408</t>
  </si>
  <si>
    <r>
      <rPr>
        <sz val="10"/>
        <rFont val="Noto Sans CJK SC"/>
        <family val="2"/>
      </rPr>
      <t>反萃溶媒流量控制器</t>
    </r>
    <r>
      <rPr>
        <sz val="10"/>
        <rFont val="微软雅黑"/>
        <family val="2"/>
        <charset val="134"/>
      </rPr>
      <t>(FIC-1308)</t>
    </r>
  </si>
  <si>
    <r>
      <rPr>
        <sz val="10"/>
        <rFont val="Noto Sans CJK SC"/>
        <family val="2"/>
      </rPr>
      <t>反萃取混合溶媒调节阀</t>
    </r>
    <r>
      <rPr>
        <sz val="10"/>
        <rFont val="微软雅黑"/>
        <family val="2"/>
        <charset val="134"/>
      </rPr>
      <t>HV_1306</t>
    </r>
  </si>
  <si>
    <t>R1409</t>
  </si>
  <si>
    <t>:Ctrl_039</t>
  </si>
  <si>
    <t>:Act_039</t>
  </si>
  <si>
    <t>HV_1306_AO</t>
  </si>
  <si>
    <r>
      <rPr>
        <sz val="10"/>
        <rFont val="Noto Sans CJK SC"/>
        <family val="2"/>
      </rPr>
      <t>反萃混合流量作为过程变量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反馈给反萃溶媒流量控制器</t>
    </r>
    <r>
      <rPr>
        <sz val="10"/>
        <rFont val="微软雅黑"/>
        <family val="2"/>
        <charset val="134"/>
      </rPr>
      <t>(FIC-1308)</t>
    </r>
  </si>
  <si>
    <t>R1410</t>
  </si>
  <si>
    <r>
      <rPr>
        <sz val="10"/>
        <rFont val="Noto Sans CJK SC"/>
        <family val="2"/>
      </rPr>
      <t>反萃取混合溶媒调节阀</t>
    </r>
    <r>
      <rPr>
        <sz val="10"/>
        <rFont val="微软雅黑"/>
        <family val="2"/>
        <charset val="134"/>
      </rPr>
      <t>HV_1306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频率变化直接改变反萃混合流量</t>
    </r>
  </si>
  <si>
    <t>R1411</t>
  </si>
  <si>
    <t>反萃轻相去回收控制器</t>
  </si>
  <si>
    <r>
      <rPr>
        <sz val="10"/>
        <rFont val="Noto Sans CJK SC"/>
        <family val="2"/>
      </rPr>
      <t>反萃轻相缓冲罐去回收调节阀</t>
    </r>
    <r>
      <rPr>
        <sz val="10"/>
        <rFont val="微软雅黑"/>
        <family val="2"/>
        <charset val="134"/>
      </rPr>
      <t>HV_1026</t>
    </r>
  </si>
  <si>
    <t>R1412</t>
  </si>
  <si>
    <t>:Ctrl_040</t>
  </si>
  <si>
    <t>:Act_040</t>
  </si>
  <si>
    <t>HV_1026_AO</t>
  </si>
  <si>
    <r>
      <rPr>
        <sz val="10"/>
        <rFont val="Noto Sans CJK SC"/>
        <family val="2"/>
      </rPr>
      <t>反萃轻相罐液位作为过程变量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反馈给反萃轻相去回收控制器</t>
    </r>
  </si>
  <si>
    <t>R1413</t>
  </si>
  <si>
    <r>
      <rPr>
        <sz val="10"/>
        <rFont val="Noto Sans CJK SC"/>
        <family val="2"/>
      </rPr>
      <t>反萃轻相缓冲罐去回收调节阀</t>
    </r>
    <r>
      <rPr>
        <sz val="10"/>
        <rFont val="微软雅黑"/>
        <family val="2"/>
        <charset val="134"/>
      </rPr>
      <t>HV_1026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频率变化直接改变反萃轻相罐液位</t>
    </r>
  </si>
  <si>
    <t>R1414</t>
  </si>
  <si>
    <r>
      <rPr>
        <sz val="10"/>
        <rFont val="Noto Sans CJK SC"/>
        <family val="2"/>
      </rPr>
      <t>重液去结晶温度控制器</t>
    </r>
    <r>
      <rPr>
        <sz val="10"/>
        <rFont val="微软雅黑"/>
        <family val="2"/>
        <charset val="134"/>
      </rPr>
      <t>(TIC-1010)</t>
    </r>
  </si>
  <si>
    <r>
      <rPr>
        <sz val="10"/>
        <rFont val="Noto Sans CJK SC"/>
        <family val="2"/>
      </rPr>
      <t>去结晶换热器冷盐水调节阀</t>
    </r>
    <r>
      <rPr>
        <sz val="10"/>
        <rFont val="微软雅黑"/>
        <family val="2"/>
        <charset val="134"/>
      </rPr>
      <t>HV_1025A/B</t>
    </r>
  </si>
  <si>
    <t>R1415</t>
  </si>
  <si>
    <t>:Ctrl_041</t>
  </si>
  <si>
    <t>:Act_041</t>
  </si>
  <si>
    <r>
      <rPr>
        <sz val="10"/>
        <rFont val="微软雅黑"/>
        <family val="2"/>
        <charset val="134"/>
      </rPr>
      <t>HV_1025A_AO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HV_1025B_AO</t>
    </r>
  </si>
  <si>
    <r>
      <rPr>
        <sz val="10"/>
        <rFont val="Noto Sans CJK SC"/>
        <family val="2"/>
      </rPr>
      <t>重液去结晶温度作为过程变量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反馈给重液去结晶温度控制器</t>
    </r>
    <r>
      <rPr>
        <sz val="10"/>
        <rFont val="微软雅黑"/>
        <family val="2"/>
        <charset val="134"/>
      </rPr>
      <t>(TIC-1010)</t>
    </r>
  </si>
  <si>
    <t>R1416</t>
  </si>
  <si>
    <r>
      <rPr>
        <sz val="10"/>
        <rFont val="Noto Sans CJK SC"/>
        <family val="2"/>
      </rPr>
      <t>去结晶换热器冷盐水调节阀</t>
    </r>
    <r>
      <rPr>
        <sz val="10"/>
        <rFont val="微软雅黑"/>
        <family val="2"/>
        <charset val="134"/>
      </rPr>
      <t>HV_1025A/B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频率变化直接改变重液去结晶温度</t>
    </r>
  </si>
  <si>
    <t>R1417</t>
  </si>
  <si>
    <t>重相缓冲罐回流控制</t>
  </si>
  <si>
    <r>
      <rPr>
        <sz val="10"/>
        <rFont val="Noto Sans CJK SC"/>
        <family val="2"/>
      </rPr>
      <t>重相缓冲罐回流调节阀</t>
    </r>
    <r>
      <rPr>
        <sz val="10"/>
        <rFont val="微软雅黑"/>
        <family val="2"/>
        <charset val="134"/>
      </rPr>
      <t>HV_1023</t>
    </r>
    <r>
      <rPr>
        <sz val="10"/>
        <rFont val="Noto Sans CJK SC"/>
        <family val="2"/>
      </rPr>
      <t>、回流换热器</t>
    </r>
    <r>
      <rPr>
        <sz val="10"/>
        <rFont val="微软雅黑"/>
        <family val="2"/>
        <charset val="134"/>
      </rPr>
      <t>HV_1022A/B</t>
    </r>
  </si>
  <si>
    <t>R1418</t>
  </si>
  <si>
    <t>:Ctrl_042</t>
  </si>
  <si>
    <t>:Act_042</t>
  </si>
  <si>
    <r>
      <rPr>
        <sz val="10"/>
        <rFont val="微软雅黑"/>
        <family val="2"/>
        <charset val="134"/>
      </rPr>
      <t>HV_1023_AO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HV_1022A_AO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HV_1022B_AO</t>
    </r>
  </si>
  <si>
    <r>
      <rPr>
        <sz val="10"/>
        <rFont val="Noto Sans CJK SC"/>
        <family val="2"/>
      </rPr>
      <t>重液缓冲罐液位作为过程变量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反馈给重相缓冲罐回流控制</t>
    </r>
  </si>
  <si>
    <t>R1419</t>
  </si>
  <si>
    <r>
      <rPr>
        <sz val="10"/>
        <rFont val="Noto Sans CJK SC"/>
        <family val="2"/>
      </rPr>
      <t>重相缓冲罐回流调节阀</t>
    </r>
    <r>
      <rPr>
        <sz val="10"/>
        <rFont val="微软雅黑"/>
        <family val="2"/>
        <charset val="134"/>
      </rPr>
      <t>HV_1023</t>
    </r>
    <r>
      <rPr>
        <sz val="10"/>
        <rFont val="Noto Sans CJK SC"/>
        <family val="2"/>
      </rPr>
      <t>、回流换热器</t>
    </r>
    <r>
      <rPr>
        <sz val="10"/>
        <rFont val="微软雅黑"/>
        <family val="2"/>
        <charset val="134"/>
      </rPr>
      <t>HV_1022A/B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频率变化直接改变重液缓冲罐液位</t>
    </r>
  </si>
  <si>
    <t>R1420</t>
  </si>
  <si>
    <t>分相罐出料控制器</t>
  </si>
  <si>
    <r>
      <rPr>
        <sz val="10"/>
        <rFont val="Noto Sans CJK SC"/>
        <family val="2"/>
      </rPr>
      <t>分相罐出料调节阀</t>
    </r>
    <r>
      <rPr>
        <sz val="10"/>
        <rFont val="微软雅黑"/>
        <family val="2"/>
        <charset val="134"/>
      </rPr>
      <t>FXG_CL</t>
    </r>
  </si>
  <si>
    <t>R1421</t>
  </si>
  <si>
    <t>:Ctrl_043</t>
  </si>
  <si>
    <t>:Act_043</t>
  </si>
  <si>
    <t>FXG_CL_AO</t>
  </si>
  <si>
    <r>
      <rPr>
        <sz val="10"/>
        <rFont val="Noto Sans CJK SC"/>
        <family val="2"/>
      </rPr>
      <t>分相罐液位作为过程变量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反馈给分相罐出料控制器</t>
    </r>
  </si>
  <si>
    <t>R1422</t>
  </si>
  <si>
    <r>
      <rPr>
        <sz val="10"/>
        <rFont val="Noto Sans CJK SC"/>
        <family val="2"/>
      </rPr>
      <t>分相罐出料调节阀</t>
    </r>
    <r>
      <rPr>
        <sz val="10"/>
        <rFont val="微软雅黑"/>
        <family val="2"/>
        <charset val="134"/>
      </rPr>
      <t>FXG_CL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频率变化直接改变分相罐液位</t>
    </r>
  </si>
  <si>
    <t>R1423</t>
  </si>
  <si>
    <r>
      <rPr>
        <sz val="10"/>
        <rFont val="Noto Sans CJK SC"/>
        <family val="2"/>
      </rPr>
      <t>萃取模式顺控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一萃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二萃、离心机启动、急停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</si>
  <si>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盐酸</t>
    </r>
    <r>
      <rPr>
        <sz val="10"/>
        <rFont val="微软雅黑"/>
        <family val="2"/>
        <charset val="134"/>
      </rPr>
      <t>1–6</t>
    </r>
    <r>
      <rPr>
        <sz val="10"/>
        <rFont val="Noto Sans CJK SC"/>
        <family val="2"/>
      </rPr>
      <t>投入</t>
    </r>
  </si>
  <si>
    <t>R1424</t>
  </si>
  <si>
    <t>:Seq_07</t>
  </si>
  <si>
    <t>R1425</t>
  </si>
  <si>
    <t>R1426</t>
  </si>
  <si>
    <r>
      <rPr>
        <sz val="10"/>
        <rFont val="Noto Sans CJK SC"/>
        <family val="2"/>
      </rPr>
      <t>萃取离心机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保护</t>
    </r>
  </si>
  <si>
    <r>
      <rPr>
        <sz val="10"/>
        <rFont val="Noto Sans CJK SC"/>
        <family val="2"/>
      </rPr>
      <t>越限触发“萃取离心机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保护”：一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二级萃取离心机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保护阀</t>
    </r>
    <r>
      <rPr>
        <sz val="10"/>
        <rFont val="微软雅黑"/>
        <family val="2"/>
        <charset val="134"/>
      </rPr>
      <t>XV_1314B/XV_1315B</t>
    </r>
    <r>
      <rPr>
        <sz val="10"/>
        <rFont val="Noto Sans CJK SC"/>
        <family val="2"/>
      </rPr>
      <t>动作</t>
    </r>
  </si>
  <si>
    <t>R1427</t>
  </si>
  <si>
    <t>:Alarm_15</t>
  </si>
  <si>
    <r>
      <rPr>
        <sz val="10"/>
        <rFont val="Noto Sans CJK SC"/>
        <family val="2"/>
      </rPr>
      <t>去萃取换热器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回流换热器</t>
    </r>
  </si>
  <si>
    <t>换热过程</t>
  </si>
  <si>
    <t>R1428</t>
  </si>
  <si>
    <t>HV_1016/1017/1018</t>
  </si>
  <si>
    <t>R1429</t>
  </si>
  <si>
    <r>
      <rPr>
        <sz val="10"/>
        <rFont val="Noto Sans CJK SC"/>
        <family val="2"/>
      </rPr>
      <t>冷却后水解液</t>
    </r>
    <r>
      <rPr>
        <sz val="10"/>
        <rFont val="微软雅黑"/>
        <family val="2"/>
        <charset val="134"/>
      </rPr>
      <t>(FT_1304)</t>
    </r>
  </si>
  <si>
    <t>R1430</t>
  </si>
  <si>
    <t>盐酸</t>
  </si>
  <si>
    <r>
      <rPr>
        <sz val="10"/>
        <rFont val="Noto Sans CJK SC"/>
        <family val="2"/>
      </rPr>
      <t>盐酸缓冲罐→</t>
    </r>
    <r>
      <rPr>
        <sz val="10"/>
        <rFont val="微软雅黑"/>
        <family val="2"/>
        <charset val="134"/>
      </rPr>
      <t>1–6</t>
    </r>
    <r>
      <rPr>
        <sz val="10"/>
        <rFont val="Noto Sans CJK SC"/>
        <family val="2"/>
      </rPr>
      <t>号投入</t>
    </r>
    <r>
      <rPr>
        <sz val="10"/>
        <rFont val="微软雅黑"/>
        <family val="2"/>
        <charset val="134"/>
      </rPr>
      <t>(FT_1305)</t>
    </r>
  </si>
  <si>
    <t>R1431</t>
  </si>
  <si>
    <t>:MS_HCl</t>
  </si>
  <si>
    <t>R1432</t>
  </si>
  <si>
    <t>酸化萃取混合液</t>
  </si>
  <si>
    <t>R1433</t>
  </si>
  <si>
    <t>:MS_AcidifiedHydro</t>
  </si>
  <si>
    <t>R1434</t>
  </si>
  <si>
    <t>一萃重相</t>
  </si>
  <si>
    <t>R1435</t>
  </si>
  <si>
    <t>:MS_Ext1Heavy</t>
  </si>
  <si>
    <r>
      <rPr>
        <sz val="10"/>
        <rFont val="Noto Sans CJK SC"/>
        <family val="2"/>
      </rPr>
      <t>萃取轻相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富苯乙酸溶媒</t>
    </r>
    <r>
      <rPr>
        <sz val="10"/>
        <rFont val="微软雅黑"/>
        <family val="2"/>
        <charset val="134"/>
      </rPr>
      <t>)</t>
    </r>
  </si>
  <si>
    <t>R1436</t>
  </si>
  <si>
    <t>:MS_ExtLight</t>
  </si>
  <si>
    <t>R1437</t>
  </si>
  <si>
    <r>
      <rPr>
        <sz val="10"/>
        <rFont val="Noto Sans CJK SC"/>
        <family val="2"/>
      </rPr>
      <t>二萃溶媒</t>
    </r>
    <r>
      <rPr>
        <sz val="10"/>
        <rFont val="微软雅黑"/>
        <family val="2"/>
        <charset val="134"/>
      </rPr>
      <t>(FT_1306)</t>
    </r>
  </si>
  <si>
    <t>R1438</t>
  </si>
  <si>
    <t>二萃重相</t>
  </si>
  <si>
    <t>R1439</t>
  </si>
  <si>
    <t>R1440</t>
  </si>
  <si>
    <t>分相过程</t>
  </si>
  <si>
    <t>R1441</t>
  </si>
  <si>
    <t>R1442</t>
  </si>
  <si>
    <t>R1443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</si>
  <si>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</t>
    </r>
  </si>
  <si>
    <r>
      <rPr>
        <sz val="10"/>
        <rFont val="Noto Sans CJK SC"/>
        <family val="2"/>
      </rPr>
      <t>去结晶</t>
    </r>
    <r>
      <rPr>
        <sz val="10"/>
        <rFont val="微软雅黑"/>
        <family val="2"/>
        <charset val="134"/>
      </rPr>
      <t>(FT_1310/FT_1005)</t>
    </r>
  </si>
  <si>
    <t>R1444</t>
  </si>
  <si>
    <t>:BatchCrystallizerGroup</t>
  </si>
  <si>
    <t>R1445</t>
  </si>
  <si>
    <t>R1446</t>
  </si>
  <si>
    <t>R1447</t>
  </si>
  <si>
    <r>
      <rPr>
        <sz val="10"/>
        <rFont val="Noto Sans CJK SC"/>
        <family val="2"/>
      </rPr>
      <t>反萃重相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苯乙酸钠液</t>
    </r>
    <r>
      <rPr>
        <sz val="10"/>
        <rFont val="微软雅黑"/>
        <family val="2"/>
        <charset val="134"/>
      </rPr>
      <t>)</t>
    </r>
  </si>
  <si>
    <t>R1448</t>
  </si>
  <si>
    <t>:MS_BackExtHeavy</t>
  </si>
  <si>
    <r>
      <rPr>
        <sz val="10"/>
        <rFont val="Noto Sans CJK SC"/>
        <family val="2"/>
      </rPr>
      <t>反萃轻相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再生溶媒</t>
    </r>
    <r>
      <rPr>
        <sz val="10"/>
        <rFont val="微软雅黑"/>
        <family val="2"/>
        <charset val="134"/>
      </rPr>
      <t>)</t>
    </r>
  </si>
  <si>
    <t>R1449</t>
  </si>
  <si>
    <t>:MS_BackExtLight</t>
  </si>
  <si>
    <t>R1450</t>
  </si>
  <si>
    <r>
      <rPr>
        <sz val="10"/>
        <rFont val="Noto Sans CJK SC"/>
        <family val="2"/>
      </rPr>
      <t>混合溶媒套用</t>
    </r>
    <r>
      <rPr>
        <sz val="10"/>
        <rFont val="微软雅黑"/>
        <family val="2"/>
        <charset val="134"/>
      </rPr>
      <t>(XXV_0073)</t>
    </r>
  </si>
  <si>
    <t>R1451</t>
  </si>
  <si>
    <r>
      <rPr>
        <sz val="10"/>
        <rFont val="Noto Sans CJK SC"/>
        <family val="2"/>
      </rPr>
      <t>来自回收溶媒</t>
    </r>
    <r>
      <rPr>
        <sz val="10"/>
        <rFont val="微软雅黑"/>
        <family val="2"/>
        <charset val="134"/>
      </rPr>
      <t>(FT_1314)</t>
    </r>
  </si>
  <si>
    <t>R1452</t>
  </si>
  <si>
    <t>溶媒供给</t>
  </si>
  <si>
    <t>R1453</t>
  </si>
  <si>
    <t>R1454</t>
  </si>
  <si>
    <t>常温水解液经换热器冷却至低温</t>
  </si>
  <si>
    <t>R1455</t>
  </si>
  <si>
    <t>R1456</t>
  </si>
  <si>
    <r>
      <rPr>
        <sz val="10"/>
        <rFont val="微软雅黑"/>
        <family val="2"/>
        <charset val="134"/>
      </rPr>
      <t>TI_1005A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TI_1005B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TI_1307C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TI_1006A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TI_1006B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TI_1006C…</t>
    </r>
  </si>
  <si>
    <t>萃取来料超温加剧溶剂挥发与界面乳化</t>
  </si>
  <si>
    <t>R1457</t>
  </si>
  <si>
    <r>
      <rPr>
        <sz val="10"/>
        <rFont val="Noto Sans CJK SC"/>
        <family val="2"/>
      </rPr>
      <t>酸性条件下温度越高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降解越快</t>
    </r>
  </si>
  <si>
    <t>R1458</t>
  </si>
  <si>
    <t>R1459</t>
  </si>
  <si>
    <r>
      <rPr>
        <sz val="10"/>
        <rFont val="微软雅黑"/>
        <family val="2"/>
        <charset val="134"/>
      </rPr>
      <t>FT_1305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AT_1302</t>
    </r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</si>
  <si>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偏高苯乙酸离子化无法进入溶媒；过低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降解</t>
    </r>
  </si>
  <si>
    <t>R1460</t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</si>
  <si>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越低降解越快</t>
    </r>
  </si>
  <si>
    <t>R1461</t>
  </si>
  <si>
    <t>溶媒流量增加，萃取相比上升</t>
  </si>
  <si>
    <t>R1462</t>
  </si>
  <si>
    <t>R1463</t>
  </si>
  <si>
    <t>相比失衡导致苯乙酸萃取不彻底或溶剂负荷过大</t>
  </si>
  <si>
    <t>R1464</t>
  </si>
  <si>
    <t>R1465</t>
  </si>
  <si>
    <t>R1466</t>
  </si>
  <si>
    <t>乳化严重造成两相分不开</t>
  </si>
  <si>
    <t>R1467</t>
  </si>
  <si>
    <r>
      <rPr>
        <sz val="10"/>
        <rFont val="Noto Sans CJK SC"/>
        <family val="2"/>
      </rPr>
      <t>分相不清导致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随轻相损失</t>
    </r>
  </si>
  <si>
    <t>R1468</t>
  </si>
  <si>
    <t>重液停留期间低温保护</t>
  </si>
  <si>
    <t>R1469</t>
  </si>
  <si>
    <t>R1470</t>
  </si>
  <si>
    <r>
      <rPr>
        <sz val="10"/>
        <rFont val="微软雅黑"/>
        <family val="2"/>
        <charset val="134"/>
      </rPr>
      <t>FT_1309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AT_1303</t>
    </r>
  </si>
  <si>
    <t>碱性足够苯乙酸完全转为钠盐进入水相</t>
  </si>
  <si>
    <t>R1471</t>
  </si>
  <si>
    <t>冷却介质流量增大，进料温度下降</t>
  </si>
  <si>
    <t>R1472</t>
  </si>
  <si>
    <t>背压不稳引起零界面内移或外移，造成跑相夹带</t>
  </si>
  <si>
    <t>R1473</t>
  </si>
  <si>
    <t>R1474</t>
  </si>
  <si>
    <t>R1475</t>
  </si>
  <si>
    <t>界面偏移导致轻相夹带水相或重相夹带溶媒</t>
  </si>
  <si>
    <t>R1476</t>
  </si>
  <si>
    <t>分离因数越高分相越清</t>
  </si>
  <si>
    <t>R1477</t>
  </si>
  <si>
    <t>废有机相夹带直接构成物料流失</t>
  </si>
  <si>
    <t>R1478</t>
  </si>
  <si>
    <t>R1479</t>
  </si>
  <si>
    <t>苯乙酸残留随晶体带入成品</t>
  </si>
  <si>
    <t>R1480</t>
  </si>
  <si>
    <t>R1481</t>
  </si>
  <si>
    <t>苯乙酸回收率</t>
  </si>
  <si>
    <t>R1482</t>
  </si>
  <si>
    <t>:QKPI_300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</si>
  <si>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干燥</t>
    </r>
  </si>
  <si>
    <r>
      <rPr>
        <sz val="10"/>
        <rFont val="Noto Sans CJK SC"/>
        <family val="2"/>
      </rPr>
      <t>衔接物料：</t>
    </r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湿品。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离心机滤饼送干燥</t>
    </r>
  </si>
  <si>
    <t>S13</t>
  </si>
  <si>
    <t>R1483</t>
  </si>
  <si>
    <t>:Area_S16_Drying</t>
  </si>
  <si>
    <t>结晶母液回收</t>
  </si>
  <si>
    <r>
      <rPr>
        <sz val="10"/>
        <rFont val="Noto Sans CJK SC"/>
        <family val="2"/>
      </rPr>
      <t>衔接物料：结晶离心母液。离心机母液去回收（</t>
    </r>
    <r>
      <rPr>
        <sz val="10"/>
        <rFont val="微软雅黑"/>
        <family val="2"/>
        <charset val="134"/>
      </rPr>
      <t>JYLX_12</t>
    </r>
    <r>
      <rPr>
        <sz val="10"/>
        <rFont val="Noto Sans CJK SC"/>
        <family val="2"/>
      </rPr>
      <t>）</t>
    </r>
  </si>
  <si>
    <t>R1484</t>
  </si>
  <si>
    <t>:Area_S17_MotherLiquorRecovery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</si>
  <si>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批次结晶与离心包含搅拌结晶罐“</t>
    </r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R112–R125”</t>
    </r>
  </si>
  <si>
    <t>R1485</t>
  </si>
  <si>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结晶</t>
    </r>
    <r>
      <rPr>
        <sz val="10"/>
        <rFont val="微软雅黑"/>
        <family val="2"/>
        <charset val="134"/>
      </rPr>
      <t>_</t>
    </r>
    <r>
      <rPr>
        <sz val="10"/>
        <rFont val="Noto Sans CJK SC"/>
        <family val="2"/>
      </rPr>
      <t xml:space="preserve">北排 </t>
    </r>
    <r>
      <rPr>
        <sz val="10"/>
        <rFont val="微软雅黑"/>
        <family val="2"/>
        <charset val="134"/>
      </rPr>
      <t>/ 6A</t>
    </r>
    <r>
      <rPr>
        <sz val="10"/>
        <rFont val="Noto Sans CJK SC"/>
        <family val="2"/>
      </rPr>
      <t>结晶</t>
    </r>
    <r>
      <rPr>
        <sz val="10"/>
        <rFont val="微软雅黑"/>
        <family val="2"/>
        <charset val="134"/>
      </rPr>
      <t>_</t>
    </r>
    <r>
      <rPr>
        <sz val="10"/>
        <rFont val="Noto Sans CJK SC"/>
        <family val="2"/>
      </rPr>
      <t>南排</t>
    </r>
  </si>
  <si>
    <t>R112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</si>
  <si>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</t>
    </r>
    <r>
      <rPr>
        <sz val="10"/>
        <rFont val="Noto Sans CJK SC"/>
        <family val="2"/>
      </rPr>
      <t>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</si>
  <si>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R1486</t>
  </si>
  <si>
    <t>:BatchCrystallizerGroup_M01</t>
  </si>
  <si>
    <t>R113</t>
  </si>
  <si>
    <t>R1487</t>
  </si>
  <si>
    <t>:BatchCrystallizerGroup_M02</t>
  </si>
  <si>
    <t>R114</t>
  </si>
  <si>
    <t>R1488</t>
  </si>
  <si>
    <t>:BatchCrystallizerGroup_M03</t>
  </si>
  <si>
    <t>R115</t>
  </si>
  <si>
    <t>R1489</t>
  </si>
  <si>
    <t>:BatchCrystallizerGroup_M04</t>
  </si>
  <si>
    <t>R116</t>
  </si>
  <si>
    <t>R1490</t>
  </si>
  <si>
    <t>:BatchCrystallizerGroup_M05</t>
  </si>
  <si>
    <t>R117</t>
  </si>
  <si>
    <t>R1491</t>
  </si>
  <si>
    <t>:BatchCrystallizerGroup_M06</t>
  </si>
  <si>
    <t>R118</t>
  </si>
  <si>
    <t>R1492</t>
  </si>
  <si>
    <t>:BatchCrystallizerGroup_M07</t>
  </si>
  <si>
    <t>R119</t>
  </si>
  <si>
    <t>R1493</t>
  </si>
  <si>
    <t>:BatchCrystallizerGroup_M08</t>
  </si>
  <si>
    <t>R120</t>
  </si>
  <si>
    <t>R1494</t>
  </si>
  <si>
    <t>:BatchCrystallizerGroup_M09</t>
  </si>
  <si>
    <t>R121</t>
  </si>
  <si>
    <t>R1495</t>
  </si>
  <si>
    <t>:BatchCrystallizerGroup_M10</t>
  </si>
  <si>
    <t>R122</t>
  </si>
  <si>
    <t>R1496</t>
  </si>
  <si>
    <t>:BatchCrystallizerGroup_M11</t>
  </si>
  <si>
    <t>R123</t>
  </si>
  <si>
    <t>R1497</t>
  </si>
  <si>
    <t>:BatchCrystallizerGroup_M12</t>
  </si>
  <si>
    <t>R124</t>
  </si>
  <si>
    <t>R1498</t>
  </si>
  <si>
    <t>:BatchCrystallizerGroup_M13</t>
  </si>
  <si>
    <t>R125</t>
  </si>
  <si>
    <t>R1499</t>
  </si>
  <si>
    <t>:BatchCrystallizerGroup_M14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</si>
  <si>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R112–R125·</t>
    </r>
    <r>
      <rPr>
        <sz val="10"/>
        <rFont val="Noto Sans CJK SC"/>
        <family val="2"/>
      </rPr>
      <t>搅拌器</t>
    </r>
    <r>
      <rPr>
        <sz val="10"/>
        <rFont val="微软雅黑"/>
        <family val="2"/>
        <charset val="134"/>
      </rPr>
      <t>PB_1013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</si>
  <si>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</t>
    </r>
    <r>
      <rPr>
        <sz val="10"/>
        <rFont val="Noto Sans CJK SC"/>
        <family val="2"/>
      </rPr>
      <t>配置搅拌器</t>
    </r>
    <r>
      <rPr>
        <sz val="10"/>
        <rFont val="微软雅黑"/>
        <family val="2"/>
        <charset val="134"/>
      </rPr>
      <t>PB_1013</t>
    </r>
  </si>
  <si>
    <t>R1500</t>
  </si>
  <si>
    <t>:BatchCrystallizerGroup_P01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</si>
  <si>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R112–R125·</t>
    </r>
    <r>
      <rPr>
        <sz val="10"/>
        <rFont val="Noto Sans CJK SC"/>
        <family val="2"/>
      </rPr>
      <t>温控调节阀</t>
    </r>
    <r>
      <rPr>
        <sz val="10"/>
        <rFont val="微软雅黑"/>
        <family val="2"/>
        <charset val="134"/>
      </rPr>
      <t>HV_1029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</si>
  <si>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</t>
    </r>
    <r>
      <rPr>
        <sz val="10"/>
        <rFont val="Noto Sans CJK SC"/>
        <family val="2"/>
      </rPr>
      <t>配置温控调节阀</t>
    </r>
    <r>
      <rPr>
        <sz val="10"/>
        <rFont val="微软雅黑"/>
        <family val="2"/>
        <charset val="134"/>
      </rPr>
      <t>HV_1029</t>
    </r>
  </si>
  <si>
    <t>R1501</t>
  </si>
  <si>
    <t>:BatchCrystallizerGroup_P02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</si>
  <si>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R112–R125·</t>
    </r>
    <r>
      <rPr>
        <sz val="10"/>
        <rFont val="Noto Sans CJK SC"/>
        <family val="2"/>
      </rPr>
      <t>盐酸调节阀</t>
    </r>
    <r>
      <rPr>
        <sz val="10"/>
        <rFont val="微软雅黑"/>
        <family val="2"/>
        <charset val="134"/>
      </rPr>
      <t>JJG1xx_HCL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</si>
  <si>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</t>
    </r>
    <r>
      <rPr>
        <sz val="10"/>
        <rFont val="Noto Sans CJK SC"/>
        <family val="2"/>
      </rPr>
      <t>配置盐酸调节阀</t>
    </r>
    <r>
      <rPr>
        <sz val="10"/>
        <rFont val="微软雅黑"/>
        <family val="2"/>
        <charset val="134"/>
      </rPr>
      <t>JJG1xx_HCL</t>
    </r>
  </si>
  <si>
    <t>R1502</t>
  </si>
  <si>
    <t>:BatchCrystallizerGroup_P03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</si>
  <si>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R112–R125·</t>
    </r>
    <r>
      <rPr>
        <sz val="10"/>
        <rFont val="Noto Sans CJK SC"/>
        <family val="2"/>
      </rPr>
      <t>氨水进口阀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</si>
  <si>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</t>
    </r>
    <r>
      <rPr>
        <sz val="10"/>
        <rFont val="Noto Sans CJK SC"/>
        <family val="2"/>
      </rPr>
      <t>配置氨水进口阀</t>
    </r>
  </si>
  <si>
    <t>R1503</t>
  </si>
  <si>
    <t>:BatchCrystallizerGroup_P04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</si>
  <si>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R112–R125·</t>
    </r>
    <r>
      <rPr>
        <sz val="10"/>
        <rFont val="Noto Sans CJK SC"/>
        <family val="2"/>
      </rPr>
      <t>重液进口阀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</si>
  <si>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</t>
    </r>
    <r>
      <rPr>
        <sz val="10"/>
        <rFont val="Noto Sans CJK SC"/>
        <family val="2"/>
      </rPr>
      <t>配置重液进口阀</t>
    </r>
  </si>
  <si>
    <t>R1504</t>
  </si>
  <si>
    <t>:BatchCrystallizerGroup_P05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</si>
  <si>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R112–R125·</t>
    </r>
    <r>
      <rPr>
        <sz val="10"/>
        <rFont val="Noto Sans CJK SC"/>
        <family val="2"/>
      </rPr>
      <t>软水阀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</si>
  <si>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</t>
    </r>
    <r>
      <rPr>
        <sz val="10"/>
        <rFont val="Noto Sans CJK SC"/>
        <family val="2"/>
      </rPr>
      <t>配置软水阀</t>
    </r>
  </si>
  <si>
    <t>R1505</t>
  </si>
  <si>
    <t>:BatchCrystallizerGroup_P06</t>
  </si>
  <si>
    <t>晶浆打料泵组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</si>
  <si>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批次结晶与离心包含变频泵“晶浆打料泵组”</t>
    </r>
  </si>
  <si>
    <t>R1506</t>
  </si>
  <si>
    <t>:SlurryPumps</t>
  </si>
  <si>
    <r>
      <rPr>
        <sz val="10"/>
        <rFont val="Noto Sans CJK SC"/>
        <family val="2"/>
      </rPr>
      <t>三层打料泵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</si>
  <si>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晶浆打料泵组的并联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</si>
  <si>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R1507</t>
  </si>
  <si>
    <t>:SlurryPumps_M01</t>
  </si>
  <si>
    <r>
      <rPr>
        <sz val="10"/>
        <rFont val="Noto Sans CJK SC"/>
        <family val="2"/>
      </rPr>
      <t>三层打料泵</t>
    </r>
    <r>
      <rPr>
        <sz val="10"/>
        <rFont val="微软雅黑"/>
        <family val="2"/>
        <charset val="134"/>
      </rPr>
      <t>B</t>
    </r>
  </si>
  <si>
    <t>R1508</t>
  </si>
  <si>
    <t>:SlurryPumps_M02</t>
  </si>
  <si>
    <r>
      <rPr>
        <sz val="10"/>
        <rFont val="Noto Sans CJK SC"/>
        <family val="2"/>
      </rPr>
      <t>三层打料泵</t>
    </r>
    <r>
      <rPr>
        <sz val="10"/>
        <rFont val="微软雅黑"/>
        <family val="2"/>
        <charset val="134"/>
      </rPr>
      <t>C</t>
    </r>
  </si>
  <si>
    <t>R1509</t>
  </si>
  <si>
    <t>:SlurryPumps_M03</t>
  </si>
  <si>
    <r>
      <rPr>
        <sz val="10"/>
        <rFont val="Noto Sans CJK SC"/>
        <family val="2"/>
      </rPr>
      <t>三层打料泵</t>
    </r>
    <r>
      <rPr>
        <sz val="10"/>
        <rFont val="微软雅黑"/>
        <family val="2"/>
        <charset val="134"/>
      </rPr>
      <t>D</t>
    </r>
  </si>
  <si>
    <t>R1510</t>
  </si>
  <si>
    <t>:SlurryPumps_M04</t>
  </si>
  <si>
    <r>
      <rPr>
        <sz val="10"/>
        <rFont val="Noto Sans CJK SC"/>
        <family val="2"/>
      </rPr>
      <t>晶浆打料泵</t>
    </r>
    <r>
      <rPr>
        <sz val="10"/>
        <rFont val="微软雅黑"/>
        <family val="2"/>
        <charset val="134"/>
      </rPr>
      <t>A</t>
    </r>
  </si>
  <si>
    <t>R1511</t>
  </si>
  <si>
    <t>:SlurryPumps_M05</t>
  </si>
  <si>
    <r>
      <rPr>
        <sz val="10"/>
        <rFont val="Noto Sans CJK SC"/>
        <family val="2"/>
      </rPr>
      <t>晶浆打料泵</t>
    </r>
    <r>
      <rPr>
        <sz val="10"/>
        <rFont val="微软雅黑"/>
        <family val="2"/>
        <charset val="134"/>
      </rPr>
      <t>B</t>
    </r>
  </si>
  <si>
    <t>R1512</t>
  </si>
  <si>
    <t>:SlurryPumps_M06</t>
  </si>
  <si>
    <r>
      <rPr>
        <sz val="10"/>
        <rFont val="Noto Sans CJK SC"/>
        <family val="2"/>
      </rPr>
      <t>晶浆打料泵</t>
    </r>
    <r>
      <rPr>
        <sz val="10"/>
        <rFont val="微软雅黑"/>
        <family val="2"/>
        <charset val="134"/>
      </rPr>
      <t>C</t>
    </r>
  </si>
  <si>
    <t>R1513</t>
  </si>
  <si>
    <t>:SlurryPumps_M07</t>
  </si>
  <si>
    <r>
      <rPr>
        <sz val="10"/>
        <rFont val="Noto Sans CJK SC"/>
        <family val="2"/>
      </rPr>
      <t>晶浆打料泵</t>
    </r>
    <r>
      <rPr>
        <sz val="10"/>
        <rFont val="微软雅黑"/>
        <family val="2"/>
        <charset val="134"/>
      </rPr>
      <t>D</t>
    </r>
  </si>
  <si>
    <t>R1514</t>
  </si>
  <si>
    <t>:SlurryPumps_M08</t>
  </si>
  <si>
    <r>
      <rPr>
        <sz val="10"/>
        <rFont val="Noto Sans CJK SC"/>
        <family val="2"/>
      </rPr>
      <t>晶浆打料泵组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变频器</t>
    </r>
  </si>
  <si>
    <t>晶浆打料泵组配置变频器</t>
  </si>
  <si>
    <t>R1515</t>
  </si>
  <si>
    <t>:SlurryPumps_P01</t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</si>
  <si>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离心机组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</si>
  <si>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批次结晶与离心包含卧式刮刀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平板离心机“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离心机组”</t>
    </r>
  </si>
  <si>
    <t>R1516</t>
  </si>
  <si>
    <t>:Centrifuge1600Group</t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</si>
  <si>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1</t>
    </r>
    <r>
      <rPr>
        <sz val="10"/>
        <rFont val="Noto Sans CJK SC"/>
        <family val="2"/>
      </rPr>
      <t>号</t>
    </r>
    <r>
      <rPr>
        <sz val="10"/>
        <rFont val="微软雅黑"/>
        <family val="2"/>
        <charset val="134"/>
      </rPr>
      <t>(A)</t>
    </r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</si>
  <si>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</si>
  <si>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R1517</t>
  </si>
  <si>
    <t>:Centrifuge1600Group_M01</t>
  </si>
  <si>
    <r>
      <rPr>
        <sz val="10"/>
        <rFont val="微软雅黑"/>
        <family val="2"/>
        <charset val="134"/>
      </rPr>
      <t>2</t>
    </r>
    <r>
      <rPr>
        <sz val="10"/>
        <rFont val="Noto Sans CJK SC"/>
        <family val="2"/>
      </rPr>
      <t>号</t>
    </r>
    <r>
      <rPr>
        <sz val="10"/>
        <rFont val="微软雅黑"/>
        <family val="2"/>
        <charset val="134"/>
      </rPr>
      <t>(B)</t>
    </r>
  </si>
  <si>
    <t>R1518</t>
  </si>
  <si>
    <t>:Centrifuge1600Group_M02</t>
  </si>
  <si>
    <r>
      <rPr>
        <sz val="10"/>
        <rFont val="微软雅黑"/>
        <family val="2"/>
        <charset val="134"/>
      </rPr>
      <t>3</t>
    </r>
    <r>
      <rPr>
        <sz val="10"/>
        <rFont val="Noto Sans CJK SC"/>
        <family val="2"/>
      </rPr>
      <t>号</t>
    </r>
    <r>
      <rPr>
        <sz val="10"/>
        <rFont val="微软雅黑"/>
        <family val="2"/>
        <charset val="134"/>
      </rPr>
      <t>(C)</t>
    </r>
  </si>
  <si>
    <t>R1519</t>
  </si>
  <si>
    <t>:Centrifuge1600Group_M03</t>
  </si>
  <si>
    <r>
      <rPr>
        <sz val="10"/>
        <rFont val="微软雅黑"/>
        <family val="2"/>
        <charset val="134"/>
      </rPr>
      <t>4</t>
    </r>
    <r>
      <rPr>
        <sz val="10"/>
        <rFont val="Noto Sans CJK SC"/>
        <family val="2"/>
      </rPr>
      <t>号</t>
    </r>
    <r>
      <rPr>
        <sz val="10"/>
        <rFont val="微软雅黑"/>
        <family val="2"/>
        <charset val="134"/>
      </rPr>
      <t>(D)</t>
    </r>
  </si>
  <si>
    <t>R1520</t>
  </si>
  <si>
    <t>:Centrifuge1600Group_M04</t>
  </si>
  <si>
    <r>
      <rPr>
        <sz val="10"/>
        <rFont val="微软雅黑"/>
        <family val="2"/>
        <charset val="134"/>
      </rPr>
      <t>5</t>
    </r>
    <r>
      <rPr>
        <sz val="10"/>
        <rFont val="Noto Sans CJK SC"/>
        <family val="2"/>
      </rPr>
      <t>号</t>
    </r>
    <r>
      <rPr>
        <sz val="10"/>
        <rFont val="微软雅黑"/>
        <family val="2"/>
        <charset val="134"/>
      </rPr>
      <t>(E)</t>
    </r>
  </si>
  <si>
    <t>R1521</t>
  </si>
  <si>
    <t>:Centrifuge1600Group_M05</t>
  </si>
  <si>
    <r>
      <rPr>
        <sz val="10"/>
        <rFont val="微软雅黑"/>
        <family val="2"/>
        <charset val="134"/>
      </rPr>
      <t>6</t>
    </r>
    <r>
      <rPr>
        <sz val="10"/>
        <rFont val="Noto Sans CJK SC"/>
        <family val="2"/>
      </rPr>
      <t>号</t>
    </r>
    <r>
      <rPr>
        <sz val="10"/>
        <rFont val="微软雅黑"/>
        <family val="2"/>
        <charset val="134"/>
      </rPr>
      <t>(F)</t>
    </r>
  </si>
  <si>
    <t>R1522</t>
  </si>
  <si>
    <t>:Centrifuge1600Group_M06</t>
  </si>
  <si>
    <r>
      <rPr>
        <sz val="10"/>
        <rFont val="微软雅黑"/>
        <family val="2"/>
        <charset val="134"/>
      </rPr>
      <t>7</t>
    </r>
    <r>
      <rPr>
        <sz val="10"/>
        <rFont val="Noto Sans CJK SC"/>
        <family val="2"/>
      </rPr>
      <t>号</t>
    </r>
    <r>
      <rPr>
        <sz val="10"/>
        <rFont val="微软雅黑"/>
        <family val="2"/>
        <charset val="134"/>
      </rPr>
      <t>(G)</t>
    </r>
  </si>
  <si>
    <t>R1523</t>
  </si>
  <si>
    <t>:Centrifuge1600Group_M07</t>
  </si>
  <si>
    <r>
      <rPr>
        <sz val="10"/>
        <rFont val="微软雅黑"/>
        <family val="2"/>
        <charset val="134"/>
      </rPr>
      <t>8</t>
    </r>
    <r>
      <rPr>
        <sz val="10"/>
        <rFont val="Noto Sans CJK SC"/>
        <family val="2"/>
      </rPr>
      <t>号</t>
    </r>
    <r>
      <rPr>
        <sz val="10"/>
        <rFont val="微软雅黑"/>
        <family val="2"/>
        <charset val="134"/>
      </rPr>
      <t>(H)</t>
    </r>
  </si>
  <si>
    <t>R1524</t>
  </si>
  <si>
    <t>:Centrifuge1600Group_M08</t>
  </si>
  <si>
    <r>
      <rPr>
        <sz val="10"/>
        <rFont val="微软雅黑"/>
        <family val="2"/>
        <charset val="134"/>
      </rPr>
      <t>9</t>
    </r>
    <r>
      <rPr>
        <sz val="10"/>
        <rFont val="Noto Sans CJK SC"/>
        <family val="2"/>
      </rPr>
      <t>号</t>
    </r>
    <r>
      <rPr>
        <sz val="10"/>
        <rFont val="微软雅黑"/>
        <family val="2"/>
        <charset val="134"/>
      </rPr>
      <t>(I)</t>
    </r>
  </si>
  <si>
    <t>R1525</t>
  </si>
  <si>
    <t>:Centrifuge1600Group_M09</t>
  </si>
  <si>
    <r>
      <rPr>
        <sz val="10"/>
        <rFont val="微软雅黑"/>
        <family val="2"/>
        <charset val="134"/>
      </rPr>
      <t>10</t>
    </r>
    <r>
      <rPr>
        <sz val="10"/>
        <rFont val="Noto Sans CJK SC"/>
        <family val="2"/>
      </rPr>
      <t>号</t>
    </r>
    <r>
      <rPr>
        <sz val="10"/>
        <rFont val="微软雅黑"/>
        <family val="2"/>
        <charset val="134"/>
      </rPr>
      <t>(J)</t>
    </r>
  </si>
  <si>
    <t>R1526</t>
  </si>
  <si>
    <t>:Centrifuge1600Group_M10</t>
  </si>
  <si>
    <r>
      <rPr>
        <sz val="10"/>
        <rFont val="微软雅黑"/>
        <family val="2"/>
        <charset val="134"/>
      </rPr>
      <t>11</t>
    </r>
    <r>
      <rPr>
        <sz val="10"/>
        <rFont val="Noto Sans CJK SC"/>
        <family val="2"/>
      </rPr>
      <t>号</t>
    </r>
  </si>
  <si>
    <t>R1527</t>
  </si>
  <si>
    <t>:Centrifuge1600Group_M11</t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</si>
  <si>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进料调节阀</t>
    </r>
    <r>
      <rPr>
        <sz val="10"/>
        <rFont val="微软雅黑"/>
        <family val="2"/>
        <charset val="134"/>
      </rPr>
      <t>HV_2014/2017</t>
    </r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</si>
  <si>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离心机组配置进料调节阀</t>
    </r>
    <r>
      <rPr>
        <sz val="10"/>
        <rFont val="微软雅黑"/>
        <family val="2"/>
        <charset val="134"/>
      </rPr>
      <t>HV_2014/2017</t>
    </r>
  </si>
  <si>
    <t>R1528</t>
  </si>
  <si>
    <t>:Centrifuge1600Group_P01</t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</si>
  <si>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洗涤软水阀</t>
    </r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</si>
  <si>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离心机组配置洗涤软水阀</t>
    </r>
  </si>
  <si>
    <t>R1529</t>
  </si>
  <si>
    <t>:Centrifuge1600Group_P02</t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</si>
  <si>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主电机</t>
    </r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</si>
  <si>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离心机组配置主电机</t>
    </r>
  </si>
  <si>
    <t>R1530</t>
  </si>
  <si>
    <t>:Centrifuge1600Group_P03</t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</si>
  <si>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离心机软水罐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</si>
  <si>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批次结晶与离心包含储罐“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离心机软水罐”</t>
    </r>
  </si>
  <si>
    <t>R1531</t>
  </si>
  <si>
    <t>:CentrifugeSoftWaterTank</t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</si>
  <si>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离心机软水罐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降温调节阀</t>
    </r>
    <r>
      <rPr>
        <sz val="10"/>
        <rFont val="微软雅黑"/>
        <family val="2"/>
        <charset val="134"/>
      </rPr>
      <t>HV_1338</t>
    </r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</si>
  <si>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离心机软水罐配置降温调节阀</t>
    </r>
    <r>
      <rPr>
        <sz val="10"/>
        <rFont val="微软雅黑"/>
        <family val="2"/>
        <charset val="134"/>
      </rPr>
      <t>HV_1338</t>
    </r>
  </si>
  <si>
    <t>R1532</t>
  </si>
  <si>
    <t>:CentrifugeSoftWaterTank_P01</t>
  </si>
  <si>
    <r>
      <rPr>
        <sz val="10"/>
        <rFont val="Noto Sans CJK SC"/>
        <family val="2"/>
      </rPr>
      <t>离心母液罐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洗液罐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</si>
  <si>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批次结晶与离心包含储罐“离心母液罐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洗液罐”</t>
    </r>
  </si>
  <si>
    <t>R1533</t>
  </si>
  <si>
    <t>:CrystMotherTanks</t>
  </si>
  <si>
    <t>母液罐</t>
  </si>
  <si>
    <r>
      <rPr>
        <sz val="10"/>
        <rFont val="Noto Sans CJK SC"/>
        <family val="2"/>
      </rPr>
      <t>离心母液罐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洗液罐的并联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</si>
  <si>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R1534</t>
  </si>
  <si>
    <t>:CrystMotherTanks_M01</t>
  </si>
  <si>
    <t>洗液罐</t>
  </si>
  <si>
    <t>R1535</t>
  </si>
  <si>
    <t>:CrystMotherTanks_M02</t>
  </si>
  <si>
    <t>排空罐</t>
  </si>
  <si>
    <t>R1536</t>
  </si>
  <si>
    <t>:CrystMotherTanks_M03</t>
  </si>
  <si>
    <r>
      <rPr>
        <sz val="10"/>
        <rFont val="Noto Sans CJK SC"/>
        <family val="2"/>
      </rPr>
      <t>离心母液罐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洗液罐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</si>
  <si>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r>
      <rPr>
        <sz val="10"/>
        <rFont val="Noto Sans CJK SC"/>
        <family val="2"/>
      </rPr>
      <t>离心母液罐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洗液罐配置液位计</t>
    </r>
  </si>
  <si>
    <t>R1537</t>
  </si>
  <si>
    <t>:CrystMotherTanks_P01</t>
  </si>
  <si>
    <t>结晶罐温度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</si>
  <si>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</t>
    </r>
    <r>
      <rPr>
        <sz val="10"/>
        <rFont val="Noto Sans CJK SC"/>
        <family val="2"/>
      </rPr>
      <t>的结晶罐温度</t>
    </r>
  </si>
  <si>
    <t>R1538</t>
  </si>
  <si>
    <t>:Attr_159</t>
  </si>
  <si>
    <r>
      <rPr>
        <sz val="10"/>
        <rFont val="微软雅黑"/>
        <family val="2"/>
        <charset val="134"/>
      </rPr>
      <t>TI_1407_A1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TI_1407_A2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TI_1407_A3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TI_1407_A4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TI_1407_A5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TI_1407_A6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TI_1407_A7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TI_1407_A8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TI_1407_A9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TI_1407_A10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TI_1407_A11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TI_1407_A12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TI_1407_A13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TI_1407_A14</t>
    </r>
  </si>
  <si>
    <r>
      <rPr>
        <sz val="10"/>
        <rFont val="Noto Sans CJK SC"/>
        <family val="2"/>
      </rPr>
      <t>结晶终点</t>
    </r>
    <r>
      <rPr>
        <sz val="10"/>
        <rFont val="微软雅黑"/>
        <family val="2"/>
        <charset val="134"/>
      </rPr>
      <t>pH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</si>
  <si>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</t>
    </r>
    <r>
      <rPr>
        <sz val="10"/>
        <rFont val="Noto Sans CJK SC"/>
        <family val="2"/>
      </rPr>
      <t>的结晶终点</t>
    </r>
    <r>
      <rPr>
        <sz val="10"/>
        <rFont val="微软雅黑"/>
        <family val="2"/>
        <charset val="134"/>
      </rPr>
      <t>pH</t>
    </r>
  </si>
  <si>
    <t>R1539</t>
  </si>
  <si>
    <t>:Attr_160</t>
  </si>
  <si>
    <r>
      <rPr>
        <sz val="10"/>
        <rFont val="微软雅黑"/>
        <family val="2"/>
        <charset val="134"/>
      </rPr>
      <t>AT_1401A1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AT_1401A2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AT_1401A3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AT_1401A4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AT_1401A5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AT_1401A6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AT_1401A7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AT_1401A8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AT_1401A9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AT_1401A10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AT_1401A11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AT_1401A12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AT_1401A13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AT_1401A14</t>
    </r>
  </si>
  <si>
    <t>结晶罐液位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</si>
  <si>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</t>
    </r>
    <r>
      <rPr>
        <sz val="10"/>
        <rFont val="Noto Sans CJK SC"/>
        <family val="2"/>
      </rPr>
      <t>的结晶罐液位</t>
    </r>
  </si>
  <si>
    <t>R1540</t>
  </si>
  <si>
    <t>:Attr_161</t>
  </si>
  <si>
    <r>
      <rPr>
        <sz val="10"/>
        <rFont val="微软雅黑"/>
        <family val="2"/>
        <charset val="134"/>
      </rPr>
      <t>LT_1003A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LT_1003B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LT_1003C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LT_1003D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LT_1003E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LT_1003F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LT_1003G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LT_1003H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LT_1003I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LT_1003J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LT_1003K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LT_1003L</t>
    </r>
  </si>
  <si>
    <t>重液进料流量</t>
  </si>
  <si>
    <t>结晶罐结晶液进口流量</t>
  </si>
  <si>
    <t>R1541</t>
  </si>
  <si>
    <t>:Attr_162</t>
  </si>
  <si>
    <t>FT_1005</t>
  </si>
  <si>
    <t>结晶氨水进料流量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</si>
  <si>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</t>
    </r>
    <r>
      <rPr>
        <sz val="10"/>
        <rFont val="Noto Sans CJK SC"/>
        <family val="2"/>
      </rPr>
      <t>的结晶氨水进料流量</t>
    </r>
  </si>
  <si>
    <t>R1542</t>
  </si>
  <si>
    <t>:Attr_163</t>
  </si>
  <si>
    <r>
      <rPr>
        <sz val="10"/>
        <rFont val="微软雅黑"/>
        <family val="2"/>
        <charset val="134"/>
      </rPr>
      <t>FT_1006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FT_1404</t>
    </r>
  </si>
  <si>
    <t>结晶搅拌频率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</si>
  <si>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</t>
    </r>
    <r>
      <rPr>
        <sz val="10"/>
        <rFont val="Noto Sans CJK SC"/>
        <family val="2"/>
      </rPr>
      <t>的结晶搅拌频率</t>
    </r>
  </si>
  <si>
    <t>R1543</t>
  </si>
  <si>
    <t>:Attr_164</t>
  </si>
  <si>
    <r>
      <rPr>
        <sz val="10"/>
        <rFont val="微软雅黑"/>
        <family val="2"/>
        <charset val="134"/>
      </rPr>
      <t>PB_1013A_FB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PB_1013B_FB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PB_1013C_FB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PB_1013D_FB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PB_1013E_FB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PB_1013F_FB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PB_1013G_FB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PB_1013H_FB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PB_1013I_FB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PB_1013J_FB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PB_1013K_FB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PB_1013L_FB</t>
    </r>
  </si>
  <si>
    <t>结晶盐酸流量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</si>
  <si>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</t>
    </r>
    <r>
      <rPr>
        <sz val="10"/>
        <rFont val="Noto Sans CJK SC"/>
        <family val="2"/>
      </rPr>
      <t>的结晶盐酸流量</t>
    </r>
  </si>
  <si>
    <t>R1544</t>
  </si>
  <si>
    <t>:Attr_165</t>
  </si>
  <si>
    <r>
      <rPr>
        <sz val="10"/>
        <rFont val="微软雅黑"/>
        <family val="2"/>
        <charset val="134"/>
      </rPr>
      <t>FT_6AHCL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FI_1001</t>
    </r>
  </si>
  <si>
    <t>结晶软水流量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</si>
  <si>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</t>
    </r>
    <r>
      <rPr>
        <sz val="10"/>
        <rFont val="Noto Sans CJK SC"/>
        <family val="2"/>
      </rPr>
      <t>的结晶软水流量</t>
    </r>
  </si>
  <si>
    <t>R1545</t>
  </si>
  <si>
    <t>:Attr_166</t>
  </si>
  <si>
    <t>FE_NH3_DJ</t>
  </si>
  <si>
    <t>离心机频率</t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</si>
  <si>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离心机组的离心机频率</t>
    </r>
  </si>
  <si>
    <t>R1546</t>
  </si>
  <si>
    <t>:Attr_167</t>
  </si>
  <si>
    <r>
      <rPr>
        <sz val="10"/>
        <rFont val="微软雅黑"/>
        <family val="2"/>
        <charset val="134"/>
      </rPr>
      <t>II_141600A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II_141600B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II_141600C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II_141600D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II_141600E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II_141600F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II_141600G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II_141600H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II_141600I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II_141600J</t>
    </r>
  </si>
  <si>
    <t>离心洗涤水流量</t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</si>
  <si>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离心机组的离心洗涤水流量</t>
    </r>
  </si>
  <si>
    <t>R1547</t>
  </si>
  <si>
    <t>:Attr_168</t>
  </si>
  <si>
    <r>
      <rPr>
        <sz val="10"/>
        <rFont val="微软雅黑"/>
        <family val="2"/>
        <charset val="134"/>
      </rPr>
      <t>FT_2004A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FT_2004B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FT_2004C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FT_2004D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FT_2004E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FT_2004F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FT_2004G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FT_2004H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FT_2004I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FT_2004J</t>
    </r>
  </si>
  <si>
    <t>离心软水温度</t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</si>
  <si>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离心机软水罐的离心软水温度</t>
    </r>
  </si>
  <si>
    <t>R1548</t>
  </si>
  <si>
    <t>:Attr_169</t>
  </si>
  <si>
    <t>TI_1338</t>
  </si>
  <si>
    <r>
      <rPr>
        <sz val="10"/>
        <rFont val="Noto Sans CJK SC"/>
        <family val="2"/>
      </rPr>
      <t>离心软水</t>
    </r>
    <r>
      <rPr>
        <sz val="10"/>
        <rFont val="微软雅黑"/>
        <family val="2"/>
        <charset val="134"/>
      </rPr>
      <t>pH</t>
    </r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</si>
  <si>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离心机软水罐的离心软水</t>
    </r>
    <r>
      <rPr>
        <sz val="10"/>
        <rFont val="微软雅黑"/>
        <family val="2"/>
        <charset val="134"/>
      </rPr>
      <t>pH</t>
    </r>
  </si>
  <si>
    <t>R1549</t>
  </si>
  <si>
    <t>:Attr_170</t>
  </si>
  <si>
    <t>JJG_LXJPHJ</t>
  </si>
  <si>
    <t>母液去回收流量</t>
  </si>
  <si>
    <r>
      <rPr>
        <sz val="10"/>
        <rFont val="Noto Sans CJK SC"/>
        <family val="2"/>
      </rPr>
      <t>离心母液罐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洗液罐的母液去回收流量</t>
    </r>
  </si>
  <si>
    <t>R1550</t>
  </si>
  <si>
    <t>:Attr_171</t>
  </si>
  <si>
    <t>JYLX_12_AI</t>
  </si>
  <si>
    <t>结晶过饱和度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</si>
  <si>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</t>
    </r>
    <r>
      <rPr>
        <sz val="10"/>
        <rFont val="Noto Sans CJK SC"/>
        <family val="2"/>
      </rPr>
      <t>的结晶过饱和度（机理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</si>
  <si>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R1551</t>
  </si>
  <si>
    <t>:Attr_285</t>
  </si>
  <si>
    <t>晶体粒度分布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</si>
  <si>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</t>
    </r>
    <r>
      <rPr>
        <sz val="10"/>
        <rFont val="Noto Sans CJK SC"/>
        <family val="2"/>
      </rPr>
      <t>的晶体粒度分布（机理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</si>
  <si>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R1552</t>
  </si>
  <si>
    <t>:QKPI_286</t>
  </si>
  <si>
    <t>养晶时间</t>
  </si>
  <si>
    <t>画面“养晶结束”状态</t>
  </si>
  <si>
    <t>R1553</t>
  </si>
  <si>
    <t>:Attr_287</t>
  </si>
  <si>
    <t>加氨速率</t>
  </si>
  <si>
    <r>
      <rPr>
        <sz val="10"/>
        <rFont val="Noto Sans CJK SC"/>
        <family val="2"/>
      </rPr>
      <t>对加氨水比例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加氨变频</t>
    </r>
  </si>
  <si>
    <t>R1554</t>
  </si>
  <si>
    <t>:Attr_288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</si>
  <si>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溶解度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</si>
  <si>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</t>
    </r>
    <r>
      <rPr>
        <sz val="10"/>
        <rFont val="Noto Sans CJK SC"/>
        <family val="2"/>
      </rPr>
      <t>的</t>
    </r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溶解度（机理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</si>
  <si>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R1555</t>
  </si>
  <si>
    <t>:Attr_289</t>
  </si>
  <si>
    <t>结晶收率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</si>
  <si>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</t>
    </r>
    <r>
      <rPr>
        <sz val="10"/>
        <rFont val="Noto Sans CJK SC"/>
        <family val="2"/>
      </rPr>
      <t>的结晶收率（机理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</si>
  <si>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R1556</t>
  </si>
  <si>
    <t>:QKPI_290</t>
  </si>
  <si>
    <t>离心滤饼含湿量</t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</si>
  <si>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离心机组的离心滤饼含湿量（机理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</si>
  <si>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R1557</t>
  </si>
  <si>
    <t>:QKPI_291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</si>
  <si>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湿品灰分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氯化铵残留</t>
    </r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</si>
  <si>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离心机组的</t>
    </r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湿品灰分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氯化铵残留（机理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</si>
  <si>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R1558</t>
  </si>
  <si>
    <t>:QKPI_292</t>
  </si>
  <si>
    <r>
      <rPr>
        <sz val="10"/>
        <rFont val="Noto Sans CJK SC"/>
        <family val="2"/>
      </rPr>
      <t>母液</t>
    </r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残留浓度</t>
    </r>
  </si>
  <si>
    <r>
      <rPr>
        <sz val="10"/>
        <rFont val="Noto Sans CJK SC"/>
        <family val="2"/>
      </rPr>
      <t>离心母液罐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洗液罐的母液</t>
    </r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残留浓度（机理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</si>
  <si>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R1559</t>
  </si>
  <si>
    <t>:QKPI_293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</si>
  <si>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湿品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</si>
  <si>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湿品的离心滤饼含湿量（流股属性，测点位于管线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</si>
  <si>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R1560</t>
  </si>
  <si>
    <t>:MS_WetCake</t>
  </si>
  <si>
    <t>结晶离心母液</t>
  </si>
  <si>
    <r>
      <rPr>
        <sz val="10"/>
        <rFont val="Noto Sans CJK SC"/>
        <family val="2"/>
      </rPr>
      <t>结晶离心母液的母液</t>
    </r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残留浓度（流股属性，测点位于管线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</si>
  <si>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R1561</t>
  </si>
  <si>
    <t>:MS_MotherLiquor</t>
  </si>
  <si>
    <t>TI_1407_A1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</si>
  <si>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A1</t>
    </r>
    <r>
      <rPr>
        <sz val="10"/>
        <rFont val="Noto Sans CJK SC"/>
        <family val="2"/>
      </rPr>
      <t>温度检测</t>
    </r>
  </si>
  <si>
    <t>R1562</t>
  </si>
  <si>
    <t>:TI_1407_A1</t>
  </si>
  <si>
    <t>TI_1407_A2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</si>
  <si>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A2</t>
    </r>
    <r>
      <rPr>
        <sz val="10"/>
        <rFont val="Noto Sans CJK SC"/>
        <family val="2"/>
      </rPr>
      <t>温度检测</t>
    </r>
  </si>
  <si>
    <t>R1563</t>
  </si>
  <si>
    <t>:TI_1407_A2</t>
  </si>
  <si>
    <t>TI_1407_A3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</si>
  <si>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A3</t>
    </r>
    <r>
      <rPr>
        <sz val="10"/>
        <rFont val="Noto Sans CJK SC"/>
        <family val="2"/>
      </rPr>
      <t>温度检测</t>
    </r>
  </si>
  <si>
    <t>R1564</t>
  </si>
  <si>
    <t>:TI_1407_A3</t>
  </si>
  <si>
    <t>TI_1407_A4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</si>
  <si>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A4</t>
    </r>
    <r>
      <rPr>
        <sz val="10"/>
        <rFont val="Noto Sans CJK SC"/>
        <family val="2"/>
      </rPr>
      <t>温度检测</t>
    </r>
  </si>
  <si>
    <t>R1565</t>
  </si>
  <si>
    <t>:TI_1407_A4</t>
  </si>
  <si>
    <t>TI_1407_A5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</si>
  <si>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A5</t>
    </r>
    <r>
      <rPr>
        <sz val="10"/>
        <rFont val="Noto Sans CJK SC"/>
        <family val="2"/>
      </rPr>
      <t>温度检测</t>
    </r>
  </si>
  <si>
    <t>R1566</t>
  </si>
  <si>
    <t>:TI_1407_A5</t>
  </si>
  <si>
    <t>TI_1407_A6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</si>
  <si>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A6</t>
    </r>
    <r>
      <rPr>
        <sz val="10"/>
        <rFont val="Noto Sans CJK SC"/>
        <family val="2"/>
      </rPr>
      <t>温度检测</t>
    </r>
  </si>
  <si>
    <t>R1567</t>
  </si>
  <si>
    <t>:TI_1407_A6</t>
  </si>
  <si>
    <t>TI_1407_A7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</si>
  <si>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A7</t>
    </r>
    <r>
      <rPr>
        <sz val="10"/>
        <rFont val="Noto Sans CJK SC"/>
        <family val="2"/>
      </rPr>
      <t>温度检测</t>
    </r>
  </si>
  <si>
    <t>R1568</t>
  </si>
  <si>
    <t>:TI_1407_A7</t>
  </si>
  <si>
    <t>TI_1407_A8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</si>
  <si>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A8</t>
    </r>
    <r>
      <rPr>
        <sz val="10"/>
        <rFont val="Noto Sans CJK SC"/>
        <family val="2"/>
      </rPr>
      <t>温度检测</t>
    </r>
  </si>
  <si>
    <t>R1569</t>
  </si>
  <si>
    <t>:TI_1407_A8</t>
  </si>
  <si>
    <t>TI_1407_A9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</si>
  <si>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A9</t>
    </r>
    <r>
      <rPr>
        <sz val="10"/>
        <rFont val="Noto Sans CJK SC"/>
        <family val="2"/>
      </rPr>
      <t>温度检测</t>
    </r>
  </si>
  <si>
    <t>R1570</t>
  </si>
  <si>
    <t>:TI_1407_A9</t>
  </si>
  <si>
    <t>TI_1407_A10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</si>
  <si>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A10</t>
    </r>
    <r>
      <rPr>
        <sz val="10"/>
        <rFont val="Noto Sans CJK SC"/>
        <family val="2"/>
      </rPr>
      <t>温度检测</t>
    </r>
  </si>
  <si>
    <t>R1571</t>
  </si>
  <si>
    <t>:TI_1407_A10</t>
  </si>
  <si>
    <t>TI_1407_A11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</si>
  <si>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A11</t>
    </r>
    <r>
      <rPr>
        <sz val="10"/>
        <rFont val="Noto Sans CJK SC"/>
        <family val="2"/>
      </rPr>
      <t>温度检测</t>
    </r>
  </si>
  <si>
    <t>R1572</t>
  </si>
  <si>
    <t>:TI_1407_A11</t>
  </si>
  <si>
    <t>TI_1407_A12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</si>
  <si>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A12</t>
    </r>
    <r>
      <rPr>
        <sz val="10"/>
        <rFont val="Noto Sans CJK SC"/>
        <family val="2"/>
      </rPr>
      <t>温度检测</t>
    </r>
  </si>
  <si>
    <t>R1573</t>
  </si>
  <si>
    <t>:TI_1407_A12</t>
  </si>
  <si>
    <t>TI_1407_A13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</si>
  <si>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A13</t>
    </r>
    <r>
      <rPr>
        <sz val="10"/>
        <rFont val="Noto Sans CJK SC"/>
        <family val="2"/>
      </rPr>
      <t>温度检测</t>
    </r>
  </si>
  <si>
    <t>R1574</t>
  </si>
  <si>
    <t>:TI_1407_A13</t>
  </si>
  <si>
    <t>TI_1407_A14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</si>
  <si>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A14</t>
    </r>
    <r>
      <rPr>
        <sz val="10"/>
        <rFont val="Noto Sans CJK SC"/>
        <family val="2"/>
      </rPr>
      <t>温度检测</t>
    </r>
  </si>
  <si>
    <t>R1575</t>
  </si>
  <si>
    <t>:TI_1407_A14</t>
  </si>
  <si>
    <t>AT_1401A1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</si>
  <si>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A1PH</t>
    </r>
    <r>
      <rPr>
        <sz val="10"/>
        <rFont val="Noto Sans CJK SC"/>
        <family val="2"/>
      </rPr>
      <t>检测</t>
    </r>
  </si>
  <si>
    <t>R1576</t>
  </si>
  <si>
    <t>:AT_1401A1</t>
  </si>
  <si>
    <t>AT_1401A2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</si>
  <si>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A2PH</t>
    </r>
    <r>
      <rPr>
        <sz val="10"/>
        <rFont val="Noto Sans CJK SC"/>
        <family val="2"/>
      </rPr>
      <t>检测</t>
    </r>
  </si>
  <si>
    <t>R1577</t>
  </si>
  <si>
    <t>:AT_1401A2</t>
  </si>
  <si>
    <t>AT_1401A3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</si>
  <si>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A3PH</t>
    </r>
    <r>
      <rPr>
        <sz val="10"/>
        <rFont val="Noto Sans CJK SC"/>
        <family val="2"/>
      </rPr>
      <t>检测</t>
    </r>
  </si>
  <si>
    <t>R1578</t>
  </si>
  <si>
    <t>:AT_1401A3</t>
  </si>
  <si>
    <t>AT_1401A4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</si>
  <si>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A4PH</t>
    </r>
    <r>
      <rPr>
        <sz val="10"/>
        <rFont val="Noto Sans CJK SC"/>
        <family val="2"/>
      </rPr>
      <t>检测</t>
    </r>
  </si>
  <si>
    <t>R1579</t>
  </si>
  <si>
    <t>:AT_1401A4</t>
  </si>
  <si>
    <t>AT_1401A5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</si>
  <si>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A5PH</t>
    </r>
    <r>
      <rPr>
        <sz val="10"/>
        <rFont val="Noto Sans CJK SC"/>
        <family val="2"/>
      </rPr>
      <t>检测</t>
    </r>
  </si>
  <si>
    <t>R1580</t>
  </si>
  <si>
    <t>:AT_1401A5</t>
  </si>
  <si>
    <t>AT_1401A6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</si>
  <si>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A6PH</t>
    </r>
    <r>
      <rPr>
        <sz val="10"/>
        <rFont val="Noto Sans CJK SC"/>
        <family val="2"/>
      </rPr>
      <t>检测</t>
    </r>
  </si>
  <si>
    <t>R1581</t>
  </si>
  <si>
    <t>:AT_1401A6</t>
  </si>
  <si>
    <t>AT_1401A7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</si>
  <si>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A7PH</t>
    </r>
    <r>
      <rPr>
        <sz val="10"/>
        <rFont val="Noto Sans CJK SC"/>
        <family val="2"/>
      </rPr>
      <t>检测</t>
    </r>
  </si>
  <si>
    <t>R1582</t>
  </si>
  <si>
    <t>:AT_1401A7</t>
  </si>
  <si>
    <t>AT_1401A8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</si>
  <si>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A8PH</t>
    </r>
    <r>
      <rPr>
        <sz val="10"/>
        <rFont val="Noto Sans CJK SC"/>
        <family val="2"/>
      </rPr>
      <t>检测</t>
    </r>
  </si>
  <si>
    <t>R1583</t>
  </si>
  <si>
    <t>:AT_1401A8</t>
  </si>
  <si>
    <t>AT_1401A9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</si>
  <si>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A9PH</t>
    </r>
    <r>
      <rPr>
        <sz val="10"/>
        <rFont val="Noto Sans CJK SC"/>
        <family val="2"/>
      </rPr>
      <t>检测</t>
    </r>
  </si>
  <si>
    <t>R1584</t>
  </si>
  <si>
    <t>:AT_1401A9</t>
  </si>
  <si>
    <t>AT_1401A10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</si>
  <si>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A10PH</t>
    </r>
    <r>
      <rPr>
        <sz val="10"/>
        <rFont val="Noto Sans CJK SC"/>
        <family val="2"/>
      </rPr>
      <t>检测</t>
    </r>
  </si>
  <si>
    <t>R1585</t>
  </si>
  <si>
    <t>:AT_1401A10</t>
  </si>
  <si>
    <t>AT_1401A11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</si>
  <si>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A11PH</t>
    </r>
    <r>
      <rPr>
        <sz val="10"/>
        <rFont val="Noto Sans CJK SC"/>
        <family val="2"/>
      </rPr>
      <t>检测</t>
    </r>
  </si>
  <si>
    <t>R1586</t>
  </si>
  <si>
    <t>:AT_1401A11</t>
  </si>
  <si>
    <t>AT_1401A12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</si>
  <si>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A12PH</t>
    </r>
    <r>
      <rPr>
        <sz val="10"/>
        <rFont val="Noto Sans CJK SC"/>
        <family val="2"/>
      </rPr>
      <t>检测</t>
    </r>
  </si>
  <si>
    <t>R1587</t>
  </si>
  <si>
    <t>:AT_1401A12</t>
  </si>
  <si>
    <t>AT_1401A13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</si>
  <si>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A13PH</t>
    </r>
    <r>
      <rPr>
        <sz val="10"/>
        <rFont val="Noto Sans CJK SC"/>
        <family val="2"/>
      </rPr>
      <t>检测</t>
    </r>
  </si>
  <si>
    <t>R1588</t>
  </si>
  <si>
    <t>:AT_1401A13</t>
  </si>
  <si>
    <t>AT_1401A14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</si>
  <si>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</t>
    </r>
    <r>
      <rPr>
        <sz val="10"/>
        <rFont val="微软雅黑"/>
        <family val="2"/>
        <charset val="134"/>
      </rPr>
      <t>A14PH</t>
    </r>
    <r>
      <rPr>
        <sz val="10"/>
        <rFont val="Noto Sans CJK SC"/>
        <family val="2"/>
      </rPr>
      <t>检测</t>
    </r>
  </si>
  <si>
    <t>R1589</t>
  </si>
  <si>
    <t>:AT_1401A14</t>
  </si>
  <si>
    <t>LT_1003A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</si>
  <si>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原点描述：结晶罐液位检测</t>
    </r>
    <r>
      <rPr>
        <sz val="10"/>
        <rFont val="微软雅黑"/>
        <family val="2"/>
        <charset val="134"/>
      </rPr>
      <t>a</t>
    </r>
  </si>
  <si>
    <t>R1590</t>
  </si>
  <si>
    <t>:LT_1003A</t>
  </si>
  <si>
    <t>LT_1003B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</si>
  <si>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原点描述：结晶罐液位检测</t>
    </r>
    <r>
      <rPr>
        <sz val="10"/>
        <rFont val="微软雅黑"/>
        <family val="2"/>
        <charset val="134"/>
      </rPr>
      <t>b</t>
    </r>
  </si>
  <si>
    <t>R1591</t>
  </si>
  <si>
    <t>:LT_1003B</t>
  </si>
  <si>
    <t>LT_1003C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</si>
  <si>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原点描述：结晶罐液位检测</t>
    </r>
    <r>
      <rPr>
        <sz val="10"/>
        <rFont val="微软雅黑"/>
        <family val="2"/>
        <charset val="134"/>
      </rPr>
      <t>c</t>
    </r>
  </si>
  <si>
    <t>R1592</t>
  </si>
  <si>
    <t>:LT_1003C</t>
  </si>
  <si>
    <t>LT_1003D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</si>
  <si>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原点描述：结晶罐液位检测</t>
    </r>
    <r>
      <rPr>
        <sz val="10"/>
        <rFont val="微软雅黑"/>
        <family val="2"/>
        <charset val="134"/>
      </rPr>
      <t>d</t>
    </r>
  </si>
  <si>
    <t>R1593</t>
  </si>
  <si>
    <t>:LT_1003D</t>
  </si>
  <si>
    <t>LT_1003E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</si>
  <si>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原点描述：结晶罐液位检测</t>
    </r>
    <r>
      <rPr>
        <sz val="10"/>
        <rFont val="微软雅黑"/>
        <family val="2"/>
        <charset val="134"/>
      </rPr>
      <t>e</t>
    </r>
  </si>
  <si>
    <t>R1594</t>
  </si>
  <si>
    <t>:LT_1003E</t>
  </si>
  <si>
    <t>LT_1003F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</si>
  <si>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原点描述：结晶罐液位检测</t>
    </r>
    <r>
      <rPr>
        <sz val="10"/>
        <rFont val="微软雅黑"/>
        <family val="2"/>
        <charset val="134"/>
      </rPr>
      <t>f</t>
    </r>
  </si>
  <si>
    <t>R1595</t>
  </si>
  <si>
    <t>:LT_1003F</t>
  </si>
  <si>
    <t>LT_1003G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</si>
  <si>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原点描述：结晶罐液位检测</t>
    </r>
    <r>
      <rPr>
        <sz val="10"/>
        <rFont val="微软雅黑"/>
        <family val="2"/>
        <charset val="134"/>
      </rPr>
      <t>g</t>
    </r>
  </si>
  <si>
    <t>R1596</t>
  </si>
  <si>
    <t>:LT_1003G</t>
  </si>
  <si>
    <t>LT_1003H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</si>
  <si>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原点描述：结晶罐液位检测</t>
    </r>
    <r>
      <rPr>
        <sz val="10"/>
        <rFont val="微软雅黑"/>
        <family val="2"/>
        <charset val="134"/>
      </rPr>
      <t>h</t>
    </r>
  </si>
  <si>
    <t>R1597</t>
  </si>
  <si>
    <t>:LT_1003H</t>
  </si>
  <si>
    <t>LT_1003I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</si>
  <si>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原点描述：结晶罐液位检测</t>
    </r>
    <r>
      <rPr>
        <sz val="10"/>
        <rFont val="微软雅黑"/>
        <family val="2"/>
        <charset val="134"/>
      </rPr>
      <t>i</t>
    </r>
  </si>
  <si>
    <t>R1598</t>
  </si>
  <si>
    <t>:LT_1003I</t>
  </si>
  <si>
    <t>LT_1003J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</si>
  <si>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原点描述：结晶罐液位检测</t>
    </r>
    <r>
      <rPr>
        <sz val="10"/>
        <rFont val="微软雅黑"/>
        <family val="2"/>
        <charset val="134"/>
      </rPr>
      <t>j</t>
    </r>
  </si>
  <si>
    <t>R1599</t>
  </si>
  <si>
    <t>:LT_1003J</t>
  </si>
  <si>
    <t>LT_1003K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</si>
  <si>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原点描述：结晶罐液位检测</t>
    </r>
    <r>
      <rPr>
        <sz val="10"/>
        <rFont val="微软雅黑"/>
        <family val="2"/>
        <charset val="134"/>
      </rPr>
      <t>k</t>
    </r>
  </si>
  <si>
    <t>R1600</t>
  </si>
  <si>
    <t>:LT_1003K</t>
  </si>
  <si>
    <t>LT_1003L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</si>
  <si>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原点描述：结晶罐液位检测</t>
    </r>
    <r>
      <rPr>
        <sz val="10"/>
        <rFont val="微软雅黑"/>
        <family val="2"/>
        <charset val="134"/>
      </rPr>
      <t>l</t>
    </r>
  </si>
  <si>
    <t>R1601</t>
  </si>
  <si>
    <t>:LT_1003L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</si>
  <si>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原点描述：结晶罐结晶液进口流量检测</t>
    </r>
  </si>
  <si>
    <t>R1602</t>
  </si>
  <si>
    <t>:FT_1005</t>
  </si>
  <si>
    <t>FT_1006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</si>
  <si>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原点描述：结晶罐氨水进口流量检测</t>
    </r>
  </si>
  <si>
    <t>R1603</t>
  </si>
  <si>
    <t>:FT_1006</t>
  </si>
  <si>
    <t>FT_1404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</si>
  <si>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原点描述：结晶氨水进料流量</t>
    </r>
  </si>
  <si>
    <t>R1604</t>
  </si>
  <si>
    <t>:FT_1404</t>
  </si>
  <si>
    <t>PB_1013A_FB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</si>
  <si>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结晶罐搅拌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频率反馈</t>
    </r>
  </si>
  <si>
    <t>R1605</t>
  </si>
  <si>
    <t>:PB_1013A_FB</t>
  </si>
  <si>
    <t>PB_1013B_FB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</si>
  <si>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结晶罐搅拌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频率反馈</t>
    </r>
  </si>
  <si>
    <t>R1606</t>
  </si>
  <si>
    <t>:PB_1013B_FB</t>
  </si>
  <si>
    <t>PB_1013C_FB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</si>
  <si>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结晶罐搅拌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频率反馈</t>
    </r>
  </si>
  <si>
    <t>R1607</t>
  </si>
  <si>
    <t>:PB_1013C_FB</t>
  </si>
  <si>
    <t>PB_1013D_FB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</si>
  <si>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结晶罐搅拌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频率反馈</t>
    </r>
  </si>
  <si>
    <t>R1608</t>
  </si>
  <si>
    <t>:PB_1013D_FB</t>
  </si>
  <si>
    <t>PB_1013E_FB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</si>
  <si>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结晶罐搅拌</t>
    </r>
    <r>
      <rPr>
        <sz val="10"/>
        <rFont val="微软雅黑"/>
        <family val="2"/>
        <charset val="134"/>
      </rPr>
      <t>e</t>
    </r>
    <r>
      <rPr>
        <sz val="10"/>
        <rFont val="Noto Sans CJK SC"/>
        <family val="2"/>
      </rPr>
      <t>频率反馈</t>
    </r>
  </si>
  <si>
    <t>R1609</t>
  </si>
  <si>
    <t>:PB_1013E_FB</t>
  </si>
  <si>
    <t>PB_1013F_FB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</si>
  <si>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结晶罐搅拌</t>
    </r>
    <r>
      <rPr>
        <sz val="10"/>
        <rFont val="微软雅黑"/>
        <family val="2"/>
        <charset val="134"/>
      </rPr>
      <t>f</t>
    </r>
    <r>
      <rPr>
        <sz val="10"/>
        <rFont val="Noto Sans CJK SC"/>
        <family val="2"/>
      </rPr>
      <t>频率反馈</t>
    </r>
  </si>
  <si>
    <t>R1610</t>
  </si>
  <si>
    <t>:PB_1013F_FB</t>
  </si>
  <si>
    <t>PB_1013G_FB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</si>
  <si>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结晶罐搅拌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频率反馈</t>
    </r>
  </si>
  <si>
    <t>R1611</t>
  </si>
  <si>
    <t>:PB_1013G_FB</t>
  </si>
  <si>
    <t>PB_1013H_FB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</si>
  <si>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结晶罐搅拌</t>
    </r>
    <r>
      <rPr>
        <sz val="10"/>
        <rFont val="微软雅黑"/>
        <family val="2"/>
        <charset val="134"/>
      </rPr>
      <t>h</t>
    </r>
    <r>
      <rPr>
        <sz val="10"/>
        <rFont val="Noto Sans CJK SC"/>
        <family val="2"/>
      </rPr>
      <t>频率反馈</t>
    </r>
  </si>
  <si>
    <t>R1612</t>
  </si>
  <si>
    <t>:PB_1013H_FB</t>
  </si>
  <si>
    <t>PB_1013I_FB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</si>
  <si>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结晶罐搅拌</t>
    </r>
    <r>
      <rPr>
        <sz val="10"/>
        <rFont val="微软雅黑"/>
        <family val="2"/>
        <charset val="134"/>
      </rPr>
      <t>i</t>
    </r>
    <r>
      <rPr>
        <sz val="10"/>
        <rFont val="Noto Sans CJK SC"/>
        <family val="2"/>
      </rPr>
      <t>频率反馈</t>
    </r>
  </si>
  <si>
    <t>R1613</t>
  </si>
  <si>
    <t>:PB_1013I_FB</t>
  </si>
  <si>
    <t>PB_1013J_FB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</si>
  <si>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结晶罐搅拌</t>
    </r>
    <r>
      <rPr>
        <sz val="10"/>
        <rFont val="微软雅黑"/>
        <family val="2"/>
        <charset val="134"/>
      </rPr>
      <t>j</t>
    </r>
    <r>
      <rPr>
        <sz val="10"/>
        <rFont val="Noto Sans CJK SC"/>
        <family val="2"/>
      </rPr>
      <t>频率反馈</t>
    </r>
  </si>
  <si>
    <t>R1614</t>
  </si>
  <si>
    <t>:PB_1013J_FB</t>
  </si>
  <si>
    <t>PB_1013K_FB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</si>
  <si>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结晶罐搅拌</t>
    </r>
    <r>
      <rPr>
        <sz val="10"/>
        <rFont val="微软雅黑"/>
        <family val="2"/>
        <charset val="134"/>
      </rPr>
      <t>k</t>
    </r>
    <r>
      <rPr>
        <sz val="10"/>
        <rFont val="Noto Sans CJK SC"/>
        <family val="2"/>
      </rPr>
      <t>频率反馈</t>
    </r>
  </si>
  <si>
    <t>R1615</t>
  </si>
  <si>
    <t>:PB_1013K_FB</t>
  </si>
  <si>
    <t>PB_1013L_FB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</si>
  <si>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结晶罐搅拌</t>
    </r>
    <r>
      <rPr>
        <sz val="10"/>
        <rFont val="微软雅黑"/>
        <family val="2"/>
        <charset val="134"/>
      </rPr>
      <t>l</t>
    </r>
    <r>
      <rPr>
        <sz val="10"/>
        <rFont val="Noto Sans CJK SC"/>
        <family val="2"/>
      </rPr>
      <t>频率反馈</t>
    </r>
  </si>
  <si>
    <t>R1616</t>
  </si>
  <si>
    <t>:PB_1013L_FB</t>
  </si>
  <si>
    <t>FT_6AHCL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</si>
  <si>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结晶盐酸流量</t>
    </r>
  </si>
  <si>
    <t>R1617</t>
  </si>
  <si>
    <t>:FT_6AHCL</t>
  </si>
  <si>
    <t>FI_1001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</si>
  <si>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原点描述：结晶东盐酸流量计</t>
    </r>
  </si>
  <si>
    <t>R1618</t>
  </si>
  <si>
    <t>:FI_1001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</si>
  <si>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原点描述：结晶软水流量（改后）</t>
    </r>
  </si>
  <si>
    <t>R1619</t>
  </si>
  <si>
    <t>:FE_NH3_DJ</t>
  </si>
  <si>
    <t>II_141600A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</si>
  <si>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频率反馈</t>
    </r>
  </si>
  <si>
    <t>R1620</t>
  </si>
  <si>
    <t>:II_141600A</t>
  </si>
  <si>
    <t>II_141600B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</si>
  <si>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频率反馈</t>
    </r>
  </si>
  <si>
    <t>R1621</t>
  </si>
  <si>
    <t>:II_141600B</t>
  </si>
  <si>
    <t>II_141600C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</si>
  <si>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频率反馈</t>
    </r>
  </si>
  <si>
    <t>R1622</t>
  </si>
  <si>
    <t>:II_141600C</t>
  </si>
  <si>
    <t>II_141600D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</si>
  <si>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频率反馈</t>
    </r>
  </si>
  <si>
    <t>R1623</t>
  </si>
  <si>
    <t>:II_141600D</t>
  </si>
  <si>
    <t>II_141600E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</si>
  <si>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E</t>
    </r>
    <r>
      <rPr>
        <sz val="10"/>
        <rFont val="Noto Sans CJK SC"/>
        <family val="2"/>
      </rPr>
      <t>频率反馈</t>
    </r>
  </si>
  <si>
    <t>R1624</t>
  </si>
  <si>
    <t>:II_141600E</t>
  </si>
  <si>
    <t>II_141600F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</si>
  <si>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F</t>
    </r>
    <r>
      <rPr>
        <sz val="10"/>
        <rFont val="Noto Sans CJK SC"/>
        <family val="2"/>
      </rPr>
      <t>频率反馈</t>
    </r>
  </si>
  <si>
    <t>R1625</t>
  </si>
  <si>
    <t>:II_141600F</t>
  </si>
  <si>
    <t>II_141600G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</si>
  <si>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频率反馈</t>
    </r>
  </si>
  <si>
    <t>R1626</t>
  </si>
  <si>
    <t>:II_141600G</t>
  </si>
  <si>
    <t>II_141600H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</si>
  <si>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H</t>
    </r>
    <r>
      <rPr>
        <sz val="10"/>
        <rFont val="Noto Sans CJK SC"/>
        <family val="2"/>
      </rPr>
      <t>频率反馈</t>
    </r>
  </si>
  <si>
    <t>R1627</t>
  </si>
  <si>
    <t>:II_141600H</t>
  </si>
  <si>
    <t>II_141600I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</si>
  <si>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I</t>
    </r>
    <r>
      <rPr>
        <sz val="10"/>
        <rFont val="Noto Sans CJK SC"/>
        <family val="2"/>
      </rPr>
      <t>频率反馈</t>
    </r>
  </si>
  <si>
    <t>R1628</t>
  </si>
  <si>
    <t>:II_141600I</t>
  </si>
  <si>
    <t>II_141600J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</si>
  <si>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J</t>
    </r>
    <r>
      <rPr>
        <sz val="10"/>
        <rFont val="Noto Sans CJK SC"/>
        <family val="2"/>
      </rPr>
      <t>频率反馈</t>
    </r>
  </si>
  <si>
    <t>R1629</t>
  </si>
  <si>
    <t>:II_141600J</t>
  </si>
  <si>
    <t>FT_2004A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</si>
  <si>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原点描述：离心机进水流量</t>
    </r>
    <r>
      <rPr>
        <sz val="10"/>
        <rFont val="微软雅黑"/>
        <family val="2"/>
        <charset val="134"/>
      </rPr>
      <t>a</t>
    </r>
  </si>
  <si>
    <t>R1630</t>
  </si>
  <si>
    <t>:FT_2004A</t>
  </si>
  <si>
    <t>FT_2004B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</si>
  <si>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原点描述：离心机进水流量</t>
    </r>
    <r>
      <rPr>
        <sz val="10"/>
        <rFont val="微软雅黑"/>
        <family val="2"/>
        <charset val="134"/>
      </rPr>
      <t>b</t>
    </r>
  </si>
  <si>
    <t>R1631</t>
  </si>
  <si>
    <t>:FT_2004B</t>
  </si>
  <si>
    <t>FT_2004C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</si>
  <si>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原点描述：离心机进水流量</t>
    </r>
    <r>
      <rPr>
        <sz val="10"/>
        <rFont val="微软雅黑"/>
        <family val="2"/>
        <charset val="134"/>
      </rPr>
      <t>c</t>
    </r>
  </si>
  <si>
    <t>R1632</t>
  </si>
  <si>
    <t>:FT_2004C</t>
  </si>
  <si>
    <t>FT_2004D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</si>
  <si>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原点描述：离心机进水流量</t>
    </r>
    <r>
      <rPr>
        <sz val="10"/>
        <rFont val="微软雅黑"/>
        <family val="2"/>
        <charset val="134"/>
      </rPr>
      <t>d</t>
    </r>
  </si>
  <si>
    <t>R1633</t>
  </si>
  <si>
    <t>:FT_2004D</t>
  </si>
  <si>
    <t>FT_2004E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</si>
  <si>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原点描述：离心机进水流量</t>
    </r>
    <r>
      <rPr>
        <sz val="10"/>
        <rFont val="微软雅黑"/>
        <family val="2"/>
        <charset val="134"/>
      </rPr>
      <t>e</t>
    </r>
  </si>
  <si>
    <t>R1634</t>
  </si>
  <si>
    <t>:FT_2004E</t>
  </si>
  <si>
    <t>FT_2004F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</si>
  <si>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原点描述：离心机进水流量</t>
    </r>
    <r>
      <rPr>
        <sz val="10"/>
        <rFont val="微软雅黑"/>
        <family val="2"/>
        <charset val="134"/>
      </rPr>
      <t>f</t>
    </r>
  </si>
  <si>
    <t>R1635</t>
  </si>
  <si>
    <t>:FT_2004F</t>
  </si>
  <si>
    <t>FT_2004G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</si>
  <si>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原点描述：离心机进水流量</t>
    </r>
    <r>
      <rPr>
        <sz val="10"/>
        <rFont val="微软雅黑"/>
        <family val="2"/>
        <charset val="134"/>
      </rPr>
      <t>g</t>
    </r>
  </si>
  <si>
    <t>R1636</t>
  </si>
  <si>
    <t>:FT_2004G</t>
  </si>
  <si>
    <t>FT_2004H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</si>
  <si>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原点描述：离心机进水流量</t>
    </r>
    <r>
      <rPr>
        <sz val="10"/>
        <rFont val="微软雅黑"/>
        <family val="2"/>
        <charset val="134"/>
      </rPr>
      <t>h</t>
    </r>
  </si>
  <si>
    <t>R1637</t>
  </si>
  <si>
    <t>:FT_2004H</t>
  </si>
  <si>
    <t>FT_2004I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</si>
  <si>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原点描述：离心机进水流量</t>
    </r>
    <r>
      <rPr>
        <sz val="10"/>
        <rFont val="微软雅黑"/>
        <family val="2"/>
        <charset val="134"/>
      </rPr>
      <t>i</t>
    </r>
  </si>
  <si>
    <t>R1638</t>
  </si>
  <si>
    <t>:FT_2004I</t>
  </si>
  <si>
    <t>FT_2004J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</si>
  <si>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原点描述：离心机进水流量</t>
    </r>
    <r>
      <rPr>
        <sz val="10"/>
        <rFont val="微软雅黑"/>
        <family val="2"/>
        <charset val="134"/>
      </rPr>
      <t>j</t>
    </r>
  </si>
  <si>
    <t>R1639</t>
  </si>
  <si>
    <t>:FT_2004J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</si>
  <si>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离心机软水罐温度</t>
    </r>
  </si>
  <si>
    <t>R1640</t>
  </si>
  <si>
    <t>:TI_1338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</si>
  <si>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原点描述：离心机软水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</t>
    </r>
  </si>
  <si>
    <t>R1641</t>
  </si>
  <si>
    <t>:JJG_LXJPHJ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</si>
  <si>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原点描述：离心机母液去回收流量监测</t>
    </r>
  </si>
  <si>
    <t>R1642</t>
  </si>
  <si>
    <t>:JYLX_12_AI</t>
  </si>
  <si>
    <r>
      <rPr>
        <sz val="10"/>
        <rFont val="Noto Sans CJK SC"/>
        <family val="2"/>
      </rPr>
      <t>结晶重液进料流量控制器</t>
    </r>
    <r>
      <rPr>
        <sz val="10"/>
        <rFont val="微软雅黑"/>
        <family val="2"/>
        <charset val="134"/>
      </rPr>
      <t>(FIC-1005)</t>
    </r>
  </si>
  <si>
    <r>
      <rPr>
        <sz val="10"/>
        <rFont val="Noto Sans CJK SC"/>
        <family val="2"/>
      </rPr>
      <t>结晶罐结晶液进口调节阀</t>
    </r>
    <r>
      <rPr>
        <sz val="10"/>
        <rFont val="微软雅黑"/>
        <family val="2"/>
        <charset val="134"/>
      </rPr>
      <t>HV_1027</t>
    </r>
  </si>
  <si>
    <t>按重液流量设定进料</t>
  </si>
  <si>
    <t>R1643</t>
  </si>
  <si>
    <t>:Ctrl_044</t>
  </si>
  <si>
    <t>:Act_044</t>
  </si>
  <si>
    <t>HV_1027_AO</t>
  </si>
  <si>
    <r>
      <rPr>
        <sz val="10"/>
        <rFont val="Noto Sans CJK SC"/>
        <family val="2"/>
      </rPr>
      <t>重液进料流量作为过程变量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反馈给结晶重液进料流量控制器</t>
    </r>
    <r>
      <rPr>
        <sz val="10"/>
        <rFont val="微软雅黑"/>
        <family val="2"/>
        <charset val="134"/>
      </rPr>
      <t>(FIC-1005)</t>
    </r>
  </si>
  <si>
    <t>R1644</t>
  </si>
  <si>
    <r>
      <rPr>
        <sz val="10"/>
        <rFont val="Noto Sans CJK SC"/>
        <family val="2"/>
      </rPr>
      <t>结晶罐结晶液进口调节阀</t>
    </r>
    <r>
      <rPr>
        <sz val="10"/>
        <rFont val="微软雅黑"/>
        <family val="2"/>
        <charset val="134"/>
      </rPr>
      <t>HV_1027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频率变化直接改变重液进料流量</t>
    </r>
  </si>
  <si>
    <t>R1645</t>
  </si>
  <si>
    <r>
      <rPr>
        <sz val="10"/>
        <rFont val="Noto Sans CJK SC"/>
        <family val="2"/>
      </rPr>
      <t>结晶加氨控制器</t>
    </r>
    <r>
      <rPr>
        <sz val="10"/>
        <rFont val="微软雅黑"/>
        <family val="2"/>
        <charset val="134"/>
      </rPr>
      <t>(FIC-1006/AIC-1401)</t>
    </r>
  </si>
  <si>
    <r>
      <rPr>
        <sz val="10"/>
        <rFont val="Noto Sans CJK SC"/>
        <family val="2"/>
      </rPr>
      <t>结晶罐氨水进口调节阀</t>
    </r>
    <r>
      <rPr>
        <sz val="10"/>
        <rFont val="微软雅黑"/>
        <family val="2"/>
        <charset val="134"/>
      </rPr>
      <t>HV_1028</t>
    </r>
  </si>
  <si>
    <r>
      <rPr>
        <sz val="10"/>
        <rFont val="Noto Sans CJK SC"/>
        <family val="2"/>
      </rPr>
      <t>按对加氨水比例及终点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加氨</t>
    </r>
  </si>
  <si>
    <t>R1646</t>
  </si>
  <si>
    <t>:Ctrl_045</t>
  </si>
  <si>
    <t>:Act_045</t>
  </si>
  <si>
    <t>HV_1028_AO</t>
  </si>
  <si>
    <r>
      <rPr>
        <sz val="10"/>
        <rFont val="Noto Sans CJK SC"/>
        <family val="2"/>
      </rPr>
      <t>结晶氨水进料流量作为过程变量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反馈给结晶加氨控制器</t>
    </r>
    <r>
      <rPr>
        <sz val="10"/>
        <rFont val="微软雅黑"/>
        <family val="2"/>
        <charset val="134"/>
      </rPr>
      <t>(FIC-1006/AIC-1401)</t>
    </r>
  </si>
  <si>
    <t>R1647</t>
  </si>
  <si>
    <r>
      <rPr>
        <sz val="10"/>
        <rFont val="Noto Sans CJK SC"/>
        <family val="2"/>
      </rPr>
      <t>结晶罐氨水进口调节阀</t>
    </r>
    <r>
      <rPr>
        <sz val="10"/>
        <rFont val="微软雅黑"/>
        <family val="2"/>
        <charset val="134"/>
      </rPr>
      <t>HV_1028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频率变化直接改变结晶氨水进料流量</t>
    </r>
  </si>
  <si>
    <t>R1648</t>
  </si>
  <si>
    <r>
      <rPr>
        <sz val="10"/>
        <rFont val="Noto Sans CJK SC"/>
        <family val="2"/>
      </rPr>
      <t>结晶温度控制器</t>
    </r>
    <r>
      <rPr>
        <sz val="10"/>
        <rFont val="微软雅黑"/>
        <family val="2"/>
        <charset val="134"/>
      </rPr>
      <t>(TIC-1407)</t>
    </r>
  </si>
  <si>
    <r>
      <rPr>
        <sz val="10"/>
        <rFont val="Noto Sans CJK SC"/>
        <family val="2"/>
      </rPr>
      <t>结晶罐温度控制调节阀</t>
    </r>
    <r>
      <rPr>
        <sz val="10"/>
        <rFont val="微软雅黑"/>
        <family val="2"/>
        <charset val="134"/>
      </rPr>
      <t>HV_1029A–L</t>
    </r>
  </si>
  <si>
    <t>R1649</t>
  </si>
  <si>
    <t>:Ctrl_046</t>
  </si>
  <si>
    <t>:Act_046</t>
  </si>
  <si>
    <r>
      <rPr>
        <sz val="10"/>
        <rFont val="微软雅黑"/>
        <family val="2"/>
        <charset val="134"/>
      </rPr>
      <t>HV_1029A_AO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HV_1029B_AO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HV_1029C_AO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HV_1029D_AO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HV_1029E_AO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HV_1029F_AO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HV_1029G_AO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HV_1029H_AO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HV_1029I_AO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HV_1029J_AO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HV_1029K_AO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HV_1029L_AO</t>
    </r>
  </si>
  <si>
    <r>
      <rPr>
        <sz val="10"/>
        <rFont val="Noto Sans CJK SC"/>
        <family val="2"/>
      </rPr>
      <t>结晶罐温度作为过程变量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反馈给结晶温度控制器</t>
    </r>
    <r>
      <rPr>
        <sz val="10"/>
        <rFont val="微软雅黑"/>
        <family val="2"/>
        <charset val="134"/>
      </rPr>
      <t>(TIC-1407)</t>
    </r>
  </si>
  <si>
    <t>R1650</t>
  </si>
  <si>
    <r>
      <rPr>
        <sz val="10"/>
        <rFont val="Noto Sans CJK SC"/>
        <family val="2"/>
      </rPr>
      <t>结晶罐温度控制调节阀</t>
    </r>
    <r>
      <rPr>
        <sz val="10"/>
        <rFont val="微软雅黑"/>
        <family val="2"/>
        <charset val="134"/>
      </rPr>
      <t>HV_1029A–L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频率变化直接改变结晶罐温度</t>
    </r>
  </si>
  <si>
    <t>R1651</t>
  </si>
  <si>
    <t>结晶罐盐酸调节</t>
  </si>
  <si>
    <r>
      <rPr>
        <sz val="10"/>
        <rFont val="Noto Sans CJK SC"/>
        <family val="2"/>
      </rPr>
      <t>结晶罐盐酸调节阀</t>
    </r>
    <r>
      <rPr>
        <sz val="10"/>
        <rFont val="微软雅黑"/>
        <family val="2"/>
        <charset val="134"/>
      </rPr>
      <t>JJG112–125_HCL</t>
    </r>
  </si>
  <si>
    <r>
      <rPr>
        <sz val="10"/>
        <rFont val="Noto Sans CJK SC"/>
        <family val="2"/>
      </rPr>
      <t>过碱回调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清洗溶罐</t>
    </r>
  </si>
  <si>
    <t>R1652</t>
  </si>
  <si>
    <t>:Ctrl_047</t>
  </si>
  <si>
    <t>:Act_047</t>
  </si>
  <si>
    <r>
      <rPr>
        <sz val="10"/>
        <rFont val="微软雅黑"/>
        <family val="2"/>
        <charset val="134"/>
      </rPr>
      <t>JJG112_HCL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JJG113_HCL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JJG114_HCL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JJG115_HCL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JJG116_HCL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JJG117_HCL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JJG118_HCL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JJG119_HCL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JJG120_HCL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JJG121_HCL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JJG122_HCL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JJG123_HCL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JJG124_HCL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JJG125_HCL</t>
    </r>
  </si>
  <si>
    <r>
      <rPr>
        <sz val="10"/>
        <rFont val="Noto Sans CJK SC"/>
        <family val="2"/>
      </rPr>
      <t>结晶终点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反馈给结晶罐盐酸调节</t>
    </r>
  </si>
  <si>
    <t>R1653</t>
  </si>
  <si>
    <r>
      <rPr>
        <sz val="10"/>
        <rFont val="Noto Sans CJK SC"/>
        <family val="2"/>
      </rPr>
      <t>结晶罐盐酸调节阀</t>
    </r>
    <r>
      <rPr>
        <sz val="10"/>
        <rFont val="微软雅黑"/>
        <family val="2"/>
        <charset val="134"/>
      </rPr>
      <t>JJG112–125_HCL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频率变化直接改变结晶终点</t>
    </r>
    <r>
      <rPr>
        <sz val="10"/>
        <rFont val="微软雅黑"/>
        <family val="2"/>
        <charset val="134"/>
      </rPr>
      <t>pH</t>
    </r>
  </si>
  <si>
    <t>R1654</t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</si>
  <si>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离心机进料控制</t>
    </r>
  </si>
  <si>
    <r>
      <rPr>
        <sz val="10"/>
        <rFont val="Noto Sans CJK SC"/>
        <family val="2"/>
      </rPr>
      <t>离心机进料调节阀</t>
    </r>
    <r>
      <rPr>
        <sz val="10"/>
        <rFont val="微软雅黑"/>
        <family val="2"/>
        <charset val="134"/>
      </rPr>
      <t>HV_2014A–J</t>
    </r>
  </si>
  <si>
    <t>R1655</t>
  </si>
  <si>
    <t>:Ctrl_048</t>
  </si>
  <si>
    <t>:Act_048</t>
  </si>
  <si>
    <r>
      <rPr>
        <sz val="10"/>
        <rFont val="微软雅黑"/>
        <family val="2"/>
        <charset val="134"/>
      </rPr>
      <t>HV_2014A_AO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HV_2014B_AO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HV_2014C_AO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HV_2014D_AO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HV_2014E_AO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HV_2014F_AO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HV_2014G_AO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HV_2014H_AO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HV_2014I_AO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HV_2014J_AO</t>
    </r>
  </si>
  <si>
    <r>
      <rPr>
        <sz val="10"/>
        <rFont val="Noto Sans CJK SC"/>
        <family val="2"/>
      </rPr>
      <t>离心机频率作为过程变量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离心机进料控制</t>
    </r>
  </si>
  <si>
    <t>R1656</t>
  </si>
  <si>
    <r>
      <rPr>
        <sz val="10"/>
        <rFont val="Noto Sans CJK SC"/>
        <family val="2"/>
      </rPr>
      <t>离心机进料调节阀</t>
    </r>
    <r>
      <rPr>
        <sz val="10"/>
        <rFont val="微软雅黑"/>
        <family val="2"/>
        <charset val="134"/>
      </rPr>
      <t>HV_2014A–J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频率变化直接改变离心机频率</t>
    </r>
  </si>
  <si>
    <t>R1657</t>
  </si>
  <si>
    <r>
      <rPr>
        <sz val="10"/>
        <rFont val="Noto Sans CJK SC"/>
        <family val="2"/>
      </rPr>
      <t>离心软水温度控制器</t>
    </r>
    <r>
      <rPr>
        <sz val="10"/>
        <rFont val="微软雅黑"/>
        <family val="2"/>
        <charset val="134"/>
      </rPr>
      <t>(TIC-1338)</t>
    </r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</si>
  <si>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离心机软水罐降温调节阀</t>
    </r>
    <r>
      <rPr>
        <sz val="10"/>
        <rFont val="微软雅黑"/>
        <family val="2"/>
        <charset val="134"/>
      </rPr>
      <t>HV_1338</t>
    </r>
  </si>
  <si>
    <r>
      <rPr>
        <sz val="10"/>
        <rFont val="Noto Sans CJK SC"/>
        <family val="2"/>
      </rPr>
      <t>低温洗涤水减少</t>
    </r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溶解损失</t>
    </r>
  </si>
  <si>
    <t>R1658</t>
  </si>
  <si>
    <t>:Ctrl_049</t>
  </si>
  <si>
    <t>:Act_049</t>
  </si>
  <si>
    <t>HV_1338_AO</t>
  </si>
  <si>
    <r>
      <rPr>
        <sz val="10"/>
        <rFont val="Noto Sans CJK SC"/>
        <family val="2"/>
      </rPr>
      <t>离心软水温度作为过程变量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反馈给离心软水温度控制器</t>
    </r>
    <r>
      <rPr>
        <sz val="10"/>
        <rFont val="微软雅黑"/>
        <family val="2"/>
        <charset val="134"/>
      </rPr>
      <t>(TIC-1338)</t>
    </r>
  </si>
  <si>
    <t>R1659</t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</si>
  <si>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离心机软水罐降温调节阀</t>
    </r>
    <r>
      <rPr>
        <sz val="10"/>
        <rFont val="微软雅黑"/>
        <family val="2"/>
        <charset val="134"/>
      </rPr>
      <t>HV_1338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频率变化直接改变离心软水温度</t>
    </r>
  </si>
  <si>
    <t>R1660</t>
  </si>
  <si>
    <r>
      <rPr>
        <sz val="10"/>
        <rFont val="Noto Sans CJK SC"/>
        <family val="2"/>
      </rPr>
      <t>结晶连续控制面板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停泵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切换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流量复位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</si>
  <si>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当前输出罐号</t>
    </r>
    <r>
      <rPr>
        <sz val="10"/>
        <rFont val="微软雅黑"/>
        <family val="2"/>
        <charset val="134"/>
      </rPr>
      <t>112–125</t>
    </r>
  </si>
  <si>
    <t>R1661</t>
  </si>
  <si>
    <t>:Seq_08</t>
  </si>
  <si>
    <t>R1662</t>
  </si>
  <si>
    <t>重液阀全关报警</t>
  </si>
  <si>
    <t>越限触发“重液阀全关报警”：结晶进料中断</t>
  </si>
  <si>
    <t>R1663</t>
  </si>
  <si>
    <t>:Alarm_13</t>
  </si>
  <si>
    <t>重液进口</t>
  </si>
  <si>
    <t>R1664</t>
  </si>
  <si>
    <t>结晶氨水</t>
  </si>
  <si>
    <r>
      <rPr>
        <sz val="10"/>
        <rFont val="Noto Sans CJK SC"/>
        <family val="2"/>
      </rPr>
      <t>旁通氨水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兑加氨水</t>
    </r>
  </si>
  <si>
    <t>R1665</t>
  </si>
  <si>
    <t>:MS_Ammonia_Cryst</t>
  </si>
  <si>
    <r>
      <rPr>
        <sz val="10"/>
        <rFont val="Noto Sans CJK SC"/>
        <family val="2"/>
      </rPr>
      <t>结晶盐酸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调酸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清洗</t>
    </r>
    <r>
      <rPr>
        <sz val="10"/>
        <rFont val="微软雅黑"/>
        <family val="2"/>
        <charset val="134"/>
      </rPr>
      <t>)</t>
    </r>
  </si>
  <si>
    <t>R1666</t>
  </si>
  <si>
    <t>清洗软水</t>
  </si>
  <si>
    <t>R1667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</si>
  <si>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晶浆</t>
    </r>
  </si>
  <si>
    <t>养晶结束放料</t>
  </si>
  <si>
    <t>R1668</t>
  </si>
  <si>
    <t>:MS_CrystSlurry</t>
  </si>
  <si>
    <t>R1669</t>
  </si>
  <si>
    <t>一对一进料</t>
  </si>
  <si>
    <t>R1670</t>
  </si>
  <si>
    <t>离心洗涤软水</t>
  </si>
  <si>
    <t>FT_2004A–J</t>
  </si>
  <si>
    <t>R1671</t>
  </si>
  <si>
    <t>:MS_WashWater</t>
  </si>
  <si>
    <t>R1672</t>
  </si>
  <si>
    <t>R1673</t>
  </si>
  <si>
    <t>R1674</t>
  </si>
  <si>
    <t>R1675</t>
  </si>
  <si>
    <r>
      <rPr>
        <sz val="10"/>
        <rFont val="Noto Sans CJK SC"/>
        <family val="2"/>
      </rPr>
      <t>加氨抬升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至等电点</t>
    </r>
    <r>
      <rPr>
        <sz val="10"/>
        <rFont val="微软雅黑"/>
        <family val="2"/>
        <charset val="134"/>
      </rPr>
      <t>(≈4.0–4.3)</t>
    </r>
  </si>
  <si>
    <t>R1676</t>
  </si>
  <si>
    <r>
      <rPr>
        <sz val="10"/>
        <rFont val="微软雅黑"/>
        <family val="2"/>
        <charset val="134"/>
      </rPr>
      <t>FT_1006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FT_1404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AT_1401A1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AT_1401A2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AT_1401A3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AT_1401A4…</t>
    </r>
  </si>
  <si>
    <t>R1677</t>
  </si>
  <si>
    <r>
      <rPr>
        <sz val="10"/>
        <rFont val="微软雅黑"/>
        <family val="2"/>
        <charset val="134"/>
      </rPr>
      <t>FT_6AHCL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FI_1001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AT_1401A1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AT_1401A2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AT_1401A3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AT_1401A4…</t>
    </r>
  </si>
  <si>
    <t>加氨过快局部过饱和骤升</t>
  </si>
  <si>
    <t>R1678</t>
  </si>
  <si>
    <t>过饱和度高爆发成核，细晶多</t>
  </si>
  <si>
    <t>R1679</t>
  </si>
  <si>
    <t>偏离等电点溶解度迅速上升</t>
  </si>
  <si>
    <t>R1680</t>
  </si>
  <si>
    <r>
      <rPr>
        <sz val="10"/>
        <rFont val="微软雅黑"/>
        <family val="2"/>
        <charset val="134"/>
      </rPr>
      <t>AT_1401A1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AT_1401A2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AT_1401A3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AT_1401A4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AT_1401A5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AT_1401A6…</t>
    </r>
  </si>
  <si>
    <t>低温降低溶解度</t>
  </si>
  <si>
    <t>R1681</t>
  </si>
  <si>
    <r>
      <rPr>
        <sz val="10"/>
        <rFont val="微软雅黑"/>
        <family val="2"/>
        <charset val="134"/>
      </rPr>
      <t>TI_1407_A1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TI_1407_A2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TI_1407_A3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TI_1407_A4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TI_1407_A5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TI_1407_A6…</t>
    </r>
  </si>
  <si>
    <t>R1682</t>
  </si>
  <si>
    <t>养晶促进晶体长大（粒度增大）</t>
  </si>
  <si>
    <t>R1683</t>
  </si>
  <si>
    <r>
      <rPr>
        <sz val="10"/>
        <rFont val="Noto Sans CJK SC"/>
        <family val="2"/>
      </rPr>
      <t>搅拌过强二次成核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破碎</t>
    </r>
  </si>
  <si>
    <t>R1684</t>
  </si>
  <si>
    <r>
      <rPr>
        <sz val="10"/>
        <rFont val="微软雅黑"/>
        <family val="2"/>
        <charset val="134"/>
      </rPr>
      <t>PB_1013A_FB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PB_1013B_FB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PB_1013C_FB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PB_1013D_FB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PB_1013E_FB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PB_1013F_FB…</t>
    </r>
  </si>
  <si>
    <t>粒度大滤饼孔隙大脱液好（细晶含湿高）</t>
  </si>
  <si>
    <t>R1685</t>
  </si>
  <si>
    <t>洗涤充分降低盐分</t>
  </si>
  <si>
    <t>R1686</t>
  </si>
  <si>
    <r>
      <rPr>
        <sz val="10"/>
        <rFont val="微软雅黑"/>
        <family val="2"/>
        <charset val="134"/>
      </rPr>
      <t>FT_2004A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FT_2004B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FT_2004C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FT_2004D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FT_2004E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FT_2004F…</t>
    </r>
  </si>
  <si>
    <t>洗涤水溶解损失</t>
  </si>
  <si>
    <t>R1687</t>
  </si>
  <si>
    <t>洗水温度高溶解损失大</t>
  </si>
  <si>
    <t>R1688</t>
  </si>
  <si>
    <t>R1689</t>
  </si>
  <si>
    <t>R1690</t>
  </si>
  <si>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成品水分</t>
    </r>
  </si>
  <si>
    <t>湿品含湿高增加干燥负荷</t>
  </si>
  <si>
    <t>R1691</t>
  </si>
  <si>
    <t>:QKPI_295</t>
  </si>
  <si>
    <t>R1692</t>
  </si>
  <si>
    <r>
      <rPr>
        <sz val="10"/>
        <rFont val="Noto Sans CJK SC"/>
        <family val="2"/>
      </rPr>
      <t>衔接物料：结晶晶浆。</t>
    </r>
    <r>
      <rPr>
        <sz val="10"/>
        <rFont val="微软雅黑"/>
        <family val="2"/>
        <charset val="134"/>
      </rPr>
      <t>C102→P102→R118/R119</t>
    </r>
    <r>
      <rPr>
        <sz val="10"/>
        <rFont val="Noto Sans CJK SC"/>
        <family val="2"/>
      </rPr>
      <t>养晶→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</t>
    </r>
  </si>
  <si>
    <t>S14</t>
  </si>
  <si>
    <t>R1693</t>
  </si>
  <si>
    <r>
      <rPr>
        <sz val="10"/>
        <rFont val="Noto Sans CJK SC"/>
        <family val="2"/>
      </rPr>
      <t>钛材换热器</t>
    </r>
    <r>
      <rPr>
        <sz val="10"/>
        <rFont val="微软雅黑"/>
        <family val="2"/>
        <charset val="134"/>
      </rPr>
      <t>E101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</si>
  <si>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连续结晶包含板式换热器“钛材换热器</t>
    </r>
    <r>
      <rPr>
        <sz val="10"/>
        <rFont val="微软雅黑"/>
        <family val="2"/>
        <charset val="134"/>
      </rPr>
      <t>E101”</t>
    </r>
  </si>
  <si>
    <t>R1694</t>
  </si>
  <si>
    <t>:TitaniumHXE101</t>
  </si>
  <si>
    <r>
      <rPr>
        <sz val="10"/>
        <rFont val="Noto Sans CJK SC"/>
        <family val="2"/>
      </rPr>
      <t>钛材换热器</t>
    </r>
    <r>
      <rPr>
        <sz val="10"/>
        <rFont val="微软雅黑"/>
        <family val="2"/>
        <charset val="134"/>
      </rPr>
      <t>E101·</t>
    </r>
    <r>
      <rPr>
        <sz val="10"/>
        <rFont val="Noto Sans CJK SC"/>
        <family val="2"/>
      </rPr>
      <t>冷水</t>
    </r>
    <r>
      <rPr>
        <sz val="10"/>
        <rFont val="微软雅黑"/>
        <family val="2"/>
        <charset val="134"/>
      </rPr>
      <t>(-15℃)/</t>
    </r>
    <r>
      <rPr>
        <sz val="10"/>
        <rFont val="Noto Sans CJK SC"/>
        <family val="2"/>
      </rPr>
      <t>热水</t>
    </r>
    <r>
      <rPr>
        <sz val="10"/>
        <rFont val="微软雅黑"/>
        <family val="2"/>
        <charset val="134"/>
      </rPr>
      <t>(30℃)</t>
    </r>
    <r>
      <rPr>
        <sz val="10"/>
        <rFont val="Noto Sans CJK SC"/>
        <family val="2"/>
      </rPr>
      <t>切换阀</t>
    </r>
  </si>
  <si>
    <r>
      <rPr>
        <sz val="10"/>
        <rFont val="Noto Sans CJK SC"/>
        <family val="2"/>
      </rPr>
      <t>钛材换热器</t>
    </r>
    <r>
      <rPr>
        <sz val="10"/>
        <rFont val="微软雅黑"/>
        <family val="2"/>
        <charset val="134"/>
      </rPr>
      <t>E101</t>
    </r>
    <r>
      <rPr>
        <sz val="10"/>
        <rFont val="Noto Sans CJK SC"/>
        <family val="2"/>
      </rPr>
      <t>配置冷水</t>
    </r>
    <r>
      <rPr>
        <sz val="10"/>
        <rFont val="微软雅黑"/>
        <family val="2"/>
        <charset val="134"/>
      </rPr>
      <t>(-15℃)/</t>
    </r>
    <r>
      <rPr>
        <sz val="10"/>
        <rFont val="Noto Sans CJK SC"/>
        <family val="2"/>
      </rPr>
      <t>热水</t>
    </r>
    <r>
      <rPr>
        <sz val="10"/>
        <rFont val="微软雅黑"/>
        <family val="2"/>
        <charset val="134"/>
      </rPr>
      <t>(30℃)</t>
    </r>
    <r>
      <rPr>
        <sz val="10"/>
        <rFont val="Noto Sans CJK SC"/>
        <family val="2"/>
      </rPr>
      <t>切换阀</t>
    </r>
  </si>
  <si>
    <t>R1695</t>
  </si>
  <si>
    <t>:TitaniumHXE101_P01</t>
  </si>
  <si>
    <r>
      <rPr>
        <sz val="10"/>
        <rFont val="Noto Sans CJK SC"/>
        <family val="2"/>
      </rPr>
      <t>一级结晶罐</t>
    </r>
    <r>
      <rPr>
        <sz val="10"/>
        <rFont val="微软雅黑"/>
        <family val="2"/>
        <charset val="134"/>
      </rPr>
      <t>C101(</t>
    </r>
    <r>
      <rPr>
        <sz val="10"/>
        <rFont val="Noto Sans CJK SC"/>
        <family val="2"/>
      </rPr>
      <t>北罐</t>
    </r>
    <r>
      <rPr>
        <sz val="10"/>
        <rFont val="微软雅黑"/>
        <family val="2"/>
        <charset val="134"/>
      </rPr>
      <t>)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</si>
  <si>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连续结晶包含连续结晶罐“一级结晶罐</t>
    </r>
    <r>
      <rPr>
        <sz val="10"/>
        <rFont val="微软雅黑"/>
        <family val="2"/>
        <charset val="134"/>
      </rPr>
      <t>C101(</t>
    </r>
    <r>
      <rPr>
        <sz val="10"/>
        <rFont val="Noto Sans CJK SC"/>
        <family val="2"/>
      </rPr>
      <t>北罐</t>
    </r>
    <r>
      <rPr>
        <sz val="10"/>
        <rFont val="微软雅黑"/>
        <family val="2"/>
        <charset val="134"/>
      </rPr>
      <t>)”</t>
    </r>
  </si>
  <si>
    <t>R1696</t>
  </si>
  <si>
    <t>:ContCrystC101</t>
  </si>
  <si>
    <r>
      <rPr>
        <sz val="10"/>
        <rFont val="Noto Sans CJK SC"/>
        <family val="2"/>
      </rPr>
      <t>一级结晶罐</t>
    </r>
    <r>
      <rPr>
        <sz val="10"/>
        <rFont val="微软雅黑"/>
        <family val="2"/>
        <charset val="134"/>
      </rPr>
      <t>C101(</t>
    </r>
    <r>
      <rPr>
        <sz val="10"/>
        <rFont val="Noto Sans CJK SC"/>
        <family val="2"/>
      </rPr>
      <t>北罐</t>
    </r>
    <r>
      <rPr>
        <sz val="10"/>
        <rFont val="微软雅黑"/>
        <family val="2"/>
        <charset val="134"/>
      </rPr>
      <t>)·</t>
    </r>
    <r>
      <rPr>
        <sz val="10"/>
        <rFont val="Noto Sans CJK SC"/>
        <family val="2"/>
      </rPr>
      <t>搅拌器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变频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</si>
  <si>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一级结晶罐</t>
    </r>
    <r>
      <rPr>
        <sz val="10"/>
        <rFont val="微软雅黑"/>
        <family val="2"/>
        <charset val="134"/>
      </rPr>
      <t>C101(</t>
    </r>
    <r>
      <rPr>
        <sz val="10"/>
        <rFont val="Noto Sans CJK SC"/>
        <family val="2"/>
      </rPr>
      <t>北罐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配置搅拌器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变频</t>
    </r>
    <r>
      <rPr>
        <sz val="10"/>
        <rFont val="微软雅黑"/>
        <family val="2"/>
        <charset val="134"/>
      </rPr>
      <t>)</t>
    </r>
  </si>
  <si>
    <t>R1697</t>
  </si>
  <si>
    <t>:ContCrystC101_P01</t>
  </si>
  <si>
    <r>
      <rPr>
        <sz val="10"/>
        <rFont val="Noto Sans CJK SC"/>
        <family val="2"/>
      </rPr>
      <t>一级结晶罐</t>
    </r>
    <r>
      <rPr>
        <sz val="10"/>
        <rFont val="微软雅黑"/>
        <family val="2"/>
        <charset val="134"/>
      </rPr>
      <t>C101(</t>
    </r>
    <r>
      <rPr>
        <sz val="10"/>
        <rFont val="Noto Sans CJK SC"/>
        <family val="2"/>
      </rPr>
      <t>北罐</t>
    </r>
    <r>
      <rPr>
        <sz val="10"/>
        <rFont val="微软雅黑"/>
        <family val="2"/>
        <charset val="134"/>
      </rPr>
      <t>)·pH</t>
    </r>
    <r>
      <rPr>
        <sz val="10"/>
        <rFont val="Noto Sans CJK SC"/>
        <family val="2"/>
      </rPr>
      <t>计</t>
    </r>
  </si>
  <si>
    <r>
      <rPr>
        <sz val="10"/>
        <rFont val="Noto Sans CJK SC"/>
        <family val="2"/>
      </rPr>
      <t>一级结晶罐</t>
    </r>
    <r>
      <rPr>
        <sz val="10"/>
        <rFont val="微软雅黑"/>
        <family val="2"/>
        <charset val="134"/>
      </rPr>
      <t>C101(</t>
    </r>
    <r>
      <rPr>
        <sz val="10"/>
        <rFont val="Noto Sans CJK SC"/>
        <family val="2"/>
      </rPr>
      <t>北罐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</t>
    </r>
  </si>
  <si>
    <t>R1698</t>
  </si>
  <si>
    <t>:ContCrystC101_P02</t>
  </si>
  <si>
    <r>
      <rPr>
        <sz val="10"/>
        <rFont val="Noto Sans CJK SC"/>
        <family val="2"/>
      </rPr>
      <t>一级结晶罐</t>
    </r>
    <r>
      <rPr>
        <sz val="10"/>
        <rFont val="微软雅黑"/>
        <family val="2"/>
        <charset val="134"/>
      </rPr>
      <t>C101(</t>
    </r>
    <r>
      <rPr>
        <sz val="10"/>
        <rFont val="Noto Sans CJK SC"/>
        <family val="2"/>
      </rPr>
      <t>北罐</t>
    </r>
    <r>
      <rPr>
        <sz val="10"/>
        <rFont val="微软雅黑"/>
        <family val="2"/>
        <charset val="134"/>
      </rPr>
      <t>)·</t>
    </r>
    <r>
      <rPr>
        <sz val="10"/>
        <rFont val="Noto Sans CJK SC"/>
        <family val="2"/>
      </rPr>
      <t>温度计</t>
    </r>
  </si>
  <si>
    <r>
      <rPr>
        <sz val="10"/>
        <rFont val="Noto Sans CJK SC"/>
        <family val="2"/>
      </rPr>
      <t>一级结晶罐</t>
    </r>
    <r>
      <rPr>
        <sz val="10"/>
        <rFont val="微软雅黑"/>
        <family val="2"/>
        <charset val="134"/>
      </rPr>
      <t>C101(</t>
    </r>
    <r>
      <rPr>
        <sz val="10"/>
        <rFont val="Noto Sans CJK SC"/>
        <family val="2"/>
      </rPr>
      <t>北罐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配置温度计</t>
    </r>
  </si>
  <si>
    <t>R1699</t>
  </si>
  <si>
    <t>:ContCrystC101_P03</t>
  </si>
  <si>
    <r>
      <rPr>
        <sz val="10"/>
        <rFont val="Noto Sans CJK SC"/>
        <family val="2"/>
      </rPr>
      <t>一级结晶罐</t>
    </r>
    <r>
      <rPr>
        <sz val="10"/>
        <rFont val="微软雅黑"/>
        <family val="2"/>
        <charset val="134"/>
      </rPr>
      <t>C101(</t>
    </r>
    <r>
      <rPr>
        <sz val="10"/>
        <rFont val="Noto Sans CJK SC"/>
        <family val="2"/>
      </rPr>
      <t>北罐</t>
    </r>
    <r>
      <rPr>
        <sz val="10"/>
        <rFont val="微软雅黑"/>
        <family val="2"/>
        <charset val="134"/>
      </rPr>
      <t>)·</t>
    </r>
    <r>
      <rPr>
        <sz val="10"/>
        <rFont val="Noto Sans CJK SC"/>
        <family val="2"/>
      </rPr>
      <t>氨水调节阀</t>
    </r>
    <r>
      <rPr>
        <sz val="10"/>
        <rFont val="微软雅黑"/>
        <family val="2"/>
        <charset val="134"/>
      </rPr>
      <t>1#</t>
    </r>
  </si>
  <si>
    <r>
      <rPr>
        <sz val="10"/>
        <rFont val="Noto Sans CJK SC"/>
        <family val="2"/>
      </rPr>
      <t>一级结晶罐</t>
    </r>
    <r>
      <rPr>
        <sz val="10"/>
        <rFont val="微软雅黑"/>
        <family val="2"/>
        <charset val="134"/>
      </rPr>
      <t>C101(</t>
    </r>
    <r>
      <rPr>
        <sz val="10"/>
        <rFont val="Noto Sans CJK SC"/>
        <family val="2"/>
      </rPr>
      <t>北罐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配置氨水调节阀</t>
    </r>
    <r>
      <rPr>
        <sz val="10"/>
        <rFont val="微软雅黑"/>
        <family val="2"/>
        <charset val="134"/>
      </rPr>
      <t>1#</t>
    </r>
  </si>
  <si>
    <t>R1700</t>
  </si>
  <si>
    <t>:ContCrystC101_P04</t>
  </si>
  <si>
    <r>
      <rPr>
        <sz val="10"/>
        <rFont val="Noto Sans CJK SC"/>
        <family val="2"/>
      </rPr>
      <t>二级结晶罐</t>
    </r>
    <r>
      <rPr>
        <sz val="10"/>
        <rFont val="微软雅黑"/>
        <family val="2"/>
        <charset val="134"/>
      </rPr>
      <t>C102(</t>
    </r>
    <r>
      <rPr>
        <sz val="10"/>
        <rFont val="Noto Sans CJK SC"/>
        <family val="2"/>
      </rPr>
      <t>南罐</t>
    </r>
    <r>
      <rPr>
        <sz val="10"/>
        <rFont val="微软雅黑"/>
        <family val="2"/>
        <charset val="134"/>
      </rPr>
      <t>)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</si>
  <si>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连续结晶包含连续结晶罐“二级结晶罐</t>
    </r>
    <r>
      <rPr>
        <sz val="10"/>
        <rFont val="微软雅黑"/>
        <family val="2"/>
        <charset val="134"/>
      </rPr>
      <t>C102(</t>
    </r>
    <r>
      <rPr>
        <sz val="10"/>
        <rFont val="Noto Sans CJK SC"/>
        <family val="2"/>
      </rPr>
      <t>南罐</t>
    </r>
    <r>
      <rPr>
        <sz val="10"/>
        <rFont val="微软雅黑"/>
        <family val="2"/>
        <charset val="134"/>
      </rPr>
      <t>)”</t>
    </r>
  </si>
  <si>
    <t>R1701</t>
  </si>
  <si>
    <t>:ContCrystC102</t>
  </si>
  <si>
    <r>
      <rPr>
        <sz val="10"/>
        <rFont val="Noto Sans CJK SC"/>
        <family val="2"/>
      </rPr>
      <t>二级结晶罐</t>
    </r>
    <r>
      <rPr>
        <sz val="10"/>
        <rFont val="微软雅黑"/>
        <family val="2"/>
        <charset val="134"/>
      </rPr>
      <t>C102(</t>
    </r>
    <r>
      <rPr>
        <sz val="10"/>
        <rFont val="Noto Sans CJK SC"/>
        <family val="2"/>
      </rPr>
      <t>南罐</t>
    </r>
    <r>
      <rPr>
        <sz val="10"/>
        <rFont val="微软雅黑"/>
        <family val="2"/>
        <charset val="134"/>
      </rPr>
      <t>)·</t>
    </r>
    <r>
      <rPr>
        <sz val="10"/>
        <rFont val="Noto Sans CJK SC"/>
        <family val="2"/>
      </rPr>
      <t>搅拌器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变频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</si>
  <si>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二级结晶罐</t>
    </r>
    <r>
      <rPr>
        <sz val="10"/>
        <rFont val="微软雅黑"/>
        <family val="2"/>
        <charset val="134"/>
      </rPr>
      <t>C102(</t>
    </r>
    <r>
      <rPr>
        <sz val="10"/>
        <rFont val="Noto Sans CJK SC"/>
        <family val="2"/>
      </rPr>
      <t>南罐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配置搅拌器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变频</t>
    </r>
    <r>
      <rPr>
        <sz val="10"/>
        <rFont val="微软雅黑"/>
        <family val="2"/>
        <charset val="134"/>
      </rPr>
      <t>)</t>
    </r>
  </si>
  <si>
    <t>R1702</t>
  </si>
  <si>
    <t>:ContCrystC102_P01</t>
  </si>
  <si>
    <r>
      <rPr>
        <sz val="10"/>
        <rFont val="Noto Sans CJK SC"/>
        <family val="2"/>
      </rPr>
      <t>二级结晶罐</t>
    </r>
    <r>
      <rPr>
        <sz val="10"/>
        <rFont val="微软雅黑"/>
        <family val="2"/>
        <charset val="134"/>
      </rPr>
      <t>C102(</t>
    </r>
    <r>
      <rPr>
        <sz val="10"/>
        <rFont val="Noto Sans CJK SC"/>
        <family val="2"/>
      </rPr>
      <t>南罐</t>
    </r>
    <r>
      <rPr>
        <sz val="10"/>
        <rFont val="微软雅黑"/>
        <family val="2"/>
        <charset val="134"/>
      </rPr>
      <t>)·pH</t>
    </r>
    <r>
      <rPr>
        <sz val="10"/>
        <rFont val="Noto Sans CJK SC"/>
        <family val="2"/>
      </rPr>
      <t>计</t>
    </r>
  </si>
  <si>
    <r>
      <rPr>
        <sz val="10"/>
        <rFont val="Noto Sans CJK SC"/>
        <family val="2"/>
      </rPr>
      <t>二级结晶罐</t>
    </r>
    <r>
      <rPr>
        <sz val="10"/>
        <rFont val="微软雅黑"/>
        <family val="2"/>
        <charset val="134"/>
      </rPr>
      <t>C102(</t>
    </r>
    <r>
      <rPr>
        <sz val="10"/>
        <rFont val="Noto Sans CJK SC"/>
        <family val="2"/>
      </rPr>
      <t>南罐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</t>
    </r>
  </si>
  <si>
    <t>R1703</t>
  </si>
  <si>
    <t>:ContCrystC102_P02</t>
  </si>
  <si>
    <r>
      <rPr>
        <sz val="10"/>
        <rFont val="Noto Sans CJK SC"/>
        <family val="2"/>
      </rPr>
      <t>二级结晶罐</t>
    </r>
    <r>
      <rPr>
        <sz val="10"/>
        <rFont val="微软雅黑"/>
        <family val="2"/>
        <charset val="134"/>
      </rPr>
      <t>C102(</t>
    </r>
    <r>
      <rPr>
        <sz val="10"/>
        <rFont val="Noto Sans CJK SC"/>
        <family val="2"/>
      </rPr>
      <t>南罐</t>
    </r>
    <r>
      <rPr>
        <sz val="10"/>
        <rFont val="微软雅黑"/>
        <family val="2"/>
        <charset val="134"/>
      </rPr>
      <t>)·</t>
    </r>
    <r>
      <rPr>
        <sz val="10"/>
        <rFont val="Noto Sans CJK SC"/>
        <family val="2"/>
      </rPr>
      <t>温度计</t>
    </r>
  </si>
  <si>
    <r>
      <rPr>
        <sz val="10"/>
        <rFont val="Noto Sans CJK SC"/>
        <family val="2"/>
      </rPr>
      <t>二级结晶罐</t>
    </r>
    <r>
      <rPr>
        <sz val="10"/>
        <rFont val="微软雅黑"/>
        <family val="2"/>
        <charset val="134"/>
      </rPr>
      <t>C102(</t>
    </r>
    <r>
      <rPr>
        <sz val="10"/>
        <rFont val="Noto Sans CJK SC"/>
        <family val="2"/>
      </rPr>
      <t>南罐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配置温度计</t>
    </r>
  </si>
  <si>
    <t>R1704</t>
  </si>
  <si>
    <t>:ContCrystC102_P03</t>
  </si>
  <si>
    <r>
      <rPr>
        <sz val="10"/>
        <rFont val="Noto Sans CJK SC"/>
        <family val="2"/>
      </rPr>
      <t>二级结晶罐</t>
    </r>
    <r>
      <rPr>
        <sz val="10"/>
        <rFont val="微软雅黑"/>
        <family val="2"/>
        <charset val="134"/>
      </rPr>
      <t>C102(</t>
    </r>
    <r>
      <rPr>
        <sz val="10"/>
        <rFont val="Noto Sans CJK SC"/>
        <family val="2"/>
      </rPr>
      <t>南罐</t>
    </r>
    <r>
      <rPr>
        <sz val="10"/>
        <rFont val="微软雅黑"/>
        <family val="2"/>
        <charset val="134"/>
      </rPr>
      <t>)·</t>
    </r>
    <r>
      <rPr>
        <sz val="10"/>
        <rFont val="Noto Sans CJK SC"/>
        <family val="2"/>
      </rPr>
      <t>氨水调节阀</t>
    </r>
    <r>
      <rPr>
        <sz val="10"/>
        <rFont val="微软雅黑"/>
        <family val="2"/>
        <charset val="134"/>
      </rPr>
      <t>2#</t>
    </r>
  </si>
  <si>
    <r>
      <rPr>
        <sz val="10"/>
        <rFont val="Noto Sans CJK SC"/>
        <family val="2"/>
      </rPr>
      <t>二级结晶罐</t>
    </r>
    <r>
      <rPr>
        <sz val="10"/>
        <rFont val="微软雅黑"/>
        <family val="2"/>
        <charset val="134"/>
      </rPr>
      <t>C102(</t>
    </r>
    <r>
      <rPr>
        <sz val="10"/>
        <rFont val="Noto Sans CJK SC"/>
        <family val="2"/>
      </rPr>
      <t>南罐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配置氨水调节阀</t>
    </r>
    <r>
      <rPr>
        <sz val="10"/>
        <rFont val="微软雅黑"/>
        <family val="2"/>
        <charset val="134"/>
      </rPr>
      <t>2#</t>
    </r>
  </si>
  <si>
    <t>R1705</t>
  </si>
  <si>
    <t>:ContCrystC102_P04</t>
  </si>
  <si>
    <r>
      <rPr>
        <sz val="10"/>
        <rFont val="Noto Sans CJK SC"/>
        <family val="2"/>
      </rPr>
      <t>第一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二级出料泵</t>
    </r>
    <r>
      <rPr>
        <sz val="10"/>
        <rFont val="微软雅黑"/>
        <family val="2"/>
        <charset val="134"/>
      </rPr>
      <t>P101/P102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</si>
  <si>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连续结晶包含变频泵“第一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二级出料泵</t>
    </r>
    <r>
      <rPr>
        <sz val="10"/>
        <rFont val="微软雅黑"/>
        <family val="2"/>
        <charset val="134"/>
      </rPr>
      <t>P101/P102”</t>
    </r>
  </si>
  <si>
    <t>R1706</t>
  </si>
  <si>
    <t>:ContCrystPumps</t>
  </si>
  <si>
    <t>P101A</t>
  </si>
  <si>
    <r>
      <rPr>
        <sz val="10"/>
        <rFont val="Noto Sans CJK SC"/>
        <family val="2"/>
      </rPr>
      <t>第一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二级出料泵</t>
    </r>
    <r>
      <rPr>
        <sz val="10"/>
        <rFont val="微软雅黑"/>
        <family val="2"/>
        <charset val="134"/>
      </rPr>
      <t>P101/P102</t>
    </r>
    <r>
      <rPr>
        <sz val="10"/>
        <rFont val="Noto Sans CJK SC"/>
        <family val="2"/>
      </rPr>
      <t>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</si>
  <si>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R1707</t>
  </si>
  <si>
    <t>:ContCrystPumps_M01</t>
  </si>
  <si>
    <t>P101B</t>
  </si>
  <si>
    <t>R1708</t>
  </si>
  <si>
    <t>:ContCrystPumps_M02</t>
  </si>
  <si>
    <t>P102C</t>
  </si>
  <si>
    <t>R1709</t>
  </si>
  <si>
    <t>:ContCrystPumps_M03</t>
  </si>
  <si>
    <t>P102D</t>
  </si>
  <si>
    <t>R1710</t>
  </si>
  <si>
    <t>:ContCrystPumps_M04</t>
  </si>
  <si>
    <r>
      <rPr>
        <sz val="10"/>
        <rFont val="Noto Sans CJK SC"/>
        <family val="2"/>
      </rPr>
      <t>第一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二级出料泵</t>
    </r>
    <r>
      <rPr>
        <sz val="10"/>
        <rFont val="微软雅黑"/>
        <family val="2"/>
        <charset val="134"/>
      </rPr>
      <t>P101/P102·</t>
    </r>
    <r>
      <rPr>
        <sz val="10"/>
        <rFont val="Noto Sans CJK SC"/>
        <family val="2"/>
      </rPr>
      <t>变频器</t>
    </r>
  </si>
  <si>
    <r>
      <rPr>
        <sz val="10"/>
        <rFont val="Noto Sans CJK SC"/>
        <family val="2"/>
      </rPr>
      <t>第一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二级出料泵</t>
    </r>
    <r>
      <rPr>
        <sz val="10"/>
        <rFont val="微软雅黑"/>
        <family val="2"/>
        <charset val="134"/>
      </rPr>
      <t>P101/P102</t>
    </r>
    <r>
      <rPr>
        <sz val="10"/>
        <rFont val="Noto Sans CJK SC"/>
        <family val="2"/>
      </rPr>
      <t>配置变频器</t>
    </r>
  </si>
  <si>
    <t>R1711</t>
  </si>
  <si>
    <t>:ContCrystPumps_P01</t>
  </si>
  <si>
    <r>
      <rPr>
        <sz val="10"/>
        <rFont val="Noto Sans CJK SC"/>
        <family val="2"/>
      </rPr>
      <t>养晶结晶罐</t>
    </r>
    <r>
      <rPr>
        <sz val="10"/>
        <rFont val="微软雅黑"/>
        <family val="2"/>
        <charset val="134"/>
      </rPr>
      <t>R118/R119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</si>
  <si>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连续结晶包含搅拌结晶罐“养晶结晶罐</t>
    </r>
    <r>
      <rPr>
        <sz val="10"/>
        <rFont val="微软雅黑"/>
        <family val="2"/>
        <charset val="134"/>
      </rPr>
      <t>R118/R119”</t>
    </r>
  </si>
  <si>
    <t>R1712</t>
  </si>
  <si>
    <t>:AgingTanksR118R119</t>
  </si>
  <si>
    <r>
      <rPr>
        <sz val="10"/>
        <rFont val="Noto Sans CJK SC"/>
        <family val="2"/>
      </rPr>
      <t>养晶结晶罐</t>
    </r>
    <r>
      <rPr>
        <sz val="10"/>
        <rFont val="微软雅黑"/>
        <family val="2"/>
        <charset val="134"/>
      </rPr>
      <t>R118/R119</t>
    </r>
    <r>
      <rPr>
        <sz val="10"/>
        <rFont val="Noto Sans CJK SC"/>
        <family val="2"/>
      </rPr>
      <t>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</si>
  <si>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R1713</t>
  </si>
  <si>
    <t>R1714</t>
  </si>
  <si>
    <r>
      <rPr>
        <sz val="10"/>
        <rFont val="Noto Sans CJK SC"/>
        <family val="2"/>
      </rPr>
      <t>养晶结晶罐</t>
    </r>
    <r>
      <rPr>
        <sz val="10"/>
        <rFont val="微软雅黑"/>
        <family val="2"/>
        <charset val="134"/>
      </rPr>
      <t>R118/R119·</t>
    </r>
    <r>
      <rPr>
        <sz val="10"/>
        <rFont val="Noto Sans CJK SC"/>
        <family val="2"/>
      </rPr>
      <t>冰盐水调节阀</t>
    </r>
    <r>
      <rPr>
        <sz val="10"/>
        <rFont val="微软雅黑"/>
        <family val="2"/>
        <charset val="134"/>
      </rPr>
      <t>JJG118_BYS/JJG119_BYS</t>
    </r>
  </si>
  <si>
    <r>
      <rPr>
        <sz val="10"/>
        <rFont val="Noto Sans CJK SC"/>
        <family val="2"/>
      </rPr>
      <t>养晶结晶罐</t>
    </r>
    <r>
      <rPr>
        <sz val="10"/>
        <rFont val="微软雅黑"/>
        <family val="2"/>
        <charset val="134"/>
      </rPr>
      <t>R118/R119</t>
    </r>
    <r>
      <rPr>
        <sz val="10"/>
        <rFont val="Noto Sans CJK SC"/>
        <family val="2"/>
      </rPr>
      <t>配置冰盐水调节阀</t>
    </r>
    <r>
      <rPr>
        <sz val="10"/>
        <rFont val="微软雅黑"/>
        <family val="2"/>
        <charset val="134"/>
      </rPr>
      <t>JJG118_BYS/JJG119_BYS</t>
    </r>
  </si>
  <si>
    <t>R1715</t>
  </si>
  <si>
    <t>:AgingTanksR118R119_P01</t>
  </si>
  <si>
    <t>重液出料温度</t>
  </si>
  <si>
    <r>
      <rPr>
        <sz val="10"/>
        <rFont val="Noto Sans CJK SC"/>
        <family val="2"/>
      </rPr>
      <t>钛材换热器</t>
    </r>
    <r>
      <rPr>
        <sz val="10"/>
        <rFont val="微软雅黑"/>
        <family val="2"/>
        <charset val="134"/>
      </rPr>
      <t>E101</t>
    </r>
    <r>
      <rPr>
        <sz val="10"/>
        <rFont val="Noto Sans CJK SC"/>
        <family val="2"/>
      </rPr>
      <t>的重液出料温度</t>
    </r>
  </si>
  <si>
    <t>R1716</t>
  </si>
  <si>
    <t>:Attr_172</t>
  </si>
  <si>
    <t>TE_CLWD</t>
  </si>
  <si>
    <r>
      <rPr>
        <sz val="10"/>
        <rFont val="Noto Sans CJK SC"/>
        <family val="2"/>
      </rPr>
      <t>一级结晶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</si>
  <si>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一级结晶罐</t>
    </r>
    <r>
      <rPr>
        <sz val="10"/>
        <rFont val="微软雅黑"/>
        <family val="2"/>
        <charset val="134"/>
      </rPr>
      <t>C101(</t>
    </r>
    <r>
      <rPr>
        <sz val="10"/>
        <rFont val="Noto Sans CJK SC"/>
        <family val="2"/>
      </rPr>
      <t>北罐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的一级结晶</t>
    </r>
    <r>
      <rPr>
        <sz val="10"/>
        <rFont val="微软雅黑"/>
        <family val="2"/>
        <charset val="134"/>
      </rPr>
      <t>pH</t>
    </r>
  </si>
  <si>
    <t>R1717</t>
  </si>
  <si>
    <t>:Attr_173</t>
  </si>
  <si>
    <t>JJG_BPHJ</t>
  </si>
  <si>
    <t>一级结晶罐温度</t>
  </si>
  <si>
    <r>
      <rPr>
        <sz val="10"/>
        <rFont val="Noto Sans CJK SC"/>
        <family val="2"/>
      </rPr>
      <t>一级结晶罐</t>
    </r>
    <r>
      <rPr>
        <sz val="10"/>
        <rFont val="微软雅黑"/>
        <family val="2"/>
        <charset val="134"/>
      </rPr>
      <t>C101(</t>
    </r>
    <r>
      <rPr>
        <sz val="10"/>
        <rFont val="Noto Sans CJK SC"/>
        <family val="2"/>
      </rPr>
      <t>北罐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的一级结晶罐温度</t>
    </r>
  </si>
  <si>
    <t>R1718</t>
  </si>
  <si>
    <t>:Attr_174</t>
  </si>
  <si>
    <t>TE_BGWD</t>
  </si>
  <si>
    <t>一级结晶罐液位</t>
  </si>
  <si>
    <r>
      <rPr>
        <sz val="10"/>
        <rFont val="Noto Sans CJK SC"/>
        <family val="2"/>
      </rPr>
      <t>一级结晶罐</t>
    </r>
    <r>
      <rPr>
        <sz val="10"/>
        <rFont val="微软雅黑"/>
        <family val="2"/>
        <charset val="134"/>
      </rPr>
      <t>C101(</t>
    </r>
    <r>
      <rPr>
        <sz val="10"/>
        <rFont val="Noto Sans CJK SC"/>
        <family val="2"/>
      </rPr>
      <t>北罐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的一级结晶罐液位</t>
    </r>
  </si>
  <si>
    <t>R1719</t>
  </si>
  <si>
    <t>:Attr_175</t>
  </si>
  <si>
    <t>LT_BYW</t>
  </si>
  <si>
    <t>一级搅拌频率</t>
  </si>
  <si>
    <r>
      <rPr>
        <sz val="10"/>
        <rFont val="Noto Sans CJK SC"/>
        <family val="2"/>
      </rPr>
      <t>一级结晶罐</t>
    </r>
    <r>
      <rPr>
        <sz val="10"/>
        <rFont val="微软雅黑"/>
        <family val="2"/>
        <charset val="134"/>
      </rPr>
      <t>C101(</t>
    </r>
    <r>
      <rPr>
        <sz val="10"/>
        <rFont val="Noto Sans CJK SC"/>
        <family val="2"/>
      </rPr>
      <t>北罐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的一级搅拌频率</t>
    </r>
  </si>
  <si>
    <t>R1720</t>
  </si>
  <si>
    <t>:Attr_176</t>
  </si>
  <si>
    <t>JJG_BJBJBPFK</t>
  </si>
  <si>
    <r>
      <rPr>
        <sz val="10"/>
        <rFont val="Noto Sans CJK SC"/>
        <family val="2"/>
      </rPr>
      <t>二级结晶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</si>
  <si>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二级结晶罐</t>
    </r>
    <r>
      <rPr>
        <sz val="10"/>
        <rFont val="微软雅黑"/>
        <family val="2"/>
        <charset val="134"/>
      </rPr>
      <t>C102(</t>
    </r>
    <r>
      <rPr>
        <sz val="10"/>
        <rFont val="Noto Sans CJK SC"/>
        <family val="2"/>
      </rPr>
      <t>南罐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的二级结晶</t>
    </r>
    <r>
      <rPr>
        <sz val="10"/>
        <rFont val="微软雅黑"/>
        <family val="2"/>
        <charset val="134"/>
      </rPr>
      <t>pH</t>
    </r>
  </si>
  <si>
    <t>R1721</t>
  </si>
  <si>
    <t>:Attr_177</t>
  </si>
  <si>
    <t>JJG_NPHJ</t>
  </si>
  <si>
    <t>二级结晶罐温度</t>
  </si>
  <si>
    <r>
      <rPr>
        <sz val="10"/>
        <rFont val="Noto Sans CJK SC"/>
        <family val="2"/>
      </rPr>
      <t>二级结晶罐</t>
    </r>
    <r>
      <rPr>
        <sz val="10"/>
        <rFont val="微软雅黑"/>
        <family val="2"/>
        <charset val="134"/>
      </rPr>
      <t>C102(</t>
    </r>
    <r>
      <rPr>
        <sz val="10"/>
        <rFont val="Noto Sans CJK SC"/>
        <family val="2"/>
      </rPr>
      <t>南罐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的二级结晶罐温度</t>
    </r>
  </si>
  <si>
    <t>R1722</t>
  </si>
  <si>
    <t>:Attr_178</t>
  </si>
  <si>
    <t>TE_NGWD</t>
  </si>
  <si>
    <t>二级结晶罐液位</t>
  </si>
  <si>
    <r>
      <rPr>
        <sz val="10"/>
        <rFont val="Noto Sans CJK SC"/>
        <family val="2"/>
      </rPr>
      <t>二级结晶罐</t>
    </r>
    <r>
      <rPr>
        <sz val="10"/>
        <rFont val="微软雅黑"/>
        <family val="2"/>
        <charset val="134"/>
      </rPr>
      <t>C102(</t>
    </r>
    <r>
      <rPr>
        <sz val="10"/>
        <rFont val="Noto Sans CJK SC"/>
        <family val="2"/>
      </rPr>
      <t>南罐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的二级结晶罐液位</t>
    </r>
  </si>
  <si>
    <t>R1723</t>
  </si>
  <si>
    <t>:Attr_179</t>
  </si>
  <si>
    <t>LT_NYW</t>
  </si>
  <si>
    <t>二级搅拌频率</t>
  </si>
  <si>
    <r>
      <rPr>
        <sz val="10"/>
        <rFont val="Noto Sans CJK SC"/>
        <family val="2"/>
      </rPr>
      <t>二级结晶罐</t>
    </r>
    <r>
      <rPr>
        <sz val="10"/>
        <rFont val="微软雅黑"/>
        <family val="2"/>
        <charset val="134"/>
      </rPr>
      <t>C102(</t>
    </r>
    <r>
      <rPr>
        <sz val="10"/>
        <rFont val="Noto Sans CJK SC"/>
        <family val="2"/>
      </rPr>
      <t>南罐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的二级搅拌频率</t>
    </r>
  </si>
  <si>
    <t>R1724</t>
  </si>
  <si>
    <t>:Attr_180</t>
  </si>
  <si>
    <t>JJG_NJBJBPFK</t>
  </si>
  <si>
    <t>连续结晶重液流量</t>
  </si>
  <si>
    <r>
      <rPr>
        <sz val="10"/>
        <rFont val="Noto Sans CJK SC"/>
        <family val="2"/>
      </rPr>
      <t>钛材换热器</t>
    </r>
    <r>
      <rPr>
        <sz val="10"/>
        <rFont val="微软雅黑"/>
        <family val="2"/>
        <charset val="134"/>
      </rPr>
      <t>E101</t>
    </r>
    <r>
      <rPr>
        <sz val="10"/>
        <rFont val="Noto Sans CJK SC"/>
        <family val="2"/>
      </rPr>
      <t>的连续结晶重液流量</t>
    </r>
  </si>
  <si>
    <t>R1725</t>
  </si>
  <si>
    <t>:Attr_181</t>
  </si>
  <si>
    <t>FT_ZYLL</t>
  </si>
  <si>
    <t>连续结晶氨水流量</t>
  </si>
  <si>
    <r>
      <rPr>
        <sz val="10"/>
        <rFont val="Noto Sans CJK SC"/>
        <family val="2"/>
      </rPr>
      <t>钛材换热器</t>
    </r>
    <r>
      <rPr>
        <sz val="10"/>
        <rFont val="微软雅黑"/>
        <family val="2"/>
        <charset val="134"/>
      </rPr>
      <t>E101</t>
    </r>
    <r>
      <rPr>
        <sz val="10"/>
        <rFont val="Noto Sans CJK SC"/>
        <family val="2"/>
      </rPr>
      <t>的连续结晶氨水流量</t>
    </r>
  </si>
  <si>
    <t>R1726</t>
  </si>
  <si>
    <t>:Attr_182</t>
  </si>
  <si>
    <t>FT_ASLL</t>
  </si>
  <si>
    <t>连续结晶停留时间</t>
  </si>
  <si>
    <r>
      <rPr>
        <sz val="10"/>
        <rFont val="Noto Sans CJK SC"/>
        <family val="2"/>
      </rPr>
      <t>一级结晶罐</t>
    </r>
    <r>
      <rPr>
        <sz val="10"/>
        <rFont val="微软雅黑"/>
        <family val="2"/>
        <charset val="134"/>
      </rPr>
      <t>C101(</t>
    </r>
    <r>
      <rPr>
        <sz val="10"/>
        <rFont val="Noto Sans CJK SC"/>
        <family val="2"/>
      </rPr>
      <t>北罐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的连续结晶停留时间（机理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</si>
  <si>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R1727</t>
  </si>
  <si>
    <t>:Attr_294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</si>
  <si>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原点描述：重液出料温度</t>
    </r>
  </si>
  <si>
    <t>R1728</t>
  </si>
  <si>
    <t>:TE_CLWD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</si>
  <si>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原点描述：北搅拌机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</t>
    </r>
  </si>
  <si>
    <t>R1729</t>
  </si>
  <si>
    <t>:JJG_BPHJ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</si>
  <si>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原点描述：北罐温度计</t>
    </r>
  </si>
  <si>
    <t>R1730</t>
  </si>
  <si>
    <t>:TE_BGWD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</si>
  <si>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原点描述：北液位计</t>
    </r>
  </si>
  <si>
    <t>R1731</t>
  </si>
  <si>
    <t>:LT_BYW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</si>
  <si>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原点描述：北搅拌机变频反馈</t>
    </r>
  </si>
  <si>
    <t>R1732</t>
  </si>
  <si>
    <t>:JJG_BJBJBPFK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</si>
  <si>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原点描述：南搅拌机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</t>
    </r>
  </si>
  <si>
    <t>R1733</t>
  </si>
  <si>
    <t>:JJG_NPHJ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</si>
  <si>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原点描述：南罐温度计</t>
    </r>
  </si>
  <si>
    <t>R1734</t>
  </si>
  <si>
    <t>:TE_NGWD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</si>
  <si>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原点描述：南液位计</t>
    </r>
  </si>
  <si>
    <t>R1735</t>
  </si>
  <si>
    <t>:LT_NYW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</si>
  <si>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原点描述：南搅拌机频率反馈</t>
    </r>
  </si>
  <si>
    <t>R1736</t>
  </si>
  <si>
    <t>:JJG_NJBJBPFK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</si>
  <si>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原点描述：重液流量计</t>
    </r>
  </si>
  <si>
    <t>R1737</t>
  </si>
  <si>
    <t>:FT_ZYLL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</si>
  <si>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原点描述：氨水流量计</t>
    </r>
  </si>
  <si>
    <t>R1738</t>
  </si>
  <si>
    <t>:FT_ASLL</t>
  </si>
  <si>
    <t>连续结晶重液流量控制器</t>
  </si>
  <si>
    <r>
      <rPr>
        <sz val="10"/>
        <rFont val="Noto Sans CJK SC"/>
        <family val="2"/>
      </rPr>
      <t>重液调节阀</t>
    </r>
    <r>
      <rPr>
        <sz val="10"/>
        <rFont val="微软雅黑"/>
        <family val="2"/>
        <charset val="134"/>
      </rPr>
      <t>JJG_ZY</t>
    </r>
  </si>
  <si>
    <t>R1739</t>
  </si>
  <si>
    <t>:Ctrl_050</t>
  </si>
  <si>
    <t>:Act_050</t>
  </si>
  <si>
    <t>JJG_ZYZL</t>
  </si>
  <si>
    <r>
      <rPr>
        <sz val="10"/>
        <rFont val="Noto Sans CJK SC"/>
        <family val="2"/>
      </rPr>
      <t>连续结晶重液流量作为过程变量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反馈给连续结晶重液流量控制器</t>
    </r>
  </si>
  <si>
    <t>R1740</t>
  </si>
  <si>
    <r>
      <rPr>
        <sz val="10"/>
        <rFont val="Noto Sans CJK SC"/>
        <family val="2"/>
      </rPr>
      <t>重液调节阀</t>
    </r>
    <r>
      <rPr>
        <sz val="10"/>
        <rFont val="微软雅黑"/>
        <family val="2"/>
        <charset val="134"/>
      </rPr>
      <t>JJG_ZY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频率变化直接改变连续结晶重液流量</t>
    </r>
  </si>
  <si>
    <t>R1741</t>
  </si>
  <si>
    <r>
      <rPr>
        <sz val="10"/>
        <rFont val="Noto Sans CJK SC"/>
        <family val="2"/>
      </rPr>
      <t>一级结晶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控制器</t>
    </r>
  </si>
  <si>
    <r>
      <rPr>
        <sz val="10"/>
        <rFont val="Noto Sans CJK SC"/>
        <family val="2"/>
      </rPr>
      <t>氨水调节阀</t>
    </r>
    <r>
      <rPr>
        <sz val="10"/>
        <rFont val="微软雅黑"/>
        <family val="2"/>
        <charset val="134"/>
      </rPr>
      <t>1#JJG_ASA</t>
    </r>
  </si>
  <si>
    <t>R1742</t>
  </si>
  <si>
    <t>:Ctrl_051</t>
  </si>
  <si>
    <t>:Act_051</t>
  </si>
  <si>
    <t>JJG_ASAZL</t>
  </si>
  <si>
    <r>
      <rPr>
        <sz val="10"/>
        <rFont val="Noto Sans CJK SC"/>
        <family val="2"/>
      </rPr>
      <t>一级结晶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反馈给一级结晶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控制器</t>
    </r>
  </si>
  <si>
    <t>R1743</t>
  </si>
  <si>
    <r>
      <rPr>
        <sz val="10"/>
        <rFont val="Noto Sans CJK SC"/>
        <family val="2"/>
      </rPr>
      <t>氨水调节阀</t>
    </r>
    <r>
      <rPr>
        <sz val="10"/>
        <rFont val="微软雅黑"/>
        <family val="2"/>
        <charset val="134"/>
      </rPr>
      <t>1#JJG_ASA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频率变化直接改变一级结晶</t>
    </r>
    <r>
      <rPr>
        <sz val="10"/>
        <rFont val="微软雅黑"/>
        <family val="2"/>
        <charset val="134"/>
      </rPr>
      <t>pH</t>
    </r>
  </si>
  <si>
    <t>R1744</t>
  </si>
  <si>
    <r>
      <rPr>
        <sz val="10"/>
        <rFont val="Noto Sans CJK SC"/>
        <family val="2"/>
      </rPr>
      <t>二级结晶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控制器</t>
    </r>
  </si>
  <si>
    <r>
      <rPr>
        <sz val="10"/>
        <rFont val="Noto Sans CJK SC"/>
        <family val="2"/>
      </rPr>
      <t>氨水调节阀</t>
    </r>
    <r>
      <rPr>
        <sz val="10"/>
        <rFont val="微软雅黑"/>
        <family val="2"/>
        <charset val="134"/>
      </rPr>
      <t>2#JJG_ASB</t>
    </r>
  </si>
  <si>
    <t>R1745</t>
  </si>
  <si>
    <t>:Ctrl_052</t>
  </si>
  <si>
    <t>:Act_052</t>
  </si>
  <si>
    <t>JJG_ASBZL</t>
  </si>
  <si>
    <r>
      <rPr>
        <sz val="10"/>
        <rFont val="Noto Sans CJK SC"/>
        <family val="2"/>
      </rPr>
      <t>二级结晶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反馈给二级结晶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控制器</t>
    </r>
  </si>
  <si>
    <t>R1746</t>
  </si>
  <si>
    <r>
      <rPr>
        <sz val="10"/>
        <rFont val="Noto Sans CJK SC"/>
        <family val="2"/>
      </rPr>
      <t>氨水调节阀</t>
    </r>
    <r>
      <rPr>
        <sz val="10"/>
        <rFont val="微软雅黑"/>
        <family val="2"/>
        <charset val="134"/>
      </rPr>
      <t>2#JJG_ASB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频率变化直接改变二级结晶</t>
    </r>
    <r>
      <rPr>
        <sz val="10"/>
        <rFont val="微软雅黑"/>
        <family val="2"/>
        <charset val="134"/>
      </rPr>
      <t>pH</t>
    </r>
  </si>
  <si>
    <t>R1747</t>
  </si>
  <si>
    <t>连续结晶温度控制器</t>
  </si>
  <si>
    <r>
      <rPr>
        <sz val="10"/>
        <rFont val="Noto Sans CJK SC"/>
        <family val="2"/>
      </rPr>
      <t>热水调节阀</t>
    </r>
    <r>
      <rPr>
        <sz val="10"/>
        <rFont val="微软雅黑"/>
        <family val="2"/>
        <charset val="134"/>
      </rPr>
      <t>1#/2# JJG_RSA/RSB</t>
    </r>
  </si>
  <si>
    <r>
      <rPr>
        <sz val="10"/>
        <rFont val="微软雅黑"/>
        <family val="2"/>
        <charset val="134"/>
      </rPr>
      <t>E101</t>
    </r>
    <r>
      <rPr>
        <sz val="10"/>
        <rFont val="Noto Sans CJK SC"/>
        <family val="2"/>
      </rPr>
      <t>冷水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热水切换控温</t>
    </r>
  </si>
  <si>
    <t>R1748</t>
  </si>
  <si>
    <t>:Ctrl_053</t>
  </si>
  <si>
    <t>:Act_053</t>
  </si>
  <si>
    <r>
      <rPr>
        <sz val="10"/>
        <rFont val="微软雅黑"/>
        <family val="2"/>
        <charset val="134"/>
      </rPr>
      <t>JJG_RSAZL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JJG_RSBZL</t>
    </r>
  </si>
  <si>
    <r>
      <rPr>
        <sz val="10"/>
        <rFont val="Noto Sans CJK SC"/>
        <family val="2"/>
      </rPr>
      <t>一级结晶罐温度作为过程变量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反馈给连续结晶温度控制器</t>
    </r>
  </si>
  <si>
    <t>R1749</t>
  </si>
  <si>
    <r>
      <rPr>
        <sz val="10"/>
        <rFont val="Noto Sans CJK SC"/>
        <family val="2"/>
      </rPr>
      <t>热水调节阀</t>
    </r>
    <r>
      <rPr>
        <sz val="10"/>
        <rFont val="微软雅黑"/>
        <family val="2"/>
        <charset val="134"/>
      </rPr>
      <t>1#/2# JJG_RSA/RSB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频率变化直接改变一级结晶罐温度</t>
    </r>
  </si>
  <si>
    <t>R1750</t>
  </si>
  <si>
    <t>养晶罐冷却控制</t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</si>
  <si>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118/119</t>
    </r>
    <r>
      <rPr>
        <sz val="10"/>
        <rFont val="Noto Sans CJK SC"/>
        <family val="2"/>
      </rPr>
      <t>冰盐水调节阀</t>
    </r>
  </si>
  <si>
    <t>R1751</t>
  </si>
  <si>
    <t>:Ctrl_054</t>
  </si>
  <si>
    <t>:Act_054</t>
  </si>
  <si>
    <r>
      <rPr>
        <sz val="10"/>
        <rFont val="微软雅黑"/>
        <family val="2"/>
        <charset val="134"/>
      </rPr>
      <t>JJG118_BYS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JJG119_BYS</t>
    </r>
  </si>
  <si>
    <r>
      <rPr>
        <sz val="10"/>
        <rFont val="Noto Sans CJK SC"/>
        <family val="2"/>
      </rPr>
      <t>结晶罐温度作为过程变量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反馈给养晶罐冷却控制</t>
    </r>
  </si>
  <si>
    <t>R1752</t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</si>
  <si>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118/119</t>
    </r>
    <r>
      <rPr>
        <sz val="10"/>
        <rFont val="Noto Sans CJK SC"/>
        <family val="2"/>
      </rPr>
      <t>冰盐水调节阀开度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频率变化直接改变结晶罐温度</t>
    </r>
  </si>
  <si>
    <t>R1753</t>
  </si>
  <si>
    <t>R1754</t>
  </si>
  <si>
    <r>
      <rPr>
        <sz val="10"/>
        <rFont val="微软雅黑"/>
        <family val="2"/>
        <charset val="134"/>
      </rPr>
      <t>-15℃</t>
    </r>
    <r>
      <rPr>
        <sz val="10"/>
        <rFont val="Noto Sans CJK SC"/>
        <family val="2"/>
      </rPr>
      <t>冷水</t>
    </r>
  </si>
  <si>
    <t>R1755</t>
  </si>
  <si>
    <r>
      <rPr>
        <sz val="10"/>
        <rFont val="微软雅黑"/>
        <family val="2"/>
        <charset val="134"/>
      </rPr>
      <t>30℃</t>
    </r>
    <r>
      <rPr>
        <sz val="10"/>
        <rFont val="Noto Sans CJK SC"/>
        <family val="2"/>
      </rPr>
      <t>热水</t>
    </r>
  </si>
  <si>
    <t>R1756</t>
  </si>
  <si>
    <t>R1757</t>
  </si>
  <si>
    <r>
      <rPr>
        <sz val="10"/>
        <rFont val="微软雅黑"/>
        <family val="2"/>
        <charset val="134"/>
      </rPr>
      <t>25%</t>
    </r>
    <r>
      <rPr>
        <sz val="10"/>
        <rFont val="Noto Sans CJK SC"/>
        <family val="2"/>
      </rPr>
      <t>氨水</t>
    </r>
  </si>
  <si>
    <t>R1758</t>
  </si>
  <si>
    <t>P101</t>
  </si>
  <si>
    <t>R1759</t>
  </si>
  <si>
    <t>R1760</t>
  </si>
  <si>
    <t>R1761</t>
  </si>
  <si>
    <t>P102</t>
  </si>
  <si>
    <t>养晶过程</t>
  </si>
  <si>
    <t>R1762</t>
  </si>
  <si>
    <t>去离心机</t>
  </si>
  <si>
    <t>R1763</t>
  </si>
  <si>
    <r>
      <rPr>
        <sz val="10"/>
        <rFont val="微软雅黑"/>
        <family val="2"/>
        <charset val="134"/>
      </rPr>
      <t>E101</t>
    </r>
    <r>
      <rPr>
        <sz val="10"/>
        <rFont val="Noto Sans CJK SC"/>
        <family val="2"/>
      </rPr>
      <t>出口温度决定进晶温度</t>
    </r>
  </si>
  <si>
    <t>R1764</t>
  </si>
  <si>
    <r>
      <rPr>
        <sz val="10"/>
        <rFont val="微软雅黑"/>
        <family val="2"/>
        <charset val="134"/>
      </rPr>
      <t>TE_CLWD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TE_BGWD</t>
    </r>
  </si>
  <si>
    <t>R1765</t>
  </si>
  <si>
    <r>
      <rPr>
        <sz val="10"/>
        <rFont val="微软雅黑"/>
        <family val="2"/>
        <charset val="134"/>
      </rPr>
      <t>FT_ASLL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JJG_BPHJ</t>
    </r>
  </si>
  <si>
    <r>
      <rPr>
        <sz val="10"/>
        <rFont val="Noto Sans CJK SC"/>
        <family val="2"/>
      </rPr>
      <t>一级控制预成核</t>
    </r>
    <r>
      <rPr>
        <sz val="10"/>
        <rFont val="微软雅黑"/>
        <family val="2"/>
        <charset val="134"/>
      </rPr>
      <t>pH</t>
    </r>
  </si>
  <si>
    <t>R1766</t>
  </si>
  <si>
    <t>二级接近等电点完成析晶</t>
  </si>
  <si>
    <t>R1767</t>
  </si>
  <si>
    <t>R1768</t>
  </si>
  <si>
    <t>停留时间长晶体长大</t>
  </si>
  <si>
    <t>R1769</t>
  </si>
  <si>
    <t>R1770</t>
  </si>
  <si>
    <r>
      <rPr>
        <sz val="10"/>
        <rFont val="Noto Sans CJK SC"/>
        <family val="2"/>
      </rPr>
      <t>结晶辅料储运（氨水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盐酸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软水）</t>
    </r>
  </si>
  <si>
    <r>
      <rPr>
        <sz val="10"/>
        <rFont val="Noto Sans CJK SC"/>
        <family val="2"/>
      </rPr>
      <t>衔接物料：盐酸。盐酸缓冲罐→萃取喷射器（</t>
    </r>
    <r>
      <rPr>
        <sz val="10"/>
        <rFont val="微软雅黑"/>
        <family val="2"/>
        <charset val="134"/>
      </rPr>
      <t>1–6</t>
    </r>
    <r>
      <rPr>
        <sz val="10"/>
        <rFont val="Noto Sans CJK SC"/>
        <family val="2"/>
      </rPr>
      <t>号投入）</t>
    </r>
  </si>
  <si>
    <t>S15</t>
  </si>
  <si>
    <t>R1771</t>
  </si>
  <si>
    <t>:Area_S15_CrystAuxStorage</t>
  </si>
  <si>
    <r>
      <rPr>
        <sz val="10"/>
        <rFont val="Noto Sans CJK SC"/>
        <family val="2"/>
      </rPr>
      <t>衔接物料：结晶氨水。氨水去结晶泵→结晶罐氨水进口（</t>
    </r>
    <r>
      <rPr>
        <sz val="10"/>
        <rFont val="微软雅黑"/>
        <family val="2"/>
        <charset val="134"/>
      </rPr>
      <t>FT_1006/FT_1404</t>
    </r>
    <r>
      <rPr>
        <sz val="10"/>
        <rFont val="Noto Sans CJK SC"/>
        <family val="2"/>
      </rPr>
      <t>）</t>
    </r>
  </si>
  <si>
    <t>R1772</t>
  </si>
  <si>
    <r>
      <rPr>
        <sz val="10"/>
        <rFont val="Noto Sans CJK SC"/>
        <family val="2"/>
      </rPr>
      <t>衔接物料：</t>
    </r>
    <r>
      <rPr>
        <sz val="10"/>
        <rFont val="微软雅黑"/>
        <family val="2"/>
        <charset val="134"/>
      </rPr>
      <t>25%</t>
    </r>
    <r>
      <rPr>
        <sz val="10"/>
        <rFont val="Noto Sans CJK SC"/>
        <family val="2"/>
      </rPr>
      <t>氨水。</t>
    </r>
    <r>
      <rPr>
        <sz val="10"/>
        <rFont val="微软雅黑"/>
        <family val="2"/>
        <charset val="134"/>
      </rPr>
      <t>25%</t>
    </r>
    <r>
      <rPr>
        <sz val="10"/>
        <rFont val="Noto Sans CJK SC"/>
        <family val="2"/>
      </rPr>
      <t>氨水总管→</t>
    </r>
    <r>
      <rPr>
        <sz val="10"/>
        <rFont val="微软雅黑"/>
        <family val="2"/>
        <charset val="134"/>
      </rPr>
      <t>C101/C102</t>
    </r>
  </si>
  <si>
    <t>R1773</t>
  </si>
  <si>
    <t>室外氨水储罐</t>
  </si>
  <si>
    <r>
      <rPr>
        <sz val="10"/>
        <rFont val="Noto Sans CJK SC"/>
        <family val="2"/>
      </rPr>
      <t>结晶辅料储运（氨水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盐酸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软水）包含储罐“室外氨水储罐”</t>
    </r>
  </si>
  <si>
    <t>R1774</t>
  </si>
  <si>
    <t>:OutdoorAmmoniaTank</t>
  </si>
  <si>
    <r>
      <rPr>
        <sz val="10"/>
        <rFont val="Noto Sans CJK SC"/>
        <family val="2"/>
      </rPr>
      <t>室外氨水储罐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  <r>
      <rPr>
        <sz val="10"/>
        <rFont val="微软雅黑"/>
        <family val="2"/>
        <charset val="134"/>
      </rPr>
      <t>LT_AS01</t>
    </r>
  </si>
  <si>
    <r>
      <rPr>
        <sz val="10"/>
        <rFont val="Noto Sans CJK SC"/>
        <family val="2"/>
      </rPr>
      <t>室外氨水储罐配置液位计</t>
    </r>
    <r>
      <rPr>
        <sz val="10"/>
        <rFont val="微软雅黑"/>
        <family val="2"/>
        <charset val="134"/>
      </rPr>
      <t>LT_AS01</t>
    </r>
  </si>
  <si>
    <t>R1775</t>
  </si>
  <si>
    <t>:OutdoorAmmoniaTank_P01</t>
  </si>
  <si>
    <t>氨水输送泵组</t>
  </si>
  <si>
    <r>
      <rPr>
        <sz val="10"/>
        <rFont val="Noto Sans CJK SC"/>
        <family val="2"/>
      </rPr>
      <t>结晶辅料储运（氨水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盐酸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软水）包含泵“氨水输送泵组”</t>
    </r>
  </si>
  <si>
    <t>R1776</t>
  </si>
  <si>
    <t>:AmmoniaTransferPumps</t>
  </si>
  <si>
    <r>
      <rPr>
        <sz val="10"/>
        <rFont val="Noto Sans CJK SC"/>
        <family val="2"/>
      </rPr>
      <t>氨水去结晶泵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</si>
  <si>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氨水输送泵组的并联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</si>
  <si>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R1777</t>
  </si>
  <si>
    <t>:AmmoniaTransferPumps_M01</t>
  </si>
  <si>
    <r>
      <rPr>
        <sz val="10"/>
        <rFont val="Noto Sans CJK SC"/>
        <family val="2"/>
      </rPr>
      <t>氨水去结晶泵</t>
    </r>
    <r>
      <rPr>
        <sz val="10"/>
        <rFont val="微软雅黑"/>
        <family val="2"/>
        <charset val="134"/>
      </rPr>
      <t>D</t>
    </r>
  </si>
  <si>
    <t>R1778</t>
  </si>
  <si>
    <t>:AmmoniaTransferPumps_M02</t>
  </si>
  <si>
    <r>
      <rPr>
        <sz val="10"/>
        <rFont val="Noto Sans CJK SC"/>
        <family val="2"/>
      </rPr>
      <t>氨水去水解泵</t>
    </r>
    <r>
      <rPr>
        <sz val="10"/>
        <rFont val="微软雅黑"/>
        <family val="2"/>
        <charset val="134"/>
      </rPr>
      <t>A</t>
    </r>
  </si>
  <si>
    <t>R1779</t>
  </si>
  <si>
    <t>:AmmoniaTransferPumps_M03</t>
  </si>
  <si>
    <r>
      <rPr>
        <sz val="10"/>
        <rFont val="Noto Sans CJK SC"/>
        <family val="2"/>
      </rPr>
      <t>氨水去水解泵</t>
    </r>
    <r>
      <rPr>
        <sz val="10"/>
        <rFont val="微软雅黑"/>
        <family val="2"/>
        <charset val="134"/>
      </rPr>
      <t>C</t>
    </r>
  </si>
  <si>
    <t>R1780</t>
  </si>
  <si>
    <t>:AmmoniaTransferPumps_M04</t>
  </si>
  <si>
    <t>室外盐酸储罐组</t>
  </si>
  <si>
    <r>
      <rPr>
        <sz val="10"/>
        <rFont val="Noto Sans CJK SC"/>
        <family val="2"/>
      </rPr>
      <t>结晶辅料储运（氨水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盐酸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软水）包含储罐“室外盐酸储罐组”</t>
    </r>
  </si>
  <si>
    <t>R1781</t>
  </si>
  <si>
    <t>:OutdoorHClTanks</t>
  </si>
  <si>
    <r>
      <rPr>
        <sz val="10"/>
        <rFont val="Noto Sans CJK SC"/>
        <family val="2"/>
      </rPr>
      <t>室外盐酸罐</t>
    </r>
    <r>
      <rPr>
        <sz val="10"/>
        <rFont val="微软雅黑"/>
        <family val="2"/>
        <charset val="134"/>
      </rPr>
      <t>01(A)</t>
    </r>
  </si>
  <si>
    <r>
      <rPr>
        <sz val="10"/>
        <rFont val="Noto Sans CJK SC"/>
        <family val="2"/>
      </rPr>
      <t>室外盐酸储罐组的并联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</si>
  <si>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R1782</t>
  </si>
  <si>
    <t>:OutdoorHClTanks_M01</t>
  </si>
  <si>
    <r>
      <rPr>
        <sz val="10"/>
        <rFont val="Noto Sans CJK SC"/>
        <family val="2"/>
      </rPr>
      <t>室外盐酸罐</t>
    </r>
    <r>
      <rPr>
        <sz val="10"/>
        <rFont val="微软雅黑"/>
        <family val="2"/>
        <charset val="134"/>
      </rPr>
      <t>02(B)</t>
    </r>
  </si>
  <si>
    <t>R1783</t>
  </si>
  <si>
    <t>:OutdoorHClTanks_M02</t>
  </si>
  <si>
    <r>
      <rPr>
        <sz val="10"/>
        <rFont val="Noto Sans CJK SC"/>
        <family val="2"/>
      </rPr>
      <t>室外盐酸罐</t>
    </r>
    <r>
      <rPr>
        <sz val="10"/>
        <rFont val="微软雅黑"/>
        <family val="2"/>
        <charset val="134"/>
      </rPr>
      <t>03(C)</t>
    </r>
  </si>
  <si>
    <t>R1784</t>
  </si>
  <si>
    <t>:OutdoorHClTanks_M03</t>
  </si>
  <si>
    <r>
      <rPr>
        <sz val="10"/>
        <rFont val="Noto Sans CJK SC"/>
        <family val="2"/>
      </rPr>
      <t>室外盐酸罐</t>
    </r>
    <r>
      <rPr>
        <sz val="10"/>
        <rFont val="微软雅黑"/>
        <family val="2"/>
        <charset val="134"/>
      </rPr>
      <t>04(D)</t>
    </r>
  </si>
  <si>
    <t>R1785</t>
  </si>
  <si>
    <t>:OutdoorHClTanks_M04</t>
  </si>
  <si>
    <r>
      <rPr>
        <sz val="10"/>
        <rFont val="Noto Sans CJK SC"/>
        <family val="2"/>
      </rPr>
      <t>室外盐酸储罐组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</si>
  <si>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t>室外盐酸储罐组配置液位计</t>
  </si>
  <si>
    <t>R1786</t>
  </si>
  <si>
    <t>:OutdoorHClTanks_P01</t>
  </si>
  <si>
    <r>
      <rPr>
        <sz val="10"/>
        <rFont val="Noto Sans CJK SC"/>
        <family val="2"/>
      </rPr>
      <t>室外盐酸储罐组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低液位报警</t>
    </r>
  </si>
  <si>
    <t>室外盐酸储罐组配置低液位报警</t>
  </si>
  <si>
    <t>R1787</t>
  </si>
  <si>
    <t>:OutdoorHClTanks_P02</t>
  </si>
  <si>
    <r>
      <rPr>
        <sz val="10"/>
        <rFont val="Noto Sans CJK SC"/>
        <family val="2"/>
      </rPr>
      <t>盐酸吸收塔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吸收罐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室外中和罐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</si>
  <si>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结晶辅料储运（氨水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盐酸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软水）包含吸收塔“盐酸吸收塔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吸收罐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室外中和罐</t>
    </r>
    <r>
      <rPr>
        <sz val="10"/>
        <rFont val="微软雅黑"/>
        <family val="2"/>
        <charset val="134"/>
      </rPr>
      <t>)”</t>
    </r>
  </si>
  <si>
    <t>R1788</t>
  </si>
  <si>
    <t>:HClAbsorber</t>
  </si>
  <si>
    <r>
      <rPr>
        <sz val="10"/>
        <rFont val="Noto Sans CJK SC"/>
        <family val="2"/>
      </rPr>
      <t>盐酸吸收塔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吸收罐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室外中和罐</t>
    </r>
    <r>
      <rPr>
        <sz val="10"/>
        <rFont val="微软雅黑"/>
        <family val="2"/>
        <charset val="134"/>
      </rPr>
      <t>)·pH</t>
    </r>
    <r>
      <rPr>
        <sz val="10"/>
        <rFont val="Noto Sans CJK SC"/>
        <family val="2"/>
      </rPr>
      <t>计</t>
    </r>
    <r>
      <rPr>
        <sz val="10"/>
        <rFont val="微软雅黑"/>
        <family val="2"/>
        <charset val="134"/>
      </rPr>
      <t>AT_1501</t>
    </r>
  </si>
  <si>
    <r>
      <rPr>
        <sz val="10"/>
        <rFont val="Noto Sans CJK SC"/>
        <family val="2"/>
      </rPr>
      <t>盐酸吸收塔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吸收罐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室外中和罐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</t>
    </r>
    <r>
      <rPr>
        <sz val="10"/>
        <rFont val="微软雅黑"/>
        <family val="2"/>
        <charset val="134"/>
      </rPr>
      <t>AT_1501</t>
    </r>
  </si>
  <si>
    <t>R1789</t>
  </si>
  <si>
    <t>:HClAbsorber_P01</t>
  </si>
  <si>
    <r>
      <rPr>
        <sz val="10"/>
        <rFont val="Noto Sans CJK SC"/>
        <family val="2"/>
      </rPr>
      <t>盐酸吸收塔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吸收罐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室外中和罐</t>
    </r>
    <r>
      <rPr>
        <sz val="10"/>
        <rFont val="微软雅黑"/>
        <family val="2"/>
        <charset val="134"/>
      </rPr>
      <t>)·</t>
    </r>
    <r>
      <rPr>
        <sz val="10"/>
        <rFont val="Noto Sans CJK SC"/>
        <family val="2"/>
      </rPr>
      <t>进水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进碱阀</t>
    </r>
  </si>
  <si>
    <r>
      <rPr>
        <sz val="10"/>
        <rFont val="Noto Sans CJK SC"/>
        <family val="2"/>
      </rPr>
      <t>盐酸吸收塔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吸收罐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室外中和罐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配置进水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进碱阀</t>
    </r>
  </si>
  <si>
    <t>R1790</t>
  </si>
  <si>
    <t>:HClAbsorber_P02</t>
  </si>
  <si>
    <t>结晶软水罐</t>
  </si>
  <si>
    <r>
      <rPr>
        <sz val="10"/>
        <rFont val="Noto Sans CJK SC"/>
        <family val="2"/>
      </rPr>
      <t>结晶辅料储运（氨水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盐酸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软水）包含储罐“结晶软水罐”</t>
    </r>
  </si>
  <si>
    <t>R1791</t>
  </si>
  <si>
    <t>:CrystSoftWaterTank</t>
  </si>
  <si>
    <r>
      <rPr>
        <sz val="10"/>
        <rFont val="Noto Sans CJK SC"/>
        <family val="2"/>
      </rPr>
      <t>结晶软水罐</t>
    </r>
    <r>
      <rPr>
        <sz val="10"/>
        <rFont val="微软雅黑"/>
        <family val="2"/>
        <charset val="134"/>
      </rPr>
      <t>·pH</t>
    </r>
    <r>
      <rPr>
        <sz val="10"/>
        <rFont val="Noto Sans CJK SC"/>
        <family val="2"/>
      </rPr>
      <t>计</t>
    </r>
  </si>
  <si>
    <r>
      <rPr>
        <sz val="10"/>
        <rFont val="Noto Sans CJK SC"/>
        <family val="2"/>
      </rPr>
      <t>结晶软水罐配置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</t>
    </r>
  </si>
  <si>
    <t>R1792</t>
  </si>
  <si>
    <t>:CrystSoftWaterTank_P01</t>
  </si>
  <si>
    <r>
      <rPr>
        <sz val="10"/>
        <rFont val="Noto Sans CJK SC"/>
        <family val="2"/>
      </rPr>
      <t>结晶软水罐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温度计</t>
    </r>
  </si>
  <si>
    <t>结晶软水罐配置温度计</t>
  </si>
  <si>
    <t>R1793</t>
  </si>
  <si>
    <t>:CrystSoftWaterTank_P02</t>
  </si>
  <si>
    <t>室外氨水罐液位</t>
  </si>
  <si>
    <t>室外氨水储罐的室外氨水罐液位</t>
  </si>
  <si>
    <t>R1794</t>
  </si>
  <si>
    <t>:Attr_183</t>
  </si>
  <si>
    <t>LT_AS01</t>
  </si>
  <si>
    <t>氨水去结晶泵压力</t>
  </si>
  <si>
    <r>
      <rPr>
        <sz val="10"/>
        <rFont val="Noto Sans CJK SC"/>
        <family val="2"/>
      </rPr>
      <t>调节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氨水输送泵</t>
    </r>
  </si>
  <si>
    <t>R1795</t>
  </si>
  <si>
    <t>:Attr_184</t>
  </si>
  <si>
    <t>PT_1024</t>
  </si>
  <si>
    <t>氨水去水解泵压力</t>
  </si>
  <si>
    <t>进料氨水输送泵</t>
  </si>
  <si>
    <t>R1796</t>
  </si>
  <si>
    <t>:Attr_185</t>
  </si>
  <si>
    <t>PT_1025</t>
  </si>
  <si>
    <t>盐酸储罐液位</t>
  </si>
  <si>
    <t>低液位报警</t>
  </si>
  <si>
    <t>R1797</t>
  </si>
  <si>
    <t>:Attr_186</t>
  </si>
  <si>
    <r>
      <rPr>
        <sz val="10"/>
        <rFont val="微软雅黑"/>
        <family val="2"/>
        <charset val="134"/>
      </rPr>
      <t>LT_HCL_SW01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LT_HCL_SW02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LT_HCL_SW03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LT_HCL_SW04</t>
    </r>
  </si>
  <si>
    <t>盐酸输送泵压力</t>
  </si>
  <si>
    <t>室外盐酸储罐组的盐酸输送泵压力</t>
  </si>
  <si>
    <t>R1798</t>
  </si>
  <si>
    <t>:Attr_187</t>
  </si>
  <si>
    <t>PT_1501</t>
  </si>
  <si>
    <r>
      <rPr>
        <sz val="10"/>
        <rFont val="Noto Sans CJK SC"/>
        <family val="2"/>
      </rPr>
      <t>吸收塔出料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</si>
  <si>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盐酸吸收塔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吸收罐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室外中和罐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的吸收塔出料</t>
    </r>
    <r>
      <rPr>
        <sz val="10"/>
        <rFont val="微软雅黑"/>
        <family val="2"/>
        <charset val="134"/>
      </rPr>
      <t>pH</t>
    </r>
  </si>
  <si>
    <t>R1799</t>
  </si>
  <si>
    <t>:Attr_188</t>
  </si>
  <si>
    <t>AT_1501</t>
  </si>
  <si>
    <t>吸收罐液位</t>
  </si>
  <si>
    <r>
      <rPr>
        <sz val="10"/>
        <rFont val="Noto Sans CJK SC"/>
        <family val="2"/>
      </rPr>
      <t>盐酸吸收塔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吸收罐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室外中和罐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的吸收罐液位</t>
    </r>
  </si>
  <si>
    <t>R1800</t>
  </si>
  <si>
    <t>:Attr_189</t>
  </si>
  <si>
    <t>LT_1501</t>
  </si>
  <si>
    <t>结晶软水罐液位</t>
  </si>
  <si>
    <t>结晶软水罐的结晶软水罐液位</t>
  </si>
  <si>
    <t>R1801</t>
  </si>
  <si>
    <t>:Attr_190</t>
  </si>
  <si>
    <t>LT_RS01</t>
  </si>
  <si>
    <t>结晶软水泵压力</t>
  </si>
  <si>
    <t>结晶软水罐的结晶软水泵压力</t>
  </si>
  <si>
    <t>R1802</t>
  </si>
  <si>
    <t>:Attr_191</t>
  </si>
  <si>
    <t>PT_2008</t>
  </si>
  <si>
    <r>
      <rPr>
        <sz val="10"/>
        <rFont val="Noto Sans CJK SC"/>
        <family val="2"/>
      </rPr>
      <t>盐酸的盐酸进料流量（流股属性，测点位于管线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</si>
  <si>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R1803</t>
  </si>
  <si>
    <r>
      <rPr>
        <sz val="10"/>
        <rFont val="Noto Sans CJK SC"/>
        <family val="2"/>
      </rPr>
      <t>结晶氨水的结晶氨水进料流量（流股属性，测点位于管线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承载设备）</t>
    </r>
  </si>
  <si>
    <t>R1804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</si>
  <si>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原点描述：氨水液位</t>
    </r>
  </si>
  <si>
    <t>R1805</t>
  </si>
  <si>
    <t>:LT_AS01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</si>
  <si>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原点描述：调节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氨水输送泵压力</t>
    </r>
  </si>
  <si>
    <t>R1806</t>
  </si>
  <si>
    <t>:PT_1024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</si>
  <si>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原点描述：进料氨水输送泵压力</t>
    </r>
  </si>
  <si>
    <t>R1807</t>
  </si>
  <si>
    <t>:PT_1025</t>
  </si>
  <si>
    <t>LT_HCL_SW01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</si>
  <si>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原点描述：室外盐酸罐</t>
    </r>
    <r>
      <rPr>
        <sz val="10"/>
        <rFont val="微软雅黑"/>
        <family val="2"/>
        <charset val="134"/>
      </rPr>
      <t>01</t>
    </r>
    <r>
      <rPr>
        <sz val="10"/>
        <rFont val="Noto Sans CJK SC"/>
        <family val="2"/>
      </rPr>
      <t>液位检测</t>
    </r>
  </si>
  <si>
    <t>R1808</t>
  </si>
  <si>
    <t>:LT_HCL_SW01</t>
  </si>
  <si>
    <t>LT_HCL_SW02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</si>
  <si>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原点描述：室外盐酸罐</t>
    </r>
    <r>
      <rPr>
        <sz val="10"/>
        <rFont val="微软雅黑"/>
        <family val="2"/>
        <charset val="134"/>
      </rPr>
      <t>02</t>
    </r>
    <r>
      <rPr>
        <sz val="10"/>
        <rFont val="Noto Sans CJK SC"/>
        <family val="2"/>
      </rPr>
      <t>液位检测</t>
    </r>
  </si>
  <si>
    <t>R1809</t>
  </si>
  <si>
    <t>:LT_HCL_SW02</t>
  </si>
  <si>
    <t>LT_HCL_SW03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</si>
  <si>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原点描述：室外盐酸罐</t>
    </r>
    <r>
      <rPr>
        <sz val="10"/>
        <rFont val="微软雅黑"/>
        <family val="2"/>
        <charset val="134"/>
      </rPr>
      <t>03</t>
    </r>
    <r>
      <rPr>
        <sz val="10"/>
        <rFont val="Noto Sans CJK SC"/>
        <family val="2"/>
      </rPr>
      <t>液位检测</t>
    </r>
  </si>
  <si>
    <t>R1810</t>
  </si>
  <si>
    <t>:LT_HCL_SW03</t>
  </si>
  <si>
    <t>LT_HCL_SW04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</si>
  <si>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原点描述：室外盐酸罐</t>
    </r>
    <r>
      <rPr>
        <sz val="10"/>
        <rFont val="微软雅黑"/>
        <family val="2"/>
        <charset val="134"/>
      </rPr>
      <t>04</t>
    </r>
    <r>
      <rPr>
        <sz val="10"/>
        <rFont val="Noto Sans CJK SC"/>
        <family val="2"/>
      </rPr>
      <t>液位检测</t>
    </r>
  </si>
  <si>
    <t>R1811</t>
  </si>
  <si>
    <t>:LT_HCL_SW04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</si>
  <si>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原点描述：盐酸储罐输送泵后压力</t>
    </r>
  </si>
  <si>
    <t>R1812</t>
  </si>
  <si>
    <t>:PT_1501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</si>
  <si>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原点描述：盐酸吸收塔出料管道</t>
    </r>
    <r>
      <rPr>
        <sz val="10"/>
        <rFont val="微软雅黑"/>
        <family val="2"/>
        <charset val="134"/>
      </rPr>
      <t>PH</t>
    </r>
  </si>
  <si>
    <t>R1813</t>
  </si>
  <si>
    <t>:AT_1501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</si>
  <si>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原点描述：盐酸吸收罐液位检测</t>
    </r>
  </si>
  <si>
    <t>R1814</t>
  </si>
  <si>
    <t>:LT_1501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</si>
  <si>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原点描述：软水液位</t>
    </r>
  </si>
  <si>
    <t>R1815</t>
  </si>
  <si>
    <t>:LT_RS01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</si>
  <si>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原点描述：结晶软水罐输送泵后压力</t>
    </r>
  </si>
  <si>
    <t>R1816</t>
  </si>
  <si>
    <t>:PT_2008</t>
  </si>
  <si>
    <t>盐酸储罐低液位报警</t>
  </si>
  <si>
    <r>
      <rPr>
        <sz val="10"/>
        <rFont val="Noto Sans CJK SC"/>
        <family val="2"/>
      </rPr>
      <t>越限触发“盐酸储罐低液位报警”：萃取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结晶断酸风险</t>
    </r>
  </si>
  <si>
    <t>R1817</t>
  </si>
  <si>
    <t>:Alarm_14</t>
  </si>
  <si>
    <t>R1818</t>
  </si>
  <si>
    <r>
      <rPr>
        <sz val="10"/>
        <rFont val="Noto Sans CJK SC"/>
        <family val="2"/>
      </rPr>
      <t>氨水去结晶</t>
    </r>
    <r>
      <rPr>
        <sz val="10"/>
        <rFont val="微软雅黑"/>
        <family val="2"/>
        <charset val="134"/>
      </rPr>
      <t>(PT_1024)</t>
    </r>
  </si>
  <si>
    <t>R1819</t>
  </si>
  <si>
    <r>
      <rPr>
        <sz val="10"/>
        <rFont val="Noto Sans CJK SC"/>
        <family val="2"/>
      </rPr>
      <t>氨水去水解</t>
    </r>
    <r>
      <rPr>
        <sz val="10"/>
        <rFont val="微软雅黑"/>
        <family val="2"/>
        <charset val="134"/>
      </rPr>
      <t>(PT_1025)</t>
    </r>
  </si>
  <si>
    <t>R1820</t>
  </si>
  <si>
    <t>R1821</t>
  </si>
  <si>
    <t>R1822</t>
  </si>
  <si>
    <r>
      <rPr>
        <sz val="10"/>
        <rFont val="Noto Sans CJK SC"/>
        <family val="2"/>
      </rPr>
      <t>储罐呼吸气</t>
    </r>
    <r>
      <rPr>
        <sz val="10"/>
        <rFont val="微软雅黑"/>
        <family val="2"/>
        <charset val="134"/>
      </rPr>
      <t>HCl</t>
    </r>
    <r>
      <rPr>
        <sz val="10"/>
        <rFont val="Noto Sans CJK SC"/>
        <family val="2"/>
      </rPr>
      <t>吸收</t>
    </r>
  </si>
  <si>
    <t>环保过程</t>
  </si>
  <si>
    <t>R1823</t>
  </si>
  <si>
    <r>
      <rPr>
        <sz val="10"/>
        <rFont val="Noto Sans CJK SC"/>
        <family val="2"/>
      </rPr>
      <t>结晶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离心软水</t>
    </r>
  </si>
  <si>
    <t>R1824</t>
  </si>
  <si>
    <t>低液位断料</t>
  </si>
  <si>
    <t>R1825</t>
  </si>
  <si>
    <r>
      <rPr>
        <sz val="10"/>
        <rFont val="微软雅黑"/>
        <family val="2"/>
        <charset val="134"/>
      </rPr>
      <t>LT_AS01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FT_1006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FT_1404</t>
    </r>
  </si>
  <si>
    <t>低液位断酸</t>
  </si>
  <si>
    <t>R1826</t>
  </si>
  <si>
    <r>
      <rPr>
        <sz val="10"/>
        <rFont val="微软雅黑"/>
        <family val="2"/>
        <charset val="134"/>
      </rPr>
      <t>LT_HCL_SW01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LT_HCL_SW02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LT_HCL_SW03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LT_HCL_SW04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FT_1305</t>
    </r>
  </si>
  <si>
    <r>
      <rPr>
        <sz val="10"/>
        <rFont val="Noto Sans CJK SC"/>
        <family val="2"/>
      </rPr>
      <t>衔接物料：干燥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真空尾气。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罐尾气进出口阀→尾气压缩机→喷淋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碱洗</t>
    </r>
  </si>
  <si>
    <t>S16</t>
  </si>
  <si>
    <t>R1827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</si>
  <si>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干燥系统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双锥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二合一</t>
    </r>
    <r>
      <rPr>
        <sz val="10"/>
        <rFont val="微软雅黑"/>
        <family val="2"/>
        <charset val="134"/>
      </rPr>
      <t>)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</si>
  <si>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干燥包含真空干燥器“</t>
    </r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干燥系统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双锥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二合一</t>
    </r>
    <r>
      <rPr>
        <sz val="10"/>
        <rFont val="微软雅黑"/>
        <family val="2"/>
        <charset val="134"/>
      </rPr>
      <t>)”</t>
    </r>
  </si>
  <si>
    <t>R1828</t>
  </si>
  <si>
    <t>:DryerGroup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</si>
  <si>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干燥（画面未提供）</t>
    </r>
  </si>
  <si>
    <r>
      <rPr>
        <sz val="10"/>
        <rFont val="Noto Sans CJK SC"/>
        <family val="2"/>
      </rPr>
      <t>双锥干燥罐</t>
    </r>
    <r>
      <rPr>
        <sz val="10"/>
        <rFont val="微软雅黑"/>
        <family val="2"/>
        <charset val="134"/>
      </rPr>
      <t>A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</si>
  <si>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干燥系统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双锥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二合一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</si>
  <si>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R1829</t>
  </si>
  <si>
    <t>:DryerGroup_M01</t>
  </si>
  <si>
    <r>
      <rPr>
        <sz val="10"/>
        <rFont val="Noto Sans CJK SC"/>
        <family val="2"/>
      </rPr>
      <t>双锥干燥罐</t>
    </r>
    <r>
      <rPr>
        <sz val="10"/>
        <rFont val="微软雅黑"/>
        <family val="2"/>
        <charset val="134"/>
      </rPr>
      <t>B</t>
    </r>
  </si>
  <si>
    <t>R1830</t>
  </si>
  <si>
    <t>:DryerGroup_M02</t>
  </si>
  <si>
    <t>二合一过滤干燥机</t>
  </si>
  <si>
    <t>R1831</t>
  </si>
  <si>
    <t>:DryerGroup_M03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</si>
  <si>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干燥系统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双锥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二合一</t>
    </r>
    <r>
      <rPr>
        <sz val="10"/>
        <rFont val="微软雅黑"/>
        <family val="2"/>
        <charset val="134"/>
      </rPr>
      <t>)·</t>
    </r>
    <r>
      <rPr>
        <sz val="10"/>
        <rFont val="Noto Sans CJK SC"/>
        <family val="2"/>
      </rPr>
      <t>蒸汽进出口阀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</si>
  <si>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干燥系统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双锥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二合一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配置蒸汽进出口阀</t>
    </r>
  </si>
  <si>
    <t>R1832</t>
  </si>
  <si>
    <t>:DryerGroup_P01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</si>
  <si>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干燥系统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双锥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二合一</t>
    </r>
    <r>
      <rPr>
        <sz val="10"/>
        <rFont val="微软雅黑"/>
        <family val="2"/>
        <charset val="134"/>
      </rPr>
      <t>)·</t>
    </r>
    <r>
      <rPr>
        <sz val="10"/>
        <rFont val="Noto Sans CJK SC"/>
        <family val="2"/>
      </rPr>
      <t>干燥进出口阀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</si>
  <si>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干燥系统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双锥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二合一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配置干燥进出口阀</t>
    </r>
  </si>
  <si>
    <t>R1833</t>
  </si>
  <si>
    <t>:DryerGroup_P02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</si>
  <si>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干燥系统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双锥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二合一</t>
    </r>
    <r>
      <rPr>
        <sz val="10"/>
        <rFont val="微软雅黑"/>
        <family val="2"/>
        <charset val="134"/>
      </rPr>
      <t>)·</t>
    </r>
    <r>
      <rPr>
        <sz val="10"/>
        <rFont val="Noto Sans CJK SC"/>
        <family val="2"/>
      </rPr>
      <t>尾气进出口阀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</si>
  <si>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干燥系统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双锥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二合一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配置尾气进出口阀</t>
    </r>
  </si>
  <si>
    <t>R1834</t>
  </si>
  <si>
    <t>:DryerGroup_P03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</si>
  <si>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干燥系统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双锥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二合一</t>
    </r>
    <r>
      <rPr>
        <sz val="10"/>
        <rFont val="微软雅黑"/>
        <family val="2"/>
        <charset val="134"/>
      </rPr>
      <t>)·</t>
    </r>
    <r>
      <rPr>
        <sz val="10"/>
        <rFont val="Noto Sans CJK SC"/>
        <family val="2"/>
      </rPr>
      <t>干燥风机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</si>
  <si>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干燥系统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双锥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二合一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配置干燥风机</t>
    </r>
  </si>
  <si>
    <t>R1835</t>
  </si>
  <si>
    <t>:DryerGroup_P04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</si>
  <si>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干燥系统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双锥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二合一</t>
    </r>
    <r>
      <rPr>
        <sz val="10"/>
        <rFont val="微软雅黑"/>
        <family val="2"/>
        <charset val="134"/>
      </rPr>
      <t>)·</t>
    </r>
    <r>
      <rPr>
        <sz val="10"/>
        <rFont val="Noto Sans CJK SC"/>
        <family val="2"/>
      </rPr>
      <t>吹冷风机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</si>
  <si>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干燥系统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双锥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二合一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配置吹冷风机</t>
    </r>
  </si>
  <si>
    <t>R1836</t>
  </si>
  <si>
    <t>:DryerGroup_P05</t>
  </si>
  <si>
    <t>双锥干燥温度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</si>
  <si>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干燥系统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双锥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二合一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的双锥干燥温度</t>
    </r>
  </si>
  <si>
    <t>R1837</t>
  </si>
  <si>
    <t>:Attr_192</t>
  </si>
  <si>
    <t>TI_1404</t>
  </si>
  <si>
    <t>二合一蒸汽流量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</si>
  <si>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干燥系统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双锥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二合一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的二合一蒸汽流量</t>
    </r>
  </si>
  <si>
    <t>R1838</t>
  </si>
  <si>
    <t>:Attr_193</t>
  </si>
  <si>
    <t>FT_1401</t>
  </si>
  <si>
    <t>干燥循环水温度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</si>
  <si>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干燥系统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双锥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二合一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的干燥循环水温度</t>
    </r>
  </si>
  <si>
    <t>R1839</t>
  </si>
  <si>
    <t>:Attr_194</t>
  </si>
  <si>
    <t>TI_1405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</si>
  <si>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干燥系统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双锥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二合一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成品水分（机理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</si>
  <si>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R1840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</si>
  <si>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干燥系统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双锥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二合一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成品含量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色级（机理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</si>
  <si>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R1841</t>
  </si>
  <si>
    <t>干燥降解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</si>
  <si>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干燥系统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双锥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二合一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的干燥降解（机理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</si>
  <si>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R1842</t>
  </si>
  <si>
    <t>:QKPI_297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</si>
  <si>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原点描述：双锥温度</t>
    </r>
  </si>
  <si>
    <t>R1843</t>
  </si>
  <si>
    <t>:TI_1404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</si>
  <si>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原点描述：二合一蒸气流量</t>
    </r>
  </si>
  <si>
    <t>R1844</t>
  </si>
  <si>
    <t>:FT_1401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</si>
  <si>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原点描述：干燥循环水罐温度检测</t>
    </r>
  </si>
  <si>
    <t>R1845</t>
  </si>
  <si>
    <t>:TI_1405</t>
  </si>
  <si>
    <t>干燥过程</t>
  </si>
  <si>
    <t>R1846</t>
  </si>
  <si>
    <t>R1847</t>
  </si>
  <si>
    <t>R1848</t>
  </si>
  <si>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成品</t>
    </r>
  </si>
  <si>
    <t>R1849</t>
  </si>
  <si>
    <t>:MS_6APA_Product</t>
  </si>
  <si>
    <t>R1850</t>
  </si>
  <si>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受热易降解变色</t>
    </r>
  </si>
  <si>
    <t>R1851</t>
  </si>
  <si>
    <t>R1852</t>
  </si>
  <si>
    <t>全厂批次最终提取收率</t>
  </si>
  <si>
    <t>合格率影响有效产出</t>
  </si>
  <si>
    <t>全局收率</t>
  </si>
  <si>
    <t>R1853</t>
  </si>
  <si>
    <t>:BKPI_304</t>
  </si>
  <si>
    <r>
      <rPr>
        <sz val="10"/>
        <rFont val="Noto Sans CJK SC"/>
        <family val="2"/>
      </rPr>
      <t>衔接物料：母液返工料。母液返工料去水解（</t>
    </r>
    <r>
      <rPr>
        <sz val="10"/>
        <rFont val="微软雅黑"/>
        <family val="2"/>
        <charset val="134"/>
      </rPr>
      <t>MYGCL_AI</t>
    </r>
    <r>
      <rPr>
        <sz val="10"/>
        <rFont val="Noto Sans CJK SC"/>
        <family val="2"/>
      </rPr>
      <t>）</t>
    </r>
  </si>
  <si>
    <t>S17</t>
  </si>
  <si>
    <t>R1854</t>
  </si>
  <si>
    <r>
      <rPr>
        <sz val="10"/>
        <rFont val="Noto Sans CJK SC"/>
        <family val="2"/>
      </rPr>
      <t>母液罐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母液缓冲罐</t>
    </r>
  </si>
  <si>
    <r>
      <rPr>
        <sz val="10"/>
        <rFont val="Noto Sans CJK SC"/>
        <family val="2"/>
      </rPr>
      <t>结晶母液回收包含储罐“母液罐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母液缓冲罐”</t>
    </r>
  </si>
  <si>
    <t>R1855</t>
  </si>
  <si>
    <t>:MotherLiquorTank</t>
  </si>
  <si>
    <r>
      <rPr>
        <sz val="10"/>
        <rFont val="Noto Sans CJK SC"/>
        <family val="2"/>
      </rPr>
      <t>母液罐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母液缓冲罐的并联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</si>
  <si>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R1856</t>
  </si>
  <si>
    <t>母液缓冲罐</t>
  </si>
  <si>
    <t>R1857</t>
  </si>
  <si>
    <t>:MotherLiquorTank_M02</t>
  </si>
  <si>
    <t>母液储罐</t>
  </si>
  <si>
    <t>R1858</t>
  </si>
  <si>
    <t>:MotherLiquorTank_M03</t>
  </si>
  <si>
    <r>
      <rPr>
        <sz val="10"/>
        <rFont val="Noto Sans CJK SC"/>
        <family val="2"/>
      </rPr>
      <t>母液罐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母液缓冲罐</t>
    </r>
    <r>
      <rPr>
        <sz val="10"/>
        <rFont val="微软雅黑"/>
        <family val="2"/>
        <charset val="134"/>
      </rPr>
      <t>·pH</t>
    </r>
    <r>
      <rPr>
        <sz val="10"/>
        <rFont val="Noto Sans CJK SC"/>
        <family val="2"/>
      </rPr>
      <t>计</t>
    </r>
  </si>
  <si>
    <r>
      <rPr>
        <sz val="10"/>
        <rFont val="Noto Sans CJK SC"/>
        <family val="2"/>
      </rPr>
      <t>母液罐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母液缓冲罐配置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</t>
    </r>
  </si>
  <si>
    <t>R1859</t>
  </si>
  <si>
    <t>:MotherLiquorTank_P01</t>
  </si>
  <si>
    <r>
      <rPr>
        <sz val="10"/>
        <rFont val="Noto Sans CJK SC"/>
        <family val="2"/>
      </rPr>
      <t>母液罐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母液缓冲罐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液位计</t>
    </r>
  </si>
  <si>
    <r>
      <rPr>
        <sz val="10"/>
        <rFont val="Noto Sans CJK SC"/>
        <family val="2"/>
      </rPr>
      <t>母液罐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母液缓冲罐配置液位计</t>
    </r>
  </si>
  <si>
    <t>R1860</t>
  </si>
  <si>
    <t>:MotherLiquorTank_P02</t>
  </si>
  <si>
    <r>
      <rPr>
        <sz val="10"/>
        <rFont val="Noto Sans CJK SC"/>
        <family val="2"/>
      </rPr>
      <t>纳滤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超滤浓缩单元</t>
    </r>
  </si>
  <si>
    <r>
      <rPr>
        <sz val="10"/>
        <rFont val="Noto Sans CJK SC"/>
        <family val="2"/>
      </rPr>
      <t>结晶母液回收包含膜分离“纳滤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超滤浓缩单元”</t>
    </r>
  </si>
  <si>
    <t>R1861</t>
  </si>
  <si>
    <t>:NanofiltrationUnit</t>
  </si>
  <si>
    <r>
      <rPr>
        <sz val="10"/>
        <rFont val="Noto Sans CJK SC"/>
        <family val="2"/>
      </rPr>
      <t>纳滤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超滤浓缩单元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复滤进料泵</t>
    </r>
  </si>
  <si>
    <r>
      <rPr>
        <sz val="10"/>
        <rFont val="Noto Sans CJK SC"/>
        <family val="2"/>
      </rPr>
      <t>纳滤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超滤浓缩单元配置复滤进料泵</t>
    </r>
  </si>
  <si>
    <t>R1862</t>
  </si>
  <si>
    <t>:NanofiltrationUnit_P01</t>
  </si>
  <si>
    <t>母液结晶罐组</t>
  </si>
  <si>
    <t>结晶母液回收包含搅拌结晶罐“母液结晶罐组”</t>
  </si>
  <si>
    <t>R1863</t>
  </si>
  <si>
    <t>:MLCrystallizers</t>
  </si>
  <si>
    <r>
      <rPr>
        <sz val="10"/>
        <rFont val="Noto Sans CJK SC"/>
        <family val="2"/>
      </rPr>
      <t>母液结晶罐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</si>
  <si>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母液结晶罐组的并联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</si>
  <si>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R1864</t>
  </si>
  <si>
    <t>:MLCrystallizers_M01</t>
  </si>
  <si>
    <r>
      <rPr>
        <sz val="10"/>
        <rFont val="Noto Sans CJK SC"/>
        <family val="2"/>
      </rPr>
      <t>母液结晶罐</t>
    </r>
    <r>
      <rPr>
        <sz val="10"/>
        <rFont val="微软雅黑"/>
        <family val="2"/>
        <charset val="134"/>
      </rPr>
      <t>B</t>
    </r>
  </si>
  <si>
    <t>R1865</t>
  </si>
  <si>
    <t>:MLCrystallizers_M02</t>
  </si>
  <si>
    <r>
      <rPr>
        <sz val="10"/>
        <rFont val="Noto Sans CJK SC"/>
        <family val="2"/>
      </rPr>
      <t>母液结晶罐</t>
    </r>
    <r>
      <rPr>
        <sz val="10"/>
        <rFont val="微软雅黑"/>
        <family val="2"/>
        <charset val="134"/>
      </rPr>
      <t>C</t>
    </r>
  </si>
  <si>
    <t>R1866</t>
  </si>
  <si>
    <t>:MLCrystallizers_M03</t>
  </si>
  <si>
    <r>
      <rPr>
        <sz val="10"/>
        <rFont val="Noto Sans CJK SC"/>
        <family val="2"/>
      </rPr>
      <t>母液结晶罐</t>
    </r>
    <r>
      <rPr>
        <sz val="10"/>
        <rFont val="微软雅黑"/>
        <family val="2"/>
        <charset val="134"/>
      </rPr>
      <t>D</t>
    </r>
  </si>
  <si>
    <t>R1867</t>
  </si>
  <si>
    <t>:MLCrystallizers_M04</t>
  </si>
  <si>
    <r>
      <rPr>
        <sz val="10"/>
        <rFont val="Noto Sans CJK SC"/>
        <family val="2"/>
      </rPr>
      <t>母液结晶罐组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搅拌器</t>
    </r>
    <r>
      <rPr>
        <sz val="10"/>
        <rFont val="微软雅黑"/>
        <family val="2"/>
        <charset val="134"/>
      </rPr>
      <t>P_3082</t>
    </r>
  </si>
  <si>
    <r>
      <rPr>
        <sz val="10"/>
        <rFont val="Noto Sans CJK SC"/>
        <family val="2"/>
      </rPr>
      <t>母液结晶罐组配置搅拌器</t>
    </r>
    <r>
      <rPr>
        <sz val="10"/>
        <rFont val="微软雅黑"/>
        <family val="2"/>
        <charset val="134"/>
      </rPr>
      <t>P_3082</t>
    </r>
  </si>
  <si>
    <t>R1868</t>
  </si>
  <si>
    <t>:MLCrystallizers_P01</t>
  </si>
  <si>
    <r>
      <rPr>
        <sz val="10"/>
        <rFont val="Noto Sans CJK SC"/>
        <family val="2"/>
      </rPr>
      <t>母液结晶罐组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温度调节阀</t>
    </r>
    <r>
      <rPr>
        <sz val="10"/>
        <rFont val="微软雅黑"/>
        <family val="2"/>
        <charset val="134"/>
      </rPr>
      <t>HV_3078</t>
    </r>
  </si>
  <si>
    <r>
      <rPr>
        <sz val="10"/>
        <rFont val="Noto Sans CJK SC"/>
        <family val="2"/>
      </rPr>
      <t>母液结晶罐组配置温度调节阀</t>
    </r>
    <r>
      <rPr>
        <sz val="10"/>
        <rFont val="微软雅黑"/>
        <family val="2"/>
        <charset val="134"/>
      </rPr>
      <t>HV_3078</t>
    </r>
  </si>
  <si>
    <t>R1869</t>
  </si>
  <si>
    <t>:MLCrystallizers_P02</t>
  </si>
  <si>
    <t>脱醇脱酯塔组</t>
  </si>
  <si>
    <t>结晶母液回收包含精馏塔“脱醇脱酯塔组”</t>
  </si>
  <si>
    <t>R1870</t>
  </si>
  <si>
    <t>:DealcoholTower</t>
  </si>
  <si>
    <r>
      <rPr>
        <sz val="10"/>
        <rFont val="Noto Sans CJK SC"/>
        <family val="2"/>
      </rPr>
      <t>脱醇脱酯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</t>
    </r>
  </si>
  <si>
    <r>
      <rPr>
        <sz val="10"/>
        <rFont val="Noto Sans CJK SC"/>
        <family val="2"/>
      </rPr>
      <t>脱醇脱酯塔组的并联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</si>
  <si>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R1871</t>
  </si>
  <si>
    <t>:DealcoholTower_M01</t>
  </si>
  <si>
    <r>
      <rPr>
        <sz val="10"/>
        <rFont val="Noto Sans CJK SC"/>
        <family val="2"/>
      </rPr>
      <t>脱醇脱酯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</si>
  <si>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t>R1872</t>
  </si>
  <si>
    <t>:DealcoholTower_M02</t>
  </si>
  <si>
    <r>
      <rPr>
        <sz val="10"/>
        <rFont val="Noto Sans CJK SC"/>
        <family val="2"/>
      </rPr>
      <t>脱醇脱酯塔组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加热器</t>
    </r>
  </si>
  <si>
    <t>脱醇脱酯塔组配置加热器</t>
  </si>
  <si>
    <t>R1873</t>
  </si>
  <si>
    <t>:DealcoholTower_P01</t>
  </si>
  <si>
    <r>
      <rPr>
        <sz val="10"/>
        <rFont val="Noto Sans CJK SC"/>
        <family val="2"/>
      </rPr>
      <t>脱醇脱酯塔组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预热器</t>
    </r>
  </si>
  <si>
    <t>脱醇脱酯塔组配置预热器</t>
  </si>
  <si>
    <t>R1874</t>
  </si>
  <si>
    <t>:DealcoholTower_P02</t>
  </si>
  <si>
    <r>
      <rPr>
        <sz val="10"/>
        <rFont val="Noto Sans CJK SC"/>
        <family val="2"/>
      </rPr>
      <t>脱醇脱酯塔组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二冷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尾冷</t>
    </r>
  </si>
  <si>
    <r>
      <rPr>
        <sz val="10"/>
        <rFont val="Noto Sans CJK SC"/>
        <family val="2"/>
      </rPr>
      <t>脱醇脱酯塔组配置二冷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尾冷</t>
    </r>
  </si>
  <si>
    <t>R1875</t>
  </si>
  <si>
    <t>:DealcoholTower_P03</t>
  </si>
  <si>
    <r>
      <rPr>
        <sz val="10"/>
        <rFont val="Noto Sans CJK SC"/>
        <family val="2"/>
      </rPr>
      <t>母液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塔</t>
    </r>
  </si>
  <si>
    <r>
      <rPr>
        <sz val="10"/>
        <rFont val="Noto Sans CJK SC"/>
        <family val="2"/>
      </rPr>
      <t>结晶母液回收包含汽提塔“母液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塔”</t>
    </r>
  </si>
  <si>
    <t>R1876</t>
  </si>
  <si>
    <t>:MLTowers</t>
  </si>
  <si>
    <r>
      <rPr>
        <sz val="10"/>
        <rFont val="Noto Sans CJK SC"/>
        <family val="2"/>
      </rPr>
      <t>母液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</t>
    </r>
  </si>
  <si>
    <r>
      <rPr>
        <sz val="10"/>
        <rFont val="Noto Sans CJK SC"/>
        <family val="2"/>
      </rPr>
      <t>母液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塔的并联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</si>
  <si>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R1877</t>
  </si>
  <si>
    <t>:MLTowers_M01</t>
  </si>
  <si>
    <r>
      <rPr>
        <sz val="10"/>
        <rFont val="Noto Sans CJK SC"/>
        <family val="2"/>
      </rPr>
      <t>母液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</si>
  <si>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t>R1878</t>
  </si>
  <si>
    <t>:MLTowers_M02</t>
  </si>
  <si>
    <t>母液罐液位</t>
  </si>
  <si>
    <r>
      <rPr>
        <sz val="10"/>
        <rFont val="Noto Sans CJK SC"/>
        <family val="2"/>
      </rPr>
      <t>母液罐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母液缓冲罐的母液罐液位</t>
    </r>
  </si>
  <si>
    <t>R1879</t>
  </si>
  <si>
    <t>:Attr_195</t>
  </si>
  <si>
    <t>LIC3120</t>
  </si>
  <si>
    <r>
      <rPr>
        <sz val="10"/>
        <rFont val="Noto Sans CJK SC"/>
        <family val="2"/>
      </rPr>
      <t>母液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</si>
  <si>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母液罐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母液缓冲罐的母液</t>
    </r>
    <r>
      <rPr>
        <sz val="10"/>
        <rFont val="微软雅黑"/>
        <family val="2"/>
        <charset val="134"/>
      </rPr>
      <t>pH</t>
    </r>
  </si>
  <si>
    <t>R1880</t>
  </si>
  <si>
    <t>:Attr_196</t>
  </si>
  <si>
    <t>PHMYGAI</t>
  </si>
  <si>
    <t>母液结晶罐液位</t>
  </si>
  <si>
    <t>母液结晶罐组的母液结晶罐液位</t>
  </si>
  <si>
    <t>R1881</t>
  </si>
  <si>
    <t>:Attr_197</t>
  </si>
  <si>
    <r>
      <rPr>
        <sz val="10"/>
        <rFont val="微软雅黑"/>
        <family val="2"/>
        <charset val="134"/>
      </rPr>
      <t>LT_3005A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LT_3005B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LT_3005C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LT_3005D</t>
    </r>
  </si>
  <si>
    <t>母液结晶温度</t>
  </si>
  <si>
    <t>母液结晶罐组的母液结晶温度</t>
  </si>
  <si>
    <t>R1882</t>
  </si>
  <si>
    <t>:Attr_198</t>
  </si>
  <si>
    <r>
      <rPr>
        <sz val="10"/>
        <rFont val="微软雅黑"/>
        <family val="2"/>
        <charset val="134"/>
      </rPr>
      <t>TIPSAAI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TIPSBAI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TIBY3AI</t>
    </r>
  </si>
  <si>
    <r>
      <rPr>
        <sz val="10"/>
        <rFont val="Noto Sans CJK SC"/>
        <family val="2"/>
      </rPr>
      <t>母液结晶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</si>
  <si>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母液结晶罐组的母液结晶</t>
    </r>
    <r>
      <rPr>
        <sz val="10"/>
        <rFont val="微软雅黑"/>
        <family val="2"/>
        <charset val="134"/>
      </rPr>
      <t>pH</t>
    </r>
  </si>
  <si>
    <t>R1883</t>
  </si>
  <si>
    <t>:Attr_199</t>
  </si>
  <si>
    <r>
      <rPr>
        <sz val="10"/>
        <rFont val="微软雅黑"/>
        <family val="2"/>
        <charset val="134"/>
      </rPr>
      <t>PHPSAAI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PHPSBAI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PHZJAI</t>
    </r>
  </si>
  <si>
    <t>母液返工料去水解流量</t>
  </si>
  <si>
    <t>母液结晶罐组的母液返工料去水解流量</t>
  </si>
  <si>
    <t>R1884</t>
  </si>
  <si>
    <t>:Attr_200</t>
  </si>
  <si>
    <t>MYGCL_AI</t>
  </si>
  <si>
    <t>脱醇脱酯塔釜温度</t>
  </si>
  <si>
    <t>脱醇脱酯塔组的脱醇脱酯塔釜温度</t>
  </si>
  <si>
    <t>R1885</t>
  </si>
  <si>
    <t>:Attr_201</t>
  </si>
  <si>
    <r>
      <rPr>
        <sz val="10"/>
        <rFont val="微软雅黑"/>
        <family val="2"/>
        <charset val="134"/>
      </rPr>
      <t>TIETFAI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TIR_4608BC</t>
    </r>
  </si>
  <si>
    <t>脱醇脱酯塔进料流量</t>
  </si>
  <si>
    <t>脱醇脱酯塔组的脱醇脱酯塔进料流量</t>
  </si>
  <si>
    <t>R1886</t>
  </si>
  <si>
    <t>:Attr_202</t>
  </si>
  <si>
    <r>
      <rPr>
        <sz val="10"/>
        <rFont val="微软雅黑"/>
        <family val="2"/>
        <charset val="134"/>
      </rPr>
      <t>FIETJAI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FT_3011</t>
    </r>
  </si>
  <si>
    <r>
      <rPr>
        <sz val="10"/>
        <rFont val="Noto Sans CJK SC"/>
        <family val="2"/>
      </rPr>
      <t>脱醇脱酯塔进料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</si>
  <si>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脱醇脱酯塔组的脱醇脱酯塔进料</t>
    </r>
    <r>
      <rPr>
        <sz val="10"/>
        <rFont val="微软雅黑"/>
        <family val="2"/>
        <charset val="134"/>
      </rPr>
      <t>pH</t>
    </r>
  </si>
  <si>
    <t>R1887</t>
  </si>
  <si>
    <t>:Attr_203</t>
  </si>
  <si>
    <r>
      <rPr>
        <sz val="10"/>
        <rFont val="微软雅黑"/>
        <family val="2"/>
        <charset val="134"/>
      </rPr>
      <t>APHIR4608B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APHIR4608C</t>
    </r>
  </si>
  <si>
    <t>母液塔蒸汽流量</t>
  </si>
  <si>
    <r>
      <rPr>
        <sz val="10"/>
        <rFont val="Noto Sans CJK SC"/>
        <family val="2"/>
      </rPr>
      <t>母液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塔的母液塔蒸汽流量</t>
    </r>
  </si>
  <si>
    <t>R1888</t>
  </si>
  <si>
    <t>:Attr_204</t>
  </si>
  <si>
    <r>
      <rPr>
        <sz val="10"/>
        <rFont val="微软雅黑"/>
        <family val="2"/>
        <charset val="134"/>
      </rPr>
      <t>FIMYASAI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FIMYBSAI</t>
    </r>
  </si>
  <si>
    <t>母液塔釜温度</t>
  </si>
  <si>
    <r>
      <rPr>
        <sz val="10"/>
        <rFont val="Noto Sans CJK SC"/>
        <family val="2"/>
      </rPr>
      <t>母液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塔的母液塔釜温度</t>
    </r>
  </si>
  <si>
    <t>R1889</t>
  </si>
  <si>
    <t>:Attr_205</t>
  </si>
  <si>
    <r>
      <rPr>
        <sz val="10"/>
        <rFont val="微软雅黑"/>
        <family val="2"/>
        <charset val="134"/>
      </rPr>
      <t>TIMYAFAI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TIMYBFAI</t>
    </r>
  </si>
  <si>
    <r>
      <rPr>
        <sz val="10"/>
        <rFont val="Noto Sans CJK SC"/>
        <family val="2"/>
      </rPr>
      <t>母液回收</t>
    </r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量</t>
    </r>
  </si>
  <si>
    <r>
      <rPr>
        <sz val="10"/>
        <rFont val="Noto Sans CJK SC"/>
        <family val="2"/>
      </rPr>
      <t>母液结晶罐组的母液回收</t>
    </r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量（机理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</si>
  <si>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R1890</t>
  </si>
  <si>
    <t>:QKPI_298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</si>
  <si>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原点描述：母液罐液位</t>
    </r>
  </si>
  <si>
    <t>R1891</t>
  </si>
  <si>
    <t>:LIC3120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</si>
  <si>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原点描述：母液罐</t>
    </r>
    <r>
      <rPr>
        <sz val="10"/>
        <rFont val="微软雅黑"/>
        <family val="2"/>
        <charset val="134"/>
      </rPr>
      <t>PH</t>
    </r>
  </si>
  <si>
    <t>R1892</t>
  </si>
  <si>
    <t>:PHMYGAI</t>
  </si>
  <si>
    <t>LT_3005A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</si>
  <si>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原点描述：母液结晶罐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液位</t>
    </r>
  </si>
  <si>
    <t>R1893</t>
  </si>
  <si>
    <t>:LT_3005A</t>
  </si>
  <si>
    <t>LT_3005B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</si>
  <si>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原点描述：结晶罐液位检测</t>
    </r>
    <r>
      <rPr>
        <sz val="10"/>
        <rFont val="微软雅黑"/>
        <family val="2"/>
        <charset val="134"/>
      </rPr>
      <t>B</t>
    </r>
  </si>
  <si>
    <t>R1894</t>
  </si>
  <si>
    <t>:LT_3005B</t>
  </si>
  <si>
    <t>LT_3005C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</si>
  <si>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原点描述：结晶罐液位检测</t>
    </r>
    <r>
      <rPr>
        <sz val="10"/>
        <rFont val="微软雅黑"/>
        <family val="2"/>
        <charset val="134"/>
      </rPr>
      <t>C</t>
    </r>
  </si>
  <si>
    <t>R1895</t>
  </si>
  <si>
    <t>:LT_3005C</t>
  </si>
  <si>
    <t>LT_3005D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</si>
  <si>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原点描述：结晶罐液位检测</t>
    </r>
    <r>
      <rPr>
        <sz val="10"/>
        <rFont val="微软雅黑"/>
        <family val="2"/>
        <charset val="134"/>
      </rPr>
      <t>D</t>
    </r>
  </si>
  <si>
    <t>R1896</t>
  </si>
  <si>
    <t>:LT_3005D</t>
  </si>
  <si>
    <t>TIPSAAI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</si>
  <si>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原点描述：母液结晶罐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温度</t>
    </r>
  </si>
  <si>
    <t>R1897</t>
  </si>
  <si>
    <t>:TIPSAAI</t>
  </si>
  <si>
    <t>TIPSBAI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</si>
  <si>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原点描述：母液结晶罐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温度</t>
    </r>
  </si>
  <si>
    <t>R1898</t>
  </si>
  <si>
    <t>:TIPSBAI</t>
  </si>
  <si>
    <t>TIBY3AI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</si>
  <si>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原点描述：母液结晶罐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温度</t>
    </r>
  </si>
  <si>
    <t>R1899</t>
  </si>
  <si>
    <t>:TIBY3AI</t>
  </si>
  <si>
    <t>PHPSAAI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</si>
  <si>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原点描述：母液结晶罐</t>
    </r>
    <r>
      <rPr>
        <sz val="10"/>
        <rFont val="微软雅黑"/>
        <family val="2"/>
        <charset val="134"/>
      </rPr>
      <t>APH</t>
    </r>
  </si>
  <si>
    <t>R1900</t>
  </si>
  <si>
    <t>:PHPSAAI</t>
  </si>
  <si>
    <t>PHPSBAI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</si>
  <si>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原点描述：母液结晶罐</t>
    </r>
    <r>
      <rPr>
        <sz val="10"/>
        <rFont val="微软雅黑"/>
        <family val="2"/>
        <charset val="134"/>
      </rPr>
      <t>BPH</t>
    </r>
  </si>
  <si>
    <t>R1901</t>
  </si>
  <si>
    <t>:PHPSBAI</t>
  </si>
  <si>
    <t>PHZJAI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</si>
  <si>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原点描述：母液结晶罐</t>
    </r>
    <r>
      <rPr>
        <sz val="10"/>
        <rFont val="微软雅黑"/>
        <family val="2"/>
        <charset val="134"/>
      </rPr>
      <t>CPH</t>
    </r>
  </si>
  <si>
    <t>R1902</t>
  </si>
  <si>
    <t>:PHZJAI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</si>
  <si>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原点描述：母液返工料去水解流量</t>
    </r>
  </si>
  <si>
    <t>R1903</t>
  </si>
  <si>
    <t>:MYGCL_AI</t>
  </si>
  <si>
    <t>TIETFAI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</si>
  <si>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原点描述：脱醇脱酯</t>
    </r>
    <r>
      <rPr>
        <sz val="10"/>
        <rFont val="微软雅黑"/>
        <family val="2"/>
        <charset val="134"/>
      </rPr>
      <t>_A</t>
    </r>
    <r>
      <rPr>
        <sz val="10"/>
        <rFont val="Noto Sans CJK SC"/>
        <family val="2"/>
      </rPr>
      <t>塔釜温度</t>
    </r>
  </si>
  <si>
    <t>R1904</t>
  </si>
  <si>
    <t>:TIETFAI</t>
  </si>
  <si>
    <t>TIR_4608BC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</si>
  <si>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原点描述：脱醇脱酯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塔塔釜温度</t>
    </r>
  </si>
  <si>
    <t>R1905</t>
  </si>
  <si>
    <t>:TIR_4608BC</t>
  </si>
  <si>
    <t>FIETJAI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</si>
  <si>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原点描述：脱醇脱酯塔进料流量</t>
    </r>
  </si>
  <si>
    <t>R1906</t>
  </si>
  <si>
    <t>:FIETJAI</t>
  </si>
  <si>
    <t>FT_3011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</si>
  <si>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原点描述：脱醇脱脂塔进料流量</t>
    </r>
  </si>
  <si>
    <t>R1907</t>
  </si>
  <si>
    <t>:FT_3011</t>
  </si>
  <si>
    <t>APHIR4608B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</si>
  <si>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原点描述：脱醇脱酯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塔进料</t>
    </r>
    <r>
      <rPr>
        <sz val="10"/>
        <rFont val="微软雅黑"/>
        <family val="2"/>
        <charset val="134"/>
      </rPr>
      <t>PH</t>
    </r>
  </si>
  <si>
    <t>R1908</t>
  </si>
  <si>
    <t>:APHIR4608B</t>
  </si>
  <si>
    <t>APHIR4608C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</si>
  <si>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原点描述：脱醇脱酯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塔进料</t>
    </r>
    <r>
      <rPr>
        <sz val="10"/>
        <rFont val="微软雅黑"/>
        <family val="2"/>
        <charset val="134"/>
      </rPr>
      <t>PH</t>
    </r>
  </si>
  <si>
    <t>R1909</t>
  </si>
  <si>
    <t>:APHIR4608C</t>
  </si>
  <si>
    <t>FIMYASAI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</si>
  <si>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原点描述：母液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塔进塔蒸汽流量</t>
    </r>
  </si>
  <si>
    <t>R1910</t>
  </si>
  <si>
    <t>:FIMYASAI</t>
  </si>
  <si>
    <t>FIMYBSAI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</si>
  <si>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原点描述：母液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塔进塔蒸汽流量</t>
    </r>
  </si>
  <si>
    <t>R1911</t>
  </si>
  <si>
    <t>:FIMYBSAI</t>
  </si>
  <si>
    <t>TIMYAFAI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</si>
  <si>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原点描述：母液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塔塔釜温度</t>
    </r>
  </si>
  <si>
    <t>R1912</t>
  </si>
  <si>
    <t>:TIMYAFAI</t>
  </si>
  <si>
    <t>TIMYBFAI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</si>
  <si>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原点描述：母液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塔塔釜温度</t>
    </r>
  </si>
  <si>
    <t>R1913</t>
  </si>
  <si>
    <t>:TIMYBFAI</t>
  </si>
  <si>
    <t>母液结晶温度控制器</t>
  </si>
  <si>
    <r>
      <rPr>
        <sz val="10"/>
        <rFont val="Noto Sans CJK SC"/>
        <family val="2"/>
      </rPr>
      <t>结晶罐温度调节阀</t>
    </r>
    <r>
      <rPr>
        <sz val="10"/>
        <rFont val="微软雅黑"/>
        <family val="2"/>
        <charset val="134"/>
      </rPr>
      <t>HV_3078A–D</t>
    </r>
  </si>
  <si>
    <t>R1914</t>
  </si>
  <si>
    <t>:Ctrl_055</t>
  </si>
  <si>
    <t>:Act_055</t>
  </si>
  <si>
    <r>
      <rPr>
        <sz val="10"/>
        <rFont val="微软雅黑"/>
        <family val="2"/>
        <charset val="134"/>
      </rPr>
      <t>HV_3078A_AO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HV_3078B_AO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HV_3078C_AO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HV_3078D_AO</t>
    </r>
  </si>
  <si>
    <r>
      <rPr>
        <sz val="10"/>
        <rFont val="Noto Sans CJK SC"/>
        <family val="2"/>
      </rPr>
      <t>母液结晶温度作为过程变量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反馈给母液结晶温度控制器</t>
    </r>
  </si>
  <si>
    <t>R1915</t>
  </si>
  <si>
    <r>
      <rPr>
        <sz val="10"/>
        <rFont val="Noto Sans CJK SC"/>
        <family val="2"/>
      </rPr>
      <t>结晶罐温度调节阀</t>
    </r>
    <r>
      <rPr>
        <sz val="10"/>
        <rFont val="微软雅黑"/>
        <family val="2"/>
        <charset val="134"/>
      </rPr>
      <t>HV_3078A–D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频率变化直接改变母液结晶温度</t>
    </r>
  </si>
  <si>
    <t>R1916</t>
  </si>
  <si>
    <t>脱醇脱酯塔釜温度控制器</t>
  </si>
  <si>
    <r>
      <rPr>
        <sz val="10"/>
        <rFont val="Noto Sans CJK SC"/>
        <family val="2"/>
      </rPr>
      <t>脱醇脱酯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塔釜温度调节</t>
    </r>
    <r>
      <rPr>
        <sz val="10"/>
        <rFont val="微软雅黑"/>
        <family val="2"/>
        <charset val="134"/>
      </rPr>
      <t>TIETFAO</t>
    </r>
  </si>
  <si>
    <t>R1917</t>
  </si>
  <si>
    <t>:Ctrl_056</t>
  </si>
  <si>
    <t>:Act_056</t>
  </si>
  <si>
    <t>TIETFAO</t>
  </si>
  <si>
    <r>
      <rPr>
        <sz val="10"/>
        <rFont val="Noto Sans CJK SC"/>
        <family val="2"/>
      </rPr>
      <t>脱醇脱酯塔釜温度作为过程变量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反馈给脱醇脱酯塔釜温度控制器</t>
    </r>
  </si>
  <si>
    <t>R1918</t>
  </si>
  <si>
    <r>
      <rPr>
        <sz val="10"/>
        <rFont val="Noto Sans CJK SC"/>
        <family val="2"/>
      </rPr>
      <t>脱醇脱酯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塔釜温度调节</t>
    </r>
    <r>
      <rPr>
        <sz val="10"/>
        <rFont val="微软雅黑"/>
        <family val="2"/>
        <charset val="134"/>
      </rPr>
      <t>TIETFAO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频率变化直接改变脱醇脱酯塔釜温度</t>
    </r>
  </si>
  <si>
    <t>R1919</t>
  </si>
  <si>
    <t>母液返工料流量控制</t>
  </si>
  <si>
    <t>母液返工料去水解调节阀</t>
  </si>
  <si>
    <t>R1920</t>
  </si>
  <si>
    <t>:Ctrl_057</t>
  </si>
  <si>
    <t>:Act_057</t>
  </si>
  <si>
    <t>TIR_4608BDAO</t>
  </si>
  <si>
    <r>
      <rPr>
        <sz val="10"/>
        <rFont val="Noto Sans CJK SC"/>
        <family val="2"/>
      </rPr>
      <t>母液返工料去水解流量作为过程变量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反馈给母液返工料流量控制</t>
    </r>
  </si>
  <si>
    <t>R1921</t>
  </si>
  <si>
    <r>
      <rPr>
        <sz val="10"/>
        <rFont val="Noto Sans CJK SC"/>
        <family val="2"/>
      </rPr>
      <t>母液返工料去水解调节阀开度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频率变化直接改变母液返工料去水解流量</t>
    </r>
  </si>
  <si>
    <t>R1922</t>
  </si>
  <si>
    <t>母液去回收</t>
  </si>
  <si>
    <t>R1923</t>
  </si>
  <si>
    <t>R1924</t>
  </si>
  <si>
    <r>
      <rPr>
        <sz val="10"/>
        <rFont val="Noto Sans CJK SC"/>
        <family val="2"/>
      </rPr>
      <t>超滤浓缩液进</t>
    </r>
    <r>
      <rPr>
        <sz val="10"/>
        <rFont val="微软雅黑"/>
        <family val="2"/>
        <charset val="134"/>
      </rPr>
      <t>4</t>
    </r>
    <r>
      <rPr>
        <sz val="10"/>
        <rFont val="Noto Sans CJK SC"/>
        <family val="2"/>
      </rPr>
      <t>号结晶罐</t>
    </r>
  </si>
  <si>
    <t>R1925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</si>
  <si>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溶解罐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溶液罐</t>
    </r>
  </si>
  <si>
    <t>R1926</t>
  </si>
  <si>
    <t>母液返工料去水解</t>
  </si>
  <si>
    <t>R1927</t>
  </si>
  <si>
    <t>母液脱除溶媒</t>
  </si>
  <si>
    <t>R1928</t>
  </si>
  <si>
    <t>醇酯采出</t>
  </si>
  <si>
    <t>R1929</t>
  </si>
  <si>
    <r>
      <rPr>
        <sz val="10"/>
        <rFont val="Noto Sans CJK SC"/>
        <family val="2"/>
      </rPr>
      <t>母液汽提回收溶媒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氨</t>
    </r>
  </si>
  <si>
    <t>R1930</t>
  </si>
  <si>
    <t>塔顶采出</t>
  </si>
  <si>
    <t>R1931</t>
  </si>
  <si>
    <t>R1932</t>
  </si>
  <si>
    <t>R1933</t>
  </si>
  <si>
    <t>母液回收直接提升总收率</t>
  </si>
  <si>
    <t>R1934</t>
  </si>
  <si>
    <r>
      <rPr>
        <sz val="10"/>
        <rFont val="Noto Sans CJK SC"/>
        <family val="2"/>
      </rPr>
      <t>衔接物料：回收混合溶媒。来自回收溶媒（</t>
    </r>
    <r>
      <rPr>
        <sz val="10"/>
        <rFont val="微软雅黑"/>
        <family val="2"/>
        <charset val="134"/>
      </rPr>
      <t>FT_1314</t>
    </r>
    <r>
      <rPr>
        <sz val="10"/>
        <rFont val="Noto Sans CJK SC"/>
        <family val="2"/>
      </rPr>
      <t>）进混合溶媒储罐</t>
    </r>
  </si>
  <si>
    <t>S18</t>
  </si>
  <si>
    <t>R1935</t>
  </si>
  <si>
    <t>衔接物料：回收丁酯。丁酯成品罐→丁酯罐</t>
  </si>
  <si>
    <t>R1936</t>
  </si>
  <si>
    <t>丁醇精馏塔组</t>
  </si>
  <si>
    <r>
      <rPr>
        <sz val="10"/>
        <rFont val="Noto Sans CJK SC"/>
        <family val="2"/>
      </rPr>
      <t>丁醇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丁酯精馏（溶媒回收）包含精馏塔“丁醇精馏塔组”</t>
    </r>
  </si>
  <si>
    <t>R1937</t>
  </si>
  <si>
    <t>:BuOHDistillation</t>
  </si>
  <si>
    <r>
      <rPr>
        <sz val="10"/>
        <rFont val="Noto Sans CJK SC"/>
        <family val="2"/>
      </rPr>
      <t>丁醇精馏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</t>
    </r>
  </si>
  <si>
    <r>
      <rPr>
        <sz val="10"/>
        <rFont val="Noto Sans CJK SC"/>
        <family val="2"/>
      </rPr>
      <t>丁醇精馏塔组的并联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</si>
  <si>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R1938</t>
  </si>
  <si>
    <t>:BuOHDistillation_M01</t>
  </si>
  <si>
    <r>
      <rPr>
        <sz val="10"/>
        <rFont val="Noto Sans CJK SC"/>
        <family val="2"/>
      </rPr>
      <t>丁醇精馏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</si>
  <si>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t>R1939</t>
  </si>
  <si>
    <t>:BuOHDistillation_M02</t>
  </si>
  <si>
    <r>
      <rPr>
        <sz val="10"/>
        <rFont val="Noto Sans CJK SC"/>
        <family val="2"/>
      </rPr>
      <t>丁醇精馏塔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醇酯分离</t>
    </r>
    <r>
      <rPr>
        <sz val="10"/>
        <rFont val="微软雅黑"/>
        <family val="2"/>
        <charset val="134"/>
      </rPr>
      <t>)</t>
    </r>
  </si>
  <si>
    <t>R1940</t>
  </si>
  <si>
    <t>:BuOHDistillation_M03</t>
  </si>
  <si>
    <r>
      <rPr>
        <sz val="10"/>
        <rFont val="Noto Sans CJK SC"/>
        <family val="2"/>
      </rPr>
      <t>丁醇精馏塔组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再沸器</t>
    </r>
  </si>
  <si>
    <t>丁醇精馏塔组配置再沸器</t>
  </si>
  <si>
    <t>R1941</t>
  </si>
  <si>
    <t>:BuOHDistillation_P01</t>
  </si>
  <si>
    <r>
      <rPr>
        <sz val="10"/>
        <rFont val="Noto Sans CJK SC"/>
        <family val="2"/>
      </rPr>
      <t>丁醇精馏塔组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一冷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二冷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尾冷</t>
    </r>
  </si>
  <si>
    <r>
      <rPr>
        <sz val="10"/>
        <rFont val="Noto Sans CJK SC"/>
        <family val="2"/>
      </rPr>
      <t>丁醇精馏塔组配置一冷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二冷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尾冷</t>
    </r>
  </si>
  <si>
    <t>R1942</t>
  </si>
  <si>
    <t>:BuOHDistillation_P02</t>
  </si>
  <si>
    <r>
      <rPr>
        <sz val="10"/>
        <rFont val="Noto Sans CJK SC"/>
        <family val="2"/>
      </rPr>
      <t>丁醇精馏塔组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回流罐</t>
    </r>
  </si>
  <si>
    <t>丁醇精馏塔组配置回流罐</t>
  </si>
  <si>
    <t>R1943</t>
  </si>
  <si>
    <t>:BuOHDistillation_P03</t>
  </si>
  <si>
    <t>丁醇脱色塔组</t>
  </si>
  <si>
    <r>
      <rPr>
        <sz val="10"/>
        <rFont val="Noto Sans CJK SC"/>
        <family val="2"/>
      </rPr>
      <t>丁醇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丁酯精馏（溶媒回收）包含精馏塔“丁醇脱色塔组”</t>
    </r>
  </si>
  <si>
    <t>R1944</t>
  </si>
  <si>
    <t>:BuOHDecolorTower</t>
  </si>
  <si>
    <r>
      <rPr>
        <sz val="10"/>
        <rFont val="Noto Sans CJK SC"/>
        <family val="2"/>
      </rPr>
      <t>丁醇脱色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</t>
    </r>
  </si>
  <si>
    <r>
      <rPr>
        <sz val="10"/>
        <rFont val="Noto Sans CJK SC"/>
        <family val="2"/>
      </rPr>
      <t>丁醇脱色塔组的并联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</si>
  <si>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R1945</t>
  </si>
  <si>
    <t>:BuOHDecolorTower_M01</t>
  </si>
  <si>
    <r>
      <rPr>
        <sz val="10"/>
        <rFont val="Noto Sans CJK SC"/>
        <family val="2"/>
      </rPr>
      <t>丁醇脱色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</si>
  <si>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t>R1946</t>
  </si>
  <si>
    <t>:BuOHDecolorTower_M02</t>
  </si>
  <si>
    <r>
      <rPr>
        <sz val="10"/>
        <rFont val="Noto Sans CJK SC"/>
        <family val="2"/>
      </rPr>
      <t>丁醇脱色塔组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再沸器</t>
    </r>
  </si>
  <si>
    <t>丁醇脱色塔组配置再沸器</t>
  </si>
  <si>
    <t>R1947</t>
  </si>
  <si>
    <t>:BuOHDecolorTower_P01</t>
  </si>
  <si>
    <r>
      <rPr>
        <sz val="10"/>
        <rFont val="Noto Sans CJK SC"/>
        <family val="2"/>
      </rPr>
      <t>丁酯精馏塔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丁酯脱色塔</t>
    </r>
  </si>
  <si>
    <r>
      <rPr>
        <sz val="10"/>
        <rFont val="Noto Sans CJK SC"/>
        <family val="2"/>
      </rPr>
      <t>丁醇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丁酯精馏（溶媒回收）包含精馏塔“丁酯精馏塔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丁酯脱色塔”</t>
    </r>
  </si>
  <si>
    <t>R1948</t>
  </si>
  <si>
    <t>:BAcDistillation</t>
  </si>
  <si>
    <t>丁酯精馏塔</t>
  </si>
  <si>
    <r>
      <rPr>
        <sz val="10"/>
        <rFont val="Noto Sans CJK SC"/>
        <family val="2"/>
      </rPr>
      <t>丁酯精馏塔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丁酯脱色塔的并联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</si>
  <si>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R1949</t>
  </si>
  <si>
    <t>:BAcDistillation_M01</t>
  </si>
  <si>
    <t>丁酯脱色塔</t>
  </si>
  <si>
    <t>R1950</t>
  </si>
  <si>
    <t>:BAcDistillation_M02</t>
  </si>
  <si>
    <r>
      <rPr>
        <sz val="10"/>
        <rFont val="Noto Sans CJK SC"/>
        <family val="2"/>
      </rPr>
      <t>丁酯精馏塔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丁酯脱色塔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再沸器</t>
    </r>
  </si>
  <si>
    <r>
      <rPr>
        <sz val="10"/>
        <rFont val="Noto Sans CJK SC"/>
        <family val="2"/>
      </rPr>
      <t>丁酯精馏塔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丁酯脱色塔配置再沸器</t>
    </r>
  </si>
  <si>
    <t>R1951</t>
  </si>
  <si>
    <t>:BAcDistillation_P01</t>
  </si>
  <si>
    <r>
      <rPr>
        <sz val="10"/>
        <rFont val="Noto Sans CJK SC"/>
        <family val="2"/>
      </rPr>
      <t>丁酯精馏塔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丁酯脱色塔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冷凝器</t>
    </r>
  </si>
  <si>
    <r>
      <rPr>
        <sz val="10"/>
        <rFont val="Noto Sans CJK SC"/>
        <family val="2"/>
      </rPr>
      <t>丁酯精馏塔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丁酯脱色塔配置冷凝器</t>
    </r>
  </si>
  <si>
    <t>R1952</t>
  </si>
  <si>
    <t>:BAcDistillation_P02</t>
  </si>
  <si>
    <r>
      <rPr>
        <sz val="10"/>
        <rFont val="Noto Sans CJK SC"/>
        <family val="2"/>
      </rPr>
      <t>溶媒待检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成品罐组</t>
    </r>
  </si>
  <si>
    <r>
      <rPr>
        <sz val="10"/>
        <rFont val="Noto Sans CJK SC"/>
        <family val="2"/>
      </rPr>
      <t>丁醇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丁酯精馏（溶媒回收）包含储罐“溶媒待检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成品罐组”</t>
    </r>
  </si>
  <si>
    <t>R1953</t>
  </si>
  <si>
    <t>:SolventQCTanks</t>
  </si>
  <si>
    <r>
      <rPr>
        <sz val="10"/>
        <rFont val="Noto Sans CJK SC"/>
        <family val="2"/>
      </rPr>
      <t>丁醇待检罐</t>
    </r>
    <r>
      <rPr>
        <sz val="10"/>
        <rFont val="微软雅黑"/>
        <family val="2"/>
        <charset val="134"/>
      </rPr>
      <t>A–D</t>
    </r>
  </si>
  <si>
    <r>
      <rPr>
        <sz val="10"/>
        <rFont val="Noto Sans CJK SC"/>
        <family val="2"/>
      </rPr>
      <t>溶媒待检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成品罐组的并联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</si>
  <si>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R1954</t>
  </si>
  <si>
    <t>:SolventQCTanks_M01</t>
  </si>
  <si>
    <r>
      <rPr>
        <sz val="10"/>
        <rFont val="Noto Sans CJK SC"/>
        <family val="2"/>
      </rPr>
      <t>丁醇成品罐</t>
    </r>
    <r>
      <rPr>
        <sz val="10"/>
        <rFont val="微软雅黑"/>
        <family val="2"/>
        <charset val="134"/>
      </rPr>
      <t>A–C</t>
    </r>
  </si>
  <si>
    <t>R1955</t>
  </si>
  <si>
    <t>:SolventQCTanks_M02</t>
  </si>
  <si>
    <r>
      <rPr>
        <sz val="10"/>
        <rFont val="Noto Sans CJK SC"/>
        <family val="2"/>
      </rPr>
      <t>丁酯待检罐</t>
    </r>
    <r>
      <rPr>
        <sz val="10"/>
        <rFont val="微软雅黑"/>
        <family val="2"/>
        <charset val="134"/>
      </rPr>
      <t>A/B</t>
    </r>
  </si>
  <si>
    <t>R1956</t>
  </si>
  <si>
    <t>:SolventQCTanks_M03</t>
  </si>
  <si>
    <r>
      <rPr>
        <sz val="10"/>
        <rFont val="Noto Sans CJK SC"/>
        <family val="2"/>
      </rPr>
      <t>丁酯成品罐</t>
    </r>
    <r>
      <rPr>
        <sz val="10"/>
        <rFont val="微软雅黑"/>
        <family val="2"/>
        <charset val="134"/>
      </rPr>
      <t>A/B</t>
    </r>
  </si>
  <si>
    <t>R1957</t>
  </si>
  <si>
    <t>:SolventQCTanks_M04</t>
  </si>
  <si>
    <r>
      <rPr>
        <sz val="10"/>
        <rFont val="Noto Sans CJK SC"/>
        <family val="2"/>
      </rPr>
      <t>溶媒待检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成品罐组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密度计</t>
    </r>
  </si>
  <si>
    <r>
      <rPr>
        <sz val="10"/>
        <rFont val="Noto Sans CJK SC"/>
        <family val="2"/>
      </rPr>
      <t>溶媒待检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成品罐组配置密度计</t>
    </r>
  </si>
  <si>
    <t>R1958</t>
  </si>
  <si>
    <t>:SolventQCTanks_P01</t>
  </si>
  <si>
    <t>丁醇精馏塔釜温度</t>
  </si>
  <si>
    <t>丁醇精馏塔组的丁醇精馏塔釜温度</t>
  </si>
  <si>
    <t>R1959</t>
  </si>
  <si>
    <t>:Attr_206</t>
  </si>
  <si>
    <r>
      <rPr>
        <sz val="10"/>
        <rFont val="微软雅黑"/>
        <family val="2"/>
        <charset val="134"/>
      </rPr>
      <t>TITJCRAFAI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TITJCRBFAI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TICZCRFAI</t>
    </r>
  </si>
  <si>
    <t>丁醇精馏塔顶温度</t>
  </si>
  <si>
    <t>丁醇精馏塔组的丁醇精馏塔顶温度</t>
  </si>
  <si>
    <t>R1960</t>
  </si>
  <si>
    <t>:Attr_207</t>
  </si>
  <si>
    <r>
      <rPr>
        <sz val="10"/>
        <rFont val="微软雅黑"/>
        <family val="2"/>
        <charset val="134"/>
      </rPr>
      <t>TITJCRATAI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TITJCRBTAI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TICZCRTAI</t>
    </r>
  </si>
  <si>
    <t>丁醇精馏蒸汽流量</t>
  </si>
  <si>
    <t>丁醇精馏塔组的丁醇精馏蒸汽流量</t>
  </si>
  <si>
    <t>R1961</t>
  </si>
  <si>
    <t>:Attr_208</t>
  </si>
  <si>
    <r>
      <rPr>
        <sz val="10"/>
        <rFont val="微软雅黑"/>
        <family val="2"/>
        <charset val="134"/>
      </rPr>
      <t>FITJCRASAI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FITJCRBSAI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FICZCRSAI</t>
    </r>
  </si>
  <si>
    <t>丁醇脱色塔釜温度</t>
  </si>
  <si>
    <t>丁醇脱色塔组的丁醇脱色塔釜温度</t>
  </si>
  <si>
    <t>R1962</t>
  </si>
  <si>
    <t>:Attr_209</t>
  </si>
  <si>
    <r>
      <rPr>
        <sz val="10"/>
        <rFont val="微软雅黑"/>
        <family val="2"/>
        <charset val="134"/>
      </rPr>
      <t>TITJCTAFAI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TITJCTBFAI</t>
    </r>
  </si>
  <si>
    <t>丁醇采出澄清度</t>
  </si>
  <si>
    <t>丁醇脱色塔组的丁醇采出澄清度</t>
  </si>
  <si>
    <t>R1963</t>
  </si>
  <si>
    <t>:Attr_210</t>
  </si>
  <si>
    <r>
      <rPr>
        <sz val="10"/>
        <rFont val="微软雅黑"/>
        <family val="2"/>
        <charset val="134"/>
      </rPr>
      <t>ZU_9001A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ZU_9001B</t>
    </r>
  </si>
  <si>
    <t>丁酯精馏塔釜温度</t>
  </si>
  <si>
    <r>
      <rPr>
        <sz val="10"/>
        <rFont val="Noto Sans CJK SC"/>
        <family val="2"/>
      </rPr>
      <t>丁酯精馏塔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丁酯脱色塔的丁酯精馏塔釜温度</t>
    </r>
  </si>
  <si>
    <t>R1964</t>
  </si>
  <si>
    <t>:Attr_211</t>
  </si>
  <si>
    <t>TICZZRFAI</t>
  </si>
  <si>
    <t>丁酯精馏塔顶温度</t>
  </si>
  <si>
    <r>
      <rPr>
        <sz val="10"/>
        <rFont val="Noto Sans CJK SC"/>
        <family val="2"/>
      </rPr>
      <t>丁酯精馏塔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丁酯脱色塔的丁酯精馏塔顶温度</t>
    </r>
  </si>
  <si>
    <t>R1965</t>
  </si>
  <si>
    <t>:Attr_212</t>
  </si>
  <si>
    <t>TICZZRTAI</t>
  </si>
  <si>
    <t>丁酯精馏蒸汽流量</t>
  </si>
  <si>
    <r>
      <rPr>
        <sz val="10"/>
        <rFont val="Noto Sans CJK SC"/>
        <family val="2"/>
      </rPr>
      <t>丁酯精馏塔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丁酯脱色塔的丁酯精馏蒸汽流量</t>
    </r>
  </si>
  <si>
    <t>R1966</t>
  </si>
  <si>
    <t>:Attr_213</t>
  </si>
  <si>
    <t>FICZZRSAI</t>
  </si>
  <si>
    <t>丁醇待检密度</t>
  </si>
  <si>
    <r>
      <rPr>
        <sz val="10"/>
        <rFont val="Noto Sans CJK SC"/>
        <family val="2"/>
      </rPr>
      <t>溶媒待检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成品罐组的丁醇待检密度</t>
    </r>
  </si>
  <si>
    <t>R1967</t>
  </si>
  <si>
    <t>:Attr_214</t>
  </si>
  <si>
    <t>FT_3027</t>
  </si>
  <si>
    <t>丁酯待检密度</t>
  </si>
  <si>
    <r>
      <rPr>
        <sz val="10"/>
        <rFont val="Noto Sans CJK SC"/>
        <family val="2"/>
      </rPr>
      <t>溶媒待检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成品罐组的丁酯待检密度</t>
    </r>
  </si>
  <si>
    <t>R1968</t>
  </si>
  <si>
    <t>:Attr_215</t>
  </si>
  <si>
    <t>FT_3028</t>
  </si>
  <si>
    <t>回收溶媒纯度</t>
  </si>
  <si>
    <r>
      <rPr>
        <sz val="10"/>
        <rFont val="Noto Sans CJK SC"/>
        <family val="2"/>
      </rPr>
      <t>溶媒待检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成品罐组的回收溶媒纯度（机理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</si>
  <si>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R1969</t>
  </si>
  <si>
    <t>:QKPI_299</t>
  </si>
  <si>
    <t>TITJCRAFAI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</si>
  <si>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原点描述：丁醇精馏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塔釜温度</t>
    </r>
  </si>
  <si>
    <t>R1970</t>
  </si>
  <si>
    <t>:TITJCRAFAI</t>
  </si>
  <si>
    <t>TITJCRBFAI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</si>
  <si>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原点描述：丁醇精馏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塔釜温度</t>
    </r>
  </si>
  <si>
    <t>R1971</t>
  </si>
  <si>
    <t>:TITJCRBFAI</t>
  </si>
  <si>
    <t>TICZCRFAI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</si>
  <si>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原点描述：丁醇精馏塔釜温度</t>
    </r>
  </si>
  <si>
    <t>R1972</t>
  </si>
  <si>
    <t>:TICZCRFAI</t>
  </si>
  <si>
    <t>TITJCRATAI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</si>
  <si>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原点描述：丁醇精馏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塔顶温度</t>
    </r>
  </si>
  <si>
    <t>R1973</t>
  </si>
  <si>
    <t>:TITJCRATAI</t>
  </si>
  <si>
    <t>TITJCRBTAI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</si>
  <si>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原点描述：丁醇精馏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塔顶温度</t>
    </r>
  </si>
  <si>
    <t>R1974</t>
  </si>
  <si>
    <t>:TITJCRBTAI</t>
  </si>
  <si>
    <t>TICZCRTAI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</si>
  <si>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原点描述：丁醇精馏塔顶温度</t>
    </r>
  </si>
  <si>
    <t>R1975</t>
  </si>
  <si>
    <t>:TICZCRTAI</t>
  </si>
  <si>
    <t>FITJCRASAI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</si>
  <si>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原点描述：进丁醇精馏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塔蒸汽流量</t>
    </r>
  </si>
  <si>
    <t>R1976</t>
  </si>
  <si>
    <t>:FITJCRASAI</t>
  </si>
  <si>
    <t>FITJCRBSAI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</si>
  <si>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原点描述：进丁醇精馏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塔蒸汽流量</t>
    </r>
  </si>
  <si>
    <t>R1977</t>
  </si>
  <si>
    <t>:FITJCRBSAI</t>
  </si>
  <si>
    <t>FICZCRSAI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</si>
  <si>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原点描述：进丁醇精馏塔蒸汽流量</t>
    </r>
  </si>
  <si>
    <t>R1978</t>
  </si>
  <si>
    <t>:FICZCRSAI</t>
  </si>
  <si>
    <t>TITJCTAFAI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</si>
  <si>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原点描述：丁醇脱色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塔釜温度</t>
    </r>
  </si>
  <si>
    <t>R1979</t>
  </si>
  <si>
    <t>:TITJCTAFAI</t>
  </si>
  <si>
    <t>TITJCTBFAI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</si>
  <si>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原点描述：丁醇脱色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塔釜温度</t>
    </r>
  </si>
  <si>
    <t>R1980</t>
  </si>
  <si>
    <t>:TITJCTBFAI</t>
  </si>
  <si>
    <t>ZU_9001A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</si>
  <si>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原点描述：丁醇脱色塔采出管线澄清度检测</t>
    </r>
    <r>
      <rPr>
        <sz val="10"/>
        <rFont val="微软雅黑"/>
        <family val="2"/>
        <charset val="134"/>
      </rPr>
      <t>1</t>
    </r>
  </si>
  <si>
    <t>R1981</t>
  </si>
  <si>
    <t>:ZU_9001A</t>
  </si>
  <si>
    <t>ZU_9001B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</si>
  <si>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原点描述：丁醇脱色塔采出管线澄清度检测</t>
    </r>
    <r>
      <rPr>
        <sz val="10"/>
        <rFont val="微软雅黑"/>
        <family val="2"/>
        <charset val="134"/>
      </rPr>
      <t>2</t>
    </r>
  </si>
  <si>
    <t>R1982</t>
  </si>
  <si>
    <t>:ZU_9001B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</si>
  <si>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原点描述：丁酯精馏塔釜温度</t>
    </r>
  </si>
  <si>
    <t>R1983</t>
  </si>
  <si>
    <t>:TICZZRFAI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</si>
  <si>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原点描述：丁酯精馏塔顶温度</t>
    </r>
  </si>
  <si>
    <t>R1984</t>
  </si>
  <si>
    <t>:TICZZRTAI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</si>
  <si>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原点描述：进丁脂精馏塔蒸汽流量</t>
    </r>
  </si>
  <si>
    <t>R1985</t>
  </si>
  <si>
    <t>:FICZZRSAI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</si>
  <si>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原点描述：丁醇待检罐出料密度检测</t>
    </r>
  </si>
  <si>
    <t>R1986</t>
  </si>
  <si>
    <t>:FT_3027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</si>
  <si>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原点描述：丁酯待检罐出料密度检测</t>
    </r>
  </si>
  <si>
    <t>R1987</t>
  </si>
  <si>
    <t>:FT_3028</t>
  </si>
  <si>
    <t>丁醇精馏塔温度控制器</t>
  </si>
  <si>
    <t>丁醇精馏塔温度调节</t>
  </si>
  <si>
    <t>R1988</t>
  </si>
  <si>
    <t>:Ctrl_058</t>
  </si>
  <si>
    <t>:Act_058</t>
  </si>
  <si>
    <r>
      <rPr>
        <sz val="10"/>
        <rFont val="微软雅黑"/>
        <family val="2"/>
        <charset val="134"/>
      </rPr>
      <t>TITJCRAMBAO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TITJCRMBAO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TICZCRMBAO</t>
    </r>
  </si>
  <si>
    <r>
      <rPr>
        <sz val="10"/>
        <rFont val="Noto Sans CJK SC"/>
        <family val="2"/>
      </rPr>
      <t>丁醇精馏塔釜温度作为过程变量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反馈给丁醇精馏塔温度控制器</t>
    </r>
  </si>
  <si>
    <t>R1989</t>
  </si>
  <si>
    <r>
      <rPr>
        <sz val="10"/>
        <rFont val="Noto Sans CJK SC"/>
        <family val="2"/>
      </rPr>
      <t>丁醇精馏塔温度调节开度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频率变化直接改变丁醇精馏塔釜温度</t>
    </r>
  </si>
  <si>
    <t>R1990</t>
  </si>
  <si>
    <t>丁醇精馏进料控制器</t>
  </si>
  <si>
    <r>
      <rPr>
        <sz val="10"/>
        <rFont val="Noto Sans CJK SC"/>
        <family val="2"/>
      </rPr>
      <t>丁醇精馏塔进料流量调节阀</t>
    </r>
    <r>
      <rPr>
        <sz val="10"/>
        <rFont val="微软雅黑"/>
        <family val="2"/>
        <charset val="134"/>
      </rPr>
      <t>HV_3052</t>
    </r>
  </si>
  <si>
    <t>R1991</t>
  </si>
  <si>
    <t>:Ctrl_059</t>
  </si>
  <si>
    <t>:Act_059</t>
  </si>
  <si>
    <t>HV_3052_AO</t>
  </si>
  <si>
    <r>
      <rPr>
        <sz val="10"/>
        <rFont val="Noto Sans CJK SC"/>
        <family val="2"/>
      </rPr>
      <t>丁醇精馏蒸汽流量作为过程变量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反馈给丁醇精馏进料控制器</t>
    </r>
  </si>
  <si>
    <t>R1992</t>
  </si>
  <si>
    <r>
      <rPr>
        <sz val="10"/>
        <rFont val="Noto Sans CJK SC"/>
        <family val="2"/>
      </rPr>
      <t>丁醇精馏塔进料流量调节阀</t>
    </r>
    <r>
      <rPr>
        <sz val="10"/>
        <rFont val="微软雅黑"/>
        <family val="2"/>
        <charset val="134"/>
      </rPr>
      <t>HV_3052</t>
    </r>
    <r>
      <rPr>
        <sz val="10"/>
        <rFont val="Noto Sans CJK SC"/>
        <family val="2"/>
      </rPr>
      <t>开度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频率变化直接改变丁醇精馏蒸汽流量</t>
    </r>
  </si>
  <si>
    <t>R1993</t>
  </si>
  <si>
    <t>反萃轻相去回收</t>
  </si>
  <si>
    <t>R1994</t>
  </si>
  <si>
    <r>
      <rPr>
        <sz val="10"/>
        <rFont val="Noto Sans CJK SC"/>
        <family val="2"/>
      </rPr>
      <t>分水罐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去精馏</t>
    </r>
  </si>
  <si>
    <t>R1995</t>
  </si>
  <si>
    <t>精馏过程</t>
  </si>
  <si>
    <t>R1996</t>
  </si>
  <si>
    <t>R1997</t>
  </si>
  <si>
    <t>R1998</t>
  </si>
  <si>
    <t>合格溶媒</t>
  </si>
  <si>
    <t>R1999</t>
  </si>
  <si>
    <t>R2000</t>
  </si>
  <si>
    <t>R2001</t>
  </si>
  <si>
    <t>R2002</t>
  </si>
  <si>
    <r>
      <rPr>
        <sz val="10"/>
        <rFont val="Noto Sans CJK SC"/>
        <family val="2"/>
      </rPr>
      <t>塔顶温度偏离说明轻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重组分夹带</t>
    </r>
  </si>
  <si>
    <t>R2003</t>
  </si>
  <si>
    <r>
      <rPr>
        <sz val="10"/>
        <rFont val="Noto Sans CJK SC"/>
        <family val="2"/>
      </rPr>
      <t>回收溶媒含水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杂质影响萃取</t>
    </r>
  </si>
  <si>
    <t>R2004</t>
  </si>
  <si>
    <t>R2005</t>
  </si>
  <si>
    <t>衔接物料：混合溶媒。混合溶媒配制罐→萃取混合溶媒罐</t>
  </si>
  <si>
    <t>S19</t>
  </si>
  <si>
    <t>R2006</t>
  </si>
  <si>
    <t>苯乙酸减压塔</t>
  </si>
  <si>
    <t>苯乙酸回收与混合溶媒配制包含减压精馏塔“苯乙酸减压塔”</t>
  </si>
  <si>
    <t>R2007</t>
  </si>
  <si>
    <t>:PAAVacuumTower</t>
  </si>
  <si>
    <r>
      <rPr>
        <sz val="10"/>
        <rFont val="Noto Sans CJK SC"/>
        <family val="2"/>
      </rPr>
      <t>苯乙酸减压塔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再沸器</t>
    </r>
  </si>
  <si>
    <t>苯乙酸减压塔配置再沸器</t>
  </si>
  <si>
    <t>R2008</t>
  </si>
  <si>
    <t>:PAAVacuumTower_P01</t>
  </si>
  <si>
    <r>
      <rPr>
        <sz val="10"/>
        <rFont val="Noto Sans CJK SC"/>
        <family val="2"/>
      </rPr>
      <t>苯乙酸减压塔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中间罐</t>
    </r>
  </si>
  <si>
    <t>苯乙酸减压塔配置中间罐</t>
  </si>
  <si>
    <t>R2009</t>
  </si>
  <si>
    <t>:PAAVacuumTower_P02</t>
  </si>
  <si>
    <r>
      <rPr>
        <sz val="10"/>
        <rFont val="Noto Sans CJK SC"/>
        <family val="2"/>
      </rPr>
      <t>苯乙酸储罐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成品罐</t>
    </r>
  </si>
  <si>
    <r>
      <rPr>
        <sz val="10"/>
        <rFont val="Noto Sans CJK SC"/>
        <family val="2"/>
      </rPr>
      <t>苯乙酸回收与混合溶媒配制包含储罐“苯乙酸储罐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成品罐”</t>
    </r>
  </si>
  <si>
    <t>R2010</t>
  </si>
  <si>
    <t>:PAAStorage</t>
  </si>
  <si>
    <r>
      <rPr>
        <sz val="10"/>
        <rFont val="Noto Sans CJK SC"/>
        <family val="2"/>
      </rPr>
      <t>苯乙酸储罐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</si>
  <si>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苯乙酸储罐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成品罐的并联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</si>
  <si>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R2011</t>
  </si>
  <si>
    <t>:PAAStorage_M01</t>
  </si>
  <si>
    <r>
      <rPr>
        <sz val="10"/>
        <rFont val="Noto Sans CJK SC"/>
        <family val="2"/>
      </rPr>
      <t>苯乙酸储罐</t>
    </r>
    <r>
      <rPr>
        <sz val="10"/>
        <rFont val="微软雅黑"/>
        <family val="2"/>
        <charset val="134"/>
      </rPr>
      <t>B</t>
    </r>
  </si>
  <si>
    <t>R2012</t>
  </si>
  <si>
    <t>:PAAStorage_M02</t>
  </si>
  <si>
    <r>
      <rPr>
        <sz val="10"/>
        <rFont val="Noto Sans CJK SC"/>
        <family val="2"/>
      </rPr>
      <t>苯乙酸储罐</t>
    </r>
    <r>
      <rPr>
        <sz val="10"/>
        <rFont val="微软雅黑"/>
        <family val="2"/>
        <charset val="134"/>
      </rPr>
      <t>C</t>
    </r>
  </si>
  <si>
    <t>R2013</t>
  </si>
  <si>
    <t>:PAAStorage_M03</t>
  </si>
  <si>
    <t>苯乙酸成品罐</t>
  </si>
  <si>
    <t>R2014</t>
  </si>
  <si>
    <t>:PAAStorage_M04</t>
  </si>
  <si>
    <t>苯乙酸室外储罐</t>
  </si>
  <si>
    <t>R2015</t>
  </si>
  <si>
    <t>:PAAStorage_M05</t>
  </si>
  <si>
    <r>
      <rPr>
        <sz val="10"/>
        <rFont val="Noto Sans CJK SC"/>
        <family val="2"/>
      </rPr>
      <t>混合溶媒配制罐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混合溶媒塔</t>
    </r>
  </si>
  <si>
    <r>
      <rPr>
        <sz val="10"/>
        <rFont val="Noto Sans CJK SC"/>
        <family val="2"/>
      </rPr>
      <t>苯乙酸回收与混合溶媒配制包含配制罐“混合溶媒配制罐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混合溶媒塔”</t>
    </r>
  </si>
  <si>
    <t>R2016</t>
  </si>
  <si>
    <t>:MixedSolventPrep</t>
  </si>
  <si>
    <r>
      <rPr>
        <sz val="10"/>
        <rFont val="Noto Sans CJK SC"/>
        <family val="2"/>
      </rPr>
      <t>混合溶媒配制罐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</si>
  <si>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混合溶媒配制罐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混合溶媒塔的并联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</si>
  <si>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R2017</t>
  </si>
  <si>
    <t>:MixedSolventPrep_M01</t>
  </si>
  <si>
    <r>
      <rPr>
        <sz val="10"/>
        <rFont val="Noto Sans CJK SC"/>
        <family val="2"/>
      </rPr>
      <t>混合溶媒配制罐</t>
    </r>
    <r>
      <rPr>
        <sz val="10"/>
        <rFont val="微软雅黑"/>
        <family val="2"/>
        <charset val="134"/>
      </rPr>
      <t>B</t>
    </r>
  </si>
  <si>
    <t>R2018</t>
  </si>
  <si>
    <t>:MixedSolventPrep_M02</t>
  </si>
  <si>
    <r>
      <rPr>
        <sz val="10"/>
        <rFont val="Noto Sans CJK SC"/>
        <family val="2"/>
      </rPr>
      <t>混合溶媒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</t>
    </r>
  </si>
  <si>
    <t>R2019</t>
  </si>
  <si>
    <t>:MixedSolventPrep_M03</t>
  </si>
  <si>
    <r>
      <rPr>
        <sz val="10"/>
        <rFont val="Noto Sans CJK SC"/>
        <family val="2"/>
      </rPr>
      <t>混合溶媒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</si>
  <si>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t>R2020</t>
  </si>
  <si>
    <t>:MixedSolventPrep_M04</t>
  </si>
  <si>
    <r>
      <rPr>
        <sz val="10"/>
        <rFont val="Noto Sans CJK SC"/>
        <family val="2"/>
      </rPr>
      <t>混合溶媒配制罐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混合溶媒塔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在线丁醇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丁酯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水分含量检测</t>
    </r>
  </si>
  <si>
    <r>
      <rPr>
        <sz val="10"/>
        <rFont val="Noto Sans CJK SC"/>
        <family val="2"/>
      </rPr>
      <t>混合溶媒配制罐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混合溶媒塔配置在线丁醇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丁酯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水分含量检测</t>
    </r>
  </si>
  <si>
    <t>R2021</t>
  </si>
  <si>
    <t>:MixedSolventPrep_P01</t>
  </si>
  <si>
    <t>碱洗罐组</t>
  </si>
  <si>
    <t>苯乙酸回收与混合溶媒配制包含搅拌罐“碱洗罐组”</t>
  </si>
  <si>
    <t>R2022</t>
  </si>
  <si>
    <t>:CausticWashTanks</t>
  </si>
  <si>
    <r>
      <rPr>
        <sz val="10"/>
        <rFont val="Noto Sans CJK SC"/>
        <family val="2"/>
      </rPr>
      <t>碱洗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</si>
  <si>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碱洗罐组的并联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</si>
  <si>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R2023</t>
  </si>
  <si>
    <t>:CausticWashTanks_M01</t>
  </si>
  <si>
    <r>
      <rPr>
        <sz val="10"/>
        <rFont val="Noto Sans CJK SC"/>
        <family val="2"/>
      </rPr>
      <t>碱洗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罐</t>
    </r>
  </si>
  <si>
    <t>R2024</t>
  </si>
  <si>
    <t>:CausticWashTanks_M02</t>
  </si>
  <si>
    <r>
      <rPr>
        <sz val="10"/>
        <rFont val="Noto Sans CJK SC"/>
        <family val="2"/>
      </rPr>
      <t>碱洗罐组</t>
    </r>
    <r>
      <rPr>
        <sz val="10"/>
        <rFont val="微软雅黑"/>
        <family val="2"/>
        <charset val="134"/>
      </rPr>
      <t>·pH</t>
    </r>
    <r>
      <rPr>
        <sz val="10"/>
        <rFont val="Noto Sans CJK SC"/>
        <family val="2"/>
      </rPr>
      <t>计</t>
    </r>
  </si>
  <si>
    <r>
      <rPr>
        <sz val="10"/>
        <rFont val="Noto Sans CJK SC"/>
        <family val="2"/>
      </rPr>
      <t>碱洗罐组配置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</t>
    </r>
  </si>
  <si>
    <t>R2025</t>
  </si>
  <si>
    <t>:CausticWashTanks_P01</t>
  </si>
  <si>
    <t>苯乙酸塔釜温度</t>
  </si>
  <si>
    <t>苯乙酸减压塔的苯乙酸塔釜温度</t>
  </si>
  <si>
    <t>R2026</t>
  </si>
  <si>
    <t>:Attr_216</t>
  </si>
  <si>
    <r>
      <rPr>
        <sz val="10"/>
        <rFont val="微软雅黑"/>
        <family val="2"/>
        <charset val="134"/>
      </rPr>
      <t>TIDCBFAI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TIBYFAI</t>
    </r>
  </si>
  <si>
    <t>苯乙酸塔顶温度</t>
  </si>
  <si>
    <t>苯乙酸减压塔的苯乙酸塔顶温度</t>
  </si>
  <si>
    <t>R2027</t>
  </si>
  <si>
    <t>:Attr_217</t>
  </si>
  <si>
    <r>
      <rPr>
        <sz val="10"/>
        <rFont val="微软雅黑"/>
        <family val="2"/>
        <charset val="134"/>
      </rPr>
      <t>TIDCBTAI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TIBYTAI</t>
    </r>
  </si>
  <si>
    <t>苯乙酸塔压力</t>
  </si>
  <si>
    <t>苯乙酸减压塔的苯乙酸塔压力</t>
  </si>
  <si>
    <t>R2028</t>
  </si>
  <si>
    <t>:Attr_218</t>
  </si>
  <si>
    <r>
      <rPr>
        <sz val="10"/>
        <rFont val="微软雅黑"/>
        <family val="2"/>
        <charset val="134"/>
      </rPr>
      <t>PIBYAI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LIMYDZAAI</t>
    </r>
  </si>
  <si>
    <t>苯乙酸塔进料流量</t>
  </si>
  <si>
    <t>苯乙酸减压塔的苯乙酸塔进料流量</t>
  </si>
  <si>
    <t>R2029</t>
  </si>
  <si>
    <t>:Attr_219</t>
  </si>
  <si>
    <r>
      <rPr>
        <sz val="10"/>
        <rFont val="微软雅黑"/>
        <family val="2"/>
        <charset val="134"/>
      </rPr>
      <t>FIDCBJAI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FIBYJAI</t>
    </r>
  </si>
  <si>
    <t>苯乙酸塔蒸汽流量</t>
  </si>
  <si>
    <t>苯乙酸减压塔的苯乙酸塔蒸汽流量</t>
  </si>
  <si>
    <t>R2030</t>
  </si>
  <si>
    <t>:Attr_220</t>
  </si>
  <si>
    <r>
      <rPr>
        <sz val="10"/>
        <rFont val="微软雅黑"/>
        <family val="2"/>
        <charset val="134"/>
      </rPr>
      <t>FIDCSBAI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FIBYSAI</t>
    </r>
  </si>
  <si>
    <t>苯乙酸成品罐液位</t>
  </si>
  <si>
    <r>
      <rPr>
        <sz val="10"/>
        <rFont val="Noto Sans CJK SC"/>
        <family val="2"/>
      </rPr>
      <t>注意：画面</t>
    </r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中标于二级废酸水罐旁，点表描述为苯乙酸成品罐液位，待确认</t>
    </r>
  </si>
  <si>
    <t>R2031</t>
  </si>
  <si>
    <t>:Attr_221</t>
  </si>
  <si>
    <t>TISQYYWAI</t>
  </si>
  <si>
    <t>混合溶媒丁酯含量</t>
  </si>
  <si>
    <r>
      <rPr>
        <sz val="10"/>
        <rFont val="Noto Sans CJK SC"/>
        <family val="2"/>
      </rPr>
      <t>混合溶媒配制罐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混合溶媒塔的混合溶媒丁酯含量</t>
    </r>
  </si>
  <si>
    <t>R2032</t>
  </si>
  <si>
    <t>:Attr_222</t>
  </si>
  <si>
    <t>FT_3030</t>
  </si>
  <si>
    <t>混合溶媒水分含量</t>
  </si>
  <si>
    <r>
      <rPr>
        <sz val="10"/>
        <rFont val="Noto Sans CJK SC"/>
        <family val="2"/>
      </rPr>
      <t>混合溶媒配制罐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混合溶媒塔的混合溶媒水分含量</t>
    </r>
  </si>
  <si>
    <t>R2033</t>
  </si>
  <si>
    <t>:Attr_223</t>
  </si>
  <si>
    <t>FT_3031</t>
  </si>
  <si>
    <t>混合溶媒丁醇含量</t>
  </si>
  <si>
    <r>
      <rPr>
        <sz val="10"/>
        <rFont val="Noto Sans CJK SC"/>
        <family val="2"/>
      </rPr>
      <t>混合溶媒配制罐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混合溶媒塔的混合溶媒丁醇含量</t>
    </r>
  </si>
  <si>
    <t>R2034</t>
  </si>
  <si>
    <t>:Attr_224</t>
  </si>
  <si>
    <t>FT_3032</t>
  </si>
  <si>
    <r>
      <rPr>
        <sz val="10"/>
        <rFont val="Noto Sans CJK SC"/>
        <family val="2"/>
      </rPr>
      <t>碱洗罐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</si>
  <si>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碱洗罐组的碱洗罐</t>
    </r>
    <r>
      <rPr>
        <sz val="10"/>
        <rFont val="微软雅黑"/>
        <family val="2"/>
        <charset val="134"/>
      </rPr>
      <t>pH</t>
    </r>
  </si>
  <si>
    <t>R2035</t>
  </si>
  <si>
    <t>:Attr_225</t>
  </si>
  <si>
    <r>
      <rPr>
        <sz val="10"/>
        <rFont val="微软雅黑"/>
        <family val="2"/>
        <charset val="134"/>
      </rPr>
      <t>PH_LCYCGA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PH_LCYCGB</t>
    </r>
  </si>
  <si>
    <r>
      <rPr>
        <sz val="10"/>
        <rFont val="Noto Sans CJK SC"/>
        <family val="2"/>
      </rPr>
      <t>苯乙酸减压塔的苯乙酸回收率（机理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</si>
  <si>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R2036</t>
  </si>
  <si>
    <t>TIDCBFAI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</si>
  <si>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原点描述：苯乙酸减压塔釜温度</t>
    </r>
  </si>
  <si>
    <t>R2037</t>
  </si>
  <si>
    <t>:TIDCBFAI</t>
  </si>
  <si>
    <t>TIBYFAI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</si>
  <si>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原点描述：苯乙酸塔釜温度</t>
    </r>
  </si>
  <si>
    <t>R2038</t>
  </si>
  <si>
    <t>:TIBYFAI</t>
  </si>
  <si>
    <t>TIDCBTAI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</si>
  <si>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原点描述：苯乙酸减压塔顶温度</t>
    </r>
  </si>
  <si>
    <t>R2039</t>
  </si>
  <si>
    <t>:TIDCBTAI</t>
  </si>
  <si>
    <t>TIBYTAI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</si>
  <si>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原点描述：苯乙酸塔顶温度</t>
    </r>
  </si>
  <si>
    <t>R2040</t>
  </si>
  <si>
    <t>:TIBYTAI</t>
  </si>
  <si>
    <t>PIBYAI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</si>
  <si>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原点描述：苯乙酸塔压力</t>
    </r>
  </si>
  <si>
    <t>R2041</t>
  </si>
  <si>
    <t>:PIBYAI</t>
  </si>
  <si>
    <t>LIMYDZAAI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</si>
  <si>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原点描述：苯乙酸减压塔压力</t>
    </r>
  </si>
  <si>
    <t>R2042</t>
  </si>
  <si>
    <t>:LIMYDZAAI</t>
  </si>
  <si>
    <t>FIDCBJAI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</si>
  <si>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原点描述：苯乙酸减压塔进料流量</t>
    </r>
  </si>
  <si>
    <t>R2043</t>
  </si>
  <si>
    <t>:FIDCBJAI</t>
  </si>
  <si>
    <t>FIBYJAI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</si>
  <si>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原点描述：进苯乙酸塔流量</t>
    </r>
  </si>
  <si>
    <t>R2044</t>
  </si>
  <si>
    <t>:FIBYJAI</t>
  </si>
  <si>
    <t>FIDCSBAI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</si>
  <si>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原点描述：进苯乙酸减压塔蒸汽流量</t>
    </r>
  </si>
  <si>
    <t>R2045</t>
  </si>
  <si>
    <t>:FIDCSBAI</t>
  </si>
  <si>
    <t>FIBYSAI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</si>
  <si>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原点描述：进苯乙酸塔蒸汽流量</t>
    </r>
  </si>
  <si>
    <t>R2046</t>
  </si>
  <si>
    <t>:FIBYSAI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</si>
  <si>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原点描述：苯乙酸成品罐液位</t>
    </r>
  </si>
  <si>
    <t>R2047</t>
  </si>
  <si>
    <t>:TISQYYWAI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</si>
  <si>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原点描述：混合溶媒配制罐外循环管道丁酯含量检测</t>
    </r>
  </si>
  <si>
    <t>R2048</t>
  </si>
  <si>
    <t>:FT_3030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</si>
  <si>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原点描述：混合溶媒配制罐外循环管道水分含量检测</t>
    </r>
  </si>
  <si>
    <t>R2049</t>
  </si>
  <si>
    <t>:FT_3031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</si>
  <si>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原点描述：混合溶媒配制罐外循环管道丁醇含量检测</t>
    </r>
  </si>
  <si>
    <t>R2050</t>
  </si>
  <si>
    <t>:FT_3032</t>
  </si>
  <si>
    <t>PH_LCYCGA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</si>
  <si>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原点描述：洗碱罐</t>
    </r>
    <r>
      <rPr>
        <sz val="10"/>
        <rFont val="微软雅黑"/>
        <family val="2"/>
        <charset val="134"/>
      </rPr>
      <t>APH</t>
    </r>
  </si>
  <si>
    <t>R2051</t>
  </si>
  <si>
    <t>:PH_LCYCGA</t>
  </si>
  <si>
    <t>PH_LCYCGB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</si>
  <si>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原点描述：洗碱罐</t>
    </r>
    <r>
      <rPr>
        <sz val="10"/>
        <rFont val="微软雅黑"/>
        <family val="2"/>
        <charset val="134"/>
      </rPr>
      <t>BPH</t>
    </r>
  </si>
  <si>
    <t>R2052</t>
  </si>
  <si>
    <t>:PH_LCYCGB</t>
  </si>
  <si>
    <r>
      <rPr>
        <sz val="10"/>
        <rFont val="Noto Sans CJK SC"/>
        <family val="2"/>
      </rPr>
      <t>酸化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萃取后进塔（中间步骤点表未全）</t>
    </r>
  </si>
  <si>
    <t>R2053</t>
  </si>
  <si>
    <t>苯乙酸成品</t>
  </si>
  <si>
    <t>R2054</t>
  </si>
  <si>
    <t>:MS_PAA_Product</t>
  </si>
  <si>
    <r>
      <rPr>
        <sz val="10"/>
        <rFont val="Noto Sans CJK SC"/>
        <family val="2"/>
      </rPr>
      <t>发酵</t>
    </r>
    <r>
      <rPr>
        <sz val="10"/>
        <rFont val="微软雅黑"/>
        <family val="2"/>
        <charset val="134"/>
      </rPr>
      <t>PAA</t>
    </r>
    <r>
      <rPr>
        <sz val="10"/>
        <rFont val="Noto Sans CJK SC"/>
        <family val="2"/>
      </rPr>
      <t>罐回用</t>
    </r>
  </si>
  <si>
    <t>R2055</t>
  </si>
  <si>
    <t>R2056</t>
  </si>
  <si>
    <t>R2057</t>
  </si>
  <si>
    <t>萃取混合溶媒补充</t>
  </si>
  <si>
    <t>R2058</t>
  </si>
  <si>
    <r>
      <rPr>
        <sz val="10"/>
        <rFont val="Noto Sans CJK SC"/>
        <family val="2"/>
      </rPr>
      <t>回收溶媒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丁醇水碱洗除酸后进精馏（丁醇水去碱洗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罐）</t>
    </r>
  </si>
  <si>
    <t>R2059</t>
  </si>
  <si>
    <t>溶媒组成决定对苯乙酸的萃取能力</t>
  </si>
  <si>
    <t>R2060</t>
  </si>
  <si>
    <t>R2061</t>
  </si>
  <si>
    <t>R2062</t>
  </si>
  <si>
    <r>
      <rPr>
        <sz val="10"/>
        <rFont val="Noto Sans CJK SC"/>
        <family val="2"/>
      </rPr>
      <t>衔接物料：回收溶媒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醇酯。废酸水塔顶采出→醇酯分离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丁酯精馏</t>
    </r>
  </si>
  <si>
    <t>S20</t>
  </si>
  <si>
    <t>R2063</t>
  </si>
  <si>
    <r>
      <rPr>
        <sz val="10"/>
        <rFont val="Noto Sans CJK SC"/>
        <family val="2"/>
      </rPr>
      <t>废酸水汽提塔</t>
    </r>
    <r>
      <rPr>
        <sz val="10"/>
        <rFont val="微软雅黑"/>
        <family val="2"/>
        <charset val="134"/>
      </rPr>
      <t>A/B/C</t>
    </r>
  </si>
  <si>
    <r>
      <rPr>
        <sz val="10"/>
        <rFont val="Noto Sans CJK SC"/>
        <family val="2"/>
      </rPr>
      <t>废酸水处理与蒸氨包含汽提塔“废酸水汽提塔</t>
    </r>
    <r>
      <rPr>
        <sz val="10"/>
        <rFont val="微软雅黑"/>
        <family val="2"/>
        <charset val="134"/>
      </rPr>
      <t>A/B/C”</t>
    </r>
  </si>
  <si>
    <t>R2064</t>
  </si>
  <si>
    <t>:WasteAcidTowers</t>
  </si>
  <si>
    <r>
      <rPr>
        <sz val="10"/>
        <rFont val="Noto Sans CJK SC"/>
        <family val="2"/>
      </rPr>
      <t>废酸水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</t>
    </r>
  </si>
  <si>
    <r>
      <rPr>
        <sz val="10"/>
        <rFont val="Noto Sans CJK SC"/>
        <family val="2"/>
      </rPr>
      <t>废酸水汽提塔</t>
    </r>
    <r>
      <rPr>
        <sz val="10"/>
        <rFont val="微软雅黑"/>
        <family val="2"/>
        <charset val="134"/>
      </rPr>
      <t>A/B/C</t>
    </r>
    <r>
      <rPr>
        <sz val="10"/>
        <rFont val="Noto Sans CJK SC"/>
        <family val="2"/>
      </rPr>
      <t>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</si>
  <si>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R2065</t>
  </si>
  <si>
    <t>:WasteAcidTowers_M01</t>
  </si>
  <si>
    <r>
      <rPr>
        <sz val="10"/>
        <rFont val="Noto Sans CJK SC"/>
        <family val="2"/>
      </rPr>
      <t>废酸水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</si>
  <si>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t>R2066</t>
  </si>
  <si>
    <t>:WasteAcidTowers_M02</t>
  </si>
  <si>
    <r>
      <rPr>
        <sz val="10"/>
        <rFont val="Noto Sans CJK SC"/>
        <family val="2"/>
      </rPr>
      <t>废酸水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塔</t>
    </r>
  </si>
  <si>
    <t>R2067</t>
  </si>
  <si>
    <t>:WasteAcidTowers_M03</t>
  </si>
  <si>
    <r>
      <rPr>
        <sz val="10"/>
        <rFont val="Noto Sans CJK SC"/>
        <family val="2"/>
      </rPr>
      <t>废酸水汽提塔</t>
    </r>
    <r>
      <rPr>
        <sz val="10"/>
        <rFont val="微软雅黑"/>
        <family val="2"/>
        <charset val="134"/>
      </rPr>
      <t>A/B/C·</t>
    </r>
    <r>
      <rPr>
        <sz val="10"/>
        <rFont val="Noto Sans CJK SC"/>
        <family val="2"/>
      </rPr>
      <t>预热器</t>
    </r>
  </si>
  <si>
    <r>
      <rPr>
        <sz val="10"/>
        <rFont val="Noto Sans CJK SC"/>
        <family val="2"/>
      </rPr>
      <t>废酸水汽提塔</t>
    </r>
    <r>
      <rPr>
        <sz val="10"/>
        <rFont val="微软雅黑"/>
        <family val="2"/>
        <charset val="134"/>
      </rPr>
      <t>A/B/C</t>
    </r>
    <r>
      <rPr>
        <sz val="10"/>
        <rFont val="Noto Sans CJK SC"/>
        <family val="2"/>
      </rPr>
      <t>配置预热器</t>
    </r>
  </si>
  <si>
    <t>R2068</t>
  </si>
  <si>
    <t>:WasteAcidTowers_P01</t>
  </si>
  <si>
    <r>
      <rPr>
        <sz val="10"/>
        <rFont val="Noto Sans CJK SC"/>
        <family val="2"/>
      </rPr>
      <t>废酸水汽提塔</t>
    </r>
    <r>
      <rPr>
        <sz val="10"/>
        <rFont val="微软雅黑"/>
        <family val="2"/>
        <charset val="134"/>
      </rPr>
      <t>A/B/C·</t>
    </r>
    <r>
      <rPr>
        <sz val="10"/>
        <rFont val="Noto Sans CJK SC"/>
        <family val="2"/>
      </rPr>
      <t>降膜</t>
    </r>
  </si>
  <si>
    <r>
      <rPr>
        <sz val="10"/>
        <rFont val="Noto Sans CJK SC"/>
        <family val="2"/>
      </rPr>
      <t>废酸水汽提塔</t>
    </r>
    <r>
      <rPr>
        <sz val="10"/>
        <rFont val="微软雅黑"/>
        <family val="2"/>
        <charset val="134"/>
      </rPr>
      <t>A/B/C</t>
    </r>
    <r>
      <rPr>
        <sz val="10"/>
        <rFont val="Noto Sans CJK SC"/>
        <family val="2"/>
      </rPr>
      <t>配置降膜</t>
    </r>
  </si>
  <si>
    <t>R2069</t>
  </si>
  <si>
    <t>:WasteAcidTowers_P02</t>
  </si>
  <si>
    <r>
      <rPr>
        <sz val="10"/>
        <rFont val="Noto Sans CJK SC"/>
        <family val="2"/>
      </rPr>
      <t>废酸水汽提塔</t>
    </r>
    <r>
      <rPr>
        <sz val="10"/>
        <rFont val="微软雅黑"/>
        <family val="2"/>
        <charset val="134"/>
      </rPr>
      <t>A/B/C·</t>
    </r>
    <r>
      <rPr>
        <sz val="10"/>
        <rFont val="Noto Sans CJK SC"/>
        <family val="2"/>
      </rPr>
      <t>二冷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尾冷</t>
    </r>
  </si>
  <si>
    <r>
      <rPr>
        <sz val="10"/>
        <rFont val="Noto Sans CJK SC"/>
        <family val="2"/>
      </rPr>
      <t>废酸水汽提塔</t>
    </r>
    <r>
      <rPr>
        <sz val="10"/>
        <rFont val="微软雅黑"/>
        <family val="2"/>
        <charset val="134"/>
      </rPr>
      <t>A/B/C</t>
    </r>
    <r>
      <rPr>
        <sz val="10"/>
        <rFont val="Noto Sans CJK SC"/>
        <family val="2"/>
      </rPr>
      <t>配置二冷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尾冷</t>
    </r>
  </si>
  <si>
    <t>R2070</t>
  </si>
  <si>
    <t>:WasteAcidTowers_P03</t>
  </si>
  <si>
    <r>
      <rPr>
        <sz val="10"/>
        <rFont val="Noto Sans CJK SC"/>
        <family val="2"/>
      </rPr>
      <t>蒸氨塔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氨吸收塔</t>
    </r>
  </si>
  <si>
    <r>
      <rPr>
        <sz val="10"/>
        <rFont val="Noto Sans CJK SC"/>
        <family val="2"/>
      </rPr>
      <t>废酸水处理与蒸氨包含汽提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吸收塔“蒸氨塔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氨吸收塔”</t>
    </r>
  </si>
  <si>
    <t>R2071</t>
  </si>
  <si>
    <t>:AmmoniaStripper</t>
  </si>
  <si>
    <t>蒸氨塔</t>
  </si>
  <si>
    <r>
      <rPr>
        <sz val="10"/>
        <rFont val="Noto Sans CJK SC"/>
        <family val="2"/>
      </rPr>
      <t>蒸氨塔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氨吸收塔的并联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</si>
  <si>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R2072</t>
  </si>
  <si>
    <t>:AmmoniaStripper_M01</t>
  </si>
  <si>
    <t>氨吸收塔</t>
  </si>
  <si>
    <t>R2073</t>
  </si>
  <si>
    <t>:AmmoniaStripper_M02</t>
  </si>
  <si>
    <r>
      <rPr>
        <sz val="10"/>
        <rFont val="Noto Sans CJK SC"/>
        <family val="2"/>
      </rPr>
      <t>蒸氨塔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氨吸收塔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分凝器</t>
    </r>
  </si>
  <si>
    <r>
      <rPr>
        <sz val="10"/>
        <rFont val="Noto Sans CJK SC"/>
        <family val="2"/>
      </rPr>
      <t>蒸氨塔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氨吸收塔配置分凝器</t>
    </r>
  </si>
  <si>
    <t>R2074</t>
  </si>
  <si>
    <t>:AmmoniaStripper_P01</t>
  </si>
  <si>
    <r>
      <rPr>
        <sz val="10"/>
        <rFont val="Noto Sans CJK SC"/>
        <family val="2"/>
      </rPr>
      <t>蒸氨塔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氨吸收塔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上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下段回流泵</t>
    </r>
  </si>
  <si>
    <r>
      <rPr>
        <sz val="10"/>
        <rFont val="Noto Sans CJK SC"/>
        <family val="2"/>
      </rPr>
      <t>蒸氨塔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氨吸收塔配置上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下段回流泵</t>
    </r>
  </si>
  <si>
    <t>R2075</t>
  </si>
  <si>
    <t>:AmmoniaStripper_P02</t>
  </si>
  <si>
    <t>酸水高效换热器</t>
  </si>
  <si>
    <t>废酸水处理与蒸氨包含高效换热器“酸水高效换热器”</t>
  </si>
  <si>
    <t>R2076</t>
  </si>
  <si>
    <t>:AcidWaterHX</t>
  </si>
  <si>
    <r>
      <rPr>
        <sz val="10"/>
        <rFont val="Noto Sans CJK SC"/>
        <family val="2"/>
      </rPr>
      <t>废酸水储罐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中间罐</t>
    </r>
  </si>
  <si>
    <r>
      <rPr>
        <sz val="10"/>
        <rFont val="Noto Sans CJK SC"/>
        <family val="2"/>
      </rPr>
      <t>废酸水处理与蒸氨包含储罐“废酸水储罐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中间罐”</t>
    </r>
  </si>
  <si>
    <t>R2077</t>
  </si>
  <si>
    <t>:WasteAcidTanks</t>
  </si>
  <si>
    <r>
      <rPr>
        <sz val="10"/>
        <rFont val="Noto Sans CJK SC"/>
        <family val="2"/>
      </rPr>
      <t>废酸水储罐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</si>
  <si>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废酸水储罐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中间罐的并联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</si>
  <si>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R2078</t>
  </si>
  <si>
    <t>:WasteAcidTanks_M01</t>
  </si>
  <si>
    <r>
      <rPr>
        <sz val="10"/>
        <rFont val="Noto Sans CJK SC"/>
        <family val="2"/>
      </rPr>
      <t>废酸水储罐</t>
    </r>
    <r>
      <rPr>
        <sz val="10"/>
        <rFont val="微软雅黑"/>
        <family val="2"/>
        <charset val="134"/>
      </rPr>
      <t>B</t>
    </r>
  </si>
  <si>
    <t>R2079</t>
  </si>
  <si>
    <t>:WasteAcidTanks_M02</t>
  </si>
  <si>
    <t>废酸水中间罐</t>
  </si>
  <si>
    <t>R2080</t>
  </si>
  <si>
    <t>:WasteAcidTanks_M03</t>
  </si>
  <si>
    <r>
      <rPr>
        <sz val="10"/>
        <rFont val="Noto Sans CJK SC"/>
        <family val="2"/>
      </rPr>
      <t>废酸水储罐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中间罐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密度计</t>
    </r>
    <r>
      <rPr>
        <sz val="10"/>
        <rFont val="微软雅黑"/>
        <family val="2"/>
        <charset val="134"/>
      </rPr>
      <t>DT_9002</t>
    </r>
  </si>
  <si>
    <r>
      <rPr>
        <sz val="10"/>
        <rFont val="Noto Sans CJK SC"/>
        <family val="2"/>
      </rPr>
      <t>废酸水储罐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中间罐配置密度计</t>
    </r>
    <r>
      <rPr>
        <sz val="10"/>
        <rFont val="微软雅黑"/>
        <family val="2"/>
        <charset val="134"/>
      </rPr>
      <t>DT_9002</t>
    </r>
  </si>
  <si>
    <t>R2081</t>
  </si>
  <si>
    <t>:WasteAcidTanks_P01</t>
  </si>
  <si>
    <t>废酸水塔进料流量</t>
  </si>
  <si>
    <r>
      <rPr>
        <sz val="10"/>
        <rFont val="Noto Sans CJK SC"/>
        <family val="2"/>
      </rPr>
      <t>废酸水汽提塔</t>
    </r>
    <r>
      <rPr>
        <sz val="10"/>
        <rFont val="微软雅黑"/>
        <family val="2"/>
        <charset val="134"/>
      </rPr>
      <t>A/B/C</t>
    </r>
    <r>
      <rPr>
        <sz val="10"/>
        <rFont val="Noto Sans CJK SC"/>
        <family val="2"/>
      </rPr>
      <t>的废酸水塔进料流量</t>
    </r>
  </si>
  <si>
    <t>R2082</t>
  </si>
  <si>
    <t>:Attr_226</t>
  </si>
  <si>
    <r>
      <rPr>
        <sz val="10"/>
        <rFont val="微软雅黑"/>
        <family val="2"/>
        <charset val="134"/>
      </rPr>
      <t>FIFSAAI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FIFSBAI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FIFSCAI</t>
    </r>
  </si>
  <si>
    <t>废酸水塔蒸汽流量</t>
  </si>
  <si>
    <r>
      <rPr>
        <sz val="10"/>
        <rFont val="Noto Sans CJK SC"/>
        <family val="2"/>
      </rPr>
      <t>废酸水汽提塔</t>
    </r>
    <r>
      <rPr>
        <sz val="10"/>
        <rFont val="微软雅黑"/>
        <family val="2"/>
        <charset val="134"/>
      </rPr>
      <t>A/B/C</t>
    </r>
    <r>
      <rPr>
        <sz val="10"/>
        <rFont val="Noto Sans CJK SC"/>
        <family val="2"/>
      </rPr>
      <t>的废酸水塔蒸汽流量</t>
    </r>
  </si>
  <si>
    <t>R2083</t>
  </si>
  <si>
    <t>:Attr_227</t>
  </si>
  <si>
    <r>
      <rPr>
        <sz val="10"/>
        <rFont val="微软雅黑"/>
        <family val="2"/>
        <charset val="134"/>
      </rPr>
      <t>FIFSASAI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FIFSBSAI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FIFSCSAI</t>
    </r>
  </si>
  <si>
    <r>
      <rPr>
        <sz val="10"/>
        <rFont val="Noto Sans CJK SC"/>
        <family val="2"/>
      </rPr>
      <t>废酸水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塔顶温度</t>
    </r>
  </si>
  <si>
    <r>
      <rPr>
        <sz val="10"/>
        <rFont val="Noto Sans CJK SC"/>
        <family val="2"/>
      </rPr>
      <t>废酸水汽提塔</t>
    </r>
    <r>
      <rPr>
        <sz val="10"/>
        <rFont val="微软雅黑"/>
        <family val="2"/>
        <charset val="134"/>
      </rPr>
      <t>A/B/C</t>
    </r>
    <r>
      <rPr>
        <sz val="10"/>
        <rFont val="Noto Sans CJK SC"/>
        <family val="2"/>
      </rPr>
      <t>的废酸水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塔顶温度</t>
    </r>
  </si>
  <si>
    <t>R2084</t>
  </si>
  <si>
    <t>:Attr_228</t>
  </si>
  <si>
    <r>
      <rPr>
        <sz val="10"/>
        <rFont val="微软雅黑"/>
        <family val="2"/>
        <charset val="134"/>
      </rPr>
      <t>TIFSCTAI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TE_9001A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TE_9001B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TE_9001C</t>
    </r>
  </si>
  <si>
    <t>废酸水进料密度</t>
  </si>
  <si>
    <r>
      <rPr>
        <sz val="10"/>
        <rFont val="Noto Sans CJK SC"/>
        <family val="2"/>
      </rPr>
      <t>废酸水储罐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中间罐的废酸水进料密度</t>
    </r>
  </si>
  <si>
    <t>R2085</t>
  </si>
  <si>
    <t>:Attr_229</t>
  </si>
  <si>
    <t>DT_9002</t>
  </si>
  <si>
    <t>蒸氨塔进料流量</t>
  </si>
  <si>
    <r>
      <rPr>
        <sz val="10"/>
        <rFont val="Noto Sans CJK SC"/>
        <family val="2"/>
      </rPr>
      <t>蒸氨塔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氨吸收塔的蒸氨塔进料流量</t>
    </r>
  </si>
  <si>
    <t>R2086</t>
  </si>
  <si>
    <t>:Attr_230</t>
  </si>
  <si>
    <r>
      <rPr>
        <sz val="10"/>
        <rFont val="微软雅黑"/>
        <family val="2"/>
        <charset val="134"/>
      </rPr>
      <t>FIT3105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FT_ZJ3118</t>
    </r>
  </si>
  <si>
    <r>
      <rPr>
        <sz val="10"/>
        <rFont val="Noto Sans CJK SC"/>
        <family val="2"/>
      </rPr>
      <t>蒸氨塔进料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</si>
  <si>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蒸氨塔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氨吸收塔的蒸氨塔进料</t>
    </r>
    <r>
      <rPr>
        <sz val="10"/>
        <rFont val="微软雅黑"/>
        <family val="2"/>
        <charset val="134"/>
      </rPr>
      <t>pH</t>
    </r>
  </si>
  <si>
    <t>R2087</t>
  </si>
  <si>
    <t>:Attr_231</t>
  </si>
  <si>
    <t>PH3105A</t>
  </si>
  <si>
    <t>蒸氨塔温度</t>
  </si>
  <si>
    <r>
      <rPr>
        <sz val="10"/>
        <rFont val="Noto Sans CJK SC"/>
        <family val="2"/>
      </rPr>
      <t>蒸氨塔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氨吸收塔的蒸氨塔温度</t>
    </r>
  </si>
  <si>
    <t>R2088</t>
  </si>
  <si>
    <t>:Attr_232</t>
  </si>
  <si>
    <r>
      <rPr>
        <sz val="10"/>
        <rFont val="微软雅黑"/>
        <family val="2"/>
        <charset val="134"/>
      </rPr>
      <t>TE3105A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TE3105B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TE3105C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TE3105D</t>
    </r>
  </si>
  <si>
    <t>氨吸收塔采出流量</t>
  </si>
  <si>
    <r>
      <rPr>
        <sz val="10"/>
        <rFont val="Noto Sans CJK SC"/>
        <family val="2"/>
      </rPr>
      <t>蒸氨塔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氨吸收塔的氨吸收塔采出流量</t>
    </r>
  </si>
  <si>
    <t>R2089</t>
  </si>
  <si>
    <t>:Attr_233</t>
  </si>
  <si>
    <t>FIT3108</t>
  </si>
  <si>
    <t>高效换热器温度</t>
  </si>
  <si>
    <t>酸水高效换热器的高效换热器温度</t>
  </si>
  <si>
    <t>R2090</t>
  </si>
  <si>
    <t>:Attr_234</t>
  </si>
  <si>
    <r>
      <rPr>
        <sz val="10"/>
        <rFont val="微软雅黑"/>
        <family val="2"/>
        <charset val="134"/>
      </rPr>
      <t>FSSGX_TI01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FSSGX_TI02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FSSGX_TI03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FSSGX_TI04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FSSGX_TI05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FSSGX_TI06</t>
    </r>
  </si>
  <si>
    <r>
      <rPr>
        <sz val="10"/>
        <rFont val="Noto Sans CJK SC"/>
        <family val="2"/>
      </rPr>
      <t>废酸水溶媒残留</t>
    </r>
    <r>
      <rPr>
        <sz val="10"/>
        <rFont val="微软雅黑"/>
        <family val="2"/>
        <charset val="134"/>
      </rPr>
      <t>(COD)</t>
    </r>
  </si>
  <si>
    <r>
      <rPr>
        <sz val="10"/>
        <rFont val="Noto Sans CJK SC"/>
        <family val="2"/>
      </rPr>
      <t>废酸水汽提塔</t>
    </r>
    <r>
      <rPr>
        <sz val="10"/>
        <rFont val="微软雅黑"/>
        <family val="2"/>
        <charset val="134"/>
      </rPr>
      <t>A/B/C</t>
    </r>
    <r>
      <rPr>
        <sz val="10"/>
        <rFont val="Noto Sans CJK SC"/>
        <family val="2"/>
      </rPr>
      <t>的废酸水溶媒残留</t>
    </r>
    <r>
      <rPr>
        <sz val="10"/>
        <rFont val="微软雅黑"/>
        <family val="2"/>
        <charset val="134"/>
      </rPr>
      <t>(COD)</t>
    </r>
    <r>
      <rPr>
        <sz val="10"/>
        <rFont val="Noto Sans CJK SC"/>
        <family val="2"/>
      </rPr>
      <t>（机理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化验指标，无直接测点）</t>
    </r>
  </si>
  <si>
    <t>R2091</t>
  </si>
  <si>
    <t>:QKPI_301</t>
  </si>
  <si>
    <t>FIFSAAI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</si>
  <si>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原点描述：废酸水塔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进料流量</t>
    </r>
  </si>
  <si>
    <t>R2092</t>
  </si>
  <si>
    <t>:FIFSAAI</t>
  </si>
  <si>
    <t>FIFSBAI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</si>
  <si>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原点描述：废酸水塔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进料流量</t>
    </r>
  </si>
  <si>
    <t>R2093</t>
  </si>
  <si>
    <t>:FIFSBAI</t>
  </si>
  <si>
    <t>FIFSCAI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</si>
  <si>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原点描述：废酸水塔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进料流量</t>
    </r>
  </si>
  <si>
    <t>R2094</t>
  </si>
  <si>
    <t>:FIFSCAI</t>
  </si>
  <si>
    <t>FIFSASAI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</si>
  <si>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原点描述：废酸水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塔蒸汽流量</t>
    </r>
  </si>
  <si>
    <t>R2095</t>
  </si>
  <si>
    <t>:FIFSASAI</t>
  </si>
  <si>
    <t>FIFSBSAI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</si>
  <si>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原点描述：废酸水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塔蒸汽流量</t>
    </r>
  </si>
  <si>
    <t>R2096</t>
  </si>
  <si>
    <t>:FIFSBSAI</t>
  </si>
  <si>
    <t>FIFSCSAI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</si>
  <si>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原点描述：废酸水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塔蒸汽流量</t>
    </r>
  </si>
  <si>
    <t>R2097</t>
  </si>
  <si>
    <t>:FIFSCSAI</t>
  </si>
  <si>
    <t>TIFSCTAI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</si>
  <si>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原点描述：废酸水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塔顶温度</t>
    </r>
  </si>
  <si>
    <t>R2098</t>
  </si>
  <si>
    <t>:TIFSCTAI</t>
  </si>
  <si>
    <t>TE_9001A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</si>
  <si>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原点描述：废酸水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塔</t>
    </r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温度</t>
    </r>
  </si>
  <si>
    <t>R2099</t>
  </si>
  <si>
    <t>:TE_9001A</t>
  </si>
  <si>
    <t>TE_9001B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</si>
  <si>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原点描述：废酸水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塔</t>
    </r>
    <r>
      <rPr>
        <sz val="10"/>
        <rFont val="微软雅黑"/>
        <family val="2"/>
        <charset val="134"/>
      </rPr>
      <t>2#</t>
    </r>
    <r>
      <rPr>
        <sz val="10"/>
        <rFont val="Noto Sans CJK SC"/>
        <family val="2"/>
      </rPr>
      <t>温度</t>
    </r>
  </si>
  <si>
    <t>R2100</t>
  </si>
  <si>
    <t>:TE_9001B</t>
  </si>
  <si>
    <t>TE_9001C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</si>
  <si>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原点描述：废酸水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塔</t>
    </r>
    <r>
      <rPr>
        <sz val="10"/>
        <rFont val="微软雅黑"/>
        <family val="2"/>
        <charset val="134"/>
      </rPr>
      <t>3#</t>
    </r>
    <r>
      <rPr>
        <sz val="10"/>
        <rFont val="Noto Sans CJK SC"/>
        <family val="2"/>
      </rPr>
      <t>温度</t>
    </r>
  </si>
  <si>
    <t>R2101</t>
  </si>
  <si>
    <t>:TE_9001C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</si>
  <si>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原点描述：废酸水进料密度检测</t>
    </r>
  </si>
  <si>
    <t>R2102</t>
  </si>
  <si>
    <t>:DT_9002</t>
  </si>
  <si>
    <t>FIT3105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</si>
  <si>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原点描述：蒸氨塔进料流量</t>
    </r>
  </si>
  <si>
    <t>R2103</t>
  </si>
  <si>
    <t>:FIT3105</t>
  </si>
  <si>
    <t>FT_ZJ3118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</si>
  <si>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原点描述：蒸氨塔新增进料流量计</t>
    </r>
  </si>
  <si>
    <t>R2104</t>
  </si>
  <si>
    <t>:FT_ZJ3118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</si>
  <si>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原点描述：蒸氨塔进料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值</t>
    </r>
  </si>
  <si>
    <t>R2105</t>
  </si>
  <si>
    <t>:PH3105A</t>
  </si>
  <si>
    <t>TE3105A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</si>
  <si>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原点描述：蒸氨塔塔顶温度</t>
    </r>
  </si>
  <si>
    <t>R2106</t>
  </si>
  <si>
    <t>:TE3105A</t>
  </si>
  <si>
    <t>TE3105B</t>
  </si>
  <si>
    <t>R2107</t>
  </si>
  <si>
    <t>:TE3105B</t>
  </si>
  <si>
    <t>TE3105C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</si>
  <si>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原点描述：蒸氨塔塔中下温度</t>
    </r>
  </si>
  <si>
    <t>R2108</t>
  </si>
  <si>
    <t>:TE3105C</t>
  </si>
  <si>
    <t>TE3105D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</si>
  <si>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原点描述：蒸氨塔塔釜温度</t>
    </r>
  </si>
  <si>
    <t>R2109</t>
  </si>
  <si>
    <t>:TE3105D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</si>
  <si>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原点描述：氨吸收塔采出流量</t>
    </r>
  </si>
  <si>
    <t>R2110</t>
  </si>
  <si>
    <t>:FIT3108</t>
  </si>
  <si>
    <t>FSSGX_TI01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</si>
  <si>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原点描述：酸水高效换热器温度</t>
    </r>
    <r>
      <rPr>
        <sz val="10"/>
        <rFont val="微软雅黑"/>
        <family val="2"/>
        <charset val="134"/>
      </rPr>
      <t>01</t>
    </r>
  </si>
  <si>
    <t>R2111</t>
  </si>
  <si>
    <t>:FSSGX_TI01</t>
  </si>
  <si>
    <t>FSSGX_TI02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</si>
  <si>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原点描述：酸水高效换热器温度</t>
    </r>
    <r>
      <rPr>
        <sz val="10"/>
        <rFont val="微软雅黑"/>
        <family val="2"/>
        <charset val="134"/>
      </rPr>
      <t>02</t>
    </r>
  </si>
  <si>
    <t>R2112</t>
  </si>
  <si>
    <t>:FSSGX_TI02</t>
  </si>
  <si>
    <t>FSSGX_TI03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</si>
  <si>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原点描述：酸水高效换热器温度</t>
    </r>
    <r>
      <rPr>
        <sz val="10"/>
        <rFont val="微软雅黑"/>
        <family val="2"/>
        <charset val="134"/>
      </rPr>
      <t>03</t>
    </r>
  </si>
  <si>
    <t>R2113</t>
  </si>
  <si>
    <t>:FSSGX_TI03</t>
  </si>
  <si>
    <t>FSSGX_TI04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</si>
  <si>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原点描述：酸水高效换热器温度</t>
    </r>
    <r>
      <rPr>
        <sz val="10"/>
        <rFont val="微软雅黑"/>
        <family val="2"/>
        <charset val="134"/>
      </rPr>
      <t>04</t>
    </r>
  </si>
  <si>
    <t>R2114</t>
  </si>
  <si>
    <t>:FSSGX_TI04</t>
  </si>
  <si>
    <t>FSSGX_TI05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</si>
  <si>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原点描述：酸水高效换热器温度</t>
    </r>
    <r>
      <rPr>
        <sz val="10"/>
        <rFont val="微软雅黑"/>
        <family val="2"/>
        <charset val="134"/>
      </rPr>
      <t>05</t>
    </r>
  </si>
  <si>
    <t>R2115</t>
  </si>
  <si>
    <t>:FSSGX_TI05</t>
  </si>
  <si>
    <t>FSSGX_TI06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</si>
  <si>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原点描述：酸水高效换热器温度</t>
    </r>
    <r>
      <rPr>
        <sz val="10"/>
        <rFont val="微软雅黑"/>
        <family val="2"/>
        <charset val="134"/>
      </rPr>
      <t>06</t>
    </r>
  </si>
  <si>
    <t>R2116</t>
  </si>
  <si>
    <t>:FSSGX_TI06</t>
  </si>
  <si>
    <t>去回收</t>
  </si>
  <si>
    <t>R2117</t>
  </si>
  <si>
    <t>R2118</t>
  </si>
  <si>
    <t>汽提过程</t>
  </si>
  <si>
    <t>R2119</t>
  </si>
  <si>
    <t>R2120</t>
  </si>
  <si>
    <t>塔顶溶媒</t>
  </si>
  <si>
    <t>R2121</t>
  </si>
  <si>
    <t>回收氨水成品（新增氨水成品罐）</t>
  </si>
  <si>
    <t>R2122</t>
  </si>
  <si>
    <t>含铵母液蒸氨（推断）</t>
  </si>
  <si>
    <t>R2123</t>
  </si>
  <si>
    <t>汽提蒸汽量越大溶媒回收越彻底</t>
  </si>
  <si>
    <t>R2124</t>
  </si>
  <si>
    <t>R2125</t>
  </si>
  <si>
    <t>R2126</t>
  </si>
  <si>
    <t>吸附与树脂解析（辅助）</t>
  </si>
  <si>
    <t>吸附柱组</t>
  </si>
  <si>
    <t>吸附与树脂解析（辅助）包含吸附柱“吸附柱组”</t>
  </si>
  <si>
    <t>S21</t>
  </si>
  <si>
    <t>R2127</t>
  </si>
  <si>
    <t>:Area_S21_AdsorptionElution</t>
  </si>
  <si>
    <t>:AdsorptionColumns</t>
  </si>
  <si>
    <r>
      <rPr>
        <sz val="10"/>
        <rFont val="Noto Sans CJK SC"/>
        <family val="2"/>
      </rPr>
      <t>吸附柱</t>
    </r>
    <r>
      <rPr>
        <sz val="10"/>
        <rFont val="微软雅黑"/>
        <family val="2"/>
        <charset val="134"/>
      </rPr>
      <t>542127A–C</t>
    </r>
  </si>
  <si>
    <r>
      <rPr>
        <sz val="10"/>
        <rFont val="Noto Sans CJK SC"/>
        <family val="2"/>
      </rPr>
      <t>吸附柱组的并联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</si>
  <si>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R2128</t>
  </si>
  <si>
    <t>:AdsorptionColumns_M01</t>
  </si>
  <si>
    <r>
      <rPr>
        <sz val="10"/>
        <rFont val="Noto Sans CJK SC"/>
        <family val="2"/>
      </rPr>
      <t>吸附柱</t>
    </r>
    <r>
      <rPr>
        <sz val="10"/>
        <rFont val="微软雅黑"/>
        <family val="2"/>
        <charset val="134"/>
      </rPr>
      <t>542128A–C</t>
    </r>
  </si>
  <si>
    <t>R2129</t>
  </si>
  <si>
    <t>:AdsorptionColumns_M02</t>
  </si>
  <si>
    <r>
      <rPr>
        <sz val="10"/>
        <rFont val="Noto Sans CJK SC"/>
        <family val="2"/>
      </rPr>
      <t>吸附柱</t>
    </r>
    <r>
      <rPr>
        <sz val="10"/>
        <rFont val="微软雅黑"/>
        <family val="2"/>
        <charset val="134"/>
      </rPr>
      <t>542129A–C</t>
    </r>
  </si>
  <si>
    <t>R2130</t>
  </si>
  <si>
    <t>:AdsorptionColumns_M03</t>
  </si>
  <si>
    <r>
      <rPr>
        <sz val="10"/>
        <rFont val="Noto Sans CJK SC"/>
        <family val="2"/>
      </rPr>
      <t>吸附柱组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进料流量计</t>
    </r>
  </si>
  <si>
    <t>吸附柱组配置进料流量计</t>
  </si>
  <si>
    <t>R2131</t>
  </si>
  <si>
    <t>:AdsorptionColumns_P01</t>
  </si>
  <si>
    <r>
      <rPr>
        <sz val="10"/>
        <rFont val="Noto Sans CJK SC"/>
        <family val="2"/>
      </rPr>
      <t>吸附柱组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甲醇进口</t>
    </r>
  </si>
  <si>
    <t>吸附柱组配置甲醇进口</t>
  </si>
  <si>
    <t>R2132</t>
  </si>
  <si>
    <t>:AdsorptionColumns_P02</t>
  </si>
  <si>
    <r>
      <rPr>
        <sz val="10"/>
        <rFont val="Noto Sans CJK SC"/>
        <family val="2"/>
      </rPr>
      <t>解析液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水洗液收集罐</t>
    </r>
  </si>
  <si>
    <r>
      <rPr>
        <sz val="10"/>
        <rFont val="Noto Sans CJK SC"/>
        <family val="2"/>
      </rPr>
      <t>吸附与树脂解析（辅助）包含储罐“解析液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水洗液收集罐”</t>
    </r>
  </si>
  <si>
    <t>R2133</t>
  </si>
  <si>
    <t>:ElutionCollectTanks</t>
  </si>
  <si>
    <r>
      <rPr>
        <sz val="10"/>
        <rFont val="Noto Sans CJK SC"/>
        <family val="2"/>
      </rPr>
      <t>解析液收集罐</t>
    </r>
    <r>
      <rPr>
        <sz val="10"/>
        <rFont val="微软雅黑"/>
        <family val="2"/>
        <charset val="134"/>
      </rPr>
      <t>A–C</t>
    </r>
  </si>
  <si>
    <r>
      <rPr>
        <sz val="10"/>
        <rFont val="Noto Sans CJK SC"/>
        <family val="2"/>
      </rPr>
      <t>解析液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水洗液收集罐的并联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</si>
  <si>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R2134</t>
  </si>
  <si>
    <t>:ElutionCollectTanks_M01</t>
  </si>
  <si>
    <t>水洗液收集罐</t>
  </si>
  <si>
    <t>R2135</t>
  </si>
  <si>
    <t>:ElutionCollectTanks_M02</t>
  </si>
  <si>
    <r>
      <rPr>
        <sz val="10"/>
        <rFont val="Noto Sans CJK SC"/>
        <family val="2"/>
      </rPr>
      <t>水洗液中转罐</t>
    </r>
    <r>
      <rPr>
        <sz val="10"/>
        <rFont val="微软雅黑"/>
        <family val="2"/>
        <charset val="134"/>
      </rPr>
      <t>A/B</t>
    </r>
  </si>
  <si>
    <t>R2136</t>
  </si>
  <si>
    <t>:ElutionCollectTanks_M03</t>
  </si>
  <si>
    <r>
      <rPr>
        <sz val="10"/>
        <rFont val="Noto Sans CJK SC"/>
        <family val="2"/>
      </rPr>
      <t>粗品结晶罐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精制溶解罐</t>
    </r>
  </si>
  <si>
    <r>
      <rPr>
        <sz val="10"/>
        <rFont val="Noto Sans CJK SC"/>
        <family val="2"/>
      </rPr>
      <t>吸附与树脂解析（辅助）包含搅拌结晶罐“粗品结晶罐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精制溶解罐”</t>
    </r>
  </si>
  <si>
    <t>R2137</t>
  </si>
  <si>
    <t>:CrudeCrystallizers</t>
  </si>
  <si>
    <r>
      <rPr>
        <sz val="10"/>
        <rFont val="Noto Sans CJK SC"/>
        <family val="2"/>
      </rPr>
      <t>粗品结晶罐</t>
    </r>
    <r>
      <rPr>
        <sz val="10"/>
        <rFont val="微软雅黑"/>
        <family val="2"/>
        <charset val="134"/>
      </rPr>
      <t>A–E</t>
    </r>
  </si>
  <si>
    <r>
      <rPr>
        <sz val="10"/>
        <rFont val="Noto Sans CJK SC"/>
        <family val="2"/>
      </rPr>
      <t>粗品结晶罐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精制溶解罐的并联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</si>
  <si>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R2138</t>
  </si>
  <si>
    <t>:CrudeCrystallizers_M01</t>
  </si>
  <si>
    <r>
      <rPr>
        <sz val="10"/>
        <rFont val="Noto Sans CJK SC"/>
        <family val="2"/>
      </rPr>
      <t>精制溶解罐</t>
    </r>
    <r>
      <rPr>
        <sz val="10"/>
        <rFont val="微软雅黑"/>
        <family val="2"/>
        <charset val="134"/>
      </rPr>
      <t>A/B</t>
    </r>
  </si>
  <si>
    <t>R2139</t>
  </si>
  <si>
    <t>:CrudeCrystallizers_M02</t>
  </si>
  <si>
    <r>
      <rPr>
        <sz val="10"/>
        <rFont val="Noto Sans CJK SC"/>
        <family val="2"/>
      </rPr>
      <t>粗品结晶罐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精制溶解罐</t>
    </r>
    <r>
      <rPr>
        <sz val="10"/>
        <rFont val="微软雅黑"/>
        <family val="2"/>
        <charset val="134"/>
      </rPr>
      <t>·pH</t>
    </r>
    <r>
      <rPr>
        <sz val="10"/>
        <rFont val="Noto Sans CJK SC"/>
        <family val="2"/>
      </rPr>
      <t>计</t>
    </r>
  </si>
  <si>
    <r>
      <rPr>
        <sz val="10"/>
        <rFont val="Noto Sans CJK SC"/>
        <family val="2"/>
      </rPr>
      <t>粗品结晶罐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精制溶解罐配置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</t>
    </r>
  </si>
  <si>
    <t>R2140</t>
  </si>
  <si>
    <t>:CrudeCrystallizers_P01</t>
  </si>
  <si>
    <r>
      <rPr>
        <sz val="10"/>
        <rFont val="Noto Sans CJK SC"/>
        <family val="2"/>
      </rPr>
      <t>丙酮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甲醇计量与回收罐</t>
    </r>
  </si>
  <si>
    <r>
      <rPr>
        <sz val="10"/>
        <rFont val="Noto Sans CJK SC"/>
        <family val="2"/>
      </rPr>
      <t>吸附与树脂解析（辅助）包含计量罐“丙酮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甲醇计量与回收罐”</t>
    </r>
  </si>
  <si>
    <t>R2141</t>
  </si>
  <si>
    <t>:SolventMeterTanks</t>
  </si>
  <si>
    <r>
      <rPr>
        <sz val="10"/>
        <rFont val="Noto Sans CJK SC"/>
        <family val="2"/>
      </rPr>
      <t>丙酮计量罐</t>
    </r>
    <r>
      <rPr>
        <sz val="10"/>
        <rFont val="微软雅黑"/>
        <family val="2"/>
        <charset val="134"/>
      </rPr>
      <t>A/B</t>
    </r>
  </si>
  <si>
    <r>
      <rPr>
        <sz val="10"/>
        <rFont val="Noto Sans CJK SC"/>
        <family val="2"/>
      </rPr>
      <t>丙酮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甲醇计量与回收罐的并联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</si>
  <si>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R2142</t>
  </si>
  <si>
    <t>:SolventMeterTanks_M01</t>
  </si>
  <si>
    <r>
      <rPr>
        <sz val="10"/>
        <rFont val="Noto Sans CJK SC"/>
        <family val="2"/>
      </rPr>
      <t>甲醇待检罐</t>
    </r>
    <r>
      <rPr>
        <sz val="10"/>
        <rFont val="微软雅黑"/>
        <family val="2"/>
        <charset val="134"/>
      </rPr>
      <t>A/B</t>
    </r>
  </si>
  <si>
    <t>R2143</t>
  </si>
  <si>
    <t>:SolventMeterTanks_M02</t>
  </si>
  <si>
    <r>
      <rPr>
        <sz val="10"/>
        <rFont val="Noto Sans CJK SC"/>
        <family val="2"/>
      </rPr>
      <t>丙酮母液罐</t>
    </r>
    <r>
      <rPr>
        <sz val="10"/>
        <rFont val="微软雅黑"/>
        <family val="2"/>
        <charset val="134"/>
      </rPr>
      <t>A/B</t>
    </r>
  </si>
  <si>
    <t>R2144</t>
  </si>
  <si>
    <t>:SolventMeterTanks_M03</t>
  </si>
  <si>
    <r>
      <rPr>
        <sz val="10"/>
        <rFont val="Noto Sans CJK SC"/>
        <family val="2"/>
      </rPr>
      <t>丙酮待检罐</t>
    </r>
    <r>
      <rPr>
        <sz val="10"/>
        <rFont val="微软雅黑"/>
        <family val="2"/>
        <charset val="134"/>
      </rPr>
      <t>A/B</t>
    </r>
  </si>
  <si>
    <t>R2145</t>
  </si>
  <si>
    <t>:SolventMeterTanks_M04</t>
  </si>
  <si>
    <t>吸附柱进料流量</t>
  </si>
  <si>
    <t>吸附柱组的吸附柱进料流量</t>
  </si>
  <si>
    <t>R2146</t>
  </si>
  <si>
    <t>:Attr_235</t>
  </si>
  <si>
    <r>
      <rPr>
        <sz val="10"/>
        <rFont val="微软雅黑"/>
        <family val="2"/>
        <charset val="134"/>
      </rPr>
      <t>FIR542127A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FIR542128A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FIR542129A</t>
    </r>
  </si>
  <si>
    <t>吸附柱进甲醇流量</t>
  </si>
  <si>
    <t>解析剂流量</t>
  </si>
  <si>
    <t>R2147</t>
  </si>
  <si>
    <t>:Attr_236</t>
  </si>
  <si>
    <r>
      <rPr>
        <sz val="10"/>
        <rFont val="微软雅黑"/>
        <family val="2"/>
        <charset val="134"/>
      </rPr>
      <t>FIR542133A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FIR542134A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FIR542135A</t>
    </r>
  </si>
  <si>
    <r>
      <rPr>
        <sz val="10"/>
        <rFont val="Noto Sans CJK SC"/>
        <family val="2"/>
      </rPr>
      <t>粗品结晶罐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</si>
  <si>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粗品结晶罐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精制溶解罐的粗品结晶罐</t>
    </r>
    <r>
      <rPr>
        <sz val="10"/>
        <rFont val="微软雅黑"/>
        <family val="2"/>
        <charset val="134"/>
      </rPr>
      <t>pH</t>
    </r>
  </si>
  <si>
    <t>R2148</t>
  </si>
  <si>
    <t>:Attr_237</t>
  </si>
  <si>
    <r>
      <rPr>
        <sz val="10"/>
        <rFont val="微软雅黑"/>
        <family val="2"/>
        <charset val="134"/>
      </rPr>
      <t>APHIR542120A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APHIR542120B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APHIR542120C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APHIR542120D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APHIR542120E</t>
    </r>
  </si>
  <si>
    <t>丙酮计量流量</t>
  </si>
  <si>
    <r>
      <rPr>
        <sz val="10"/>
        <rFont val="Noto Sans CJK SC"/>
        <family val="2"/>
      </rPr>
      <t>丙酮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甲醇计量与回收罐的丙酮计量流量</t>
    </r>
  </si>
  <si>
    <t>R2149</t>
  </si>
  <si>
    <t>:Attr_238</t>
  </si>
  <si>
    <r>
      <rPr>
        <sz val="10"/>
        <rFont val="微软雅黑"/>
        <family val="2"/>
        <charset val="134"/>
      </rPr>
      <t>FIR542136A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FIR542136B</t>
    </r>
  </si>
  <si>
    <t>FIR542127A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</si>
  <si>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FIR542127A</t>
    </r>
    <r>
      <rPr>
        <sz val="10"/>
        <rFont val="Noto Sans CJK SC"/>
        <family val="2"/>
      </rPr>
      <t>吸附柱进料流量</t>
    </r>
  </si>
  <si>
    <t>R2150</t>
  </si>
  <si>
    <t>:FIR542127A</t>
  </si>
  <si>
    <t>FIR542128A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</si>
  <si>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FIR542128A</t>
    </r>
    <r>
      <rPr>
        <sz val="10"/>
        <rFont val="Noto Sans CJK SC"/>
        <family val="2"/>
      </rPr>
      <t>吸附柱进料流量</t>
    </r>
  </si>
  <si>
    <t>R2151</t>
  </si>
  <si>
    <t>:FIR542128A</t>
  </si>
  <si>
    <t>FIR542129A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</si>
  <si>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FIR542129A</t>
    </r>
    <r>
      <rPr>
        <sz val="10"/>
        <rFont val="Noto Sans CJK SC"/>
        <family val="2"/>
      </rPr>
      <t>吸附柱进料流量</t>
    </r>
  </si>
  <si>
    <t>R2152</t>
  </si>
  <si>
    <t>:FIR542129A</t>
  </si>
  <si>
    <t>FIR542133A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</si>
  <si>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FIR542133A</t>
    </r>
    <r>
      <rPr>
        <sz val="10"/>
        <rFont val="Noto Sans CJK SC"/>
        <family val="2"/>
      </rPr>
      <t>吸附柱进甲醇流量</t>
    </r>
  </si>
  <si>
    <t>R2153</t>
  </si>
  <si>
    <t>:FIR542133A</t>
  </si>
  <si>
    <t>FIR542134A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</si>
  <si>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FIR542134A</t>
    </r>
    <r>
      <rPr>
        <sz val="10"/>
        <rFont val="Noto Sans CJK SC"/>
        <family val="2"/>
      </rPr>
      <t>吸附柱进甲醇流量</t>
    </r>
  </si>
  <si>
    <t>R2154</t>
  </si>
  <si>
    <t>:FIR542134A</t>
  </si>
  <si>
    <t>FIR542135A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</si>
  <si>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FIR542135A</t>
    </r>
    <r>
      <rPr>
        <sz val="10"/>
        <rFont val="Noto Sans CJK SC"/>
        <family val="2"/>
      </rPr>
      <t>吸附柱进甲醇流量</t>
    </r>
  </si>
  <si>
    <t>R2155</t>
  </si>
  <si>
    <t>:FIR542135A</t>
  </si>
  <si>
    <t>APHIR542120A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</si>
  <si>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APHIR542120A</t>
    </r>
    <r>
      <rPr>
        <sz val="10"/>
        <rFont val="Noto Sans CJK SC"/>
        <family val="2"/>
      </rPr>
      <t>粗品结晶罐</t>
    </r>
    <r>
      <rPr>
        <sz val="10"/>
        <rFont val="微软雅黑"/>
        <family val="2"/>
        <charset val="134"/>
      </rPr>
      <t>PH</t>
    </r>
  </si>
  <si>
    <t>R2156</t>
  </si>
  <si>
    <t>:APHIR542120A</t>
  </si>
  <si>
    <t>APHIR542120B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</si>
  <si>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APHIR542120B</t>
    </r>
    <r>
      <rPr>
        <sz val="10"/>
        <rFont val="Noto Sans CJK SC"/>
        <family val="2"/>
      </rPr>
      <t>粗品结晶罐</t>
    </r>
    <r>
      <rPr>
        <sz val="10"/>
        <rFont val="微软雅黑"/>
        <family val="2"/>
        <charset val="134"/>
      </rPr>
      <t>PH</t>
    </r>
  </si>
  <si>
    <t>R2157</t>
  </si>
  <si>
    <t>:APHIR542120B</t>
  </si>
  <si>
    <t>APHIR542120C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</si>
  <si>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APHIR542120C</t>
    </r>
    <r>
      <rPr>
        <sz val="10"/>
        <rFont val="Noto Sans CJK SC"/>
        <family val="2"/>
      </rPr>
      <t>粗品结晶罐</t>
    </r>
    <r>
      <rPr>
        <sz val="10"/>
        <rFont val="微软雅黑"/>
        <family val="2"/>
        <charset val="134"/>
      </rPr>
      <t>PH</t>
    </r>
  </si>
  <si>
    <t>R2158</t>
  </si>
  <si>
    <t>:APHIR542120C</t>
  </si>
  <si>
    <t>APHIR542120D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</si>
  <si>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APHIR542120D</t>
    </r>
    <r>
      <rPr>
        <sz val="10"/>
        <rFont val="Noto Sans CJK SC"/>
        <family val="2"/>
      </rPr>
      <t>粗品结晶罐</t>
    </r>
    <r>
      <rPr>
        <sz val="10"/>
        <rFont val="微软雅黑"/>
        <family val="2"/>
        <charset val="134"/>
      </rPr>
      <t>PH</t>
    </r>
  </si>
  <si>
    <t>R2159</t>
  </si>
  <si>
    <t>:APHIR542120D</t>
  </si>
  <si>
    <t>APHIR542120E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</si>
  <si>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APHIR542120E</t>
    </r>
    <r>
      <rPr>
        <sz val="10"/>
        <rFont val="Noto Sans CJK SC"/>
        <family val="2"/>
      </rPr>
      <t>粗品结晶罐</t>
    </r>
    <r>
      <rPr>
        <sz val="10"/>
        <rFont val="微软雅黑"/>
        <family val="2"/>
        <charset val="134"/>
      </rPr>
      <t>PH</t>
    </r>
  </si>
  <si>
    <t>R2160</t>
  </si>
  <si>
    <t>:APHIR542120E</t>
  </si>
  <si>
    <t>FIR542136A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</si>
  <si>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FIR542136A</t>
    </r>
    <r>
      <rPr>
        <sz val="10"/>
        <rFont val="Noto Sans CJK SC"/>
        <family val="2"/>
      </rPr>
      <t>丙酮计量罐流量</t>
    </r>
  </si>
  <si>
    <t>R2161</t>
  </si>
  <si>
    <t>:FIR542136A</t>
  </si>
  <si>
    <t>FIR542136B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</si>
  <si>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FIR542136B</t>
    </r>
    <r>
      <rPr>
        <sz val="10"/>
        <rFont val="Noto Sans CJK SC"/>
        <family val="2"/>
      </rPr>
      <t>丙酮计量罐流量</t>
    </r>
  </si>
  <si>
    <t>R2162</t>
  </si>
  <si>
    <t>:FIR542136B</t>
  </si>
  <si>
    <t>解析液收集</t>
  </si>
  <si>
    <t>解析过程</t>
  </si>
  <si>
    <t>R2163</t>
  </si>
  <si>
    <r>
      <rPr>
        <sz val="10"/>
        <rFont val="Noto Sans CJK SC"/>
        <family val="2"/>
      </rPr>
      <t>甲醇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丙酮解析剂</t>
    </r>
  </si>
  <si>
    <t>R2164</t>
  </si>
  <si>
    <t>R2165</t>
  </si>
  <si>
    <t>公用工程</t>
  </si>
  <si>
    <t>衔接物料：冷盐水。水解液换热器、重相缓冲罐换热器冷媒</t>
  </si>
  <si>
    <t>S22</t>
  </si>
  <si>
    <t>R2166</t>
  </si>
  <si>
    <t>:Area_S22_Utilities</t>
  </si>
  <si>
    <r>
      <rPr>
        <sz val="10"/>
        <rFont val="Noto Sans CJK SC"/>
        <family val="2"/>
      </rPr>
      <t>衔接物料：冷盐水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热水。冷凝器冷盐水分阀、热水罐</t>
    </r>
  </si>
  <si>
    <t>R2167</t>
  </si>
  <si>
    <r>
      <rPr>
        <sz val="10"/>
        <rFont val="Noto Sans CJK SC"/>
        <family val="2"/>
      </rPr>
      <t>衔接物料：</t>
    </r>
    <r>
      <rPr>
        <sz val="10"/>
        <rFont val="微软雅黑"/>
        <family val="2"/>
        <charset val="134"/>
      </rPr>
      <t>-15℃</t>
    </r>
    <r>
      <rPr>
        <sz val="10"/>
        <rFont val="Noto Sans CJK SC"/>
        <family val="2"/>
      </rPr>
      <t>冷水</t>
    </r>
    <r>
      <rPr>
        <sz val="10"/>
        <rFont val="微软雅黑"/>
        <family val="2"/>
        <charset val="134"/>
      </rPr>
      <t>/30℃</t>
    </r>
    <r>
      <rPr>
        <sz val="10"/>
        <rFont val="Noto Sans CJK SC"/>
        <family val="2"/>
      </rPr>
      <t>热水。</t>
    </r>
    <r>
      <rPr>
        <sz val="10"/>
        <rFont val="微软雅黑"/>
        <family val="2"/>
        <charset val="134"/>
      </rPr>
      <t>E101</t>
    </r>
    <r>
      <rPr>
        <sz val="10"/>
        <rFont val="Noto Sans CJK SC"/>
        <family val="2"/>
      </rPr>
      <t>与结晶罐温控介质</t>
    </r>
  </si>
  <si>
    <t>R2168</t>
  </si>
  <si>
    <r>
      <rPr>
        <sz val="10"/>
        <rFont val="Noto Sans CJK SC"/>
        <family val="2"/>
      </rPr>
      <t>衔接物料：蒸汽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真空。干燥加热与真空</t>
    </r>
  </si>
  <si>
    <t>R2169</t>
  </si>
  <si>
    <r>
      <rPr>
        <sz val="10"/>
        <rFont val="Noto Sans CJK SC"/>
        <family val="2"/>
      </rPr>
      <t>冷冻水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冷盐水系统</t>
    </r>
  </si>
  <si>
    <r>
      <rPr>
        <sz val="10"/>
        <rFont val="Noto Sans CJK SC"/>
        <family val="2"/>
      </rPr>
      <t>公用工程包含冷冻站“冷冻水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冷盐水系统”</t>
    </r>
  </si>
  <si>
    <t>R2170</t>
  </si>
  <si>
    <t>:ChilledWaterSystem</t>
  </si>
  <si>
    <r>
      <rPr>
        <sz val="10"/>
        <rFont val="Noto Sans CJK SC"/>
        <family val="2"/>
      </rPr>
      <t>冷盐水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冰盐水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管网</t>
    </r>
  </si>
  <si>
    <r>
      <rPr>
        <sz val="10"/>
        <rFont val="Noto Sans CJK SC"/>
        <family val="2"/>
      </rPr>
      <t>冷冻水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冷盐水系统的并联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</si>
  <si>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R2171</t>
  </si>
  <si>
    <t>:ChilledWaterSystem_M01</t>
  </si>
  <si>
    <r>
      <rPr>
        <sz val="10"/>
        <rFont val="微软雅黑"/>
        <family val="2"/>
        <charset val="134"/>
      </rPr>
      <t>7℃</t>
    </r>
    <r>
      <rPr>
        <sz val="10"/>
        <rFont val="Noto Sans CJK SC"/>
        <family val="2"/>
      </rPr>
      <t>水管网</t>
    </r>
  </si>
  <si>
    <t>R2172</t>
  </si>
  <si>
    <t>:ChilledWaterSystem_M02</t>
  </si>
  <si>
    <r>
      <rPr>
        <sz val="10"/>
        <rFont val="Noto Sans CJK SC"/>
        <family val="2"/>
      </rPr>
      <t>冷冻水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冷盐水系统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冷盐水总阀</t>
    </r>
    <r>
      <rPr>
        <sz val="10"/>
        <rFont val="微软雅黑"/>
        <family val="2"/>
        <charset val="134"/>
      </rPr>
      <t>HV_1010</t>
    </r>
  </si>
  <si>
    <r>
      <rPr>
        <sz val="10"/>
        <rFont val="Noto Sans CJK SC"/>
        <family val="2"/>
      </rPr>
      <t>冷冻水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冷盐水系统配置冷盐水总阀</t>
    </r>
    <r>
      <rPr>
        <sz val="10"/>
        <rFont val="微软雅黑"/>
        <family val="2"/>
        <charset val="134"/>
      </rPr>
      <t>HV_1010</t>
    </r>
  </si>
  <si>
    <t>R2173</t>
  </si>
  <si>
    <t>:ChilledWaterSystem_P01</t>
  </si>
  <si>
    <r>
      <rPr>
        <sz val="10"/>
        <rFont val="Noto Sans CJK SC"/>
        <family val="2"/>
      </rPr>
      <t>蒸汽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冷凝水系统</t>
    </r>
  </si>
  <si>
    <r>
      <rPr>
        <sz val="10"/>
        <rFont val="Noto Sans CJK SC"/>
        <family val="2"/>
      </rPr>
      <t>公用工程包含公用管网“蒸汽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冷凝水系统”</t>
    </r>
  </si>
  <si>
    <t>R2174</t>
  </si>
  <si>
    <t>:SteamCondensateSystem</t>
  </si>
  <si>
    <r>
      <rPr>
        <sz val="10"/>
        <rFont val="Noto Sans CJK SC"/>
        <family val="2"/>
      </rPr>
      <t>蒸汽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冷凝水系统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冷凝水泵</t>
    </r>
  </si>
  <si>
    <r>
      <rPr>
        <sz val="10"/>
        <rFont val="Noto Sans CJK SC"/>
        <family val="2"/>
      </rPr>
      <t>蒸汽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冷凝水系统配置冷凝水泵</t>
    </r>
  </si>
  <si>
    <t>R2175</t>
  </si>
  <si>
    <t>:SteamCondensateSystem_P01</t>
  </si>
  <si>
    <r>
      <rPr>
        <sz val="10"/>
        <rFont val="Noto Sans CJK SC"/>
        <family val="2"/>
      </rPr>
      <t>蒸汽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冷凝水系统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暖器水罐</t>
    </r>
  </si>
  <si>
    <r>
      <rPr>
        <sz val="10"/>
        <rFont val="Noto Sans CJK SC"/>
        <family val="2"/>
      </rPr>
      <t>蒸汽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冷凝水系统配置暖器水罐</t>
    </r>
  </si>
  <si>
    <t>R2176</t>
  </si>
  <si>
    <t>:SteamCondensateSystem_P02</t>
  </si>
  <si>
    <r>
      <rPr>
        <sz val="10"/>
        <rFont val="Noto Sans CJK SC"/>
        <family val="2"/>
      </rPr>
      <t>工艺水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软水系统</t>
    </r>
  </si>
  <si>
    <r>
      <rPr>
        <sz val="10"/>
        <rFont val="Noto Sans CJK SC"/>
        <family val="2"/>
      </rPr>
      <t>公用工程包含公用管网“工艺水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软水系统”</t>
    </r>
  </si>
  <si>
    <t>R2177</t>
  </si>
  <si>
    <t>:ProcessWaterSystem</t>
  </si>
  <si>
    <r>
      <rPr>
        <sz val="10"/>
        <rFont val="Noto Sans CJK SC"/>
        <family val="2"/>
      </rPr>
      <t>工艺水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软水系统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软水泵</t>
    </r>
  </si>
  <si>
    <r>
      <rPr>
        <sz val="10"/>
        <rFont val="Noto Sans CJK SC"/>
        <family val="2"/>
      </rPr>
      <t>工艺水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软水系统配置软水泵</t>
    </r>
  </si>
  <si>
    <t>R2178</t>
  </si>
  <si>
    <t>:ProcessWaterSystem_P01</t>
  </si>
  <si>
    <r>
      <rPr>
        <sz val="10"/>
        <rFont val="Noto Sans CJK SC"/>
        <family val="2"/>
      </rPr>
      <t>工艺水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软水系统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软水总阀</t>
    </r>
  </si>
  <si>
    <r>
      <rPr>
        <sz val="10"/>
        <rFont val="Noto Sans CJK SC"/>
        <family val="2"/>
      </rPr>
      <t>工艺水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软水系统配置软水总阀</t>
    </r>
  </si>
  <si>
    <t>R2179</t>
  </si>
  <si>
    <t>:ProcessWaterSystem_P02</t>
  </si>
  <si>
    <r>
      <rPr>
        <sz val="10"/>
        <rFont val="Noto Sans CJK SC"/>
        <family val="2"/>
      </rPr>
      <t>车间暖通排风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送风系统</t>
    </r>
  </si>
  <si>
    <r>
      <rPr>
        <sz val="10"/>
        <rFont val="Noto Sans CJK SC"/>
        <family val="2"/>
      </rPr>
      <t>公用工程包含暖通“车间暖通排风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送风系统”</t>
    </r>
  </si>
  <si>
    <t>R2180</t>
  </si>
  <si>
    <t>:HVACSystem</t>
  </si>
  <si>
    <r>
      <rPr>
        <sz val="10"/>
        <rFont val="微软雅黑"/>
        <family val="2"/>
        <charset val="134"/>
      </rPr>
      <t>F1–F5</t>
    </r>
    <r>
      <rPr>
        <sz val="10"/>
        <rFont val="Noto Sans CJK SC"/>
        <family val="2"/>
      </rPr>
      <t>排风机</t>
    </r>
  </si>
  <si>
    <r>
      <rPr>
        <sz val="10"/>
        <rFont val="Noto Sans CJK SC"/>
        <family val="2"/>
      </rPr>
      <t>车间暖通排风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送风系统的并联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</si>
  <si>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R2181</t>
  </si>
  <si>
    <t>:HVACSystem_M01</t>
  </si>
  <si>
    <r>
      <rPr>
        <sz val="10"/>
        <rFont val="微软雅黑"/>
        <family val="2"/>
        <charset val="134"/>
      </rPr>
      <t>P1–P11/S1–S14</t>
    </r>
    <r>
      <rPr>
        <sz val="10"/>
        <rFont val="Noto Sans CJK SC"/>
        <family val="2"/>
      </rPr>
      <t>变频器</t>
    </r>
  </si>
  <si>
    <t>R2182</t>
  </si>
  <si>
    <t>:HVACSystem_M02</t>
  </si>
  <si>
    <r>
      <rPr>
        <sz val="10"/>
        <rFont val="微软雅黑"/>
        <family val="2"/>
        <charset val="134"/>
      </rPr>
      <t>101–115</t>
    </r>
    <r>
      <rPr>
        <sz val="10"/>
        <rFont val="Noto Sans CJK SC"/>
        <family val="2"/>
      </rPr>
      <t>送风管</t>
    </r>
  </si>
  <si>
    <t>R2183</t>
  </si>
  <si>
    <t>:HVACSystem_M03</t>
  </si>
  <si>
    <r>
      <rPr>
        <sz val="10"/>
        <rFont val="Noto Sans CJK SC"/>
        <family val="2"/>
      </rPr>
      <t>车间暖通排风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送风系统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电动调节阀</t>
    </r>
    <r>
      <rPr>
        <sz val="10"/>
        <rFont val="微软雅黑"/>
        <family val="2"/>
        <charset val="134"/>
      </rPr>
      <t>DV_101~118</t>
    </r>
  </si>
  <si>
    <r>
      <rPr>
        <sz val="10"/>
        <rFont val="Noto Sans CJK SC"/>
        <family val="2"/>
      </rPr>
      <t>车间暖通排风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送风系统配置电动调节阀</t>
    </r>
    <r>
      <rPr>
        <sz val="10"/>
        <rFont val="微软雅黑"/>
        <family val="2"/>
        <charset val="134"/>
      </rPr>
      <t>DV_101~118</t>
    </r>
  </si>
  <si>
    <t>R2184</t>
  </si>
  <si>
    <t>:HVACSystem_P01</t>
  </si>
  <si>
    <r>
      <rPr>
        <sz val="10"/>
        <rFont val="Noto Sans CJK SC"/>
        <family val="2"/>
      </rPr>
      <t>压缩空气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仪表气系统</t>
    </r>
  </si>
  <si>
    <r>
      <rPr>
        <sz val="10"/>
        <rFont val="Noto Sans CJK SC"/>
        <family val="2"/>
      </rPr>
      <t>公用工程包含公用管网“压缩空气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仪表气系统”</t>
    </r>
  </si>
  <si>
    <t>R2185</t>
  </si>
  <si>
    <t>:InstrumentAirSystem</t>
  </si>
  <si>
    <t>压缩空气罐</t>
  </si>
  <si>
    <r>
      <rPr>
        <sz val="10"/>
        <rFont val="Noto Sans CJK SC"/>
        <family val="2"/>
      </rPr>
      <t>压缩空气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仪表气系统的并联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</si>
  <si>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R2186</t>
  </si>
  <si>
    <t>:InstrumentAirSystem_M01</t>
  </si>
  <si>
    <t>仪表气罐</t>
  </si>
  <si>
    <t>R2187</t>
  </si>
  <si>
    <t>:InstrumentAirSystem_M02</t>
  </si>
  <si>
    <t>冰盐水流量</t>
  </si>
  <si>
    <r>
      <rPr>
        <sz val="10"/>
        <rFont val="Noto Sans CJK SC"/>
        <family val="2"/>
      </rPr>
      <t>冷冻水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冷盐水系统的冰盐水流量</t>
    </r>
  </si>
  <si>
    <t>R2188</t>
  </si>
  <si>
    <t>:Attr_239</t>
  </si>
  <si>
    <t>FT_BYSC</t>
  </si>
  <si>
    <r>
      <rPr>
        <sz val="10"/>
        <rFont val="微软雅黑"/>
        <family val="2"/>
        <charset val="134"/>
      </rPr>
      <t>7℃</t>
    </r>
    <r>
      <rPr>
        <sz val="10"/>
        <rFont val="Noto Sans CJK SC"/>
        <family val="2"/>
      </rPr>
      <t>水流量</t>
    </r>
  </si>
  <si>
    <r>
      <rPr>
        <sz val="10"/>
        <rFont val="Noto Sans CJK SC"/>
        <family val="2"/>
      </rPr>
      <t>冷冻水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冷盐水系统的</t>
    </r>
    <r>
      <rPr>
        <sz val="10"/>
        <rFont val="微软雅黑"/>
        <family val="2"/>
        <charset val="134"/>
      </rPr>
      <t>7℃</t>
    </r>
    <r>
      <rPr>
        <sz val="10"/>
        <rFont val="Noto Sans CJK SC"/>
        <family val="2"/>
      </rPr>
      <t>水流量</t>
    </r>
  </si>
  <si>
    <t>R2189</t>
  </si>
  <si>
    <t>:Attr_240</t>
  </si>
  <si>
    <r>
      <rPr>
        <sz val="10"/>
        <rFont val="微软雅黑"/>
        <family val="2"/>
        <charset val="134"/>
      </rPr>
      <t>FT_7DSC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FI7AI</t>
    </r>
  </si>
  <si>
    <r>
      <rPr>
        <sz val="10"/>
        <rFont val="微软雅黑"/>
        <family val="2"/>
        <charset val="134"/>
      </rPr>
      <t>7℃</t>
    </r>
    <r>
      <rPr>
        <sz val="10"/>
        <rFont val="Noto Sans CJK SC"/>
        <family val="2"/>
      </rPr>
      <t>水压力</t>
    </r>
  </si>
  <si>
    <t>末端压力</t>
  </si>
  <si>
    <t>R2190</t>
  </si>
  <si>
    <t>:Attr_241</t>
  </si>
  <si>
    <r>
      <rPr>
        <sz val="10"/>
        <rFont val="微软雅黑"/>
        <family val="2"/>
        <charset val="134"/>
      </rPr>
      <t>PI7AI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PT_3079</t>
    </r>
  </si>
  <si>
    <t>锅炉去冷凝水流量</t>
  </si>
  <si>
    <r>
      <rPr>
        <sz val="10"/>
        <rFont val="Noto Sans CJK SC"/>
        <family val="2"/>
      </rPr>
      <t>蒸汽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冷凝水系统的锅炉去冷凝水流量</t>
    </r>
  </si>
  <si>
    <t>R2191</t>
  </si>
  <si>
    <t>:Attr_242</t>
  </si>
  <si>
    <t>GLFIETZQAI</t>
  </si>
  <si>
    <t>工艺水流量</t>
  </si>
  <si>
    <r>
      <rPr>
        <sz val="10"/>
        <rFont val="Noto Sans CJK SC"/>
        <family val="2"/>
      </rPr>
      <t>工艺水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软水系统的工艺水流量</t>
    </r>
  </si>
  <si>
    <t>R2192</t>
  </si>
  <si>
    <t>:Attr_243</t>
  </si>
  <si>
    <t>FIT3118</t>
  </si>
  <si>
    <t>送风管温度</t>
  </si>
  <si>
    <r>
      <rPr>
        <sz val="10"/>
        <rFont val="Noto Sans CJK SC"/>
        <family val="2"/>
      </rPr>
      <t>车间暖通排风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送风系统的送风管温度</t>
    </r>
  </si>
  <si>
    <t>R2193</t>
  </si>
  <si>
    <t>:Attr_244</t>
  </si>
  <si>
    <r>
      <rPr>
        <sz val="10"/>
        <rFont val="微软雅黑"/>
        <family val="2"/>
        <charset val="134"/>
      </rPr>
      <t>WS_101_01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WS_102_01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WS_103_01</t>
    </r>
  </si>
  <si>
    <t>送风管湿度</t>
  </si>
  <si>
    <r>
      <rPr>
        <sz val="10"/>
        <rFont val="Noto Sans CJK SC"/>
        <family val="2"/>
      </rPr>
      <t>车间暖通排风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送风系统的送风管湿度</t>
    </r>
  </si>
  <si>
    <t>R2194</t>
  </si>
  <si>
    <t>:Attr_245</t>
  </si>
  <si>
    <r>
      <rPr>
        <sz val="10"/>
        <rFont val="微软雅黑"/>
        <family val="2"/>
        <charset val="134"/>
      </rPr>
      <t>WS_101_02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WS_102_02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WS_103_02</t>
    </r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</si>
  <si>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原点描述：冰盐水流量</t>
    </r>
  </si>
  <si>
    <t>R2195</t>
  </si>
  <si>
    <t>:FT_BYSC</t>
  </si>
  <si>
    <t>FT_7DSC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</si>
  <si>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7</t>
    </r>
    <r>
      <rPr>
        <sz val="10"/>
        <rFont val="Noto Sans CJK SC"/>
        <family val="2"/>
      </rPr>
      <t>度水流量</t>
    </r>
  </si>
  <si>
    <t>R2196</t>
  </si>
  <si>
    <t>:FT_7DSC</t>
  </si>
  <si>
    <t>FI7AI</t>
  </si>
  <si>
    <t>R2197</t>
  </si>
  <si>
    <t>:FI7AI</t>
  </si>
  <si>
    <t>PI7AI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</si>
  <si>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7</t>
    </r>
    <r>
      <rPr>
        <sz val="10"/>
        <rFont val="Noto Sans CJK SC"/>
        <family val="2"/>
      </rPr>
      <t>度水压力</t>
    </r>
  </si>
  <si>
    <t>R2198</t>
  </si>
  <si>
    <t>:PI7AI</t>
  </si>
  <si>
    <t>PT_3079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</si>
  <si>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7</t>
    </r>
    <r>
      <rPr>
        <sz val="10"/>
        <rFont val="Noto Sans CJK SC"/>
        <family val="2"/>
      </rPr>
      <t>度水进水末端压力</t>
    </r>
  </si>
  <si>
    <t>R2199</t>
  </si>
  <si>
    <t>:PT_3079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</si>
  <si>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原点描述：锅炉去冷凝水流量</t>
    </r>
  </si>
  <si>
    <t>R2200</t>
  </si>
  <si>
    <t>:GLFIETZQAI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</si>
  <si>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原点描述：工艺水流量</t>
    </r>
  </si>
  <si>
    <t>R2201</t>
  </si>
  <si>
    <t>:FIT3118</t>
  </si>
  <si>
    <t>WS_101_01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</si>
  <si>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101</t>
    </r>
    <r>
      <rPr>
        <sz val="10"/>
        <rFont val="Noto Sans CJK SC"/>
        <family val="2"/>
      </rPr>
      <t>送风管温度检测变送</t>
    </r>
  </si>
  <si>
    <t>R2202</t>
  </si>
  <si>
    <t>:WS_101_01</t>
  </si>
  <si>
    <t>WS_102_01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</si>
  <si>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102</t>
    </r>
    <r>
      <rPr>
        <sz val="10"/>
        <rFont val="Noto Sans CJK SC"/>
        <family val="2"/>
      </rPr>
      <t>送风管温度检测变送</t>
    </r>
  </si>
  <si>
    <t>R2203</t>
  </si>
  <si>
    <t>:WS_102_01</t>
  </si>
  <si>
    <t>WS_103_01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</si>
  <si>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103</t>
    </r>
    <r>
      <rPr>
        <sz val="10"/>
        <rFont val="Noto Sans CJK SC"/>
        <family val="2"/>
      </rPr>
      <t>送风管温度检测变送</t>
    </r>
  </si>
  <si>
    <t>R2204</t>
  </si>
  <si>
    <t>:WS_103_01</t>
  </si>
  <si>
    <t>WS_101_02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</si>
  <si>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101</t>
    </r>
    <r>
      <rPr>
        <sz val="10"/>
        <rFont val="Noto Sans CJK SC"/>
        <family val="2"/>
      </rPr>
      <t>送风管湿度检测变送</t>
    </r>
  </si>
  <si>
    <t>R2205</t>
  </si>
  <si>
    <t>:WS_101_02</t>
  </si>
  <si>
    <t>WS_102_02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</si>
  <si>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102</t>
    </r>
    <r>
      <rPr>
        <sz val="10"/>
        <rFont val="Noto Sans CJK SC"/>
        <family val="2"/>
      </rPr>
      <t>送风管湿度检测变送</t>
    </r>
  </si>
  <si>
    <t>R2206</t>
  </si>
  <si>
    <t>:WS_102_02</t>
  </si>
  <si>
    <t>WS_103_02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</si>
  <si>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</t>
    </r>
    <r>
      <rPr>
        <sz val="10"/>
        <rFont val="微软雅黑"/>
        <family val="2"/>
        <charset val="134"/>
      </rPr>
      <t>103</t>
    </r>
    <r>
      <rPr>
        <sz val="10"/>
        <rFont val="Noto Sans CJK SC"/>
        <family val="2"/>
      </rPr>
      <t>送风管湿度检测变送</t>
    </r>
  </si>
  <si>
    <t>R2207</t>
  </si>
  <si>
    <t>:WS_103_02</t>
  </si>
  <si>
    <t>R2208</t>
  </si>
  <si>
    <r>
      <rPr>
        <sz val="10"/>
        <rFont val="微软雅黑"/>
        <family val="2"/>
        <charset val="134"/>
      </rPr>
      <t>7℃</t>
    </r>
    <r>
      <rPr>
        <sz val="10"/>
        <rFont val="Noto Sans CJK SC"/>
        <family val="2"/>
      </rPr>
      <t>水</t>
    </r>
  </si>
  <si>
    <t>R2209</t>
  </si>
  <si>
    <t>:MS_ChilledWater7</t>
  </si>
  <si>
    <t>R2210</t>
  </si>
  <si>
    <t>R2211</t>
  </si>
  <si>
    <t>R2212</t>
  </si>
  <si>
    <r>
      <rPr>
        <sz val="10"/>
        <rFont val="微软雅黑"/>
        <family val="2"/>
        <charset val="134"/>
      </rPr>
      <t>7℃</t>
    </r>
    <r>
      <rPr>
        <sz val="10"/>
        <rFont val="Noto Sans CJK SC"/>
        <family val="2"/>
      </rPr>
      <t>水压力低（冷量不足）时冷凝器出口温度升高</t>
    </r>
  </si>
  <si>
    <t>公用耦合</t>
  </si>
  <si>
    <t>R2213</t>
  </si>
  <si>
    <r>
      <rPr>
        <sz val="10"/>
        <rFont val="微软雅黑"/>
        <family val="2"/>
        <charset val="134"/>
      </rPr>
      <t>PI7AI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PT_3079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TI_1003A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TI_1003B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TI_1003C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TI_1003D</t>
    </r>
  </si>
  <si>
    <t>全厂冷盐水供给波动传导至萃取进料温度</t>
  </si>
  <si>
    <t>R2214</t>
  </si>
  <si>
    <r>
      <rPr>
        <sz val="10"/>
        <rFont val="微软雅黑"/>
        <family val="2"/>
        <charset val="134"/>
      </rPr>
      <t>FT_BYSC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TI_1006A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TI_1006B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TI_1006C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TI_1307D</t>
    </r>
  </si>
  <si>
    <t>尾气压缩机组</t>
  </si>
  <si>
    <t>尾气与环保包含压缩机“尾气压缩机组”</t>
  </si>
  <si>
    <t>S23</t>
  </si>
  <si>
    <t>R2215</t>
  </si>
  <si>
    <t>:OffgasCompressors</t>
  </si>
  <si>
    <r>
      <rPr>
        <sz val="10"/>
        <rFont val="Noto Sans CJK SC"/>
        <family val="2"/>
      </rPr>
      <t>尾气压缩机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</si>
  <si>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尾气压缩机组的并联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</si>
  <si>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R2216</t>
  </si>
  <si>
    <t>:OffgasCompressors_M01</t>
  </si>
  <si>
    <r>
      <rPr>
        <sz val="10"/>
        <rFont val="Noto Sans CJK SC"/>
        <family val="2"/>
      </rPr>
      <t>尾气压缩机</t>
    </r>
    <r>
      <rPr>
        <sz val="10"/>
        <rFont val="微软雅黑"/>
        <family val="2"/>
        <charset val="134"/>
      </rPr>
      <t>B</t>
    </r>
  </si>
  <si>
    <t>R2217</t>
  </si>
  <si>
    <t>:OffgasCompressors_M02</t>
  </si>
  <si>
    <r>
      <rPr>
        <sz val="10"/>
        <rFont val="Noto Sans CJK SC"/>
        <family val="2"/>
      </rPr>
      <t>尾气压缩机</t>
    </r>
    <r>
      <rPr>
        <sz val="10"/>
        <rFont val="微软雅黑"/>
        <family val="2"/>
        <charset val="134"/>
      </rPr>
      <t>C</t>
    </r>
  </si>
  <si>
    <t>R2218</t>
  </si>
  <si>
    <t>:OffgasCompressors_M03</t>
  </si>
  <si>
    <r>
      <rPr>
        <sz val="10"/>
        <rFont val="Noto Sans CJK SC"/>
        <family val="2"/>
      </rPr>
      <t>尾气压缩机组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油泵</t>
    </r>
  </si>
  <si>
    <t>尾气压缩机组配置油泵</t>
  </si>
  <si>
    <t>R2219</t>
  </si>
  <si>
    <t>:OffgasCompressors_P01</t>
  </si>
  <si>
    <r>
      <rPr>
        <sz val="10"/>
        <rFont val="Noto Sans CJK SC"/>
        <family val="2"/>
      </rPr>
      <t>尾气压缩机组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风机</t>
    </r>
  </si>
  <si>
    <t>尾气压缩机组配置风机</t>
  </si>
  <si>
    <t>R2220</t>
  </si>
  <si>
    <t>:OffgasCompressors_P02</t>
  </si>
  <si>
    <r>
      <rPr>
        <sz val="10"/>
        <rFont val="Noto Sans CJK SC"/>
        <family val="2"/>
      </rPr>
      <t>尾气压缩机组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紧急补液阀</t>
    </r>
  </si>
  <si>
    <t>尾气压缩机组配置紧急补液阀</t>
  </si>
  <si>
    <t>R2221</t>
  </si>
  <si>
    <t>:OffgasCompressors_P03</t>
  </si>
  <si>
    <r>
      <rPr>
        <sz val="10"/>
        <rFont val="Noto Sans CJK SC"/>
        <family val="2"/>
      </rPr>
      <t>尾气压缩机组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循环液切断阀</t>
    </r>
  </si>
  <si>
    <t>尾气压缩机组配置循环液切断阀</t>
  </si>
  <si>
    <t>R2222</t>
  </si>
  <si>
    <t>:OffgasCompressors_P04</t>
  </si>
  <si>
    <r>
      <rPr>
        <sz val="10"/>
        <rFont val="Noto Sans CJK SC"/>
        <family val="2"/>
      </rPr>
      <t>尾气喷淋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碱洗塔</t>
    </r>
  </si>
  <si>
    <r>
      <rPr>
        <sz val="10"/>
        <rFont val="Noto Sans CJK SC"/>
        <family val="2"/>
      </rPr>
      <t>尾气与环保包含洗涤塔“尾气喷淋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碱洗塔”</t>
    </r>
  </si>
  <si>
    <t>R2223</t>
  </si>
  <si>
    <t>:OffgasScrubber</t>
  </si>
  <si>
    <r>
      <rPr>
        <sz val="10"/>
        <rFont val="Noto Sans CJK SC"/>
        <family val="2"/>
      </rPr>
      <t>尾气喷淋泵</t>
    </r>
    <r>
      <rPr>
        <sz val="10"/>
        <rFont val="微软雅黑"/>
        <family val="2"/>
        <charset val="134"/>
      </rPr>
      <t>01–04</t>
    </r>
  </si>
  <si>
    <r>
      <rPr>
        <sz val="10"/>
        <rFont val="Noto Sans CJK SC"/>
        <family val="2"/>
      </rPr>
      <t>尾气喷淋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碱洗塔的并联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编号实例</t>
    </r>
  </si>
  <si>
    <t>R2224</t>
  </si>
  <si>
    <t>:OffgasScrubber_M01</t>
  </si>
  <si>
    <t>碱洗塔</t>
  </si>
  <si>
    <t>R2225</t>
  </si>
  <si>
    <t>:OffgasScrubber_M02</t>
  </si>
  <si>
    <r>
      <rPr>
        <sz val="10"/>
        <rFont val="Noto Sans CJK SC"/>
        <family val="2"/>
      </rPr>
      <t>尾气喷淋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碱洗塔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进碱阀</t>
    </r>
  </si>
  <si>
    <r>
      <rPr>
        <sz val="10"/>
        <rFont val="Noto Sans CJK SC"/>
        <family val="2"/>
      </rPr>
      <t>尾气喷淋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碱洗塔配置进碱阀</t>
    </r>
  </si>
  <si>
    <t>R2226</t>
  </si>
  <si>
    <t>:OffgasScrubber_P01</t>
  </si>
  <si>
    <r>
      <rPr>
        <sz val="10"/>
        <rFont val="Noto Sans CJK SC"/>
        <family val="2"/>
      </rPr>
      <t>尾气喷淋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碱洗塔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排液阀</t>
    </r>
  </si>
  <si>
    <r>
      <rPr>
        <sz val="10"/>
        <rFont val="Noto Sans CJK SC"/>
        <family val="2"/>
      </rPr>
      <t>尾气喷淋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碱洗塔配置排液阀</t>
    </r>
  </si>
  <si>
    <t>R2227</t>
  </si>
  <si>
    <t>:OffgasScrubber_P02</t>
  </si>
  <si>
    <t>尾气压缩机频率</t>
  </si>
  <si>
    <t>尾气压缩机组的尾气压缩机频率</t>
  </si>
  <si>
    <t>R2228</t>
  </si>
  <si>
    <t>:Attr_246</t>
  </si>
  <si>
    <r>
      <rPr>
        <sz val="10"/>
        <rFont val="微软雅黑"/>
        <family val="2"/>
        <charset val="134"/>
      </rPr>
      <t>WQ101PL_FK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WQ102PL_FK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WQ103PL_FK</t>
    </r>
  </si>
  <si>
    <t>尾气压缩机电流</t>
  </si>
  <si>
    <t>尾气压缩机组的尾气压缩机电流</t>
  </si>
  <si>
    <t>R2229</t>
  </si>
  <si>
    <t>:Attr_247</t>
  </si>
  <si>
    <r>
      <rPr>
        <sz val="10"/>
        <rFont val="微软雅黑"/>
        <family val="2"/>
        <charset val="134"/>
      </rPr>
      <t>WQ101DL_FK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WQ102DL_FK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WQ103DL_FK</t>
    </r>
  </si>
  <si>
    <t>WQ101PL_FK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</si>
  <si>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原点描述：尾气压缩机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频率反馈</t>
    </r>
  </si>
  <si>
    <t>R2230</t>
  </si>
  <si>
    <t>:WQ101PL_FK</t>
  </si>
  <si>
    <t>WQ102PL_FK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</si>
  <si>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原点描述：尾气压缩机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频率反馈</t>
    </r>
  </si>
  <si>
    <t>R2231</t>
  </si>
  <si>
    <t>:WQ102PL_FK</t>
  </si>
  <si>
    <t>WQ103PL_FK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</si>
  <si>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原点描述：尾气压缩机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频率反馈</t>
    </r>
  </si>
  <si>
    <t>R2232</t>
  </si>
  <si>
    <t>:WQ103PL_FK</t>
  </si>
  <si>
    <t>WQ101DL_FK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</si>
  <si>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原点描述：尾气压缩机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电流反馈</t>
    </r>
  </si>
  <si>
    <t>R2233</t>
  </si>
  <si>
    <t>:WQ101DL_FK</t>
  </si>
  <si>
    <t>WQ102DL_FK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</si>
  <si>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原点描述：尾气压缩机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电流反馈</t>
    </r>
  </si>
  <si>
    <t>R2234</t>
  </si>
  <si>
    <t>:WQ102DL_FK</t>
  </si>
  <si>
    <t>WQ103DL_FK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</si>
  <si>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原点描述：尾气压缩机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电流反馈</t>
    </r>
  </si>
  <si>
    <t>R2235</t>
  </si>
  <si>
    <t>:WQ103DL_FK</t>
  </si>
  <si>
    <t>干燥罐尾气进出口阀→尾气处理</t>
  </si>
  <si>
    <t>尾气处理</t>
  </si>
  <si>
    <t>R2236</t>
  </si>
  <si>
    <t>R2237</t>
  </si>
  <si>
    <t>跨工段协同</t>
  </si>
  <si>
    <t>设备级主链</t>
  </si>
  <si>
    <t>S99</t>
  </si>
  <si>
    <t>R2238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</si>
  <si>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液去薄膜</t>
    </r>
  </si>
  <si>
    <t>R2239</t>
  </si>
  <si>
    <t>水解酶解液出料，作为萃取工段进料</t>
  </si>
  <si>
    <t>R2240</t>
  </si>
  <si>
    <t>R2241</t>
  </si>
  <si>
    <t>R2242</t>
  </si>
  <si>
    <t>一萃重相进二萃</t>
  </si>
  <si>
    <t>R2243</t>
  </si>
  <si>
    <t>R2244</t>
  </si>
  <si>
    <t>R2245</t>
  </si>
  <si>
    <t>反萃重相送苯乙酸回收精馏</t>
  </si>
  <si>
    <t>R2246</t>
  </si>
  <si>
    <t>R2247</t>
  </si>
  <si>
    <t>R2248</t>
  </si>
  <si>
    <t>提取段收率</t>
  </si>
  <si>
    <t>R2249</t>
  </si>
  <si>
    <t>R2250</t>
  </si>
  <si>
    <r>
      <rPr>
        <sz val="10"/>
        <rFont val="Noto Sans CJK SC"/>
        <family val="2"/>
      </rPr>
      <t>水解转化率直接决定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生成上限</t>
    </r>
  </si>
  <si>
    <t>R2251</t>
  </si>
  <si>
    <t>萃取分离损失直接吞噬实际产出</t>
  </si>
  <si>
    <t>R2252</t>
  </si>
  <si>
    <r>
      <rPr>
        <b/>
        <sz val="15"/>
        <color rgb="FF1B365D"/>
        <rFont val="微软雅黑"/>
        <family val="2"/>
        <charset val="134"/>
      </rPr>
      <t xml:space="preserve">6-APA </t>
    </r>
    <r>
      <rPr>
        <b/>
        <sz val="15"/>
        <color rgb="FF1B365D"/>
        <rFont val="Noto Sans CJK SC"/>
        <family val="2"/>
      </rPr>
      <t xml:space="preserve">全流程工段衔接（主流程 </t>
    </r>
    <r>
      <rPr>
        <b/>
        <sz val="15"/>
        <color rgb="FF1B365D"/>
        <rFont val="微软雅黑"/>
        <family val="2"/>
        <charset val="134"/>
      </rPr>
      <t xml:space="preserve">+ </t>
    </r>
    <r>
      <rPr>
        <b/>
        <sz val="15"/>
        <color rgb="FF1B365D"/>
        <rFont val="Noto Sans CJK SC"/>
        <family val="2"/>
      </rPr>
      <t>回收</t>
    </r>
    <r>
      <rPr>
        <b/>
        <sz val="15"/>
        <color rgb="FF1B365D"/>
        <rFont val="微软雅黑"/>
        <family val="2"/>
        <charset val="134"/>
      </rPr>
      <t>/</t>
    </r>
    <r>
      <rPr>
        <b/>
        <sz val="15"/>
        <color rgb="FF1B365D"/>
        <rFont val="Noto Sans CJK SC"/>
        <family val="2"/>
      </rPr>
      <t>公用支线）</t>
    </r>
  </si>
  <si>
    <r>
      <rPr>
        <sz val="10"/>
        <color rgb="FF555555"/>
        <rFont val="Noto Sans CJK SC"/>
        <family val="2"/>
      </rPr>
      <t xml:space="preserve">主流程：发酵滤液 → </t>
    </r>
    <r>
      <rPr>
        <sz val="10"/>
        <color rgb="FF555555"/>
        <rFont val="微软雅黑"/>
        <family val="2"/>
        <charset val="134"/>
      </rPr>
      <t>S01/S02</t>
    </r>
    <r>
      <rPr>
        <sz val="10"/>
        <color rgb="FF555555"/>
        <rFont val="Noto Sans CJK SC"/>
        <family val="2"/>
      </rPr>
      <t xml:space="preserve">提取 → </t>
    </r>
    <r>
      <rPr>
        <sz val="10"/>
        <color rgb="FF555555"/>
        <rFont val="微软雅黑"/>
        <family val="2"/>
        <charset val="134"/>
      </rPr>
      <t>S05</t>
    </r>
    <r>
      <rPr>
        <sz val="10"/>
        <color rgb="FF555555"/>
        <rFont val="Noto Sans CJK SC"/>
        <family val="2"/>
      </rPr>
      <t xml:space="preserve">水洗 → </t>
    </r>
    <r>
      <rPr>
        <sz val="10"/>
        <color rgb="FF555555"/>
        <rFont val="微软雅黑"/>
        <family val="2"/>
        <charset val="134"/>
      </rPr>
      <t>S06</t>
    </r>
    <r>
      <rPr>
        <sz val="10"/>
        <color rgb="FF555555"/>
        <rFont val="Noto Sans CJK SC"/>
        <family val="2"/>
      </rPr>
      <t xml:space="preserve">脱色 → </t>
    </r>
    <r>
      <rPr>
        <sz val="10"/>
        <color rgb="FF555555"/>
        <rFont val="微软雅黑"/>
        <family val="2"/>
        <charset val="134"/>
      </rPr>
      <t>S07</t>
    </r>
    <r>
      <rPr>
        <sz val="10"/>
        <color rgb="FF555555"/>
        <rFont val="Noto Sans CJK SC"/>
        <family val="2"/>
      </rPr>
      <t xml:space="preserve">抽提 → </t>
    </r>
    <r>
      <rPr>
        <sz val="10"/>
        <color rgb="FF555555"/>
        <rFont val="微软雅黑"/>
        <family val="2"/>
        <charset val="134"/>
      </rPr>
      <t>S09</t>
    </r>
    <r>
      <rPr>
        <sz val="10"/>
        <color rgb="FF555555"/>
        <rFont val="Noto Sans CJK SC"/>
        <family val="2"/>
      </rPr>
      <t xml:space="preserve">薄膜 → </t>
    </r>
    <r>
      <rPr>
        <sz val="10"/>
        <color rgb="FF555555"/>
        <rFont val="微软雅黑"/>
        <family val="2"/>
        <charset val="134"/>
      </rPr>
      <t>S11</t>
    </r>
    <r>
      <rPr>
        <sz val="10"/>
        <color rgb="FF555555"/>
        <rFont val="Noto Sans CJK SC"/>
        <family val="2"/>
      </rPr>
      <t xml:space="preserve">酶法水解 → </t>
    </r>
    <r>
      <rPr>
        <sz val="10"/>
        <color rgb="FF555555"/>
        <rFont val="微软雅黑"/>
        <family val="2"/>
        <charset val="134"/>
      </rPr>
      <t>S12</t>
    </r>
    <r>
      <rPr>
        <sz val="10"/>
        <color rgb="FF555555"/>
        <rFont val="Noto Sans CJK SC"/>
        <family val="2"/>
      </rPr>
      <t xml:space="preserve">萃取 → </t>
    </r>
    <r>
      <rPr>
        <sz val="10"/>
        <color rgb="FF555555"/>
        <rFont val="微软雅黑"/>
        <family val="2"/>
        <charset val="134"/>
      </rPr>
      <t>S13/S14</t>
    </r>
    <r>
      <rPr>
        <sz val="10"/>
        <color rgb="FF555555"/>
        <rFont val="Noto Sans CJK SC"/>
        <family val="2"/>
      </rPr>
      <t xml:space="preserve">结晶 → </t>
    </r>
    <r>
      <rPr>
        <sz val="10"/>
        <color rgb="FF555555"/>
        <rFont val="微软雅黑"/>
        <family val="2"/>
        <charset val="134"/>
      </rPr>
      <t>S16</t>
    </r>
    <r>
      <rPr>
        <sz val="10"/>
        <color rgb="FF555555"/>
        <rFont val="Noto Sans CJK SC"/>
        <family val="2"/>
      </rPr>
      <t xml:space="preserve">干燥 → </t>
    </r>
    <r>
      <rPr>
        <sz val="10"/>
        <color rgb="FF555555"/>
        <rFont val="微软雅黑"/>
        <family val="2"/>
        <charset val="134"/>
      </rPr>
      <t>6-APA</t>
    </r>
    <r>
      <rPr>
        <sz val="10"/>
        <color rgb="FF555555"/>
        <rFont val="Noto Sans CJK SC"/>
        <family val="2"/>
      </rPr>
      <t>成品；</t>
    </r>
    <r>
      <rPr>
        <sz val="10"/>
        <color rgb="FF555555"/>
        <rFont val="微软雅黑"/>
        <family val="2"/>
        <charset val="134"/>
      </rPr>
      <t>S03/S04/S10/S15</t>
    </r>
    <r>
      <rPr>
        <sz val="10"/>
        <color rgb="FF555555"/>
        <rFont val="Noto Sans CJK SC"/>
        <family val="2"/>
      </rPr>
      <t>为辅料配制，</t>
    </r>
    <r>
      <rPr>
        <sz val="10"/>
        <color rgb="FF555555"/>
        <rFont val="微软雅黑"/>
        <family val="2"/>
        <charset val="134"/>
      </rPr>
      <t>S08</t>
    </r>
    <r>
      <rPr>
        <sz val="10"/>
        <color rgb="FF555555"/>
        <rFont val="Noto Sans CJK SC"/>
        <family val="2"/>
      </rPr>
      <t>为钾盐副线，</t>
    </r>
    <r>
      <rPr>
        <sz val="10"/>
        <color rgb="FF555555"/>
        <rFont val="微软雅黑"/>
        <family val="2"/>
        <charset val="134"/>
      </rPr>
      <t>S17–S20</t>
    </r>
    <r>
      <rPr>
        <sz val="10"/>
        <color rgb="FF555555"/>
        <rFont val="Noto Sans CJK SC"/>
        <family val="2"/>
      </rPr>
      <t>为母液</t>
    </r>
    <r>
      <rPr>
        <sz val="10"/>
        <color rgb="FF555555"/>
        <rFont val="微软雅黑"/>
        <family val="2"/>
        <charset val="134"/>
      </rPr>
      <t>/</t>
    </r>
    <r>
      <rPr>
        <sz val="10"/>
        <color rgb="FF555555"/>
        <rFont val="Noto Sans CJK SC"/>
        <family val="2"/>
      </rPr>
      <t>溶媒</t>
    </r>
    <r>
      <rPr>
        <sz val="10"/>
        <color rgb="FF555555"/>
        <rFont val="微软雅黑"/>
        <family val="2"/>
        <charset val="134"/>
      </rPr>
      <t>/</t>
    </r>
    <r>
      <rPr>
        <sz val="10"/>
        <color rgb="FF555555"/>
        <rFont val="Noto Sans CJK SC"/>
        <family val="2"/>
      </rPr>
      <t>苯乙酸</t>
    </r>
    <r>
      <rPr>
        <sz val="10"/>
        <color rgb="FF555555"/>
        <rFont val="微软雅黑"/>
        <family val="2"/>
        <charset val="134"/>
      </rPr>
      <t>/</t>
    </r>
    <r>
      <rPr>
        <sz val="10"/>
        <color rgb="FF555555"/>
        <rFont val="Noto Sans CJK SC"/>
        <family val="2"/>
      </rPr>
      <t>废水回收，</t>
    </r>
    <r>
      <rPr>
        <sz val="10"/>
        <color rgb="FF555555"/>
        <rFont val="微软雅黑"/>
        <family val="2"/>
        <charset val="134"/>
      </rPr>
      <t>S22</t>
    </r>
    <r>
      <rPr>
        <sz val="10"/>
        <color rgb="FF555555"/>
        <rFont val="Noto Sans CJK SC"/>
        <family val="2"/>
      </rPr>
      <t>公用。</t>
    </r>
  </si>
  <si>
    <t>序号</t>
  </si>
  <si>
    <t>上游工段</t>
  </si>
  <si>
    <t>上游工段名称</t>
  </si>
  <si>
    <t>→ 衔接物料</t>
  </si>
  <si>
    <t>下游工段</t>
  </si>
  <si>
    <t>下游工段名称</t>
  </si>
  <si>
    <t>衔接说明（位号）</t>
  </si>
  <si>
    <r>
      <rPr>
        <sz val="10"/>
        <rFont val="Noto Sans CJK SC"/>
        <family val="2"/>
      </rPr>
      <t>稀硫酸经</t>
    </r>
    <r>
      <rPr>
        <sz val="10"/>
        <rFont val="微软雅黑"/>
        <family val="2"/>
        <charset val="134"/>
      </rPr>
      <t>M2123</t>
    </r>
    <r>
      <rPr>
        <sz val="10"/>
        <rFont val="Noto Sans CJK SC"/>
        <family val="2"/>
      </rPr>
      <t>在线混合器注入提取离心机进料</t>
    </r>
  </si>
  <si>
    <r>
      <rPr>
        <sz val="10"/>
        <rFont val="Noto Sans CJK SC"/>
        <family val="2"/>
      </rPr>
      <t>破乳剂缓冲罐经破乳剂泵供</t>
    </r>
    <r>
      <rPr>
        <sz val="10"/>
        <rFont val="微软雅黑"/>
        <family val="2"/>
        <charset val="134"/>
      </rPr>
      <t>RSE300/RSE200</t>
    </r>
  </si>
  <si>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重相（二级废酸水）送</t>
    </r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三萃</t>
    </r>
  </si>
  <si>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轻相（三萃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）作为</t>
    </r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逆流萃取剂</t>
    </r>
  </si>
  <si>
    <r>
      <rPr>
        <sz val="10"/>
        <rFont val="Noto Sans CJK SC"/>
        <family val="2"/>
      </rPr>
      <t>富青霉素一次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经一次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V2136</t>
    </r>
    <r>
      <rPr>
        <sz val="10"/>
        <rFont val="Noto Sans CJK SC"/>
        <family val="2"/>
      </rPr>
      <t>送水洗离心机</t>
    </r>
  </si>
  <si>
    <t>水洗重相罐物料返回提取回收青霉素</t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</si>
  <si>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V2142A/B</t>
    </r>
    <r>
      <rPr>
        <sz val="10"/>
        <rFont val="Noto Sans CJK SC"/>
        <family val="2"/>
      </rPr>
      <t>经水洗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泵送脱色罐</t>
    </r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</si>
  <si>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储罐→去</t>
    </r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FT_6A001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</si>
  <si>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储罐→去钾盐（</t>
    </r>
    <r>
      <rPr>
        <sz val="10"/>
        <rFont val="微软雅黑"/>
        <family val="2"/>
        <charset val="134"/>
      </rPr>
      <t>FT_JY001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</si>
  <si>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>退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（贫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</si>
  <si>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>二阶轻相（</t>
    </r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退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，</t>
    </r>
    <r>
      <rPr>
        <sz val="10"/>
        <rFont val="微软雅黑"/>
        <family val="2"/>
        <charset val="134"/>
      </rPr>
      <t>FT_1215</t>
    </r>
    <r>
      <rPr>
        <sz val="10"/>
        <rFont val="Noto Sans CJK SC"/>
        <family val="2"/>
      </rPr>
      <t>）返回丁酯罐</t>
    </r>
  </si>
  <si>
    <r>
      <rPr>
        <sz val="10"/>
        <rFont val="Noto Sans CJK SC"/>
        <family val="2"/>
      </rPr>
      <t>钾盐退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FT_1214</t>
    </r>
    <r>
      <rPr>
        <sz val="10"/>
        <rFont val="Noto Sans CJK SC"/>
        <family val="2"/>
      </rPr>
      <t>）返回丁酯罐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</si>
  <si>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</t>
    </r>
  </si>
  <si>
    <r>
      <rPr>
        <sz val="10"/>
        <rFont val="Noto Sans CJK SC"/>
        <family val="2"/>
      </rPr>
      <t>一阶重相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液经</t>
    </r>
    <r>
      <rPr>
        <sz val="10"/>
        <rFont val="微软雅黑"/>
        <family val="2"/>
        <charset val="134"/>
      </rPr>
      <t>FT_1316</t>
    </r>
    <r>
      <rPr>
        <sz val="10"/>
        <rFont val="Noto Sans CJK SC"/>
        <family val="2"/>
      </rPr>
      <t>去薄膜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</si>
  <si>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储罐→水解（</t>
    </r>
    <r>
      <rPr>
        <sz val="10"/>
        <rFont val="微软雅黑"/>
        <family val="2"/>
        <charset val="134"/>
      </rPr>
      <t>FT_1327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</si>
  <si>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>硼酸缓冲液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水解氨水</t>
    </r>
  </si>
  <si>
    <t>硼酸缓冲罐与氨水计量罐向水解罐供料</t>
  </si>
  <si>
    <t>稀碱（液碱）</t>
  </si>
  <si>
    <t>萃取稀碱配制罐→反萃取</t>
  </si>
  <si>
    <t>抽提氨水</t>
  </si>
  <si>
    <t>抽提氨水缓冲罐→去抽提</t>
  </si>
  <si>
    <t>水解液</t>
  </si>
  <si>
    <t>水解液缓冲罐→换热→萃取</t>
  </si>
  <si>
    <r>
      <rPr>
        <sz val="10"/>
        <rFont val="Noto Sans CJK SC"/>
        <family val="2"/>
      </rPr>
      <t>盐酸缓冲罐→萃取喷射器（</t>
    </r>
    <r>
      <rPr>
        <sz val="10"/>
        <rFont val="微软雅黑"/>
        <family val="2"/>
        <charset val="134"/>
      </rPr>
      <t>1–6</t>
    </r>
    <r>
      <rPr>
        <sz val="10"/>
        <rFont val="Noto Sans CJK SC"/>
        <family val="2"/>
      </rPr>
      <t>号投入）</t>
    </r>
  </si>
  <si>
    <r>
      <rPr>
        <sz val="10"/>
        <rFont val="Noto Sans CJK SC"/>
        <family val="2"/>
      </rPr>
      <t>重液缓冲罐→去结晶换热器→结晶罐（</t>
    </r>
    <r>
      <rPr>
        <sz val="10"/>
        <rFont val="微软雅黑"/>
        <family val="2"/>
        <charset val="134"/>
      </rPr>
      <t>FT_1005/FT_1310</t>
    </r>
    <r>
      <rPr>
        <sz val="10"/>
        <rFont val="Noto Sans CJK SC"/>
        <family val="2"/>
      </rPr>
      <t>）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</si>
  <si>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重液总管→</t>
    </r>
    <r>
      <rPr>
        <sz val="10"/>
        <rFont val="微软雅黑"/>
        <family val="2"/>
        <charset val="134"/>
      </rPr>
      <t>E101→C101</t>
    </r>
  </si>
  <si>
    <r>
      <rPr>
        <sz val="10"/>
        <rFont val="Noto Sans CJK SC"/>
        <family val="2"/>
      </rPr>
      <t>氨水去结晶泵→结晶罐氨水进口（</t>
    </r>
    <r>
      <rPr>
        <sz val="10"/>
        <rFont val="微软雅黑"/>
        <family val="2"/>
        <charset val="134"/>
      </rPr>
      <t>FT_1006/FT_1404</t>
    </r>
    <r>
      <rPr>
        <sz val="10"/>
        <rFont val="Noto Sans CJK SC"/>
        <family val="2"/>
      </rPr>
      <t>）</t>
    </r>
  </si>
  <si>
    <r>
      <rPr>
        <sz val="10"/>
        <rFont val="微软雅黑"/>
        <family val="2"/>
        <charset val="134"/>
      </rPr>
      <t>25%</t>
    </r>
    <r>
      <rPr>
        <sz val="10"/>
        <rFont val="Noto Sans CJK SC"/>
        <family val="2"/>
      </rPr>
      <t>氨水总管→</t>
    </r>
    <r>
      <rPr>
        <sz val="10"/>
        <rFont val="微软雅黑"/>
        <family val="2"/>
        <charset val="134"/>
      </rPr>
      <t>C101/C102</t>
    </r>
  </si>
  <si>
    <t>结晶晶浆</t>
  </si>
  <si>
    <r>
      <rPr>
        <sz val="10"/>
        <rFont val="微软雅黑"/>
        <family val="2"/>
        <charset val="134"/>
      </rPr>
      <t>C102→P102→R118/R119</t>
    </r>
    <r>
      <rPr>
        <sz val="10"/>
        <rFont val="Noto Sans CJK SC"/>
        <family val="2"/>
      </rPr>
      <t>养晶→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</t>
    </r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</si>
  <si>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离心机滤饼送干燥</t>
    </r>
  </si>
  <si>
    <r>
      <rPr>
        <sz val="10"/>
        <rFont val="Noto Sans CJK SC"/>
        <family val="2"/>
      </rPr>
      <t>离心机母液去回收（</t>
    </r>
    <r>
      <rPr>
        <sz val="10"/>
        <rFont val="微软雅黑"/>
        <family val="2"/>
        <charset val="134"/>
      </rPr>
      <t>JYLX_12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</si>
  <si>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>母液返工料去水解（</t>
    </r>
    <r>
      <rPr>
        <sz val="10"/>
        <rFont val="微软雅黑"/>
        <family val="2"/>
        <charset val="134"/>
      </rPr>
      <t>MYGCL_AI</t>
    </r>
    <r>
      <rPr>
        <sz val="10"/>
        <rFont val="Noto Sans CJK SC"/>
        <family val="2"/>
      </rPr>
      <t>）</t>
    </r>
  </si>
  <si>
    <t>反萃重相（苯乙酸钠液）</t>
  </si>
  <si>
    <t>反萃离心机重相送苯乙酸回收</t>
  </si>
  <si>
    <t>反萃轻相（废溶媒）</t>
  </si>
  <si>
    <r>
      <rPr>
        <sz val="10"/>
        <rFont val="Noto Sans CJK SC"/>
        <family val="2"/>
      </rPr>
      <t>反萃轻相缓冲罐去回收（</t>
    </r>
    <r>
      <rPr>
        <sz val="10"/>
        <rFont val="微软雅黑"/>
        <family val="2"/>
        <charset val="134"/>
      </rPr>
      <t>HV_1026</t>
    </r>
    <r>
      <rPr>
        <sz val="10"/>
        <rFont val="Noto Sans CJK SC"/>
        <family val="2"/>
      </rPr>
      <t>）</t>
    </r>
  </si>
  <si>
    <t>回收混合溶媒</t>
  </si>
  <si>
    <r>
      <rPr>
        <sz val="10"/>
        <rFont val="Noto Sans CJK SC"/>
        <family val="2"/>
      </rPr>
      <t>来自回收溶媒（</t>
    </r>
    <r>
      <rPr>
        <sz val="10"/>
        <rFont val="微软雅黑"/>
        <family val="2"/>
        <charset val="134"/>
      </rPr>
      <t>FT_1314</t>
    </r>
    <r>
      <rPr>
        <sz val="10"/>
        <rFont val="Noto Sans CJK SC"/>
        <family val="2"/>
      </rPr>
      <t>）进混合溶媒储罐</t>
    </r>
  </si>
  <si>
    <t>回收丁酯</t>
  </si>
  <si>
    <t>丁酯成品罐→丁酯罐</t>
  </si>
  <si>
    <t>混合溶媒配制罐→萃取混合溶媒罐</t>
  </si>
  <si>
    <r>
      <rPr>
        <sz val="10"/>
        <rFont val="Noto Sans CJK SC"/>
        <family val="2"/>
      </rPr>
      <t>废酸水中和罐</t>
    </r>
    <r>
      <rPr>
        <sz val="10"/>
        <rFont val="微软雅黑"/>
        <family val="2"/>
        <charset val="134"/>
      </rPr>
      <t>V2124→</t>
    </r>
    <r>
      <rPr>
        <sz val="10"/>
        <rFont val="Noto Sans CJK SC"/>
        <family val="2"/>
      </rPr>
      <t>去回收</t>
    </r>
  </si>
  <si>
    <r>
      <rPr>
        <sz val="10"/>
        <rFont val="Noto Sans CJK SC"/>
        <family val="2"/>
      </rPr>
      <t>回收溶媒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醇酯</t>
    </r>
  </si>
  <si>
    <r>
      <rPr>
        <sz val="10"/>
        <rFont val="Noto Sans CJK SC"/>
        <family val="2"/>
      </rPr>
      <t>废酸水塔顶采出→醇酯分离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丁酯精馏</t>
    </r>
  </si>
  <si>
    <r>
      <rPr>
        <sz val="10"/>
        <rFont val="Noto Sans CJK SC"/>
        <family val="2"/>
      </rPr>
      <t>薄膜馏出液（</t>
    </r>
    <r>
      <rPr>
        <sz val="10"/>
        <rFont val="微软雅黑"/>
        <family val="2"/>
        <charset val="134"/>
      </rPr>
      <t>BA/</t>
    </r>
    <r>
      <rPr>
        <sz val="10"/>
        <rFont val="Noto Sans CJK SC"/>
        <family val="2"/>
      </rPr>
      <t>水）</t>
    </r>
  </si>
  <si>
    <t>冷凝器→轻相罐→分水罐→溶媒回收</t>
  </si>
  <si>
    <t>冷盐水</t>
  </si>
  <si>
    <t>水解液换热器、重相缓冲罐换热器冷媒</t>
  </si>
  <si>
    <r>
      <rPr>
        <sz val="10"/>
        <rFont val="Noto Sans CJK SC"/>
        <family val="2"/>
      </rPr>
      <t>冷盐水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热水</t>
    </r>
  </si>
  <si>
    <t>冷凝器冷盐水分阀、热水罐</t>
  </si>
  <si>
    <r>
      <rPr>
        <sz val="10"/>
        <rFont val="微软雅黑"/>
        <family val="2"/>
        <charset val="134"/>
      </rPr>
      <t>-15℃</t>
    </r>
    <r>
      <rPr>
        <sz val="10"/>
        <rFont val="Noto Sans CJK SC"/>
        <family val="2"/>
      </rPr>
      <t>冷水</t>
    </r>
    <r>
      <rPr>
        <sz val="10"/>
        <rFont val="微软雅黑"/>
        <family val="2"/>
        <charset val="134"/>
      </rPr>
      <t>/30℃</t>
    </r>
    <r>
      <rPr>
        <sz val="10"/>
        <rFont val="Noto Sans CJK SC"/>
        <family val="2"/>
      </rPr>
      <t>热水</t>
    </r>
  </si>
  <si>
    <r>
      <rPr>
        <sz val="10"/>
        <rFont val="微软雅黑"/>
        <family val="2"/>
        <charset val="134"/>
      </rPr>
      <t>E101</t>
    </r>
    <r>
      <rPr>
        <sz val="10"/>
        <rFont val="Noto Sans CJK SC"/>
        <family val="2"/>
      </rPr>
      <t>与结晶罐温控介质</t>
    </r>
  </si>
  <si>
    <r>
      <rPr>
        <sz val="10"/>
        <rFont val="Noto Sans CJK SC"/>
        <family val="2"/>
      </rPr>
      <t>干燥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真空尾气</t>
    </r>
  </si>
  <si>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罐尾气进出口阀→尾气压缩机→喷淋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碱洗</t>
    </r>
  </si>
  <si>
    <t>钾盐结晶真空尾气</t>
  </si>
  <si>
    <t>钾盐真空泵出口→尾气系统</t>
  </si>
  <si>
    <r>
      <rPr>
        <sz val="10"/>
        <rFont val="Noto Sans CJK SC"/>
        <family val="2"/>
      </rPr>
      <t>蒸汽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真空</t>
    </r>
  </si>
  <si>
    <t>干燥加热与真空</t>
  </si>
  <si>
    <t>本体实体字典（关系明细中出现的全部节点）</t>
  </si>
  <si>
    <r>
      <rPr>
        <b/>
        <sz val="10"/>
        <color rgb="FFFFFFFF"/>
        <rFont val="Noto Sans CJK SC"/>
        <family val="2"/>
      </rPr>
      <t>实体</t>
    </r>
    <r>
      <rPr>
        <b/>
        <sz val="10"/>
        <color rgb="FFFFFFFF"/>
        <rFont val="微软雅黑"/>
        <family val="2"/>
        <charset val="134"/>
      </rPr>
      <t>URI</t>
    </r>
  </si>
  <si>
    <t>实体语义名称</t>
  </si>
  <si>
    <t>实体类型</t>
  </si>
  <si>
    <r>
      <rPr>
        <b/>
        <sz val="10"/>
        <color rgb="FFFFFFFF"/>
        <rFont val="微软雅黑"/>
        <family val="2"/>
        <charset val="134"/>
      </rPr>
      <t>OWL</t>
    </r>
    <r>
      <rPr>
        <b/>
        <sz val="10"/>
        <color rgb="FFFFFFFF"/>
        <rFont val="Noto Sans CJK SC"/>
        <family val="2"/>
      </rPr>
      <t>类</t>
    </r>
  </si>
  <si>
    <t>所属工段</t>
  </si>
  <si>
    <r>
      <rPr>
        <b/>
        <sz val="10"/>
        <color rgb="FFFFFFFF"/>
        <rFont val="Noto Sans CJK SC"/>
        <family val="2"/>
      </rPr>
      <t>所属设备</t>
    </r>
    <r>
      <rPr>
        <b/>
        <sz val="10"/>
        <color rgb="FFFFFFFF"/>
        <rFont val="微软雅黑"/>
        <family val="2"/>
        <charset val="134"/>
      </rPr>
      <t>/</t>
    </r>
    <r>
      <rPr>
        <b/>
        <sz val="10"/>
        <color rgb="FFFFFFFF"/>
        <rFont val="Noto Sans CJK SC"/>
        <family val="2"/>
      </rPr>
      <t>流股</t>
    </r>
  </si>
  <si>
    <t>说明</t>
  </si>
  <si>
    <t>作为主体次数</t>
  </si>
  <si>
    <t>作为客体次数</t>
  </si>
  <si>
    <t>:ProductionArea</t>
  </si>
  <si>
    <r>
      <rPr>
        <sz val="10"/>
        <rFont val="Noto Sans CJK SC"/>
        <family val="2"/>
      </rPr>
      <t>发酵滤液在线加稀硫酸酸化、加破乳剂，与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在</t>
    </r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碟片离心机上两阶段逆流萃取青霉素</t>
    </r>
    <r>
      <rPr>
        <sz val="10"/>
        <rFont val="微软雅黑"/>
        <family val="2"/>
        <charset val="134"/>
      </rPr>
      <t>G</t>
    </r>
  </si>
  <si>
    <t>:ProductionEquipment</t>
  </si>
  <si>
    <r>
      <rPr>
        <sz val="10"/>
        <rFont val="Noto Sans CJK SC"/>
        <family val="2"/>
      </rPr>
      <t>管道混合器；画面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FT_1106A–E</t>
    </r>
  </si>
  <si>
    <r>
      <rPr>
        <sz val="10"/>
        <rFont val="Noto Sans CJK SC"/>
        <family val="2"/>
      </rPr>
      <t>泵；画面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位号：画面</t>
    </r>
    <r>
      <rPr>
        <sz val="10"/>
        <rFont val="微软雅黑"/>
        <family val="2"/>
        <charset val="134"/>
      </rPr>
      <t>A–F</t>
    </r>
    <r>
      <rPr>
        <sz val="10"/>
        <rFont val="Noto Sans CJK SC"/>
        <family val="2"/>
      </rPr>
      <t>泵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</si>
  <si>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LT_1102/TI_1101/FT_1103/FT_1004</t>
    </r>
  </si>
  <si>
    <r>
      <rPr>
        <sz val="10"/>
        <rFont val="Noto Sans CJK SC"/>
        <family val="2"/>
      </rPr>
      <t>碟片离心机；画面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II_10CQA–F</t>
    </r>
  </si>
  <si>
    <r>
      <rPr>
        <sz val="10"/>
        <rFont val="Noto Sans CJK SC"/>
        <family val="2"/>
      </rPr>
      <t>中和罐；画面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LT_1105/AT_1111/HV_1101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</si>
  <si>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PT_1004</t>
    </r>
    <r>
      <rPr>
        <sz val="10"/>
        <rFont val="Noto Sans CJK SC"/>
        <family val="2"/>
      </rPr>
      <t>（新增酸水罐）</t>
    </r>
  </si>
  <si>
    <t>:EquipmentInstance</t>
  </si>
  <si>
    <r>
      <rPr>
        <sz val="10"/>
        <rFont val="Noto Sans CJK SC"/>
        <family val="2"/>
      </rPr>
      <t>稀硫酸在线混合器</t>
    </r>
    <r>
      <rPr>
        <sz val="10"/>
        <rFont val="微软雅黑"/>
        <family val="2"/>
        <charset val="134"/>
      </rPr>
      <t>M2123</t>
    </r>
    <r>
      <rPr>
        <sz val="10"/>
        <rFont val="Noto Sans CJK SC"/>
        <family val="2"/>
      </rPr>
      <t>成员</t>
    </r>
  </si>
  <si>
    <t>滤液泵组成员</t>
  </si>
  <si>
    <t>发酵滤液储罐组成员</t>
  </si>
  <si>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提取离心机组成员</t>
    </r>
  </si>
  <si>
    <t>:EquipmentComponent</t>
  </si>
  <si>
    <t>电机</t>
  </si>
  <si>
    <t>液位计</t>
  </si>
  <si>
    <t>温度计</t>
  </si>
  <si>
    <t>碟片分离转鼓</t>
  </si>
  <si>
    <t>轻相向心泵</t>
  </si>
  <si>
    <t>重相向心泵</t>
  </si>
  <si>
    <t>主电机</t>
  </si>
  <si>
    <t>进料调节阀</t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</si>
  <si>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</t>
    </r>
  </si>
  <si>
    <t>液碱调节阀</t>
  </si>
  <si>
    <t>:MaterialStream</t>
  </si>
  <si>
    <r>
      <rPr>
        <sz val="10"/>
        <rFont val="Noto Sans CJK SC"/>
        <family val="2"/>
      </rPr>
      <t>含青霉素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的发酵过滤液，温度约</t>
    </r>
    <r>
      <rPr>
        <sz val="10"/>
        <rFont val="微软雅黑"/>
        <family val="2"/>
        <charset val="134"/>
      </rPr>
      <t>5–10℃</t>
    </r>
  </si>
  <si>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轻相，富青霉素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丁酯萃取液</t>
    </r>
  </si>
  <si>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重相，残余青霉素待三萃</t>
    </r>
  </si>
  <si>
    <t>:ProcessAttribute</t>
  </si>
  <si>
    <t>:QualityKPI</t>
  </si>
  <si>
    <t>:Controller</t>
  </si>
  <si>
    <t>:Actuator</t>
  </si>
  <si>
    <t>:ControlSystem</t>
  </si>
  <si>
    <t>:AlarmEvent</t>
  </si>
  <si>
    <t>一次水异常影响提取供水</t>
  </si>
  <si>
    <r>
      <rPr>
        <sz val="10"/>
        <rFont val="Noto Sans CJK SC"/>
        <family val="2"/>
      </rPr>
      <t>废酸水中和失效，外送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超标</t>
    </r>
  </si>
  <si>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离心机三萃回收二级废酸水中残余青霉素；丁酯罐、工作水罐、一次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罐周转</t>
    </r>
  </si>
  <si>
    <r>
      <rPr>
        <sz val="10"/>
        <rFont val="Noto Sans CJK SC"/>
        <family val="2"/>
      </rPr>
      <t>换热器；画面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HV_1001/TI_1002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</si>
  <si>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LT_1103A/B,TI_DZA/B,PT_DZA/B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</si>
  <si>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LT_1106/PT_1011</t>
    </r>
  </si>
  <si>
    <r>
      <rPr>
        <sz val="10"/>
        <rFont val="Noto Sans CJK SC"/>
        <family val="2"/>
      </rPr>
      <t>碟片离心机；画面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II_10TQA–D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</si>
  <si>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LT_1205/PT_1009A/B</t>
    </r>
  </si>
  <si>
    <t>丁酯罐成员</t>
  </si>
  <si>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提取离心机组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三萃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成员</t>
    </r>
  </si>
  <si>
    <r>
      <rPr>
        <sz val="10"/>
        <rFont val="Noto Sans CJK SC"/>
        <family val="2"/>
      </rPr>
      <t>冷盐水调节阀</t>
    </r>
    <r>
      <rPr>
        <sz val="10"/>
        <rFont val="微软雅黑"/>
        <family val="2"/>
        <charset val="134"/>
      </rPr>
      <t>HV_1001</t>
    </r>
  </si>
  <si>
    <t>压力表</t>
  </si>
  <si>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轻相，含少量青霉素，逆流作</t>
    </r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萃取剂（推断）</t>
    </r>
  </si>
  <si>
    <r>
      <rPr>
        <sz val="10"/>
        <rFont val="Noto Sans CJK SC"/>
        <family val="2"/>
      </rPr>
      <t>萃取溶剂，来自丁酯罐（新鲜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回收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退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）</t>
    </r>
  </si>
  <si>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重相，经</t>
    </r>
    <r>
      <rPr>
        <sz val="10"/>
        <rFont val="微软雅黑"/>
        <family val="2"/>
        <charset val="134"/>
      </rPr>
      <t>V2124</t>
    </r>
    <r>
      <rPr>
        <sz val="10"/>
        <rFont val="Noto Sans CJK SC"/>
        <family val="2"/>
      </rPr>
      <t>液碱中和后去废酸水回收</t>
    </r>
  </si>
  <si>
    <t>顺控对象</t>
  </si>
  <si>
    <t>浓硫酸卸车储存，与一次水按比例配制稀硫酸供提取酸化</t>
  </si>
  <si>
    <r>
      <rPr>
        <sz val="10"/>
        <rFont val="Noto Sans CJK SC"/>
        <family val="2"/>
      </rPr>
      <t>泵；画面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PIT540103A/B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</si>
  <si>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LT_1107A/B,LIT540104A–C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</si>
  <si>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LIT540107C/PIT540108</t>
    </r>
  </si>
  <si>
    <r>
      <rPr>
        <sz val="10"/>
        <rFont val="Noto Sans CJK SC"/>
        <family val="2"/>
      </rPr>
      <t>配制罐；画面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LIT540107A/B,AT540107A</t>
    </r>
  </si>
  <si>
    <r>
      <rPr>
        <sz val="10"/>
        <rFont val="Noto Sans CJK SC"/>
        <family val="2"/>
      </rPr>
      <t>变频泵；画面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PB_1015A–F</t>
    </r>
  </si>
  <si>
    <r>
      <rPr>
        <sz val="10"/>
        <rFont val="Noto Sans CJK SC"/>
        <family val="2"/>
      </rPr>
      <t>浓硫酸进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出料泵成员</t>
    </r>
  </si>
  <si>
    <t>浓硫酸储罐组成员</t>
  </si>
  <si>
    <t>稀硫酸配置罐组成员</t>
  </si>
  <si>
    <t>稀硫酸泵组成员</t>
  </si>
  <si>
    <t>浓度计</t>
  </si>
  <si>
    <t>一次水阀</t>
  </si>
  <si>
    <t>变频器</t>
  </si>
  <si>
    <r>
      <rPr>
        <sz val="10"/>
        <rFont val="Noto Sans CJK SC"/>
        <family val="2"/>
      </rPr>
      <t>浓硫酸经一次水稀释，用于滤液酸化至</t>
    </r>
    <r>
      <rPr>
        <sz val="10"/>
        <rFont val="微软雅黑"/>
        <family val="2"/>
        <charset val="134"/>
      </rPr>
      <t>pH≈2.0–2.2</t>
    </r>
  </si>
  <si>
    <t>卸酸溢出风险</t>
  </si>
  <si>
    <r>
      <rPr>
        <sz val="10"/>
        <rFont val="Noto Sans CJK SC"/>
        <family val="2"/>
      </rPr>
      <t>破乳剂计量、蒸汽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热水加热搅拌配制，经缓冲罐连续供提取离心机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</si>
  <si>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LT_PR</t>
    </r>
  </si>
  <si>
    <r>
      <rPr>
        <sz val="10"/>
        <rFont val="Noto Sans CJK SC"/>
        <family val="2"/>
      </rPr>
      <t>搅拌配制罐；画面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LT_1101A–D,PB_1001A/B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</si>
  <si>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LT_5052/PT_5067</t>
    </r>
    <r>
      <rPr>
        <sz val="10"/>
        <rFont val="Noto Sans CJK SC"/>
        <family val="2"/>
      </rPr>
      <t>（画面）</t>
    </r>
  </si>
  <si>
    <t>破乳剂配制罐组成员</t>
  </si>
  <si>
    <r>
      <rPr>
        <sz val="10"/>
        <rFont val="Noto Sans CJK SC"/>
        <family val="2"/>
      </rPr>
      <t>液位计</t>
    </r>
    <r>
      <rPr>
        <sz val="10"/>
        <rFont val="微软雅黑"/>
        <family val="2"/>
        <charset val="134"/>
      </rPr>
      <t>LT_PR</t>
    </r>
  </si>
  <si>
    <t>搅拌器</t>
  </si>
  <si>
    <t>蒸汽加热阀</t>
  </si>
  <si>
    <r>
      <rPr>
        <sz val="10"/>
        <rFont val="Noto Sans CJK SC"/>
        <family val="2"/>
      </rPr>
      <t>温度计</t>
    </r>
    <r>
      <rPr>
        <sz val="10"/>
        <rFont val="微软雅黑"/>
        <family val="2"/>
        <charset val="134"/>
      </rPr>
      <t>TE_5043</t>
    </r>
  </si>
  <si>
    <t>破乳剂水溶液，抑制蛋白类物质造成的界面乳化</t>
  </si>
  <si>
    <t>（关系中引用的机理属性）</t>
  </si>
  <si>
    <t>破乳剂断供→提取乳化跑相</t>
  </si>
  <si>
    <r>
      <rPr>
        <sz val="10"/>
        <rFont val="Noto Sans CJK SC"/>
        <family val="2"/>
      </rPr>
      <t>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经水洗离心机用一次水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稀碱洗涤除去水溶性杂质与酸，得水洗</t>
    </r>
    <r>
      <rPr>
        <sz val="10"/>
        <rFont val="微软雅黑"/>
        <family val="2"/>
        <charset val="134"/>
      </rPr>
      <t>BA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</si>
  <si>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LE_NJ,FT_NJ01,PT_1005,LT_J_A/B</t>
    </r>
  </si>
  <si>
    <r>
      <rPr>
        <sz val="10"/>
        <rFont val="Noto Sans CJK SC"/>
        <family val="2"/>
      </rPr>
      <t>配制罐；画面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LT_XJ_A/B,TI_1001,PT_1006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</si>
  <si>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LT_1108/PT_1010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</si>
  <si>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LT_1104A/B,FT_1002</t>
    </r>
  </si>
  <si>
    <r>
      <rPr>
        <sz val="10"/>
        <rFont val="Noto Sans CJK SC"/>
        <family val="2"/>
      </rPr>
      <t>碟片离心机；画面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II_10SXA–G,FT_1107/FT_1108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</si>
  <si>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LT_SXZX/PT_1012</t>
    </r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</si>
  <si>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罐成员</t>
    </r>
  </si>
  <si>
    <t>水洗离心机组成员</t>
  </si>
  <si>
    <t>蒸汽阀</t>
  </si>
  <si>
    <r>
      <rPr>
        <sz val="10"/>
        <rFont val="Noto Sans CJK SC"/>
        <family val="2"/>
      </rPr>
      <t>调节阀</t>
    </r>
    <r>
      <rPr>
        <sz val="10"/>
        <rFont val="微软雅黑"/>
        <family val="2"/>
        <charset val="134"/>
      </rPr>
      <t>HV_1007</t>
    </r>
  </si>
  <si>
    <t>水洗离心机轻相</t>
  </si>
  <si>
    <t>水洗离心机重相，含少量青霉素，返回提取</t>
  </si>
  <si>
    <t>需加快返提取</t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</si>
  <si>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加活性炭脱色，芬特过滤器除炭，得脱色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分送</t>
    </r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抽提与钾盐</t>
    </r>
  </si>
  <si>
    <r>
      <rPr>
        <sz val="10"/>
        <rFont val="Noto Sans CJK SC"/>
        <family val="2"/>
      </rPr>
      <t>气力输送；画面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R_YXT</t>
    </r>
    <r>
      <rPr>
        <sz val="10"/>
        <rFont val="Noto Sans CJK SC"/>
        <family val="2"/>
      </rPr>
      <t>（画面）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</si>
  <si>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LT_1203/PT_2016A/B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</si>
  <si>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LT_1201A–D/PT_2001</t>
    </r>
  </si>
  <si>
    <r>
      <rPr>
        <sz val="10"/>
        <rFont val="Noto Sans CJK SC"/>
        <family val="2"/>
      </rPr>
      <t>搅拌吸附罐；画面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LT_1202A–F</t>
    </r>
  </si>
  <si>
    <r>
      <rPr>
        <sz val="10"/>
        <rFont val="Noto Sans CJK SC"/>
        <family val="2"/>
      </rPr>
      <t>烛式过滤器；画面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PT_2002A–D,ZU_2001A–D,FT_2001A–D</t>
    </r>
  </si>
  <si>
    <r>
      <rPr>
        <sz val="10"/>
        <rFont val="Noto Sans CJK SC"/>
        <family val="2"/>
      </rPr>
      <t>搅拌罐；画面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PT_2003A/B,LT_2008</t>
    </r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</si>
  <si>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储罐组成员</t>
    </r>
  </si>
  <si>
    <t>脱色罐组成员</t>
  </si>
  <si>
    <t>芬特过滤器组成员</t>
  </si>
  <si>
    <t>料仓</t>
  </si>
  <si>
    <t>脉冲反吹</t>
  </si>
  <si>
    <t>绞龙</t>
  </si>
  <si>
    <t>关风机</t>
  </si>
  <si>
    <t>抽气阀</t>
  </si>
  <si>
    <t>进料阀</t>
  </si>
  <si>
    <t>真空阀</t>
  </si>
  <si>
    <t>进炭阀</t>
  </si>
  <si>
    <t>出料阀</t>
  </si>
  <si>
    <t>吹扫阀</t>
  </si>
  <si>
    <r>
      <rPr>
        <sz val="10"/>
        <rFont val="Noto Sans CJK SC"/>
        <family val="2"/>
      </rPr>
      <t>压力变送器</t>
    </r>
    <r>
      <rPr>
        <sz val="10"/>
        <rFont val="微软雅黑"/>
        <family val="2"/>
        <charset val="134"/>
      </rPr>
      <t>PT_2002</t>
    </r>
  </si>
  <si>
    <r>
      <rPr>
        <sz val="10"/>
        <rFont val="Noto Sans CJK SC"/>
        <family val="2"/>
      </rPr>
      <t>浊度仪</t>
    </r>
    <r>
      <rPr>
        <sz val="10"/>
        <rFont val="微软雅黑"/>
        <family val="2"/>
        <charset val="134"/>
      </rPr>
      <t>ZU_2001</t>
    </r>
  </si>
  <si>
    <r>
      <rPr>
        <sz val="10"/>
        <rFont val="Noto Sans CJK SC"/>
        <family val="2"/>
      </rPr>
      <t>搅拌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反吹</t>
    </r>
  </si>
  <si>
    <t>粉末活性炭，真空上料</t>
  </si>
  <si>
    <r>
      <rPr>
        <sz val="10"/>
        <rFont val="Noto Sans CJK SC"/>
        <family val="2"/>
      </rPr>
      <t>芬特过滤后清澈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，分去</t>
    </r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与钾盐</t>
    </r>
  </si>
  <si>
    <t>脱色罐出料</t>
  </si>
  <si>
    <t>芬特反吹排渣至甩碳罐</t>
  </si>
  <si>
    <t>气动阀动作失效</t>
  </si>
  <si>
    <t>滤饼堵塞需切换反吹</t>
  </si>
  <si>
    <t>穿炭，应切回脱色罐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</si>
  <si>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与碳酸钾溶液两级混合</t>
    </r>
    <r>
      <rPr>
        <sz val="10"/>
        <rFont val="微软雅黑"/>
        <family val="2"/>
        <charset val="134"/>
      </rPr>
      <t>-</t>
    </r>
    <r>
      <rPr>
        <sz val="10"/>
        <rFont val="Noto Sans CJK SC"/>
        <family val="2"/>
      </rPr>
      <t>离心逆流反萃，青霉素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转入水相得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液，贫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退回丁酯罐</t>
    </r>
  </si>
  <si>
    <r>
      <rPr>
        <sz val="10"/>
        <rFont val="Noto Sans CJK SC"/>
        <family val="2"/>
      </rPr>
      <t>碟片离心机；画面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II_11CT1A–F,FT_2007A–F</t>
    </r>
  </si>
  <si>
    <r>
      <rPr>
        <sz val="10"/>
        <rFont val="Noto Sans CJK SC"/>
        <family val="2"/>
      </rPr>
      <t>碟片离心机；画面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II_11CT2A–D,FT_2008A–D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</si>
  <si>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LT_2002–2004,AT_1203/1204</t>
    </r>
  </si>
  <si>
    <r>
      <rPr>
        <sz val="10"/>
        <rFont val="Noto Sans CJK SC"/>
        <family val="2"/>
      </rPr>
      <t>搅拌配制罐；画面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PT_2004A–C,LT_2009</t>
    </r>
  </si>
  <si>
    <r>
      <rPr>
        <sz val="10"/>
        <rFont val="Noto Sans CJK SC"/>
        <family val="2"/>
      </rPr>
      <t>料仓；画面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1LZ–3LZ_5100</t>
    </r>
    <r>
      <rPr>
        <sz val="10"/>
        <rFont val="Noto Sans CJK SC"/>
        <family val="2"/>
      </rPr>
      <t>（画面）</t>
    </r>
  </si>
  <si>
    <r>
      <rPr>
        <sz val="10"/>
        <rFont val="Noto Sans CJK SC"/>
        <family val="2"/>
      </rPr>
      <t>搅拌混合罐；画面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AT_1201,LT_2005,TI_1201,AT_1205A</t>
    </r>
  </si>
  <si>
    <r>
      <rPr>
        <sz val="10"/>
        <rFont val="Noto Sans CJK SC"/>
        <family val="2"/>
      </rPr>
      <t>搅拌混合罐；画面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AT_1202,LT_2006,TI_1202,AT_1205B</t>
    </r>
  </si>
  <si>
    <r>
      <rPr>
        <sz val="10"/>
        <rFont val="Noto Sans CJK SC"/>
        <family val="2"/>
      </rPr>
      <t>抽提一级离心机组</t>
    </r>
    <r>
      <rPr>
        <sz val="10"/>
        <rFont val="微软雅黑"/>
        <family val="2"/>
        <charset val="134"/>
      </rPr>
      <t>(CT1)</t>
    </r>
    <r>
      <rPr>
        <sz val="10"/>
        <rFont val="Noto Sans CJK SC"/>
        <family val="2"/>
      </rPr>
      <t>成员</t>
    </r>
  </si>
  <si>
    <r>
      <rPr>
        <sz val="10"/>
        <rFont val="Noto Sans CJK SC"/>
        <family val="2"/>
      </rPr>
      <t>抽提二级离心机组</t>
    </r>
    <r>
      <rPr>
        <sz val="10"/>
        <rFont val="微软雅黑"/>
        <family val="2"/>
        <charset val="134"/>
      </rPr>
      <t>(CT2)</t>
    </r>
    <r>
      <rPr>
        <sz val="10"/>
        <rFont val="Noto Sans CJK SC"/>
        <family val="2"/>
      </rPr>
      <t>成员</t>
    </r>
  </si>
  <si>
    <t>碳酸钾缓冲罐组成员</t>
  </si>
  <si>
    <r>
      <rPr>
        <sz val="10"/>
        <rFont val="Noto Sans CJK SC"/>
        <family val="2"/>
      </rPr>
      <t>碳酸钾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碳酸钠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配制罐组成员</t>
    </r>
  </si>
  <si>
    <r>
      <rPr>
        <sz val="10"/>
        <rFont val="Noto Sans CJK SC"/>
        <family val="2"/>
      </rPr>
      <t>碳酸钾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粉料料仓成员</t>
    </r>
  </si>
  <si>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进口调节阀</t>
    </r>
    <r>
      <rPr>
        <sz val="10"/>
        <rFont val="微软雅黑"/>
        <family val="2"/>
        <charset val="134"/>
      </rPr>
      <t>HV_2004</t>
    </r>
  </si>
  <si>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进口调节阀</t>
    </r>
    <r>
      <rPr>
        <sz val="10"/>
        <rFont val="微软雅黑"/>
        <family val="2"/>
        <charset val="134"/>
      </rPr>
      <t>HV_2006</t>
    </r>
  </si>
  <si>
    <t>软水阀</t>
  </si>
  <si>
    <t>压空阀</t>
  </si>
  <si>
    <t>真空上料阀</t>
  </si>
  <si>
    <t>压缩空气阀</t>
  </si>
  <si>
    <t>卸料阀</t>
  </si>
  <si>
    <r>
      <rPr>
        <sz val="10"/>
        <rFont val="Noto Sans CJK SC"/>
        <family val="2"/>
      </rPr>
      <t>搅拌器</t>
    </r>
    <r>
      <rPr>
        <sz val="10"/>
        <rFont val="微软雅黑"/>
        <family val="2"/>
        <charset val="134"/>
      </rPr>
      <t>PB_1004</t>
    </r>
  </si>
  <si>
    <r>
      <rPr>
        <sz val="10"/>
        <rFont val="Noto Sans CJK SC"/>
        <family val="2"/>
      </rPr>
      <t>搅拌器</t>
    </r>
    <r>
      <rPr>
        <sz val="10"/>
        <rFont val="微软雅黑"/>
        <family val="2"/>
        <charset val="134"/>
      </rPr>
      <t>PB_1005</t>
    </r>
  </si>
  <si>
    <r>
      <rPr>
        <sz val="10"/>
        <rFont val="微软雅黑"/>
        <family val="2"/>
        <charset val="134"/>
      </rPr>
      <t>30%/4–5%</t>
    </r>
    <r>
      <rPr>
        <sz val="10"/>
        <rFont val="Noto Sans CJK SC"/>
        <family val="2"/>
      </rPr>
      <t>碳酸钾（碳酸钠）溶液，反萃剂</t>
    </r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</si>
  <si>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BA+</t>
    </r>
    <r>
      <rPr>
        <sz val="10"/>
        <rFont val="Noto Sans CJK SC"/>
        <family val="2"/>
      </rPr>
      <t>碳酸钾</t>
    </r>
    <r>
      <rPr>
        <sz val="10"/>
        <rFont val="微软雅黑"/>
        <family val="2"/>
        <charset val="134"/>
      </rPr>
      <t>+</t>
    </r>
    <r>
      <rPr>
        <sz val="10"/>
        <rFont val="Noto Sans CJK SC"/>
        <family val="2"/>
      </rPr>
      <t>二阶重相</t>
    </r>
  </si>
  <si>
    <r>
      <rPr>
        <sz val="10"/>
        <rFont val="Noto Sans CJK SC"/>
        <family val="2"/>
      </rPr>
      <t>一阶轻相</t>
    </r>
    <r>
      <rPr>
        <sz val="10"/>
        <rFont val="微软雅黑"/>
        <family val="2"/>
        <charset val="134"/>
      </rPr>
      <t>+</t>
    </r>
    <r>
      <rPr>
        <sz val="10"/>
        <rFont val="Noto Sans CJK SC"/>
        <family val="2"/>
      </rPr>
      <t>新鲜碳酸钾</t>
    </r>
  </si>
  <si>
    <r>
      <rPr>
        <sz val="10"/>
        <rFont val="Noto Sans CJK SC"/>
        <family val="2"/>
      </rPr>
      <t>一阶重相，含溶解残余</t>
    </r>
    <r>
      <rPr>
        <sz val="10"/>
        <rFont val="微软雅黑"/>
        <family val="2"/>
        <charset val="134"/>
      </rPr>
      <t>BA</t>
    </r>
  </si>
  <si>
    <r>
      <rPr>
        <sz val="10"/>
        <rFont val="Noto Sans CJK SC"/>
        <family val="2"/>
      </rPr>
      <t>二阶轻相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钾盐退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，返回丁酯罐</t>
    </r>
  </si>
  <si>
    <r>
      <rPr>
        <sz val="10"/>
        <rFont val="Noto Sans CJK SC"/>
        <family val="2"/>
      </rPr>
      <t>含残余青霉素的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，进二级混合</t>
    </r>
  </si>
  <si>
    <t>含碳酸钾与青霉素，逆流回一级混合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</si>
  <si>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去钾盐混罐反萃→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计量→钾盐共沸结晶→钾盐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离心，副产青霉素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钾</t>
    </r>
  </si>
  <si>
    <r>
      <rPr>
        <sz val="10"/>
        <rFont val="Noto Sans CJK SC"/>
        <family val="2"/>
      </rPr>
      <t>卧式离心机；画面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JYLX_1~3_A–D</t>
    </r>
  </si>
  <si>
    <r>
      <rPr>
        <sz val="10"/>
        <rFont val="Noto Sans CJK SC"/>
        <family val="2"/>
      </rPr>
      <t>碟片离心机；画面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II_11JYA–F</t>
    </r>
  </si>
  <si>
    <r>
      <rPr>
        <sz val="10"/>
        <rFont val="Noto Sans CJK SC"/>
        <family val="2"/>
      </rPr>
      <t>共沸结晶罐；画面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JY_16~21_xTI,JY_11_xP,JY_13_xLT</t>
    </r>
  </si>
  <si>
    <r>
      <rPr>
        <sz val="10"/>
        <rFont val="Noto Sans CJK SC"/>
        <family val="2"/>
      </rPr>
      <t>搅拌混合罐；画面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PB_1006/PB_1007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</si>
  <si>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TI_2001,LT_1206,JY_21_xLT</t>
    </r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</si>
  <si>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离心机成员</t>
    </r>
  </si>
  <si>
    <t>钾盐离心机组成员</t>
  </si>
  <si>
    <r>
      <rPr>
        <sz val="10"/>
        <rFont val="Noto Sans CJK SC"/>
        <family val="2"/>
      </rPr>
      <t>钾盐结晶罐</t>
    </r>
    <r>
      <rPr>
        <sz val="10"/>
        <rFont val="微软雅黑"/>
        <family val="2"/>
        <charset val="134"/>
      </rPr>
      <t>R2185A–F</t>
    </r>
    <r>
      <rPr>
        <sz val="10"/>
        <rFont val="Noto Sans CJK SC"/>
        <family val="2"/>
      </rPr>
      <t>成员</t>
    </r>
  </si>
  <si>
    <r>
      <rPr>
        <sz val="10"/>
        <rFont val="Noto Sans CJK SC"/>
        <family val="2"/>
      </rPr>
      <t>钾盐一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二混罐成员</t>
    </r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</si>
  <si>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/RB</t>
    </r>
    <r>
      <rPr>
        <sz val="10"/>
        <rFont val="Noto Sans CJK SC"/>
        <family val="2"/>
      </rPr>
      <t>计量罐成员</t>
    </r>
  </si>
  <si>
    <r>
      <rPr>
        <sz val="10"/>
        <rFont val="Noto Sans CJK SC"/>
        <family val="2"/>
      </rPr>
      <t>进料调节阀</t>
    </r>
    <r>
      <rPr>
        <sz val="10"/>
        <rFont val="微软雅黑"/>
        <family val="2"/>
        <charset val="134"/>
      </rPr>
      <t>JYLX_1</t>
    </r>
  </si>
  <si>
    <r>
      <rPr>
        <sz val="10"/>
        <rFont val="Noto Sans CJK SC"/>
        <family val="2"/>
      </rPr>
      <t>夹套蒸汽阀</t>
    </r>
    <r>
      <rPr>
        <sz val="10"/>
        <rFont val="微软雅黑"/>
        <family val="2"/>
        <charset val="134"/>
      </rPr>
      <t>JY_9</t>
    </r>
  </si>
  <si>
    <r>
      <rPr>
        <sz val="10"/>
        <rFont val="Noto Sans CJK SC"/>
        <family val="2"/>
      </rPr>
      <t>导流筒蒸汽阀</t>
    </r>
    <r>
      <rPr>
        <sz val="10"/>
        <rFont val="微软雅黑"/>
        <family val="2"/>
        <charset val="134"/>
      </rPr>
      <t>JY_10</t>
    </r>
  </si>
  <si>
    <r>
      <rPr>
        <sz val="10"/>
        <rFont val="Noto Sans CJK SC"/>
        <family val="2"/>
      </rPr>
      <t>补丁醇调节阀</t>
    </r>
    <r>
      <rPr>
        <sz val="10"/>
        <rFont val="微软雅黑"/>
        <family val="2"/>
        <charset val="134"/>
      </rPr>
      <t>JY_6</t>
    </r>
  </si>
  <si>
    <t>真空系统</t>
  </si>
  <si>
    <r>
      <rPr>
        <sz val="10"/>
        <rFont val="Noto Sans CJK SC"/>
        <family val="2"/>
      </rPr>
      <t>温控阀</t>
    </r>
    <r>
      <rPr>
        <sz val="10"/>
        <rFont val="微软雅黑"/>
        <family val="2"/>
        <charset val="134"/>
      </rPr>
      <t>HV_2009</t>
    </r>
  </si>
  <si>
    <r>
      <rPr>
        <sz val="10"/>
        <rFont val="Noto Sans CJK SC"/>
        <family val="2"/>
      </rPr>
      <t>冰盐水调节阀</t>
    </r>
    <r>
      <rPr>
        <sz val="10"/>
        <rFont val="微软雅黑"/>
        <family val="2"/>
        <charset val="134"/>
      </rPr>
      <t>AO127</t>
    </r>
  </si>
  <si>
    <t>钾盐支线产品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</si>
  <si>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液经刮板薄膜蒸发器真空脱除残余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，冷凝分水回收溶媒，脱溶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送水解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</si>
  <si>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LT_RB01/02,PT_RB01/02,TI_1203A/B</t>
    </r>
  </si>
  <si>
    <r>
      <rPr>
        <sz val="10"/>
        <rFont val="Noto Sans CJK SC"/>
        <family val="2"/>
      </rPr>
      <t>列管冷凝器；画面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TI_1003A–D</t>
    </r>
  </si>
  <si>
    <r>
      <rPr>
        <sz val="10"/>
        <rFont val="Noto Sans CJK SC"/>
        <family val="2"/>
      </rPr>
      <t>刮板薄膜蒸发器；画面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TI_1311A–D,PT_1026A–D,FT_1001A–D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</si>
  <si>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LT_1320A–D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</si>
  <si>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PT_1014,LT_1319A/B,TI_1310,LT_1322,TI_1312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</si>
  <si>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LT_1321A–D</t>
    </r>
  </si>
  <si>
    <r>
      <rPr>
        <sz val="10"/>
        <rFont val="Noto Sans CJK SC"/>
        <family val="2"/>
      </rPr>
      <t>真空泵；画面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-</t>
    </r>
  </si>
  <si>
    <r>
      <rPr>
        <sz val="10"/>
        <rFont val="Noto Sans CJK SC"/>
        <family val="2"/>
      </rPr>
      <t>分层罐；画面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LT_1002/PT_1015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</si>
  <si>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（薄膜出料）成员</t>
    </r>
  </si>
  <si>
    <t>薄膜冷凝器组成员</t>
  </si>
  <si>
    <t>薄膜蒸发器组成员</t>
  </si>
  <si>
    <r>
      <rPr>
        <sz val="10"/>
        <rFont val="Noto Sans CJK SC"/>
        <family val="2"/>
      </rPr>
      <t>薄膜重相罐组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脱溶</t>
    </r>
    <r>
      <rPr>
        <sz val="10"/>
        <rFont val="微软雅黑"/>
        <family val="2"/>
        <charset val="134"/>
      </rPr>
      <t>RB)</t>
    </r>
    <r>
      <rPr>
        <sz val="10"/>
        <rFont val="Noto Sans CJK SC"/>
        <family val="2"/>
      </rPr>
      <t>成员</t>
    </r>
  </si>
  <si>
    <r>
      <rPr>
        <sz val="10"/>
        <rFont val="Noto Sans CJK SC"/>
        <family val="2"/>
      </rPr>
      <t>薄膜轻相罐组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馏出液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成员</t>
    </r>
  </si>
  <si>
    <r>
      <rPr>
        <sz val="10"/>
        <rFont val="Noto Sans CJK SC"/>
        <family val="2"/>
      </rPr>
      <t>冷盐水分阀</t>
    </r>
    <r>
      <rPr>
        <sz val="10"/>
        <rFont val="微软雅黑"/>
        <family val="2"/>
        <charset val="134"/>
      </rPr>
      <t>HV_1014</t>
    </r>
  </si>
  <si>
    <r>
      <rPr>
        <sz val="10"/>
        <rFont val="Noto Sans CJK SC"/>
        <family val="2"/>
      </rPr>
      <t>转子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刮板电机</t>
    </r>
    <r>
      <rPr>
        <sz val="10"/>
        <rFont val="微软雅黑"/>
        <family val="2"/>
        <charset val="134"/>
      </rPr>
      <t>PB_1008</t>
    </r>
  </si>
  <si>
    <t>加热夹套</t>
  </si>
  <si>
    <r>
      <rPr>
        <sz val="10"/>
        <rFont val="Noto Sans CJK SC"/>
        <family val="2"/>
      </rPr>
      <t>进口流量调节阀</t>
    </r>
    <r>
      <rPr>
        <sz val="10"/>
        <rFont val="微软雅黑"/>
        <family val="2"/>
        <charset val="134"/>
      </rPr>
      <t>HV_1011</t>
    </r>
  </si>
  <si>
    <r>
      <rPr>
        <sz val="10"/>
        <rFont val="Noto Sans CJK SC"/>
        <family val="2"/>
      </rPr>
      <t>泵后调节阀</t>
    </r>
    <r>
      <rPr>
        <sz val="10"/>
        <rFont val="微软雅黑"/>
        <family val="2"/>
        <charset val="134"/>
      </rPr>
      <t>HV_1012</t>
    </r>
  </si>
  <si>
    <t>板式换热器</t>
  </si>
  <si>
    <r>
      <rPr>
        <sz val="10"/>
        <rFont val="Noto Sans CJK SC"/>
        <family val="2"/>
      </rPr>
      <t>薄膜脱溶后的青霉素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钾水溶液</t>
    </r>
    <r>
      <rPr>
        <sz val="10"/>
        <rFont val="微软雅黑"/>
        <family val="2"/>
        <charset val="134"/>
      </rPr>
      <t>(RB</t>
    </r>
    <r>
      <rPr>
        <sz val="10"/>
        <rFont val="Noto Sans CJK SC"/>
        <family val="2"/>
      </rPr>
      <t>浓缩原料液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</si>
  <si>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冷凝液，经分水罐分层回收</t>
    </r>
    <r>
      <rPr>
        <sz val="10"/>
        <rFont val="微软雅黑"/>
        <family val="2"/>
        <charset val="134"/>
      </rPr>
      <t>BA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</si>
  <si>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回流</t>
    </r>
  </si>
  <si>
    <r>
      <rPr>
        <sz val="10"/>
        <rFont val="Noto Sans CJK SC"/>
        <family val="2"/>
      </rPr>
      <t>软水、稀碱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液碱、浓氨→氨水、硼酸缓冲液配制及热水供给</t>
    </r>
  </si>
  <si>
    <r>
      <rPr>
        <sz val="10"/>
        <rFont val="Noto Sans CJK SC"/>
        <family val="2"/>
      </rPr>
      <t>搅拌配制罐；画面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LT_1308/PT_1016</t>
    </r>
  </si>
  <si>
    <r>
      <rPr>
        <sz val="10"/>
        <rFont val="Noto Sans CJK SC"/>
        <family val="2"/>
      </rPr>
      <t>搅拌配制罐；画面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TI_1302,R_PS</t>
    </r>
    <r>
      <rPr>
        <sz val="10"/>
        <rFont val="Noto Sans CJK SC"/>
        <family val="2"/>
      </rPr>
      <t>（画面）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</si>
  <si>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LT_1304A/B,TE_9004</t>
    </r>
  </si>
  <si>
    <r>
      <rPr>
        <sz val="10"/>
        <rFont val="Noto Sans CJK SC"/>
        <family val="2"/>
      </rPr>
      <t>配制罐；画面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LT_1307A/B,FT_13NJ,PT_1007</t>
    </r>
  </si>
  <si>
    <r>
      <rPr>
        <sz val="10"/>
        <rFont val="Noto Sans CJK SC"/>
        <family val="2"/>
      </rPr>
      <t>计量罐；画面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LT_1309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</si>
  <si>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LT_1311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</si>
  <si>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LT_1310/PT_1017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</si>
  <si>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LT_1306/TI_1304/PT_1018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</si>
  <si>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LT_1316/PT_1021</t>
    </r>
  </si>
  <si>
    <r>
      <rPr>
        <sz val="10"/>
        <rFont val="Noto Sans CJK SC"/>
        <family val="2"/>
      </rPr>
      <t>硼酸配制罐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真空上料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成员</t>
    </r>
  </si>
  <si>
    <r>
      <rPr>
        <sz val="10"/>
        <rFont val="Noto Sans CJK SC"/>
        <family val="2"/>
      </rPr>
      <t>硼酸罐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硼酸缓冲罐成员</t>
    </r>
  </si>
  <si>
    <r>
      <rPr>
        <sz val="10"/>
        <rFont val="Noto Sans CJK SC"/>
        <family val="2"/>
      </rPr>
      <t>萃取稀碱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液碱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配制罐成员</t>
    </r>
  </si>
  <si>
    <r>
      <rPr>
        <sz val="10"/>
        <rFont val="Noto Sans CJK SC"/>
        <family val="2"/>
      </rPr>
      <t>软水流量计</t>
    </r>
    <r>
      <rPr>
        <sz val="10"/>
        <rFont val="微软雅黑"/>
        <family val="2"/>
        <charset val="134"/>
      </rPr>
      <t>SJ_NH3FLOW</t>
    </r>
  </si>
  <si>
    <t>真空上料料仓</t>
  </si>
  <si>
    <r>
      <rPr>
        <sz val="10"/>
        <rFont val="Noto Sans CJK SC"/>
        <family val="2"/>
      </rPr>
      <t>温度计</t>
    </r>
    <r>
      <rPr>
        <sz val="10"/>
        <rFont val="微软雅黑"/>
        <family val="2"/>
        <charset val="134"/>
      </rPr>
      <t>TE_9004</t>
    </r>
  </si>
  <si>
    <t>稀氨水，滴加中和水解生成的苯乙酸</t>
  </si>
  <si>
    <r>
      <rPr>
        <sz val="10"/>
        <rFont val="Noto Sans CJK SC"/>
        <family val="2"/>
      </rPr>
      <t>硼酸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硼酸盐缓冲体系，稳定水解</t>
    </r>
    <r>
      <rPr>
        <sz val="10"/>
        <rFont val="微软雅黑"/>
        <family val="2"/>
        <charset val="134"/>
      </rPr>
      <t>pH</t>
    </r>
  </si>
  <si>
    <t>反萃取剂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</si>
  <si>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</t>
    </r>
    <r>
      <rPr>
        <sz val="10"/>
        <rFont val="微软雅黑"/>
        <family val="2"/>
        <charset val="134"/>
      </rPr>
      <t>+</t>
    </r>
    <r>
      <rPr>
        <sz val="10"/>
        <rFont val="Noto Sans CJK SC"/>
        <family val="2"/>
      </rPr>
      <t>硼酸缓冲液在</t>
    </r>
    <r>
      <rPr>
        <sz val="10"/>
        <rFont val="微软雅黑"/>
        <family val="2"/>
        <charset val="134"/>
      </rPr>
      <t>11</t>
    </r>
    <r>
      <rPr>
        <sz val="10"/>
        <rFont val="Noto Sans CJK SC"/>
        <family val="2"/>
      </rPr>
      <t>台固定化酶水解罐中裂解为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与苯乙酸，滴加氨水维持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</si>
  <si>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计量罐；画面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LT_1302A–L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</si>
  <si>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LT_1303,PT_1019/1020</t>
    </r>
  </si>
  <si>
    <r>
      <rPr>
        <sz val="10"/>
        <rFont val="Noto Sans CJK SC"/>
        <family val="2"/>
      </rPr>
      <t>固定化酶反应罐；画面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TI_1301A–L,AT_1301x1/x2,SJGYW_A–F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</si>
  <si>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LT_1301A/B,TI_1303</t>
    </r>
  </si>
  <si>
    <t>水解氨水计量罐组成员</t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</si>
  <si>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</t>
    </r>
    <r>
      <rPr>
        <sz val="10"/>
        <rFont val="Noto Sans CJK SC"/>
        <family val="2"/>
      </rPr>
      <t>成员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</si>
  <si>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（水解进料）成员</t>
    </r>
  </si>
  <si>
    <t>加氨阀</t>
  </si>
  <si>
    <t>夹套换热系统</t>
  </si>
  <si>
    <t>机械搅拌装置</t>
  </si>
  <si>
    <t>固定化酶截留筛网</t>
  </si>
  <si>
    <r>
      <rPr>
        <sz val="10"/>
        <rFont val="Noto Sans CJK SC"/>
        <family val="2"/>
      </rPr>
      <t>双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电极</t>
    </r>
  </si>
  <si>
    <r>
      <rPr>
        <sz val="10"/>
        <rFont val="Noto Sans CJK SC"/>
        <family val="2"/>
      </rPr>
      <t>含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、苯乙酸铵、硼酸盐的水解液</t>
    </r>
  </si>
  <si>
    <r>
      <rPr>
        <sz val="10"/>
        <rFont val="Noto Sans CJK SC"/>
        <family val="2"/>
      </rPr>
      <t>检查各水解罐进料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暂停出料</t>
    </r>
  </si>
  <si>
    <t>压料出料不畅</t>
  </si>
  <si>
    <r>
      <rPr>
        <sz val="10"/>
        <rFont val="Noto Sans CJK SC"/>
        <family val="2"/>
      </rPr>
      <t>罐状态显示“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不合格”</t>
    </r>
  </si>
  <si>
    <r>
      <rPr>
        <sz val="10"/>
        <rFont val="Noto Sans CJK SC"/>
        <family val="2"/>
      </rPr>
      <t>水解液冷却后加盐酸酸化，混合溶媒两级萃取苯乙酸；重相</t>
    </r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重液去结晶，轻相液碱反萃再生溶媒</t>
    </r>
  </si>
  <si>
    <r>
      <rPr>
        <sz val="10"/>
        <rFont val="Noto Sans CJK SC"/>
        <family val="2"/>
      </rPr>
      <t>碟片离心机；画面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P_1012I–J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</si>
  <si>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LT_1313,PT_1023</t>
    </r>
  </si>
  <si>
    <r>
      <rPr>
        <sz val="10"/>
        <rFont val="Noto Sans CJK SC"/>
        <family val="2"/>
      </rPr>
      <t>碟片离心机；画面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22HJ111x</t>
    </r>
    <r>
      <rPr>
        <sz val="10"/>
        <rFont val="Noto Sans CJK SC"/>
        <family val="2"/>
      </rPr>
      <t>（画面）</t>
    </r>
    <r>
      <rPr>
        <sz val="10"/>
        <rFont val="微软雅黑"/>
        <family val="2"/>
        <charset val="134"/>
      </rPr>
      <t>,P_1012A–D</t>
    </r>
  </si>
  <si>
    <r>
      <rPr>
        <sz val="10"/>
        <rFont val="Noto Sans CJK SC"/>
        <family val="2"/>
      </rPr>
      <t>碟片离心机；画面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P_1012E–H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</si>
  <si>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LT_1315A/B</t>
    </r>
  </si>
  <si>
    <r>
      <rPr>
        <sz val="10"/>
        <rFont val="Noto Sans CJK SC"/>
        <family val="2"/>
      </rPr>
      <t>喷射混合器；画面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XXV_0021~0024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</si>
  <si>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PT_1502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</si>
  <si>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LT_1314A/B,LT_1318,TI_1008–1010</t>
    </r>
  </si>
  <si>
    <r>
      <rPr>
        <sz val="10"/>
        <rFont val="Noto Sans CJK SC"/>
        <family val="2"/>
      </rPr>
      <t>过滤器；画面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XXV_0019~0034</t>
    </r>
  </si>
  <si>
    <r>
      <rPr>
        <sz val="10"/>
        <rFont val="Noto Sans CJK SC"/>
        <family val="2"/>
      </rPr>
      <t>板式换热器；画面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TI_1005A/B,TI_1006A–C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</si>
  <si>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LT_1312,PT_1022,TI_1007,TI_1306</t>
    </r>
  </si>
  <si>
    <r>
      <rPr>
        <sz val="10"/>
        <rFont val="Noto Sans CJK SC"/>
        <family val="2"/>
      </rPr>
      <t>分相罐；画面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LE_FXG,TE_FXG,LT_RM01,FE_FXG_ZX</t>
    </r>
  </si>
  <si>
    <t>反萃离心机组成员</t>
  </si>
  <si>
    <t>一萃离心机组成员</t>
  </si>
  <si>
    <t>二萃离心机组成员</t>
  </si>
  <si>
    <t>萃取轻相罐成员</t>
  </si>
  <si>
    <r>
      <rPr>
        <sz val="10"/>
        <rFont val="Noto Sans CJK SC"/>
        <family val="2"/>
      </rPr>
      <t>萃取喷射器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酸化混合器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成员</t>
    </r>
  </si>
  <si>
    <r>
      <rPr>
        <sz val="10"/>
        <rFont val="Noto Sans CJK SC"/>
        <family val="2"/>
      </rPr>
      <t>重液缓冲罐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萃取离心机重相缓冲罐成员</t>
    </r>
  </si>
  <si>
    <t>萃取重液过滤器成员</t>
  </si>
  <si>
    <t>水解液换热器组成员</t>
  </si>
  <si>
    <r>
      <rPr>
        <sz val="10"/>
        <rFont val="Noto Sans CJK SC"/>
        <family val="2"/>
      </rPr>
      <t>混合溶媒罐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缓冲罐成员</t>
    </r>
  </si>
  <si>
    <t>密度计</t>
  </si>
  <si>
    <r>
      <rPr>
        <sz val="10"/>
        <rFont val="Noto Sans CJK SC"/>
        <family val="2"/>
      </rPr>
      <t>去回收调节阀</t>
    </r>
    <r>
      <rPr>
        <sz val="10"/>
        <rFont val="微软雅黑"/>
        <family val="2"/>
        <charset val="134"/>
      </rPr>
      <t>HV_1026</t>
    </r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</si>
  <si>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开关阀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保护阀</t>
    </r>
    <r>
      <rPr>
        <sz val="10"/>
        <rFont val="微软雅黑"/>
        <family val="2"/>
        <charset val="134"/>
      </rPr>
      <t>XV_1314</t>
    </r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</si>
  <si>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开关阀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保护阀</t>
    </r>
    <r>
      <rPr>
        <sz val="10"/>
        <rFont val="微软雅黑"/>
        <family val="2"/>
        <charset val="134"/>
      </rPr>
      <t>XV_1315</t>
    </r>
  </si>
  <si>
    <t>输送泵</t>
  </si>
  <si>
    <t>回流换热器</t>
  </si>
  <si>
    <t>去结晶换热器</t>
  </si>
  <si>
    <r>
      <rPr>
        <sz val="10"/>
        <rFont val="Noto Sans CJK SC"/>
        <family val="2"/>
      </rPr>
      <t>冷盐水调节阀</t>
    </r>
    <r>
      <rPr>
        <sz val="10"/>
        <rFont val="微软雅黑"/>
        <family val="2"/>
        <charset val="134"/>
      </rPr>
      <t>HV_1016/1017/1018</t>
    </r>
  </si>
  <si>
    <r>
      <rPr>
        <sz val="10"/>
        <rFont val="Noto Sans CJK SC"/>
        <family val="2"/>
      </rPr>
      <t>换热器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冷盐水</t>
    </r>
    <r>
      <rPr>
        <sz val="10"/>
        <rFont val="微软雅黑"/>
        <family val="2"/>
        <charset val="134"/>
      </rPr>
      <t>)</t>
    </r>
  </si>
  <si>
    <t>出料调节阀</t>
  </si>
  <si>
    <r>
      <rPr>
        <sz val="10"/>
        <rFont val="Noto Sans CJK SC"/>
        <family val="2"/>
      </rPr>
      <t>水解液</t>
    </r>
    <r>
      <rPr>
        <sz val="10"/>
        <rFont val="微软雅黑"/>
        <family val="2"/>
        <charset val="134"/>
      </rPr>
      <t>+</t>
    </r>
    <r>
      <rPr>
        <sz val="10"/>
        <rFont val="Noto Sans CJK SC"/>
        <family val="2"/>
      </rPr>
      <t>盐酸</t>
    </r>
    <r>
      <rPr>
        <sz val="10"/>
        <rFont val="微软雅黑"/>
        <family val="2"/>
        <charset val="134"/>
      </rPr>
      <t>+</t>
    </r>
    <r>
      <rPr>
        <sz val="10"/>
        <rFont val="Noto Sans CJK SC"/>
        <family val="2"/>
      </rPr>
      <t>混合溶媒</t>
    </r>
  </si>
  <si>
    <t>去苯乙酸回收</t>
  </si>
  <si>
    <t>去回收或套用</t>
  </si>
  <si>
    <r>
      <rPr>
        <sz val="10"/>
        <rFont val="Noto Sans CJK SC"/>
        <family val="2"/>
      </rPr>
      <t>含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水相，进二萃</t>
    </r>
  </si>
  <si>
    <r>
      <rPr>
        <sz val="10"/>
        <rFont val="Noto Sans CJK SC"/>
        <family val="2"/>
      </rPr>
      <t>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二萃轻相，去反萃</t>
    </r>
  </si>
  <si>
    <r>
      <rPr>
        <sz val="10"/>
        <rFont val="Noto Sans CJK SC"/>
        <family val="2"/>
      </rPr>
      <t>二萃重相，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酸性水溶液，去结晶</t>
    </r>
  </si>
  <si>
    <r>
      <rPr>
        <sz val="10"/>
        <rFont val="Noto Sans CJK SC"/>
        <family val="2"/>
      </rPr>
      <t>丁酯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丁醇混合溶剂，萃取苯乙酸</t>
    </r>
  </si>
  <si>
    <r>
      <rPr>
        <sz val="10"/>
        <rFont val="Noto Sans CJK SC"/>
        <family val="2"/>
      </rPr>
      <t>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二级萃取离心机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保护阀</t>
    </r>
    <r>
      <rPr>
        <sz val="10"/>
        <rFont val="微软雅黑"/>
        <family val="2"/>
        <charset val="134"/>
      </rPr>
      <t>XV_1314B/XV_1315B</t>
    </r>
    <r>
      <rPr>
        <sz val="10"/>
        <rFont val="Noto Sans CJK SC"/>
        <family val="2"/>
      </rPr>
      <t>动作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</si>
  <si>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重液在</t>
    </r>
    <r>
      <rPr>
        <sz val="10"/>
        <rFont val="微软雅黑"/>
        <family val="2"/>
        <charset val="134"/>
      </rPr>
      <t>R112–R125</t>
    </r>
    <r>
      <rPr>
        <sz val="10"/>
        <rFont val="Noto Sans CJK SC"/>
        <family val="2"/>
      </rPr>
      <t>结晶罐加氨水调等电点析晶、养晶，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离心机分离洗涤得湿品</t>
    </r>
  </si>
  <si>
    <r>
      <rPr>
        <sz val="10"/>
        <rFont val="Noto Sans CJK SC"/>
        <family val="2"/>
      </rPr>
      <t>搅拌结晶罐；画面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TI_1407_A1–A14,AT_1401A1–A14,LT_1003A–L</t>
    </r>
  </si>
  <si>
    <r>
      <rPr>
        <sz val="10"/>
        <rFont val="Noto Sans CJK SC"/>
        <family val="2"/>
      </rPr>
      <t>卧式刮刀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平板离心机；画面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II_141600A–J,FT_2004A–J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</si>
  <si>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TI_1338/HV_1338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</si>
  <si>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JYLX_17/18/19</t>
    </r>
  </si>
  <si>
    <r>
      <rPr>
        <sz val="10"/>
        <rFont val="Noto Sans CJK SC"/>
        <family val="2"/>
      </rPr>
      <t>变频泵；画面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PB_DLA–D,JJG_JJB*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</si>
  <si>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</t>
    </r>
    <r>
      <rPr>
        <sz val="10"/>
        <rFont val="Noto Sans CJK SC"/>
        <family val="2"/>
      </rPr>
      <t>成员</t>
    </r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</si>
  <si>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离心机组成员</t>
    </r>
  </si>
  <si>
    <r>
      <rPr>
        <sz val="10"/>
        <rFont val="Noto Sans CJK SC"/>
        <family val="2"/>
      </rPr>
      <t>离心母液罐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洗液罐成员</t>
    </r>
  </si>
  <si>
    <t>晶浆打料泵组成员</t>
  </si>
  <si>
    <r>
      <rPr>
        <sz val="10"/>
        <rFont val="Noto Sans CJK SC"/>
        <family val="2"/>
      </rPr>
      <t>搅拌器</t>
    </r>
    <r>
      <rPr>
        <sz val="10"/>
        <rFont val="微软雅黑"/>
        <family val="2"/>
        <charset val="134"/>
      </rPr>
      <t>PB_1013</t>
    </r>
  </si>
  <si>
    <r>
      <rPr>
        <sz val="10"/>
        <rFont val="Noto Sans CJK SC"/>
        <family val="2"/>
      </rPr>
      <t>温控调节阀</t>
    </r>
    <r>
      <rPr>
        <sz val="10"/>
        <rFont val="微软雅黑"/>
        <family val="2"/>
        <charset val="134"/>
      </rPr>
      <t>HV_1029</t>
    </r>
  </si>
  <si>
    <r>
      <rPr>
        <sz val="10"/>
        <rFont val="Noto Sans CJK SC"/>
        <family val="2"/>
      </rPr>
      <t>盐酸调节阀</t>
    </r>
    <r>
      <rPr>
        <sz val="10"/>
        <rFont val="微软雅黑"/>
        <family val="2"/>
        <charset val="134"/>
      </rPr>
      <t>JJG1xx_HCL</t>
    </r>
  </si>
  <si>
    <t>氨水进口阀</t>
  </si>
  <si>
    <t>重液进口阀</t>
  </si>
  <si>
    <r>
      <rPr>
        <sz val="10"/>
        <rFont val="Noto Sans CJK SC"/>
        <family val="2"/>
      </rPr>
      <t>进料调节阀</t>
    </r>
    <r>
      <rPr>
        <sz val="10"/>
        <rFont val="微软雅黑"/>
        <family val="2"/>
        <charset val="134"/>
      </rPr>
      <t>HV_2014/2017</t>
    </r>
  </si>
  <si>
    <t>洗涤软水阀</t>
  </si>
  <si>
    <r>
      <rPr>
        <sz val="10"/>
        <rFont val="Noto Sans CJK SC"/>
        <family val="2"/>
      </rPr>
      <t>降温调节阀</t>
    </r>
    <r>
      <rPr>
        <sz val="10"/>
        <rFont val="微软雅黑"/>
        <family val="2"/>
        <charset val="134"/>
      </rPr>
      <t>HV_1338</t>
    </r>
  </si>
  <si>
    <r>
      <rPr>
        <sz val="10"/>
        <rFont val="Noto Sans CJK SC"/>
        <family val="2"/>
      </rPr>
      <t>结晶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养晶后晶浆</t>
    </r>
  </si>
  <si>
    <r>
      <rPr>
        <sz val="10"/>
        <rFont val="Noto Sans CJK SC"/>
        <family val="2"/>
      </rPr>
      <t>含溶解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与氯化铵，去母液回收</t>
    </r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</si>
  <si>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离心机洗涤水</t>
    </r>
  </si>
  <si>
    <t>离心滤饼</t>
  </si>
  <si>
    <t>结晶进料中断</t>
  </si>
  <si>
    <r>
      <rPr>
        <sz val="10"/>
        <rFont val="Noto Sans CJK SC"/>
        <family val="2"/>
      </rPr>
      <t>重液经钛材换热器</t>
    </r>
    <r>
      <rPr>
        <sz val="10"/>
        <rFont val="微软雅黑"/>
        <family val="2"/>
        <charset val="134"/>
      </rPr>
      <t>E101</t>
    </r>
    <r>
      <rPr>
        <sz val="10"/>
        <rFont val="Noto Sans CJK SC"/>
        <family val="2"/>
      </rPr>
      <t>控温后在</t>
    </r>
    <r>
      <rPr>
        <sz val="10"/>
        <rFont val="微软雅黑"/>
        <family val="2"/>
        <charset val="134"/>
      </rPr>
      <t>C101/C102</t>
    </r>
    <r>
      <rPr>
        <sz val="10"/>
        <rFont val="Noto Sans CJK SC"/>
        <family val="2"/>
      </rPr>
      <t>两级连续结晶，再入</t>
    </r>
    <r>
      <rPr>
        <sz val="10"/>
        <rFont val="微软雅黑"/>
        <family val="2"/>
        <charset val="134"/>
      </rPr>
      <t>R118/R119</t>
    </r>
    <r>
      <rPr>
        <sz val="10"/>
        <rFont val="Noto Sans CJK SC"/>
        <family val="2"/>
      </rPr>
      <t>养晶</t>
    </r>
  </si>
  <si>
    <r>
      <rPr>
        <sz val="10"/>
        <rFont val="Noto Sans CJK SC"/>
        <family val="2"/>
      </rPr>
      <t>搅拌结晶罐；画面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TI_1407,AT_1401,LT_1304</t>
    </r>
    <r>
      <rPr>
        <sz val="10"/>
        <rFont val="Noto Sans CJK SC"/>
        <family val="2"/>
      </rPr>
      <t>（画面）</t>
    </r>
  </si>
  <si>
    <r>
      <rPr>
        <sz val="10"/>
        <rFont val="Noto Sans CJK SC"/>
        <family val="2"/>
      </rPr>
      <t>连续结晶罐；画面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LT_BYW,JJG_BPHJ,TE_BGWD</t>
    </r>
  </si>
  <si>
    <r>
      <rPr>
        <sz val="10"/>
        <rFont val="Noto Sans CJK SC"/>
        <family val="2"/>
      </rPr>
      <t>连续结晶罐；画面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LT_NYW,JJG_NPHJ,TE_NGWD</t>
    </r>
  </si>
  <si>
    <r>
      <rPr>
        <sz val="10"/>
        <rFont val="Noto Sans CJK SC"/>
        <family val="2"/>
      </rPr>
      <t>变频泵；画面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位号：选</t>
    </r>
    <r>
      <rPr>
        <sz val="10"/>
        <rFont val="微软雅黑"/>
        <family val="2"/>
        <charset val="134"/>
      </rPr>
      <t>A/B/C/D</t>
    </r>
    <r>
      <rPr>
        <sz val="10"/>
        <rFont val="Noto Sans CJK SC"/>
        <family val="2"/>
      </rPr>
      <t>（画面）</t>
    </r>
  </si>
  <si>
    <r>
      <rPr>
        <sz val="10"/>
        <rFont val="Noto Sans CJK SC"/>
        <family val="2"/>
      </rPr>
      <t>板式换热器；画面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位号：重液温度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画面</t>
    </r>
    <r>
      <rPr>
        <sz val="10"/>
        <rFont val="微软雅黑"/>
        <family val="2"/>
        <charset val="134"/>
      </rPr>
      <t>)/TE_CLWD</t>
    </r>
  </si>
  <si>
    <r>
      <rPr>
        <sz val="10"/>
        <rFont val="Noto Sans CJK SC"/>
        <family val="2"/>
      </rPr>
      <t>第一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二级出料泵</t>
    </r>
    <r>
      <rPr>
        <sz val="10"/>
        <rFont val="微软雅黑"/>
        <family val="2"/>
        <charset val="134"/>
      </rPr>
      <t>P101/P102</t>
    </r>
    <r>
      <rPr>
        <sz val="10"/>
        <rFont val="Noto Sans CJK SC"/>
        <family val="2"/>
      </rPr>
      <t>成员</t>
    </r>
  </si>
  <si>
    <r>
      <rPr>
        <sz val="10"/>
        <rFont val="Noto Sans CJK SC"/>
        <family val="2"/>
      </rPr>
      <t>冰盐水调节阀</t>
    </r>
    <r>
      <rPr>
        <sz val="10"/>
        <rFont val="微软雅黑"/>
        <family val="2"/>
        <charset val="134"/>
      </rPr>
      <t>JJG118_BYS/JJG119_BYS</t>
    </r>
  </si>
  <si>
    <r>
      <rPr>
        <sz val="10"/>
        <rFont val="Noto Sans CJK SC"/>
        <family val="2"/>
      </rPr>
      <t>搅拌器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变频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</si>
  <si>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氨水调节阀</t>
    </r>
    <r>
      <rPr>
        <sz val="10"/>
        <rFont val="微软雅黑"/>
        <family val="2"/>
        <charset val="134"/>
      </rPr>
      <t>1#</t>
    </r>
  </si>
  <si>
    <r>
      <rPr>
        <sz val="10"/>
        <rFont val="Noto Sans CJK SC"/>
        <family val="2"/>
      </rPr>
      <t>氨水调节阀</t>
    </r>
    <r>
      <rPr>
        <sz val="10"/>
        <rFont val="微软雅黑"/>
        <family val="2"/>
        <charset val="134"/>
      </rPr>
      <t>2#</t>
    </r>
  </si>
  <si>
    <r>
      <rPr>
        <sz val="10"/>
        <rFont val="Noto Sans CJK SC"/>
        <family val="2"/>
      </rPr>
      <t>冷水</t>
    </r>
    <r>
      <rPr>
        <sz val="10"/>
        <rFont val="微软雅黑"/>
        <family val="2"/>
        <charset val="134"/>
      </rPr>
      <t>(-15℃)/</t>
    </r>
    <r>
      <rPr>
        <sz val="10"/>
        <rFont val="Noto Sans CJK SC"/>
        <family val="2"/>
      </rPr>
      <t>热水</t>
    </r>
    <r>
      <rPr>
        <sz val="10"/>
        <rFont val="微软雅黑"/>
        <family val="2"/>
        <charset val="134"/>
      </rPr>
      <t>(30℃)</t>
    </r>
    <r>
      <rPr>
        <sz val="10"/>
        <rFont val="Noto Sans CJK SC"/>
        <family val="2"/>
      </rPr>
      <t>切换阀</t>
    </r>
  </si>
  <si>
    <t>室外氨水、盐酸储罐及输送、盐酸吸收、结晶软水与粉料料仓</t>
  </si>
  <si>
    <r>
      <rPr>
        <sz val="10"/>
        <rFont val="Noto Sans CJK SC"/>
        <family val="2"/>
      </rPr>
      <t>泵；画面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PT_1024/PT_1025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</si>
  <si>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LT_RS01,TI_1338,PT_2008</t>
    </r>
  </si>
  <si>
    <r>
      <rPr>
        <sz val="10"/>
        <rFont val="Noto Sans CJK SC"/>
        <family val="2"/>
      </rPr>
      <t>吸收塔；画面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LT_1501,AT_1501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</si>
  <si>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LT_AS01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</si>
  <si>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LT_HCL_SW01–04,PT_1501</t>
    </r>
  </si>
  <si>
    <t>氨水输送泵组成员</t>
  </si>
  <si>
    <t>室外盐酸储罐组成员</t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</si>
  <si>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</t>
    </r>
    <r>
      <rPr>
        <sz val="10"/>
        <rFont val="微软雅黑"/>
        <family val="2"/>
        <charset val="134"/>
      </rPr>
      <t>AT_1501</t>
    </r>
  </si>
  <si>
    <r>
      <rPr>
        <sz val="10"/>
        <rFont val="Noto Sans CJK SC"/>
        <family val="2"/>
      </rPr>
      <t>进水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进碱阀</t>
    </r>
  </si>
  <si>
    <r>
      <rPr>
        <sz val="10"/>
        <rFont val="Noto Sans CJK SC"/>
        <family val="2"/>
      </rPr>
      <t>液位计</t>
    </r>
    <r>
      <rPr>
        <sz val="10"/>
        <rFont val="微软雅黑"/>
        <family val="2"/>
        <charset val="134"/>
      </rPr>
      <t>LT_AS01</t>
    </r>
  </si>
  <si>
    <r>
      <rPr>
        <sz val="10"/>
        <rFont val="微软雅黑"/>
        <family val="2"/>
        <charset val="134"/>
      </rPr>
      <t>25%</t>
    </r>
    <r>
      <rPr>
        <sz val="10"/>
        <rFont val="Noto Sans CJK SC"/>
        <family val="2"/>
      </rPr>
      <t>氨水，调结晶终点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</si>
  <si>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萃取酸化与结晶罐清洗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调酸</t>
    </r>
  </si>
  <si>
    <r>
      <rPr>
        <sz val="10"/>
        <rFont val="Noto Sans CJK SC"/>
        <family val="2"/>
      </rPr>
      <t>萃取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结晶断酸风险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</si>
  <si>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湿品真空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气流干燥得成品，尾气与循环水系统</t>
    </r>
  </si>
  <si>
    <r>
      <rPr>
        <sz val="10"/>
        <rFont val="Noto Sans CJK SC"/>
        <family val="2"/>
      </rPr>
      <t>真空干燥器；画面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TI_1404,FT_1401,XV_5106~5111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</si>
  <si>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干燥系统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双锥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二合一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成员</t>
    </r>
  </si>
  <si>
    <t>蒸汽进出口阀</t>
  </si>
  <si>
    <t>干燥进出口阀</t>
  </si>
  <si>
    <t>尾气进出口阀</t>
  </si>
  <si>
    <t>干燥风机</t>
  </si>
  <si>
    <t>吹冷风机</t>
  </si>
  <si>
    <t>干燥后成品</t>
  </si>
  <si>
    <r>
      <rPr>
        <sz val="10"/>
        <rFont val="Noto Sans CJK SC"/>
        <family val="2"/>
      </rPr>
      <t>离心母液浓缩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纳滤、母液结晶回收</t>
    </r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，脱醇脱酯塔回收溶媒</t>
    </r>
  </si>
  <si>
    <r>
      <rPr>
        <sz val="10"/>
        <rFont val="Noto Sans CJK SC"/>
        <family val="2"/>
      </rPr>
      <t>精馏塔；画面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TIETFAI,FIETJAI,TIR_4608B*</t>
    </r>
  </si>
  <si>
    <r>
      <rPr>
        <sz val="10"/>
        <rFont val="Noto Sans CJK SC"/>
        <family val="2"/>
      </rPr>
      <t>搅拌结晶罐；画面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LT_3005A–D,PT_3038A–D</t>
    </r>
  </si>
  <si>
    <r>
      <rPr>
        <sz val="10"/>
        <rFont val="Noto Sans CJK SC"/>
        <family val="2"/>
      </rPr>
      <t>汽提塔；画面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FIMYASAI,LIMYAAI,TIMYA*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</si>
  <si>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LIC3120,PHMYGAI,FT_4001</t>
    </r>
  </si>
  <si>
    <r>
      <rPr>
        <sz val="10"/>
        <rFont val="Noto Sans CJK SC"/>
        <family val="2"/>
      </rPr>
      <t>膜分离；画面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FT_101,PT_3008</t>
    </r>
  </si>
  <si>
    <t>脱醇脱酯塔组成员</t>
  </si>
  <si>
    <t>母液结晶罐组成员</t>
  </si>
  <si>
    <r>
      <rPr>
        <sz val="10"/>
        <rFont val="Noto Sans CJK SC"/>
        <family val="2"/>
      </rPr>
      <t>母液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塔成员</t>
    </r>
  </si>
  <si>
    <r>
      <rPr>
        <sz val="10"/>
        <rFont val="Noto Sans CJK SC"/>
        <family val="2"/>
      </rPr>
      <t>母液罐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母液缓冲罐成员</t>
    </r>
  </si>
  <si>
    <t>加热器</t>
  </si>
  <si>
    <t>预热器</t>
  </si>
  <si>
    <r>
      <rPr>
        <sz val="10"/>
        <rFont val="Noto Sans CJK SC"/>
        <family val="2"/>
      </rPr>
      <t>二冷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尾冷</t>
    </r>
  </si>
  <si>
    <r>
      <rPr>
        <sz val="10"/>
        <rFont val="Noto Sans CJK SC"/>
        <family val="2"/>
      </rPr>
      <t>搅拌器</t>
    </r>
    <r>
      <rPr>
        <sz val="10"/>
        <rFont val="微软雅黑"/>
        <family val="2"/>
        <charset val="134"/>
      </rPr>
      <t>P_3082</t>
    </r>
  </si>
  <si>
    <r>
      <rPr>
        <sz val="10"/>
        <rFont val="Noto Sans CJK SC"/>
        <family val="2"/>
      </rPr>
      <t>温度调节阀</t>
    </r>
    <r>
      <rPr>
        <sz val="10"/>
        <rFont val="微软雅黑"/>
        <family val="2"/>
        <charset val="134"/>
      </rPr>
      <t>HV_3078</t>
    </r>
  </si>
  <si>
    <t>复滤进料泵</t>
  </si>
  <si>
    <r>
      <rPr>
        <sz val="10"/>
        <rFont val="Noto Sans CJK SC"/>
        <family val="2"/>
      </rPr>
      <t>母液回收的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溶液，返水解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结晶</t>
    </r>
  </si>
  <si>
    <r>
      <rPr>
        <sz val="10"/>
        <rFont val="Noto Sans CJK SC"/>
        <family val="2"/>
      </rPr>
      <t>丁醇精馏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脱色塔、丁酯精馏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脱色塔、醇酯分离、待检与成品罐</t>
    </r>
  </si>
  <si>
    <r>
      <rPr>
        <sz val="10"/>
        <rFont val="Noto Sans CJK SC"/>
        <family val="2"/>
      </rPr>
      <t>精馏塔；画面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TICZZRFAI,TIZTTAI</t>
    </r>
  </si>
  <si>
    <r>
      <rPr>
        <sz val="10"/>
        <rFont val="Noto Sans CJK SC"/>
        <family val="2"/>
      </rPr>
      <t>精馏塔；画面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TITJCTA*,ZU_9001A/B</t>
    </r>
  </si>
  <si>
    <r>
      <rPr>
        <sz val="10"/>
        <rFont val="Noto Sans CJK SC"/>
        <family val="2"/>
      </rPr>
      <t>精馏塔；画面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TITJCRA*,TICZCR*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</si>
  <si>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FT_3027,FT_3028</t>
    </r>
  </si>
  <si>
    <r>
      <rPr>
        <sz val="10"/>
        <rFont val="Noto Sans CJK SC"/>
        <family val="2"/>
      </rPr>
      <t>丁酯精馏塔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丁酯脱色塔成员</t>
    </r>
  </si>
  <si>
    <t>丁醇脱色塔组成员</t>
  </si>
  <si>
    <t>丁醇精馏塔组成员</t>
  </si>
  <si>
    <r>
      <rPr>
        <sz val="10"/>
        <rFont val="Noto Sans CJK SC"/>
        <family val="2"/>
      </rPr>
      <t>溶媒待检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成品罐组成员</t>
    </r>
  </si>
  <si>
    <t>再沸器</t>
  </si>
  <si>
    <t>冷凝器</t>
  </si>
  <si>
    <r>
      <rPr>
        <sz val="10"/>
        <rFont val="Noto Sans CJK SC"/>
        <family val="2"/>
      </rPr>
      <t>一冷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二冷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尾冷</t>
    </r>
  </si>
  <si>
    <t>回流罐</t>
  </si>
  <si>
    <t>精馏回收溶媒</t>
  </si>
  <si>
    <t>反萃液酸化萃取、苯乙酸减压精馏得苯乙酸成品回用发酵；混合溶媒配制</t>
  </si>
  <si>
    <r>
      <rPr>
        <sz val="10"/>
        <rFont val="Noto Sans CJK SC"/>
        <family val="2"/>
      </rPr>
      <t>搅拌罐；画面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PH_LCYCGA/B</t>
    </r>
  </si>
  <si>
    <r>
      <rPr>
        <sz val="10"/>
        <rFont val="Noto Sans CJK SC"/>
        <family val="2"/>
      </rPr>
      <t>配制罐；画面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FT_3030/3031/3032,TE_3063A/B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</si>
  <si>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LIBYGA,TISQYYWAI</t>
    </r>
  </si>
  <si>
    <r>
      <rPr>
        <sz val="10"/>
        <rFont val="Noto Sans CJK SC"/>
        <family val="2"/>
      </rPr>
      <t>减压精馏塔；画面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TIDCBFAI,FIDCBJAI</t>
    </r>
  </si>
  <si>
    <t>碱洗罐组成员</t>
  </si>
  <si>
    <r>
      <rPr>
        <sz val="10"/>
        <rFont val="Noto Sans CJK SC"/>
        <family val="2"/>
      </rPr>
      <t>混合溶媒配制罐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混合溶媒塔成员</t>
    </r>
  </si>
  <si>
    <r>
      <rPr>
        <sz val="10"/>
        <rFont val="Noto Sans CJK SC"/>
        <family val="2"/>
      </rPr>
      <t>苯乙酸储罐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成品罐成员</t>
    </r>
  </si>
  <si>
    <r>
      <rPr>
        <sz val="10"/>
        <rFont val="Noto Sans CJK SC"/>
        <family val="2"/>
      </rPr>
      <t>在线丁醇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丁酯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水分含量检测</t>
    </r>
  </si>
  <si>
    <t>中间罐</t>
  </si>
  <si>
    <t>回用于发酵作前体</t>
  </si>
  <si>
    <r>
      <rPr>
        <sz val="10"/>
        <rFont val="Noto Sans CJK SC"/>
        <family val="2"/>
      </rPr>
      <t>废酸水</t>
    </r>
    <r>
      <rPr>
        <sz val="10"/>
        <rFont val="微软雅黑"/>
        <family val="2"/>
        <charset val="134"/>
      </rPr>
      <t>A/B/C</t>
    </r>
    <r>
      <rPr>
        <sz val="10"/>
        <rFont val="Noto Sans CJK SC"/>
        <family val="2"/>
      </rPr>
      <t>塔汽提回收溶媒，蒸氨塔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氨吸收塔回收氨，高效换热器</t>
    </r>
  </si>
  <si>
    <r>
      <rPr>
        <sz val="10"/>
        <rFont val="Noto Sans CJK SC"/>
        <family val="2"/>
      </rPr>
      <t>高效换热器；画面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FSSGX_TI01–06</t>
    </r>
  </si>
  <si>
    <r>
      <rPr>
        <sz val="10"/>
        <rFont val="Noto Sans CJK SC"/>
        <family val="2"/>
      </rPr>
      <t>汽提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吸收塔；画面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FIT3105,LIC3105,TE3105A–D,FIT3108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</si>
  <si>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DI_2001,DT_9002</t>
    </r>
  </si>
  <si>
    <r>
      <rPr>
        <sz val="10"/>
        <rFont val="Noto Sans CJK SC"/>
        <family val="2"/>
      </rPr>
      <t>汽提塔；画面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FIFSAAI,FIFSASAI,TIFSCTAI,TE_9001A–C</t>
    </r>
  </si>
  <si>
    <r>
      <rPr>
        <sz val="10"/>
        <rFont val="Noto Sans CJK SC"/>
        <family val="2"/>
      </rPr>
      <t>蒸氨塔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氨吸收塔成员</t>
    </r>
  </si>
  <si>
    <r>
      <rPr>
        <sz val="10"/>
        <rFont val="Noto Sans CJK SC"/>
        <family val="2"/>
      </rPr>
      <t>废酸水储罐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中间罐成员</t>
    </r>
  </si>
  <si>
    <r>
      <rPr>
        <sz val="10"/>
        <rFont val="Noto Sans CJK SC"/>
        <family val="2"/>
      </rPr>
      <t>废酸水汽提塔</t>
    </r>
    <r>
      <rPr>
        <sz val="10"/>
        <rFont val="微软雅黑"/>
        <family val="2"/>
        <charset val="134"/>
      </rPr>
      <t>A/B/C</t>
    </r>
    <r>
      <rPr>
        <sz val="10"/>
        <rFont val="Noto Sans CJK SC"/>
        <family val="2"/>
      </rPr>
      <t>成员</t>
    </r>
  </si>
  <si>
    <t>分凝器</t>
  </si>
  <si>
    <r>
      <rPr>
        <sz val="10"/>
        <rFont val="Noto Sans CJK SC"/>
        <family val="2"/>
      </rPr>
      <t>上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下段回流泵</t>
    </r>
  </si>
  <si>
    <r>
      <rPr>
        <sz val="10"/>
        <rFont val="Noto Sans CJK SC"/>
        <family val="2"/>
      </rPr>
      <t>密度计</t>
    </r>
    <r>
      <rPr>
        <sz val="10"/>
        <rFont val="微软雅黑"/>
        <family val="2"/>
        <charset val="134"/>
      </rPr>
      <t>DT_9002</t>
    </r>
  </si>
  <si>
    <t>降膜</t>
  </si>
  <si>
    <r>
      <rPr>
        <sz val="10"/>
        <rFont val="Noto Sans CJK SC"/>
        <family val="2"/>
      </rPr>
      <t>吸附柱、甲醇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丙酮解析、粗品结晶精制（辅助线）</t>
    </r>
  </si>
  <si>
    <r>
      <rPr>
        <sz val="10"/>
        <rFont val="Noto Sans CJK SC"/>
        <family val="2"/>
      </rPr>
      <t>吸附柱；画面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FIR542127~129,FIR542133~135</t>
    </r>
  </si>
  <si>
    <r>
      <rPr>
        <sz val="10"/>
        <rFont val="Noto Sans CJK SC"/>
        <family val="2"/>
      </rPr>
      <t>搅拌结晶罐；画面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APHIR542120A–E,LIR542113A–D</t>
    </r>
  </si>
  <si>
    <r>
      <rPr>
        <sz val="10"/>
        <rFont val="Noto Sans CJK SC"/>
        <family val="2"/>
      </rPr>
      <t>储罐；画面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TIR542105A–C,TIR542102~107</t>
    </r>
  </si>
  <si>
    <r>
      <rPr>
        <sz val="10"/>
        <rFont val="Noto Sans CJK SC"/>
        <family val="2"/>
      </rPr>
      <t>计量罐；画面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FIR542136A/B,LIR542121</t>
    </r>
  </si>
  <si>
    <t>吸附柱组成员</t>
  </si>
  <si>
    <r>
      <rPr>
        <sz val="10"/>
        <rFont val="Noto Sans CJK SC"/>
        <family val="2"/>
      </rPr>
      <t>粗品结晶罐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精制溶解罐成员</t>
    </r>
  </si>
  <si>
    <r>
      <rPr>
        <sz val="10"/>
        <rFont val="Noto Sans CJK SC"/>
        <family val="2"/>
      </rPr>
      <t>解析液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水洗液收集罐成员</t>
    </r>
  </si>
  <si>
    <r>
      <rPr>
        <sz val="10"/>
        <rFont val="Noto Sans CJK SC"/>
        <family val="2"/>
      </rPr>
      <t>丙酮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甲醇计量与回收罐成员</t>
    </r>
  </si>
  <si>
    <t>进料流量计</t>
  </si>
  <si>
    <t>甲醇进口</t>
  </si>
  <si>
    <r>
      <rPr>
        <sz val="10"/>
        <rFont val="Noto Sans CJK SC"/>
        <family val="2"/>
      </rPr>
      <t>软水、冷盐水</t>
    </r>
    <r>
      <rPr>
        <sz val="10"/>
        <rFont val="微软雅黑"/>
        <family val="2"/>
        <charset val="134"/>
      </rPr>
      <t>/7℃</t>
    </r>
    <r>
      <rPr>
        <sz val="10"/>
        <rFont val="Noto Sans CJK SC"/>
        <family val="2"/>
      </rPr>
      <t>水、蒸汽、压缩空气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仪表气、真空、暖通排风</t>
    </r>
  </si>
  <si>
    <r>
      <rPr>
        <sz val="10"/>
        <rFont val="Noto Sans CJK SC"/>
        <family val="2"/>
      </rPr>
      <t>冷冻站；画面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FT_BYSC,FT_7DSC,FI7AI,PI7AI</t>
    </r>
  </si>
  <si>
    <r>
      <rPr>
        <sz val="10"/>
        <rFont val="Noto Sans CJK SC"/>
        <family val="2"/>
      </rPr>
      <t>暖通；画面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KTDQ_*,WS_1xx</t>
    </r>
  </si>
  <si>
    <r>
      <rPr>
        <sz val="10"/>
        <rFont val="Noto Sans CJK SC"/>
        <family val="2"/>
      </rPr>
      <t>公用管网；画面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PT_1301</t>
    </r>
  </si>
  <si>
    <r>
      <rPr>
        <sz val="10"/>
        <rFont val="Noto Sans CJK SC"/>
        <family val="2"/>
      </rPr>
      <t>公用管网；画面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FIT3118</t>
    </r>
  </si>
  <si>
    <r>
      <rPr>
        <sz val="10"/>
        <rFont val="Noto Sans CJK SC"/>
        <family val="2"/>
      </rPr>
      <t>公用管网；画面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GLFIETZQAI</t>
    </r>
  </si>
  <si>
    <r>
      <rPr>
        <sz val="10"/>
        <rFont val="Noto Sans CJK SC"/>
        <family val="2"/>
      </rPr>
      <t>冷冻水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冷盐水系统成员</t>
    </r>
  </si>
  <si>
    <r>
      <rPr>
        <sz val="10"/>
        <rFont val="Noto Sans CJK SC"/>
        <family val="2"/>
      </rPr>
      <t>车间暖通排风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送风系统成员</t>
    </r>
  </si>
  <si>
    <r>
      <rPr>
        <sz val="10"/>
        <rFont val="Noto Sans CJK SC"/>
        <family val="2"/>
      </rPr>
      <t>压缩空气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仪表气系统成员</t>
    </r>
  </si>
  <si>
    <r>
      <rPr>
        <sz val="10"/>
        <rFont val="Noto Sans CJK SC"/>
        <family val="2"/>
      </rPr>
      <t>冷盐水总阀</t>
    </r>
    <r>
      <rPr>
        <sz val="10"/>
        <rFont val="微软雅黑"/>
        <family val="2"/>
        <charset val="134"/>
      </rPr>
      <t>HV_1010</t>
    </r>
  </si>
  <si>
    <r>
      <rPr>
        <sz val="10"/>
        <rFont val="Noto Sans CJK SC"/>
        <family val="2"/>
      </rPr>
      <t>电动调节阀</t>
    </r>
    <r>
      <rPr>
        <sz val="10"/>
        <rFont val="微软雅黑"/>
        <family val="2"/>
        <charset val="134"/>
      </rPr>
      <t>DV_101~118</t>
    </r>
  </si>
  <si>
    <t>软水泵</t>
  </si>
  <si>
    <t>软水总阀</t>
  </si>
  <si>
    <t>冷凝水泵</t>
  </si>
  <si>
    <t>暖器水罐</t>
  </si>
  <si>
    <t>:UtilityMedium</t>
  </si>
  <si>
    <r>
      <rPr>
        <sz val="10"/>
        <rFont val="微软雅黑"/>
        <family val="2"/>
        <charset val="134"/>
      </rPr>
      <t>-5~-15℃</t>
    </r>
    <r>
      <rPr>
        <sz val="10"/>
        <rFont val="Noto Sans CJK SC"/>
        <family val="2"/>
      </rPr>
      <t>冷媒</t>
    </r>
  </si>
  <si>
    <t>冷却水</t>
  </si>
  <si>
    <r>
      <rPr>
        <sz val="10"/>
        <rFont val="Noto Sans CJK SC"/>
        <family val="2"/>
      </rPr>
      <t>气动阀与压料动力；仪表气压力</t>
    </r>
    <r>
      <rPr>
        <sz val="10"/>
        <rFont val="微软雅黑"/>
        <family val="2"/>
        <charset val="134"/>
      </rPr>
      <t>&lt;0.45MPa</t>
    </r>
    <r>
      <rPr>
        <sz val="10"/>
        <rFont val="Noto Sans CJK SC"/>
        <family val="2"/>
      </rPr>
      <t>报警</t>
    </r>
  </si>
  <si>
    <r>
      <rPr>
        <sz val="10"/>
        <rFont val="Noto Sans CJK SC"/>
        <family val="2"/>
      </rPr>
      <t>薄膜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水解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结晶加热介质</t>
    </r>
  </si>
  <si>
    <t>工艺一次水</t>
  </si>
  <si>
    <r>
      <rPr>
        <sz val="10"/>
        <rFont val="Noto Sans CJK SC"/>
        <family val="2"/>
      </rPr>
      <t>工艺软水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纯化水</t>
    </r>
  </si>
  <si>
    <t>加热介质</t>
  </si>
  <si>
    <t>薄膜蒸发、上料、结晶</t>
  </si>
  <si>
    <t>尾气压缩机、喷淋、碱洗塔</t>
  </si>
  <si>
    <r>
      <rPr>
        <sz val="10"/>
        <rFont val="Noto Sans CJK SC"/>
        <family val="2"/>
      </rPr>
      <t>压缩机；画面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WQ101~103</t>
    </r>
  </si>
  <si>
    <r>
      <rPr>
        <sz val="10"/>
        <rFont val="Noto Sans CJK SC"/>
        <family val="2"/>
      </rPr>
      <t>洗涤塔；画面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位号：</t>
    </r>
    <r>
      <rPr>
        <sz val="10"/>
        <rFont val="微软雅黑"/>
        <family val="2"/>
        <charset val="134"/>
      </rPr>
      <t>KV106A/107A</t>
    </r>
  </si>
  <si>
    <t>尾气压缩机组成员</t>
  </si>
  <si>
    <r>
      <rPr>
        <sz val="10"/>
        <rFont val="Noto Sans CJK SC"/>
        <family val="2"/>
      </rPr>
      <t>尾气喷淋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碱洗塔成员</t>
    </r>
  </si>
  <si>
    <t>油泵</t>
  </si>
  <si>
    <t>风机</t>
  </si>
  <si>
    <t>紧急补液阀</t>
  </si>
  <si>
    <t>循环液切断阀</t>
  </si>
  <si>
    <t>进碱阀</t>
  </si>
  <si>
    <t>排液阀</t>
  </si>
  <si>
    <t>轻重相背压决定的零界面</t>
  </si>
  <si>
    <t>:BusinessKPI</t>
  </si>
  <si>
    <r>
      <rPr>
        <sz val="10"/>
        <rFont val="Noto Sans CJK SC"/>
        <family val="2"/>
      </rPr>
      <t>滤液→一次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的青霉素收率</t>
    </r>
  </si>
  <si>
    <t>吨产品溶媒消耗</t>
  </si>
  <si>
    <r>
      <rPr>
        <sz val="10"/>
        <rFont val="Noto Sans CJK SC"/>
        <family val="2"/>
      </rPr>
      <t>青霉素</t>
    </r>
    <r>
      <rPr>
        <sz val="10"/>
        <rFont val="微软雅黑"/>
        <family val="2"/>
        <charset val="134"/>
      </rPr>
      <t>G→6-APA</t>
    </r>
    <r>
      <rPr>
        <sz val="10"/>
        <rFont val="Noto Sans CJK SC"/>
        <family val="2"/>
      </rPr>
      <t>全流程总收率</t>
    </r>
  </si>
  <si>
    <r>
      <rPr>
        <sz val="10"/>
        <rFont val="Noto Sans CJK SC"/>
        <family val="2"/>
      </rPr>
      <t>蒸汽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冷量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电耗</t>
    </r>
  </si>
  <si>
    <r>
      <rPr>
        <b/>
        <sz val="15"/>
        <color rgb="FF1B365D"/>
        <rFont val="Noto Sans CJK SC"/>
        <family val="2"/>
      </rPr>
      <t>本体关系分类体系与统计总览（</t>
    </r>
    <r>
      <rPr>
        <b/>
        <sz val="15"/>
        <color rgb="FF1B365D"/>
        <rFont val="微软雅黑"/>
        <family val="2"/>
        <charset val="134"/>
      </rPr>
      <t xml:space="preserve">v2 </t>
    </r>
    <r>
      <rPr>
        <b/>
        <sz val="15"/>
        <color rgb="FF1B365D"/>
        <rFont val="Noto Sans CJK SC"/>
        <family val="2"/>
      </rPr>
      <t>全流程）</t>
    </r>
  </si>
  <si>
    <r>
      <rPr>
        <sz val="10"/>
        <color rgb="FF555555"/>
        <rFont val="Noto Sans CJK SC"/>
        <family val="2"/>
      </rPr>
      <t>数量列为公式（</t>
    </r>
    <r>
      <rPr>
        <sz val="10"/>
        <color rgb="FF555555"/>
        <rFont val="微软雅黑"/>
        <family val="2"/>
        <charset val="134"/>
      </rPr>
      <t xml:space="preserve">COUNTIFS </t>
    </r>
    <r>
      <rPr>
        <sz val="10"/>
        <color rgb="FF555555"/>
        <rFont val="Noto Sans CJK SC"/>
        <family val="2"/>
      </rPr>
      <t>关系明细），修改关系明细后自动刷新。</t>
    </r>
  </si>
  <si>
    <r>
      <rPr>
        <b/>
        <sz val="10"/>
        <color rgb="FFFFFFFF"/>
        <rFont val="Noto Sans CJK SC"/>
        <family val="2"/>
      </rPr>
      <t xml:space="preserve">关系语义谓词 </t>
    </r>
    <r>
      <rPr>
        <b/>
        <sz val="10"/>
        <color rgb="FFFFFFFF"/>
        <rFont val="微软雅黑"/>
        <family val="2"/>
        <charset val="134"/>
      </rPr>
      <t>(Predicate)</t>
    </r>
  </si>
  <si>
    <t>关系含义</t>
  </si>
  <si>
    <t>典型主体类型</t>
  </si>
  <si>
    <t>典型客体类型</t>
  </si>
  <si>
    <t>关系数量</t>
  </si>
  <si>
    <r>
      <rPr>
        <sz val="10"/>
        <rFont val="Noto Sans CJK SC"/>
        <family val="2"/>
      </rPr>
      <t xml:space="preserve">串联下游 </t>
    </r>
    <r>
      <rPr>
        <sz val="10"/>
        <rFont val="微软雅黑"/>
        <family val="2"/>
        <charset val="134"/>
      </rPr>
      <t>(connectedToNext)</t>
    </r>
  </si>
  <si>
    <r>
      <rPr>
        <sz val="10"/>
        <rFont val="Noto Sans CJK SC"/>
        <family val="2"/>
      </rPr>
      <t>工段之间物料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工艺衔接</t>
    </r>
  </si>
  <si>
    <r>
      <rPr>
        <sz val="10"/>
        <rFont val="Noto Sans CJK SC"/>
        <family val="2"/>
      </rPr>
      <t xml:space="preserve">包含设备 </t>
    </r>
    <r>
      <rPr>
        <sz val="10"/>
        <rFont val="微软雅黑"/>
        <family val="2"/>
        <charset val="134"/>
      </rPr>
      <t>(hasEquipment)</t>
    </r>
  </si>
  <si>
    <t>工段包含设备组</t>
  </si>
  <si>
    <r>
      <rPr>
        <sz val="10"/>
        <rFont val="Noto Sans CJK SC"/>
        <family val="2"/>
      </rPr>
      <t xml:space="preserve">包含实例 </t>
    </r>
    <r>
      <rPr>
        <sz val="10"/>
        <rFont val="微软雅黑"/>
        <family val="2"/>
        <charset val="134"/>
      </rPr>
      <t>(hasMember)</t>
    </r>
  </si>
  <si>
    <t>设备组包含编号实例</t>
  </si>
  <si>
    <r>
      <rPr>
        <sz val="10"/>
        <rFont val="Noto Sans CJK SC"/>
        <family val="2"/>
      </rPr>
      <t xml:space="preserve">具有部件 </t>
    </r>
    <r>
      <rPr>
        <sz val="10"/>
        <rFont val="微软雅黑"/>
        <family val="2"/>
        <charset val="134"/>
      </rPr>
      <t>(hasPart)</t>
    </r>
  </si>
  <si>
    <r>
      <rPr>
        <sz val="10"/>
        <rFont val="Noto Sans CJK SC"/>
        <family val="2"/>
      </rPr>
      <t>设备与机械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仪表组件的物理包含</t>
    </r>
  </si>
  <si>
    <r>
      <rPr>
        <sz val="10"/>
        <rFont val="Noto Sans CJK SC"/>
        <family val="2"/>
      </rPr>
      <t xml:space="preserve">具有属性 </t>
    </r>
    <r>
      <rPr>
        <sz val="10"/>
        <rFont val="微软雅黑"/>
        <family val="2"/>
        <charset val="134"/>
      </rPr>
      <t>(hasAttribute)</t>
    </r>
  </si>
  <si>
    <r>
      <rPr>
        <sz val="10"/>
        <rFont val="Noto Sans CJK SC"/>
        <family val="2"/>
      </rPr>
      <t>设备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流股拥有的工艺参数或指标</t>
    </r>
  </si>
  <si>
    <r>
      <rPr>
        <sz val="10"/>
        <rFont val="Noto Sans CJK SC"/>
        <family val="2"/>
      </rPr>
      <t xml:space="preserve">生产设备 </t>
    </r>
    <r>
      <rPr>
        <sz val="10"/>
        <rFont val="微软雅黑"/>
        <family val="2"/>
        <charset val="134"/>
      </rPr>
      <t xml:space="preserve">/ </t>
    </r>
    <r>
      <rPr>
        <sz val="10"/>
        <rFont val="Noto Sans CJK SC"/>
        <family val="2"/>
      </rPr>
      <t>物料流股</t>
    </r>
  </si>
  <si>
    <r>
      <rPr>
        <sz val="10"/>
        <rFont val="Noto Sans CJK SC"/>
        <family val="2"/>
      </rPr>
      <t xml:space="preserve">工艺属性 </t>
    </r>
    <r>
      <rPr>
        <sz val="10"/>
        <rFont val="微软雅黑"/>
        <family val="2"/>
        <charset val="134"/>
      </rPr>
      <t xml:space="preserve">/ </t>
    </r>
    <r>
      <rPr>
        <sz val="10"/>
        <rFont val="Noto Sans CJK SC"/>
        <family val="2"/>
      </rPr>
      <t>质量指标</t>
    </r>
  </si>
  <si>
    <r>
      <rPr>
        <sz val="10"/>
        <rFont val="Noto Sans CJK SC"/>
        <family val="2"/>
      </rPr>
      <t xml:space="preserve">绑定测点 </t>
    </r>
    <r>
      <rPr>
        <sz val="10"/>
        <rFont val="微软雅黑"/>
        <family val="2"/>
        <charset val="134"/>
      </rPr>
      <t>(boundToTag)</t>
    </r>
  </si>
  <si>
    <r>
      <rPr>
        <sz val="10"/>
        <rFont val="Noto Sans CJK SC"/>
        <family val="2"/>
      </rPr>
      <t>工艺属性绑定到</t>
    </r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位号</t>
    </r>
  </si>
  <si>
    <r>
      <rPr>
        <sz val="10"/>
        <rFont val="Noto Sans CJK SC"/>
        <family val="2"/>
      </rPr>
      <t xml:space="preserve">控制 </t>
    </r>
    <r>
      <rPr>
        <sz val="10"/>
        <rFont val="微软雅黑"/>
        <family val="2"/>
        <charset val="134"/>
      </rPr>
      <t>(controls)</t>
    </r>
  </si>
  <si>
    <t>控制器驱动执行机构</t>
  </si>
  <si>
    <r>
      <rPr>
        <sz val="10"/>
        <rFont val="Noto Sans CJK SC"/>
        <family val="2"/>
      </rPr>
      <t xml:space="preserve">反馈给 </t>
    </r>
    <r>
      <rPr>
        <sz val="10"/>
        <rFont val="微软雅黑"/>
        <family val="2"/>
        <charset val="134"/>
      </rPr>
      <t>(feedbackTo)</t>
    </r>
  </si>
  <si>
    <r>
      <rPr>
        <sz val="10"/>
        <rFont val="Noto Sans CJK SC"/>
        <family val="2"/>
      </rPr>
      <t>测量属性作为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回传控制器</t>
    </r>
  </si>
  <si>
    <r>
      <rPr>
        <sz val="10"/>
        <rFont val="Noto Sans CJK SC"/>
        <family val="2"/>
      </rPr>
      <t xml:space="preserve">影响 </t>
    </r>
    <r>
      <rPr>
        <sz val="10"/>
        <rFont val="微软雅黑"/>
        <family val="2"/>
        <charset val="134"/>
      </rPr>
      <t>(affects)</t>
    </r>
  </si>
  <si>
    <t>执行机构动作改变被控属性</t>
  </si>
  <si>
    <r>
      <rPr>
        <sz val="10"/>
        <rFont val="Noto Sans CJK SC"/>
        <family val="2"/>
      </rPr>
      <t xml:space="preserve">被控制 </t>
    </r>
    <r>
      <rPr>
        <sz val="10"/>
        <rFont val="微软雅黑"/>
        <family val="2"/>
        <charset val="134"/>
      </rPr>
      <t>(isControlledBy)</t>
    </r>
  </si>
  <si>
    <r>
      <rPr>
        <sz val="10"/>
        <rFont val="Noto Sans CJK SC"/>
        <family val="2"/>
      </rPr>
      <t>设备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阀门受顺控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批次程序控制</t>
    </r>
  </si>
  <si>
    <r>
      <rPr>
        <sz val="10"/>
        <rFont val="Noto Sans CJK SC"/>
        <family val="2"/>
      </rPr>
      <t xml:space="preserve">执行机构 </t>
    </r>
    <r>
      <rPr>
        <sz val="10"/>
        <rFont val="微软雅黑"/>
        <family val="2"/>
        <charset val="134"/>
      </rPr>
      <t xml:space="preserve">/ </t>
    </r>
    <r>
      <rPr>
        <sz val="10"/>
        <rFont val="Noto Sans CJK SC"/>
        <family val="2"/>
      </rPr>
      <t>生产设备</t>
    </r>
  </si>
  <si>
    <r>
      <rPr>
        <sz val="10"/>
        <rFont val="Noto Sans CJK SC"/>
        <family val="2"/>
      </rPr>
      <t xml:space="preserve">触发报警 </t>
    </r>
    <r>
      <rPr>
        <sz val="10"/>
        <rFont val="微软雅黑"/>
        <family val="2"/>
        <charset val="134"/>
      </rPr>
      <t>(triggersAlarm)</t>
    </r>
  </si>
  <si>
    <r>
      <rPr>
        <sz val="10"/>
        <rFont val="Noto Sans CJK SC"/>
        <family val="2"/>
      </rPr>
      <t>属性越限触发报警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联锁</t>
    </r>
  </si>
  <si>
    <r>
      <rPr>
        <sz val="10"/>
        <rFont val="Noto Sans CJK SC"/>
        <family val="2"/>
      </rPr>
      <t xml:space="preserve">流入 </t>
    </r>
    <r>
      <rPr>
        <sz val="10"/>
        <rFont val="微软雅黑"/>
        <family val="2"/>
        <charset val="134"/>
      </rPr>
      <t>(flowsInto)</t>
    </r>
  </si>
  <si>
    <t>物料流向设备</t>
  </si>
  <si>
    <r>
      <rPr>
        <sz val="10"/>
        <rFont val="Noto Sans CJK SC"/>
        <family val="2"/>
      </rPr>
      <t xml:space="preserve">注入 </t>
    </r>
    <r>
      <rPr>
        <sz val="10"/>
        <rFont val="微软雅黑"/>
        <family val="2"/>
        <charset val="134"/>
      </rPr>
      <t>(injectedInto)</t>
    </r>
  </si>
  <si>
    <r>
      <rPr>
        <sz val="10"/>
        <rFont val="Noto Sans CJK SC"/>
        <family val="2"/>
      </rPr>
      <t>酸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碱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助剂注入（</t>
    </r>
    <r>
      <rPr>
        <sz val="10"/>
        <rFont val="微软雅黑"/>
        <family val="2"/>
        <charset val="134"/>
      </rPr>
      <t>flowsInto</t>
    </r>
    <r>
      <rPr>
        <sz val="10"/>
        <rFont val="Noto Sans CJK SC"/>
        <family val="2"/>
      </rPr>
      <t>子属性）</t>
    </r>
  </si>
  <si>
    <r>
      <rPr>
        <sz val="10"/>
        <rFont val="Noto Sans CJK SC"/>
        <family val="2"/>
      </rPr>
      <t xml:space="preserve">滴加入 </t>
    </r>
    <r>
      <rPr>
        <sz val="10"/>
        <rFont val="微软雅黑"/>
        <family val="2"/>
        <charset val="134"/>
      </rPr>
      <t>(dosedInto)</t>
    </r>
  </si>
  <si>
    <r>
      <rPr>
        <sz val="10"/>
        <rFont val="Noto Sans CJK SC"/>
        <family val="2"/>
      </rPr>
      <t>按控制量滴加（</t>
    </r>
    <r>
      <rPr>
        <sz val="10"/>
        <rFont val="微软雅黑"/>
        <family val="2"/>
        <charset val="134"/>
      </rPr>
      <t>flowsInto</t>
    </r>
    <r>
      <rPr>
        <sz val="10"/>
        <rFont val="Noto Sans CJK SC"/>
        <family val="2"/>
      </rPr>
      <t>子属性）</t>
    </r>
  </si>
  <si>
    <r>
      <rPr>
        <sz val="10"/>
        <rFont val="Noto Sans CJK SC"/>
        <family val="2"/>
      </rPr>
      <t xml:space="preserve">循环返回 </t>
    </r>
    <r>
      <rPr>
        <sz val="10"/>
        <rFont val="微软雅黑"/>
        <family val="2"/>
        <charset val="134"/>
      </rPr>
      <t>(recyclesTo)</t>
    </r>
  </si>
  <si>
    <r>
      <rPr>
        <sz val="10"/>
        <rFont val="Noto Sans CJK SC"/>
        <family val="2"/>
      </rPr>
      <t>回收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逆流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套用物料返回（</t>
    </r>
    <r>
      <rPr>
        <sz val="10"/>
        <rFont val="微软雅黑"/>
        <family val="2"/>
        <charset val="134"/>
      </rPr>
      <t>flowsInto</t>
    </r>
    <r>
      <rPr>
        <sz val="10"/>
        <rFont val="Noto Sans CJK SC"/>
        <family val="2"/>
      </rPr>
      <t>子属性）</t>
    </r>
  </si>
  <si>
    <r>
      <rPr>
        <sz val="10"/>
        <rFont val="Noto Sans CJK SC"/>
        <family val="2"/>
      </rPr>
      <t xml:space="preserve">供给介质 </t>
    </r>
    <r>
      <rPr>
        <sz val="10"/>
        <rFont val="微软雅黑"/>
        <family val="2"/>
        <charset val="134"/>
      </rPr>
      <t>(suppliesUtility)</t>
    </r>
  </si>
  <si>
    <r>
      <rPr>
        <sz val="10"/>
        <rFont val="Noto Sans CJK SC"/>
        <family val="2"/>
      </rPr>
      <t>蒸汽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冷盐水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真空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仪表气供给</t>
    </r>
  </si>
  <si>
    <r>
      <rPr>
        <sz val="10"/>
        <rFont val="Noto Sans CJK SC"/>
        <family val="2"/>
      </rPr>
      <t xml:space="preserve">产出 </t>
    </r>
    <r>
      <rPr>
        <sz val="10"/>
        <rFont val="微软雅黑"/>
        <family val="2"/>
        <charset val="134"/>
      </rPr>
      <t>(produces)</t>
    </r>
  </si>
  <si>
    <r>
      <rPr>
        <sz val="10"/>
        <rFont val="Noto Sans CJK SC"/>
        <family val="2"/>
      </rPr>
      <t>反应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配制单元产出流股</t>
    </r>
  </si>
  <si>
    <r>
      <rPr>
        <sz val="10"/>
        <rFont val="Noto Sans CJK SC"/>
        <family val="2"/>
      </rPr>
      <t xml:space="preserve">分离产出 </t>
    </r>
    <r>
      <rPr>
        <sz val="10"/>
        <rFont val="微软雅黑"/>
        <family val="2"/>
        <charset val="134"/>
      </rPr>
      <t>(separatesInto)</t>
    </r>
  </si>
  <si>
    <r>
      <rPr>
        <sz val="10"/>
        <rFont val="Noto Sans CJK SC"/>
        <family val="2"/>
      </rPr>
      <t>分离单元产出轻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重相（</t>
    </r>
    <r>
      <rPr>
        <sz val="10"/>
        <rFont val="微软雅黑"/>
        <family val="2"/>
        <charset val="134"/>
      </rPr>
      <t>produces</t>
    </r>
    <r>
      <rPr>
        <sz val="10"/>
        <rFont val="Noto Sans CJK SC"/>
        <family val="2"/>
      </rPr>
      <t>子属性）</t>
    </r>
  </si>
  <si>
    <t>设备直接物理串联</t>
  </si>
  <si>
    <r>
      <rPr>
        <sz val="10"/>
        <rFont val="Noto Sans CJK SC"/>
        <family val="2"/>
      </rPr>
      <t xml:space="preserve">正向影响 </t>
    </r>
    <r>
      <rPr>
        <sz val="10"/>
        <rFont val="微软雅黑"/>
        <family val="2"/>
        <charset val="134"/>
      </rPr>
      <t>(positivelyAffects)</t>
    </r>
  </si>
  <si>
    <t>前项升高驱动后项升高</t>
  </si>
  <si>
    <r>
      <rPr>
        <sz val="10"/>
        <rFont val="Noto Sans CJK SC"/>
        <family val="2"/>
      </rPr>
      <t xml:space="preserve">负向影响 </t>
    </r>
    <r>
      <rPr>
        <sz val="10"/>
        <rFont val="微软雅黑"/>
        <family val="2"/>
        <charset val="134"/>
      </rPr>
      <t>(negativelyAffects)</t>
    </r>
  </si>
  <si>
    <r>
      <rPr>
        <sz val="10"/>
        <rFont val="Noto Sans CJK SC"/>
        <family val="2"/>
      </rPr>
      <t>前项升高导致后项降低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恶化</t>
    </r>
  </si>
  <si>
    <r>
      <rPr>
        <sz val="10"/>
        <rFont val="Noto Sans CJK SC"/>
        <family val="2"/>
      </rPr>
      <t>非单调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双向耦合影响</t>
    </r>
  </si>
  <si>
    <r>
      <rPr>
        <sz val="10"/>
        <rFont val="Noto Sans CJK SC"/>
        <family val="2"/>
      </rPr>
      <t>指标对收率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质量的正向贡献</t>
    </r>
  </si>
  <si>
    <r>
      <rPr>
        <sz val="10"/>
        <rFont val="Noto Sans CJK SC"/>
        <family val="2"/>
      </rPr>
      <t xml:space="preserve">质量指标 </t>
    </r>
    <r>
      <rPr>
        <sz val="10"/>
        <rFont val="微软雅黑"/>
        <family val="2"/>
        <charset val="134"/>
      </rPr>
      <t xml:space="preserve">/ </t>
    </r>
    <r>
      <rPr>
        <sz val="10"/>
        <rFont val="Noto Sans CJK SC"/>
        <family val="2"/>
      </rPr>
      <t>工艺属性</t>
    </r>
  </si>
  <si>
    <r>
      <rPr>
        <sz val="10"/>
        <rFont val="Noto Sans CJK SC"/>
        <family val="2"/>
      </rPr>
      <t xml:space="preserve">业务指标 </t>
    </r>
    <r>
      <rPr>
        <sz val="10"/>
        <rFont val="微软雅黑"/>
        <family val="2"/>
        <charset val="134"/>
      </rPr>
      <t xml:space="preserve">/ </t>
    </r>
    <r>
      <rPr>
        <sz val="10"/>
        <rFont val="Noto Sans CJK SC"/>
        <family val="2"/>
      </rPr>
      <t>质量指标</t>
    </r>
  </si>
  <si>
    <r>
      <rPr>
        <sz val="10"/>
        <rFont val="Noto Sans CJK SC"/>
        <family val="2"/>
      </rPr>
      <t>损失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残留对收率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质量的负向作用</t>
    </r>
  </si>
  <si>
    <t>合计</t>
  </si>
  <si>
    <t>核对</t>
  </si>
  <si>
    <r>
      <rPr>
        <b/>
        <sz val="12"/>
        <color rgb="FF1B365D"/>
        <rFont val="Noto Sans CJK SC"/>
        <family val="2"/>
      </rPr>
      <t xml:space="preserve">工段 </t>
    </r>
    <r>
      <rPr>
        <b/>
        <sz val="12"/>
        <color rgb="FF1B365D"/>
        <rFont val="微软雅黑"/>
        <family val="2"/>
        <charset val="134"/>
      </rPr>
      <t xml:space="preserve">× </t>
    </r>
    <r>
      <rPr>
        <b/>
        <sz val="12"/>
        <color rgb="FF1B365D"/>
        <rFont val="Noto Sans CJK SC"/>
        <family val="2"/>
      </rPr>
      <t>关系大类 分布</t>
    </r>
  </si>
  <si>
    <t>工段</t>
  </si>
  <si>
    <t>高置信占比</t>
  </si>
  <si>
    <r>
      <rPr>
        <b/>
        <sz val="13"/>
        <color rgb="FF1B365D"/>
        <rFont val="微软雅黑"/>
        <family val="2"/>
        <charset val="134"/>
      </rPr>
      <t xml:space="preserve">W3C OWL / Turtle </t>
    </r>
    <r>
      <rPr>
        <b/>
        <sz val="13"/>
        <color rgb="FF1B365D"/>
        <rFont val="Noto Sans CJK SC"/>
        <family val="2"/>
      </rPr>
      <t>三元组（</t>
    </r>
    <r>
      <rPr>
        <b/>
        <sz val="13"/>
        <color rgb="FF1B365D"/>
        <rFont val="微软雅黑"/>
        <family val="2"/>
        <charset val="134"/>
      </rPr>
      <t xml:space="preserve">v2 </t>
    </r>
    <r>
      <rPr>
        <b/>
        <sz val="13"/>
        <color rgb="FF1B365D"/>
        <rFont val="Noto Sans CJK SC"/>
        <family val="2"/>
      </rPr>
      <t xml:space="preserve">全流程，自动由关系明细生成；完整文件见同目录 </t>
    </r>
    <r>
      <rPr>
        <b/>
        <sz val="13"/>
        <color rgb="FF1B365D"/>
        <rFont val="微软雅黑"/>
        <family val="2"/>
        <charset val="134"/>
      </rPr>
      <t>6APA_ontology_</t>
    </r>
    <r>
      <rPr>
        <b/>
        <sz val="13"/>
        <color rgb="FF1B365D"/>
        <rFont val="Noto Sans CJK SC"/>
        <family val="2"/>
      </rPr>
      <t>全流程</t>
    </r>
    <r>
      <rPr>
        <b/>
        <sz val="13"/>
        <color rgb="FF1B365D"/>
        <rFont val="微软雅黑"/>
        <family val="2"/>
        <charset val="134"/>
      </rPr>
      <t>.ttl</t>
    </r>
    <r>
      <rPr>
        <b/>
        <sz val="13"/>
        <color rgb="FF1B365D"/>
        <rFont val="Noto Sans CJK SC"/>
        <family val="2"/>
      </rPr>
      <t>）</t>
    </r>
  </si>
  <si>
    <t>@prefix :     &lt;http://pharma.ontology.org/antibiotics/6apa#&gt; .</t>
  </si>
  <si>
    <t>@prefix owl:  &lt;http://www.w3.org/2002/07/owl#&gt; .</t>
  </si>
  <si>
    <t>@prefix rdf:  &lt;http://www.w3.org/1999/02/22-rdf-syntax-ns#&gt; .</t>
  </si>
  <si>
    <t>@prefix rdfs: &lt;http://www.w3.org/2000/01/rdf-schema#&gt; .</t>
  </si>
  <si>
    <t>@prefix xsd:  &lt;http://www.w3.org/2001/XMLSchema#&gt; .</t>
  </si>
  <si>
    <r>
      <rPr>
        <sz val="10"/>
        <rFont val="Consolas"/>
        <family val="3"/>
      </rPr>
      <t>&lt;http://pharma.ontology.org/antibiotics/6apa&gt; a owl:Ontology ; rdfs:label '6-APA</t>
    </r>
    <r>
      <rPr>
        <sz val="10"/>
        <rFont val="Noto Sans CJK SC"/>
        <family val="2"/>
      </rPr>
      <t xml:space="preserve">车间全流程工业本体 </t>
    </r>
    <r>
      <rPr>
        <sz val="10"/>
        <rFont val="Consolas"/>
        <family val="3"/>
      </rPr>
      <t>v2'@zh .</t>
    </r>
  </si>
  <si>
    <r>
      <rPr>
        <sz val="10"/>
        <color rgb="FF1F4E79"/>
        <rFont val="Consolas"/>
        <family val="3"/>
      </rPr>
      <t xml:space="preserve"># === 1. </t>
    </r>
    <r>
      <rPr>
        <sz val="10"/>
        <color rgb="FF1F4E79"/>
        <rFont val="Noto Sans CJK SC"/>
        <family val="2"/>
      </rPr>
      <t xml:space="preserve">类 </t>
    </r>
    <r>
      <rPr>
        <sz val="10"/>
        <color rgb="FF1F4E79"/>
        <rFont val="Consolas"/>
        <family val="3"/>
      </rPr>
      <t>(Classes) ===</t>
    </r>
  </si>
  <si>
    <r>
      <rPr>
        <sz val="10"/>
        <rFont val="Consolas"/>
        <family val="3"/>
      </rPr>
      <t>:ProductionArea a owl:Class ; rdfs:label '</t>
    </r>
    <r>
      <rPr>
        <sz val="10"/>
        <rFont val="Noto Sans CJK SC"/>
        <family val="2"/>
      </rPr>
      <t>生产工段</t>
    </r>
    <r>
      <rPr>
        <sz val="10"/>
        <rFont val="Consolas"/>
        <family val="3"/>
      </rPr>
      <t>'@zh .</t>
    </r>
  </si>
  <si>
    <r>
      <rPr>
        <sz val="10"/>
        <rFont val="Consolas"/>
        <family val="3"/>
      </rPr>
      <t>:ProductionEquipment a owl:Class ; rdfs:label '</t>
    </r>
    <r>
      <rPr>
        <sz val="10"/>
        <rFont val="Noto Sans CJK SC"/>
        <family val="2"/>
      </rPr>
      <t>生产设备</t>
    </r>
    <r>
      <rPr>
        <sz val="10"/>
        <rFont val="Consolas"/>
        <family val="3"/>
      </rPr>
      <t>'@zh .</t>
    </r>
  </si>
  <si>
    <r>
      <rPr>
        <sz val="10"/>
        <rFont val="Consolas"/>
        <family val="3"/>
      </rPr>
      <t>:EquipmentInstance a owl:Class ; rdfs:label '</t>
    </r>
    <r>
      <rPr>
        <sz val="10"/>
        <rFont val="Noto Sans CJK SC"/>
        <family val="2"/>
      </rPr>
      <t>设备实例</t>
    </r>
    <r>
      <rPr>
        <sz val="10"/>
        <rFont val="Consolas"/>
        <family val="3"/>
      </rPr>
      <t>'@zh .</t>
    </r>
  </si>
  <si>
    <r>
      <rPr>
        <sz val="10"/>
        <rFont val="Consolas"/>
        <family val="3"/>
      </rPr>
      <t>:EquipmentComponent a owl:Class ; rdfs:label '</t>
    </r>
    <r>
      <rPr>
        <sz val="10"/>
        <rFont val="Noto Sans CJK SC"/>
        <family val="2"/>
      </rPr>
      <t>设备部件</t>
    </r>
    <r>
      <rPr>
        <sz val="10"/>
        <rFont val="Consolas"/>
        <family val="3"/>
      </rPr>
      <t>'@zh .</t>
    </r>
  </si>
  <si>
    <r>
      <rPr>
        <sz val="10"/>
        <rFont val="Consolas"/>
        <family val="3"/>
      </rPr>
      <t>:MaterialStream a owl:Class ; rdfs:label '</t>
    </r>
    <r>
      <rPr>
        <sz val="10"/>
        <rFont val="Noto Sans CJK SC"/>
        <family val="2"/>
      </rPr>
      <t>物料流股</t>
    </r>
    <r>
      <rPr>
        <sz val="10"/>
        <rFont val="Consolas"/>
        <family val="3"/>
      </rPr>
      <t>'@zh .</t>
    </r>
  </si>
  <si>
    <r>
      <rPr>
        <sz val="10"/>
        <rFont val="Consolas"/>
        <family val="3"/>
      </rPr>
      <t>:UtilityMedium a owl:Class ; rdfs:label '</t>
    </r>
    <r>
      <rPr>
        <sz val="10"/>
        <rFont val="Noto Sans CJK SC"/>
        <family val="2"/>
      </rPr>
      <t>公用介质</t>
    </r>
    <r>
      <rPr>
        <sz val="10"/>
        <rFont val="Consolas"/>
        <family val="3"/>
      </rPr>
      <t>'@zh .</t>
    </r>
  </si>
  <si>
    <r>
      <rPr>
        <sz val="10"/>
        <rFont val="Consolas"/>
        <family val="3"/>
      </rPr>
      <t>:ProcessAttribute a owl:Class ; rdfs:label '</t>
    </r>
    <r>
      <rPr>
        <sz val="10"/>
        <rFont val="Noto Sans CJK SC"/>
        <family val="2"/>
      </rPr>
      <t>工艺属性</t>
    </r>
    <r>
      <rPr>
        <sz val="10"/>
        <rFont val="Consolas"/>
        <family val="3"/>
      </rPr>
      <t>'@zh .</t>
    </r>
  </si>
  <si>
    <r>
      <rPr>
        <sz val="10"/>
        <rFont val="Consolas"/>
        <family val="3"/>
      </rPr>
      <t>:QualityKPI a owl:Class ; rdfs:label '</t>
    </r>
    <r>
      <rPr>
        <sz val="10"/>
        <rFont val="Noto Sans CJK SC"/>
        <family val="2"/>
      </rPr>
      <t>质量指标</t>
    </r>
    <r>
      <rPr>
        <sz val="10"/>
        <rFont val="Consolas"/>
        <family val="3"/>
      </rPr>
      <t>'@zh .</t>
    </r>
  </si>
  <si>
    <r>
      <rPr>
        <sz val="10"/>
        <rFont val="Consolas"/>
        <family val="3"/>
      </rPr>
      <t>:BusinessKPI a owl:Class ; rdfs:label '</t>
    </r>
    <r>
      <rPr>
        <sz val="10"/>
        <rFont val="Noto Sans CJK SC"/>
        <family val="2"/>
      </rPr>
      <t>业务指标</t>
    </r>
    <r>
      <rPr>
        <sz val="10"/>
        <rFont val="Consolas"/>
        <family val="3"/>
      </rPr>
      <t>'@zh .</t>
    </r>
  </si>
  <si>
    <r>
      <rPr>
        <sz val="10"/>
        <rFont val="Consolas"/>
        <family val="3"/>
      </rPr>
      <t>:Controller a owl:Class ; rdfs:label '</t>
    </r>
    <r>
      <rPr>
        <sz val="10"/>
        <rFont val="Noto Sans CJK SC"/>
        <family val="2"/>
      </rPr>
      <t>控制仪表</t>
    </r>
    <r>
      <rPr>
        <sz val="10"/>
        <rFont val="Consolas"/>
        <family val="3"/>
      </rPr>
      <t>'@zh .</t>
    </r>
  </si>
  <si>
    <r>
      <rPr>
        <sz val="10"/>
        <rFont val="Consolas"/>
        <family val="3"/>
      </rPr>
      <t>:Actuator a owl:Class ; rdfs:label '</t>
    </r>
    <r>
      <rPr>
        <sz val="10"/>
        <rFont val="Noto Sans CJK SC"/>
        <family val="2"/>
      </rPr>
      <t>执行机构</t>
    </r>
    <r>
      <rPr>
        <sz val="10"/>
        <rFont val="Consolas"/>
        <family val="3"/>
      </rPr>
      <t>'@zh .</t>
    </r>
  </si>
  <si>
    <r>
      <rPr>
        <sz val="10"/>
        <rFont val="Consolas"/>
        <family val="3"/>
      </rPr>
      <t>:ControlSystem a owl:Class ; rdfs:label '</t>
    </r>
    <r>
      <rPr>
        <sz val="10"/>
        <rFont val="Noto Sans CJK SC"/>
        <family val="2"/>
      </rPr>
      <t>控制系统</t>
    </r>
    <r>
      <rPr>
        <sz val="10"/>
        <rFont val="Consolas"/>
        <family val="3"/>
      </rPr>
      <t>'@zh .</t>
    </r>
  </si>
  <si>
    <r>
      <rPr>
        <sz val="10"/>
        <rFont val="Consolas"/>
        <family val="3"/>
      </rPr>
      <t>:AlarmEvent a owl:Class ; rdfs:label '</t>
    </r>
    <r>
      <rPr>
        <sz val="10"/>
        <rFont val="Noto Sans CJK SC"/>
        <family val="2"/>
      </rPr>
      <t>报警事件</t>
    </r>
    <r>
      <rPr>
        <sz val="10"/>
        <rFont val="Consolas"/>
        <family val="3"/>
      </rPr>
      <t>'@zh .</t>
    </r>
  </si>
  <si>
    <r>
      <rPr>
        <sz val="10"/>
        <rFont val="Consolas"/>
        <family val="3"/>
      </rPr>
      <t>:DcsTag a owl:Class ; rdfs:label 'DCS</t>
    </r>
    <r>
      <rPr>
        <sz val="10"/>
        <rFont val="Noto Sans CJK SC"/>
        <family val="2"/>
      </rPr>
      <t>测点</t>
    </r>
    <r>
      <rPr>
        <sz val="10"/>
        <rFont val="Consolas"/>
        <family val="3"/>
      </rPr>
      <t>'@zh .</t>
    </r>
  </si>
  <si>
    <t>:EquipmentInstance rdfs:subClassOf :ProductionEquipment .</t>
  </si>
  <si>
    <t>:UtilityMedium rdfs:subClassOf :MaterialStream .</t>
  </si>
  <si>
    <t>:QualityKPI rdfs:subClassOf :ProcessAttribute .</t>
  </si>
  <si>
    <t>:BusinessKPI rdfs:subClassOf :ProcessAttribute .</t>
  </si>
  <si>
    <r>
      <rPr>
        <sz val="10"/>
        <color rgb="FF1F4E79"/>
        <rFont val="Consolas"/>
        <family val="3"/>
      </rPr>
      <t xml:space="preserve"># === 2. </t>
    </r>
    <r>
      <rPr>
        <sz val="10"/>
        <color rgb="FF1F4E79"/>
        <rFont val="Noto Sans CJK SC"/>
        <family val="2"/>
      </rPr>
      <t xml:space="preserve">对象属性 </t>
    </r>
    <r>
      <rPr>
        <sz val="10"/>
        <color rgb="FF1F4E79"/>
        <rFont val="Consolas"/>
        <family val="3"/>
      </rPr>
      <t>(Object Properties) ===</t>
    </r>
  </si>
  <si>
    <r>
      <rPr>
        <sz val="10"/>
        <rFont val="Consolas"/>
        <family val="3"/>
      </rPr>
      <t>:hasEquipment a owl:ObjectProperty ; rdfs:label '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>'@zh .</t>
    </r>
  </si>
  <si>
    <r>
      <rPr>
        <sz val="10"/>
        <rFont val="Consolas"/>
        <family val="3"/>
      </rPr>
      <t>:hasMember a owl:ObjectProperty ; rdfs:label '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'@zh .</t>
    </r>
  </si>
  <si>
    <r>
      <rPr>
        <sz val="10"/>
        <rFont val="Consolas"/>
        <family val="3"/>
      </rPr>
      <t>:hasPart a owl:ObjectProperty ; rdfs:label '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'@zh .</t>
    </r>
  </si>
  <si>
    <r>
      <rPr>
        <sz val="10"/>
        <rFont val="Consolas"/>
        <family val="3"/>
      </rPr>
      <t>:hasAttribute a owl:ObjectProperty ; rdfs:label '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'@zh .</t>
    </r>
  </si>
  <si>
    <r>
      <rPr>
        <sz val="10"/>
        <rFont val="Consolas"/>
        <family val="3"/>
      </rPr>
      <t>:boundToTag a owl:ObjectProperty ; rdfs:label '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'@zh .</t>
    </r>
  </si>
  <si>
    <r>
      <rPr>
        <sz val="10"/>
        <rFont val="Consolas"/>
        <family val="3"/>
      </rPr>
      <t>:controls a owl:ObjectProperty ; rdfs:label '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>'@zh .</t>
    </r>
  </si>
  <si>
    <r>
      <rPr>
        <sz val="10"/>
        <rFont val="Consolas"/>
        <family val="3"/>
      </rPr>
      <t>:feedbackTo a owl:ObjectProperty ; rdfs:label '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>'@zh .</t>
    </r>
  </si>
  <si>
    <r>
      <rPr>
        <sz val="10"/>
        <rFont val="Consolas"/>
        <family val="3"/>
      </rPr>
      <t>:isControlledBy a owl:ObjectProperty ; rdfs:label '</t>
    </r>
    <r>
      <rPr>
        <sz val="10"/>
        <rFont val="Noto Sans CJK SC"/>
        <family val="2"/>
      </rPr>
      <t>被控制</t>
    </r>
    <r>
      <rPr>
        <sz val="10"/>
        <rFont val="Consolas"/>
        <family val="3"/>
      </rPr>
      <t>'@zh .</t>
    </r>
  </si>
  <si>
    <r>
      <rPr>
        <sz val="10"/>
        <rFont val="Consolas"/>
        <family val="3"/>
      </rPr>
      <t>:triggersAlarm a owl:ObjectProperty ; rdfs:label '</t>
    </r>
    <r>
      <rPr>
        <sz val="10"/>
        <rFont val="Noto Sans CJK SC"/>
        <family val="2"/>
      </rPr>
      <t>触发报警</t>
    </r>
    <r>
      <rPr>
        <sz val="10"/>
        <rFont val="Consolas"/>
        <family val="3"/>
      </rPr>
      <t>'@zh .</t>
    </r>
  </si>
  <si>
    <r>
      <rPr>
        <sz val="10"/>
        <rFont val="Consolas"/>
        <family val="3"/>
      </rPr>
      <t>:flowsInto a owl:ObjectProperty ; rdfs:label '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>'@zh .</t>
    </r>
  </si>
  <si>
    <r>
      <rPr>
        <sz val="10"/>
        <rFont val="Consolas"/>
        <family val="3"/>
      </rPr>
      <t>:injectedInto a owl:ObjectProperty ; rdfs:label '</t>
    </r>
    <r>
      <rPr>
        <sz val="10"/>
        <rFont val="Noto Sans CJK SC"/>
        <family val="2"/>
      </rPr>
      <t>注入</t>
    </r>
    <r>
      <rPr>
        <sz val="10"/>
        <rFont val="Consolas"/>
        <family val="3"/>
      </rPr>
      <t>'@zh ; rdfs:subPropertyOf :flowsInto .</t>
    </r>
  </si>
  <si>
    <r>
      <rPr>
        <sz val="10"/>
        <rFont val="Consolas"/>
        <family val="3"/>
      </rPr>
      <t>:dosedInto a owl:ObjectProperty ; rdfs:label '</t>
    </r>
    <r>
      <rPr>
        <sz val="10"/>
        <rFont val="Noto Sans CJK SC"/>
        <family val="2"/>
      </rPr>
      <t>滴加入</t>
    </r>
    <r>
      <rPr>
        <sz val="10"/>
        <rFont val="Consolas"/>
        <family val="3"/>
      </rPr>
      <t>'@zh ; rdfs:subPropertyOf :flowsInto .</t>
    </r>
  </si>
  <si>
    <r>
      <rPr>
        <sz val="10"/>
        <rFont val="Consolas"/>
        <family val="3"/>
      </rPr>
      <t>:recyclesTo a owl:ObjectProperty ; rdfs:label '</t>
    </r>
    <r>
      <rPr>
        <sz val="10"/>
        <rFont val="Noto Sans CJK SC"/>
        <family val="2"/>
      </rPr>
      <t>循环返回</t>
    </r>
    <r>
      <rPr>
        <sz val="10"/>
        <rFont val="Consolas"/>
        <family val="3"/>
      </rPr>
      <t>'@zh ; rdfs:subPropertyOf :flowsInto .</t>
    </r>
  </si>
  <si>
    <r>
      <rPr>
        <sz val="10"/>
        <rFont val="Consolas"/>
        <family val="3"/>
      </rPr>
      <t>:suppliesUtility a owl:ObjectProperty ; rdfs:label '</t>
    </r>
    <r>
      <rPr>
        <sz val="10"/>
        <rFont val="Noto Sans CJK SC"/>
        <family val="2"/>
      </rPr>
      <t>供给介质</t>
    </r>
    <r>
      <rPr>
        <sz val="10"/>
        <rFont val="Consolas"/>
        <family val="3"/>
      </rPr>
      <t>'@zh .</t>
    </r>
  </si>
  <si>
    <r>
      <rPr>
        <sz val="10"/>
        <rFont val="Consolas"/>
        <family val="3"/>
      </rPr>
      <t>:produces a owl:ObjectProperty ; rdfs:label '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>'@zh .</t>
    </r>
  </si>
  <si>
    <r>
      <rPr>
        <sz val="10"/>
        <rFont val="Consolas"/>
        <family val="3"/>
      </rPr>
      <t>:separatesInto a owl:ObjectProperty ; rdfs:label '</t>
    </r>
    <r>
      <rPr>
        <sz val="10"/>
        <rFont val="Noto Sans CJK SC"/>
        <family val="2"/>
      </rPr>
      <t>分离产出</t>
    </r>
    <r>
      <rPr>
        <sz val="10"/>
        <rFont val="Consolas"/>
        <family val="3"/>
      </rPr>
      <t>'@zh ; rdfs:subPropertyOf :produces .</t>
    </r>
  </si>
  <si>
    <r>
      <rPr>
        <sz val="10"/>
        <rFont val="Consolas"/>
        <family val="3"/>
      </rPr>
      <t>:connectedToNext a owl:ObjectProperty ; rdfs:label '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>'@zh .</t>
    </r>
  </si>
  <si>
    <r>
      <rPr>
        <sz val="10"/>
        <rFont val="Consolas"/>
        <family val="3"/>
      </rPr>
      <t>:positivelyAffects a owl:ObjectProperty ; rdfs:label '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>'@zh ; rdfs:subPropertyOf :affects .</t>
    </r>
  </si>
  <si>
    <r>
      <rPr>
        <sz val="10"/>
        <rFont val="Consolas"/>
        <family val="3"/>
      </rPr>
      <t>:negativelyAffects a owl:ObjectProperty ; rdfs:label '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>'@zh ; rdfs:subPropertyOf :affects .</t>
    </r>
  </si>
  <si>
    <r>
      <rPr>
        <sz val="10"/>
        <rFont val="Consolas"/>
        <family val="3"/>
      </rPr>
      <t>:affects a owl:ObjectProperty ; rdfs:label '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>'@zh .</t>
    </r>
  </si>
  <si>
    <t>:isControlledBy owl:inverseOf :controls .</t>
  </si>
  <si>
    <t>:hasComponent owl:equivalentProperty :hasPart .</t>
  </si>
  <si>
    <r>
      <rPr>
        <sz val="10"/>
        <rFont val="Consolas"/>
        <family val="3"/>
      </rPr>
      <t>:processSection a owl:DatatypeProperty ; rdfs:label '</t>
    </r>
    <r>
      <rPr>
        <sz val="10"/>
        <rFont val="Noto Sans CJK SC"/>
        <family val="2"/>
      </rPr>
      <t>所属工艺工段</t>
    </r>
    <r>
      <rPr>
        <sz val="10"/>
        <rFont val="Consolas"/>
        <family val="3"/>
      </rPr>
      <t>'@zh .</t>
    </r>
  </si>
  <si>
    <t>:confidence a owl:AnnotationProperty .</t>
  </si>
  <si>
    <r>
      <rPr>
        <sz val="10"/>
        <color rgb="FF1F4E79"/>
        <rFont val="Consolas"/>
        <family val="3"/>
      </rPr>
      <t xml:space="preserve"># === 3. </t>
    </r>
    <r>
      <rPr>
        <sz val="10"/>
        <color rgb="FF1F4E79"/>
        <rFont val="Noto Sans CJK SC"/>
        <family val="2"/>
      </rPr>
      <t xml:space="preserve">个体 </t>
    </r>
    <r>
      <rPr>
        <sz val="10"/>
        <color rgb="FF1F4E79"/>
        <rFont val="Consolas"/>
        <family val="3"/>
      </rPr>
      <t>(Individuals) ===</t>
    </r>
  </si>
  <si>
    <r>
      <rPr>
        <sz val="10"/>
        <rFont val="Consolas"/>
        <family val="3"/>
      </rPr>
      <t>:Area_S01_Extraction_RSE300 a :ProductionArea ; rdfs:label '</t>
    </r>
    <r>
      <rPr>
        <sz val="10"/>
        <rFont val="Noto Sans CJK SC"/>
        <family val="2"/>
      </rPr>
      <t>提取</t>
    </r>
    <r>
      <rPr>
        <sz val="10"/>
        <rFont val="Consolas"/>
        <family val="3"/>
      </rPr>
      <t>·RSE300</t>
    </r>
    <r>
      <rPr>
        <sz val="10"/>
        <rFont val="Noto Sans CJK SC"/>
        <family val="2"/>
      </rPr>
      <t>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二萃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</si>
  <si>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:Area_S02_Extraction_RSE200 a :ProductionArea ; rdfs:label '</t>
    </r>
    <r>
      <rPr>
        <sz val="10"/>
        <rFont val="Noto Sans CJK SC"/>
        <family val="2"/>
      </rPr>
      <t>提取</t>
    </r>
    <r>
      <rPr>
        <sz val="10"/>
        <rFont val="Consolas"/>
        <family val="3"/>
      </rPr>
      <t>·RSE200</t>
    </r>
    <r>
      <rPr>
        <sz val="10"/>
        <rFont val="Noto Sans CJK SC"/>
        <family val="2"/>
      </rPr>
      <t>三萃及溶媒周转</t>
    </r>
    <r>
      <rPr>
        <sz val="10"/>
        <rFont val="Consolas"/>
        <family val="3"/>
      </rPr>
      <t>'@zh ; :processSection 'S02' .</t>
    </r>
  </si>
  <si>
    <r>
      <rPr>
        <sz val="10"/>
        <rFont val="Consolas"/>
        <family val="3"/>
      </rPr>
      <t>:Area_S03_DiluteH2SO4Prep a :ProductionArea ; rdfs:label '</t>
    </r>
    <r>
      <rPr>
        <sz val="10"/>
        <rFont val="Noto Sans CJK SC"/>
        <family val="2"/>
      </rPr>
      <t>稀硫酸配制</t>
    </r>
    <r>
      <rPr>
        <sz val="10"/>
        <rFont val="Consolas"/>
        <family val="3"/>
      </rPr>
      <t>'@zh ; :processSection 'S03' .</t>
    </r>
  </si>
  <si>
    <r>
      <rPr>
        <sz val="10"/>
        <rFont val="Consolas"/>
        <family val="3"/>
      </rPr>
      <t>:Area_S04_DemulsifierPrep a :ProductionArea ; rdfs:label '</t>
    </r>
    <r>
      <rPr>
        <sz val="10"/>
        <rFont val="Noto Sans CJK SC"/>
        <family val="2"/>
      </rPr>
      <t>破乳剂配制</t>
    </r>
    <r>
      <rPr>
        <sz val="10"/>
        <rFont val="Consolas"/>
        <family val="3"/>
      </rPr>
      <t>'@zh ; :processSection 'S04' .</t>
    </r>
  </si>
  <si>
    <r>
      <rPr>
        <sz val="10"/>
        <rFont val="Consolas"/>
        <family val="3"/>
      </rPr>
      <t>:Area_S05_BAWashing a :ProductionArea ; rdfs:label 'BA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</si>
  <si>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:Area_S06_Decolorization a :ProductionArea ; rdfs:label '</t>
    </r>
    <r>
      <rPr>
        <sz val="10"/>
        <rFont val="Noto Sans CJK SC"/>
        <family val="2"/>
      </rPr>
      <t>活性炭脱色与芬特过滤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</si>
  <si>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:Area_S07_BackExtraction a :ProductionArea ; rdfs:label '6APA</t>
    </r>
    <r>
      <rPr>
        <sz val="10"/>
        <rFont val="Noto Sans CJK SC"/>
        <family val="2"/>
      </rPr>
      <t>抽提（碳酸钾反萃）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</si>
  <si>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:Area_S08_PenGKSaltLine a :ProductionArea ; rdfs:label '</t>
    </r>
    <r>
      <rPr>
        <sz val="10"/>
        <rFont val="Noto Sans CJK SC"/>
        <family val="2"/>
      </rPr>
      <t>青霉素钾盐支线（点表补充）</t>
    </r>
    <r>
      <rPr>
        <sz val="10"/>
        <rFont val="Consolas"/>
        <family val="3"/>
      </rPr>
      <t>'@zh ; :processSection 'S08' .</t>
    </r>
  </si>
  <si>
    <r>
      <rPr>
        <sz val="10"/>
        <rFont val="Consolas"/>
        <family val="3"/>
      </rPr>
      <t>:Area_S09_ThinFilmEvaporation a :ProductionArea ; rdfs:label '</t>
    </r>
    <r>
      <rPr>
        <sz val="10"/>
        <rFont val="Noto Sans CJK SC"/>
        <family val="2"/>
      </rPr>
      <t>薄膜蒸发（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脱溶）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</si>
  <si>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:Area_S10_HydrolysisAuxPrep a :ProductionArea ; rdfs:label '</t>
    </r>
    <r>
      <rPr>
        <sz val="10"/>
        <rFont val="Noto Sans CJK SC"/>
        <family val="2"/>
      </rPr>
      <t>水解辅料配制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</si>
  <si>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:Area_S11_EnzymaticHydrolysis a :ProductionArea ; rdfs:label '</t>
    </r>
    <r>
      <rPr>
        <sz val="10"/>
        <rFont val="Noto Sans CJK SC"/>
        <family val="2"/>
      </rPr>
      <t>酶法水解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</si>
  <si>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:Area_S12_PAAExtraction a :ProductionArea ; rdfs:label '</t>
    </r>
    <r>
      <rPr>
        <sz val="10"/>
        <rFont val="Noto Sans CJK SC"/>
        <family val="2"/>
      </rPr>
      <t>萃取与反萃（苯乙酸分离）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</si>
  <si>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:Area_S13_BatchCrystallization a :ProductionArea ; rdfs:label '6APA</t>
    </r>
    <r>
      <rPr>
        <sz val="10"/>
        <rFont val="Noto Sans CJK SC"/>
        <family val="2"/>
      </rPr>
      <t>批次结晶与离心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</si>
  <si>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:Area_S14_ContinuousCrystallization a :ProductionArea ; rdfs:label '6APA</t>
    </r>
    <r>
      <rPr>
        <sz val="10"/>
        <rFont val="Noto Sans CJK SC"/>
        <family val="2"/>
      </rPr>
      <t>连续结晶</t>
    </r>
    <r>
      <rPr>
        <sz val="10"/>
        <rFont val="Consolas"/>
        <family val="3"/>
      </rPr>
      <t>'@zh ; :processSection 'S14' .</t>
    </r>
  </si>
  <si>
    <r>
      <rPr>
        <sz val="10"/>
        <rFont val="Consolas"/>
        <family val="3"/>
      </rPr>
      <t>:Area_S15_CrystAuxStorage a :ProductionArea ; rdfs:label '</t>
    </r>
    <r>
      <rPr>
        <sz val="10"/>
        <rFont val="Noto Sans CJK SC"/>
        <family val="2"/>
      </rPr>
      <t>结晶辅料储运（氨水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盐酸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软水）</t>
    </r>
    <r>
      <rPr>
        <sz val="10"/>
        <rFont val="Consolas"/>
        <family val="3"/>
      </rPr>
      <t>'@zh ; :processSection 'S15' .</t>
    </r>
  </si>
  <si>
    <r>
      <rPr>
        <sz val="10"/>
        <rFont val="Consolas"/>
        <family val="3"/>
      </rPr>
      <t>:Area_S16_Drying a :ProductionArea ; rdfs:label '6APA</t>
    </r>
    <r>
      <rPr>
        <sz val="10"/>
        <rFont val="Noto Sans CJK SC"/>
        <family val="2"/>
      </rPr>
      <t>干燥</t>
    </r>
    <r>
      <rPr>
        <sz val="10"/>
        <rFont val="Consolas"/>
        <family val="3"/>
      </rPr>
      <t>'@zh ; :processSection 'S16' .</t>
    </r>
  </si>
  <si>
    <r>
      <rPr>
        <sz val="10"/>
        <rFont val="Consolas"/>
        <family val="3"/>
      </rPr>
      <t>:Area_S17_MotherLiquorRecovery a :ProductionArea ; rdfs:label '</t>
    </r>
    <r>
      <rPr>
        <sz val="10"/>
        <rFont val="Noto Sans CJK SC"/>
        <family val="2"/>
      </rPr>
      <t>结晶母液回收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</si>
  <si>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:Area_S18_SolventDistillation a :ProductionArea ; rdfs:label '</t>
    </r>
    <r>
      <rPr>
        <sz val="10"/>
        <rFont val="Noto Sans CJK SC"/>
        <family val="2"/>
      </rPr>
      <t>丁醇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丁酯精馏（溶媒回收）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</si>
  <si>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:Area_S19_PAARecovery a :ProductionArea ; rdfs:label '</t>
    </r>
    <r>
      <rPr>
        <sz val="10"/>
        <rFont val="Noto Sans CJK SC"/>
        <family val="2"/>
      </rPr>
      <t>苯乙酸回收与混合溶媒配制</t>
    </r>
    <r>
      <rPr>
        <sz val="10"/>
        <rFont val="Consolas"/>
        <family val="3"/>
      </rPr>
      <t>'@zh ; :processSection 'S19' .</t>
    </r>
  </si>
  <si>
    <r>
      <rPr>
        <sz val="10"/>
        <rFont val="Consolas"/>
        <family val="3"/>
      </rPr>
      <t>:Area_S20_WastewaterTreatment a :ProductionArea ; rdfs:label '</t>
    </r>
    <r>
      <rPr>
        <sz val="10"/>
        <rFont val="Noto Sans CJK SC"/>
        <family val="2"/>
      </rPr>
      <t>废酸水处理与蒸氨</t>
    </r>
    <r>
      <rPr>
        <sz val="10"/>
        <rFont val="Consolas"/>
        <family val="3"/>
      </rPr>
      <t>'@zh ; :processSection 'S20' .</t>
    </r>
  </si>
  <si>
    <r>
      <rPr>
        <sz val="10"/>
        <rFont val="Consolas"/>
        <family val="3"/>
      </rPr>
      <t>:Area_S21_AdsorptionElution a :ProductionArea ; rdfs:label '</t>
    </r>
    <r>
      <rPr>
        <sz val="10"/>
        <rFont val="Noto Sans CJK SC"/>
        <family val="2"/>
      </rPr>
      <t>吸附与树脂解析（辅助）</t>
    </r>
    <r>
      <rPr>
        <sz val="10"/>
        <rFont val="Consolas"/>
        <family val="3"/>
      </rPr>
      <t>'@zh ; :processSection 'S21' .</t>
    </r>
  </si>
  <si>
    <r>
      <rPr>
        <sz val="10"/>
        <rFont val="Consolas"/>
        <family val="3"/>
      </rPr>
      <t>:Area_S22_Utilities a :ProductionArea ; rdfs:label '</t>
    </r>
    <r>
      <rPr>
        <sz val="10"/>
        <rFont val="Noto Sans CJK SC"/>
        <family val="2"/>
      </rPr>
      <t>公用工程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</si>
  <si>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:Area_S23_OffgasTreatment a :ProductionArea ; rdfs:label '</t>
    </r>
    <r>
      <rPr>
        <sz val="10"/>
        <rFont val="Noto Sans CJK SC"/>
        <family val="2"/>
      </rPr>
      <t>尾气与环保</t>
    </r>
    <r>
      <rPr>
        <sz val="10"/>
        <rFont val="Consolas"/>
        <family val="3"/>
      </rPr>
      <t>'@zh ; :processSection 'S23' .</t>
    </r>
  </si>
  <si>
    <r>
      <rPr>
        <sz val="10"/>
        <rFont val="Consolas"/>
        <family val="3"/>
      </rPr>
      <t>:FiltrateTankGroup a :ProductionEquipment ; rdfs:label '</t>
    </r>
    <r>
      <rPr>
        <sz val="10"/>
        <rFont val="Noto Sans CJK SC"/>
        <family val="2"/>
      </rPr>
      <t>发酵滤液储罐组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</si>
  <si>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:FiltrateTankGroup_M01 a :EquipmentInstance ; rdfs:label '</t>
    </r>
    <r>
      <rPr>
        <sz val="10"/>
        <rFont val="Noto Sans CJK SC"/>
        <family val="2"/>
      </rPr>
      <t>滤液储罐</t>
    </r>
    <r>
      <rPr>
        <sz val="10"/>
        <rFont val="Consolas"/>
        <family val="3"/>
      </rPr>
      <t>T2101(</t>
    </r>
    <r>
      <rPr>
        <sz val="10"/>
        <rFont val="Noto Sans CJK SC"/>
        <family val="2"/>
      </rPr>
      <t>滤液罐</t>
    </r>
    <r>
      <rPr>
        <sz val="10"/>
        <rFont val="Consolas"/>
        <family val="3"/>
      </rPr>
      <t>A)'@zh ; :processSection 'S01' .</t>
    </r>
  </si>
  <si>
    <r>
      <rPr>
        <sz val="10"/>
        <rFont val="Consolas"/>
        <family val="3"/>
      </rPr>
      <t>:FiltrateTankGroup_M02 a :EquipmentInstance ; rdfs:label '</t>
    </r>
    <r>
      <rPr>
        <sz val="10"/>
        <rFont val="Noto Sans CJK SC"/>
        <family val="2"/>
      </rPr>
      <t>滤液罐</t>
    </r>
    <r>
      <rPr>
        <sz val="10"/>
        <rFont val="Consolas"/>
        <family val="3"/>
      </rPr>
      <t>B'@zh ; :processSection 'S01' .</t>
    </r>
  </si>
  <si>
    <r>
      <rPr>
        <sz val="10"/>
        <rFont val="Consolas"/>
        <family val="3"/>
      </rPr>
      <t>:FiltrateTankGroup_P01 a :EquipmentComponent ; rdfs:label '</t>
    </r>
    <r>
      <rPr>
        <sz val="10"/>
        <rFont val="Noto Sans CJK SC"/>
        <family val="2"/>
      </rPr>
      <t>发酵滤液储罐组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</si>
  <si>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:FiltrateTankGroup_P02 a :EquipmentComponent ; rdfs:label '</t>
    </r>
    <r>
      <rPr>
        <sz val="10"/>
        <rFont val="Noto Sans CJK SC"/>
        <family val="2"/>
      </rPr>
      <t>发酵滤液储罐组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温度计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</si>
  <si>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:FiltratePumpGroup a :ProductionEquipment ; rdfs:label '</t>
    </r>
    <r>
      <rPr>
        <sz val="10"/>
        <rFont val="Noto Sans CJK SC"/>
        <family val="2"/>
      </rPr>
      <t>滤液泵组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</si>
  <si>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:FiltratePumpGroup_M01 a :EquipmentInstance ; rdfs:label '</t>
    </r>
    <r>
      <rPr>
        <sz val="10"/>
        <rFont val="Noto Sans CJK SC"/>
        <family val="2"/>
      </rPr>
      <t>滤液泵</t>
    </r>
    <r>
      <rPr>
        <sz val="10"/>
        <rFont val="Consolas"/>
        <family val="3"/>
      </rPr>
      <t>A'@zh ; :processSection 'S01' .</t>
    </r>
  </si>
  <si>
    <r>
      <rPr>
        <sz val="10"/>
        <rFont val="Consolas"/>
        <family val="3"/>
      </rPr>
      <t>:FiltratePumpGroup_M02 a :EquipmentInstance ; rdfs:label '</t>
    </r>
    <r>
      <rPr>
        <sz val="10"/>
        <rFont val="Noto Sans CJK SC"/>
        <family val="2"/>
      </rPr>
      <t>滤液泵</t>
    </r>
    <r>
      <rPr>
        <sz val="10"/>
        <rFont val="Consolas"/>
        <family val="3"/>
      </rPr>
      <t>B'@zh ; :processSection 'S01' .</t>
    </r>
  </si>
  <si>
    <r>
      <rPr>
        <sz val="10"/>
        <rFont val="Consolas"/>
        <family val="3"/>
      </rPr>
      <t>:FiltratePumpGroup_M03 a :EquipmentInstance ; rdfs:label '</t>
    </r>
    <r>
      <rPr>
        <sz val="10"/>
        <rFont val="Noto Sans CJK SC"/>
        <family val="2"/>
      </rPr>
      <t>滤液泵</t>
    </r>
    <r>
      <rPr>
        <sz val="10"/>
        <rFont val="Consolas"/>
        <family val="3"/>
      </rPr>
      <t>C'@zh ; :processSection 'S01' .</t>
    </r>
  </si>
  <si>
    <r>
      <rPr>
        <sz val="10"/>
        <rFont val="Consolas"/>
        <family val="3"/>
      </rPr>
      <t>:FiltratePumpGroup_M04 a :EquipmentInstance ; rdfs:label '</t>
    </r>
    <r>
      <rPr>
        <sz val="10"/>
        <rFont val="Noto Sans CJK SC"/>
        <family val="2"/>
      </rPr>
      <t>滤液泵</t>
    </r>
    <r>
      <rPr>
        <sz val="10"/>
        <rFont val="Consolas"/>
        <family val="3"/>
      </rPr>
      <t>D'@zh ; :processSection 'S01' .</t>
    </r>
  </si>
  <si>
    <r>
      <rPr>
        <sz val="10"/>
        <rFont val="Consolas"/>
        <family val="3"/>
      </rPr>
      <t>:FiltratePumpGroup_M05 a :EquipmentInstance ; rdfs:label '</t>
    </r>
    <r>
      <rPr>
        <sz val="10"/>
        <rFont val="Noto Sans CJK SC"/>
        <family val="2"/>
      </rPr>
      <t>滤液泵</t>
    </r>
    <r>
      <rPr>
        <sz val="10"/>
        <rFont val="Consolas"/>
        <family val="3"/>
      </rPr>
      <t>E'@zh ; :processSection 'S01' .</t>
    </r>
  </si>
  <si>
    <r>
      <rPr>
        <sz val="10"/>
        <rFont val="Consolas"/>
        <family val="3"/>
      </rPr>
      <t>:FiltratePumpGroup_M06 a :EquipmentInstance ; rdfs:label '</t>
    </r>
    <r>
      <rPr>
        <sz val="10"/>
        <rFont val="Noto Sans CJK SC"/>
        <family val="2"/>
      </rPr>
      <t>滤液泵</t>
    </r>
    <r>
      <rPr>
        <sz val="10"/>
        <rFont val="Consolas"/>
        <family val="3"/>
      </rPr>
      <t>F'@zh ; :processSection 'S01' .</t>
    </r>
  </si>
  <si>
    <r>
      <rPr>
        <sz val="10"/>
        <rFont val="Consolas"/>
        <family val="3"/>
      </rPr>
      <t>:FiltratePumpGroup_P01 a :EquipmentComponent ; rdfs:label '</t>
    </r>
    <r>
      <rPr>
        <sz val="10"/>
        <rFont val="Noto Sans CJK SC"/>
        <family val="2"/>
      </rPr>
      <t>滤液泵组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电机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</si>
  <si>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:RSE300CentrifugeGroup a :ProductionEquipment ; rdfs:label 'RSE300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</si>
  <si>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:RSE300CentrifugeGroup_M01 a :EquipmentInstance ; rdfs:label '</t>
    </r>
    <r>
      <rPr>
        <sz val="10"/>
        <rFont val="Noto Sans CJK SC"/>
        <family val="2"/>
      </rPr>
      <t>提取离心机</t>
    </r>
    <r>
      <rPr>
        <sz val="10"/>
        <rFont val="Consolas"/>
        <family val="3"/>
      </rPr>
      <t>1(II_10CQA)'@zh ; :processSection 'S01' .</t>
    </r>
  </si>
  <si>
    <r>
      <rPr>
        <sz val="10"/>
        <rFont val="Consolas"/>
        <family val="3"/>
      </rPr>
      <t>:RSE300CentrifugeGroup_M02 a :EquipmentInstance ; rdfs:label '</t>
    </r>
    <r>
      <rPr>
        <sz val="10"/>
        <rFont val="Noto Sans CJK SC"/>
        <family val="2"/>
      </rPr>
      <t>提取离心机</t>
    </r>
    <r>
      <rPr>
        <sz val="10"/>
        <rFont val="Consolas"/>
        <family val="3"/>
      </rPr>
      <t>2(II_10CQB)'@zh ; :processSection 'S01' .</t>
    </r>
  </si>
  <si>
    <r>
      <rPr>
        <sz val="10"/>
        <rFont val="Consolas"/>
        <family val="3"/>
      </rPr>
      <t>:RSE300CentrifugeGroup_M03 a :EquipmentInstance ; rdfs:label '</t>
    </r>
    <r>
      <rPr>
        <sz val="10"/>
        <rFont val="Noto Sans CJK SC"/>
        <family val="2"/>
      </rPr>
      <t>提取离心机</t>
    </r>
    <r>
      <rPr>
        <sz val="10"/>
        <rFont val="Consolas"/>
        <family val="3"/>
      </rPr>
      <t>3(II_10CQC)'@zh ; :processSection 'S01' .</t>
    </r>
  </si>
  <si>
    <r>
      <rPr>
        <sz val="10"/>
        <rFont val="Consolas"/>
        <family val="3"/>
      </rPr>
      <t>:RSE300CentrifugeGroup_M04 a :EquipmentInstance ; rdfs:label '</t>
    </r>
    <r>
      <rPr>
        <sz val="10"/>
        <rFont val="Noto Sans CJK SC"/>
        <family val="2"/>
      </rPr>
      <t>提取离心机</t>
    </r>
    <r>
      <rPr>
        <sz val="10"/>
        <rFont val="Consolas"/>
        <family val="3"/>
      </rPr>
      <t>4(II_10CQD)'@zh ; :processSection 'S01' .</t>
    </r>
  </si>
  <si>
    <r>
      <rPr>
        <sz val="10"/>
        <rFont val="Consolas"/>
        <family val="3"/>
      </rPr>
      <t>:RSE300CentrifugeGroup_M05 a :EquipmentInstance ; rdfs:label '</t>
    </r>
    <r>
      <rPr>
        <sz val="10"/>
        <rFont val="Noto Sans CJK SC"/>
        <family val="2"/>
      </rPr>
      <t>提取离心机</t>
    </r>
    <r>
      <rPr>
        <sz val="10"/>
        <rFont val="Consolas"/>
        <family val="3"/>
      </rPr>
      <t>5(II_10CQE)'@zh ; :processSection 'S01' .</t>
    </r>
  </si>
  <si>
    <r>
      <rPr>
        <sz val="10"/>
        <rFont val="Consolas"/>
        <family val="3"/>
      </rPr>
      <t>:RSE300CentrifugeGroup_M06 a :EquipmentInstance ; rdfs:label '</t>
    </r>
    <r>
      <rPr>
        <sz val="10"/>
        <rFont val="Noto Sans CJK SC"/>
        <family val="2"/>
      </rPr>
      <t>提取离心机</t>
    </r>
    <r>
      <rPr>
        <sz val="10"/>
        <rFont val="Consolas"/>
        <family val="3"/>
      </rPr>
      <t>6(II_10CQF)'@zh ; :processSection 'S01' .</t>
    </r>
  </si>
  <si>
    <r>
      <rPr>
        <sz val="10"/>
        <rFont val="Consolas"/>
        <family val="3"/>
      </rPr>
      <t>:RSE300CentrifugeGroup_P01 a :EquipmentComponent ; rdfs:label 'RSE300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碟片分离转鼓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</si>
  <si>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:RSE300CentrifugeGroup_P02 a :EquipmentComponent ; rdfs:label 'RSE300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轻相向心泵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</si>
  <si>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:RSE300CentrifugeGroup_P03 a :EquipmentComponent ; rdfs:label 'RSE300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重相向心泵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</si>
  <si>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:RSE300CentrifugeGroup_P04 a :EquipmentComponent ; rdfs:label 'RSE300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主电机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</si>
  <si>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:RSE300CentrifugeGroup_P05 a :EquipmentComponent ; rdfs:label 'RSE300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进料调节阀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</si>
  <si>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:AcidMixerM2123 a :ProductionEquipment ; rdfs:label '</t>
    </r>
    <r>
      <rPr>
        <sz val="10"/>
        <rFont val="Noto Sans CJK SC"/>
        <family val="2"/>
      </rPr>
      <t>稀硫酸在线混合器</t>
    </r>
    <r>
      <rPr>
        <sz val="10"/>
        <rFont val="Consolas"/>
        <family val="3"/>
      </rPr>
      <t>M2123'@zh ; :processSection 'S01' .</t>
    </r>
  </si>
  <si>
    <t>:AcidMixerM2123_M01 a :EquipmentInstance ; rdfs:label 'M2123A'@zh ; :processSection 'S01' .</t>
  </si>
  <si>
    <t>:AcidMixerM2123_M02 a :EquipmentInstance ; rdfs:label 'M2123B'@zh ; :processSection 'S01' .</t>
  </si>
  <si>
    <t>:AcidMixerM2123_M03 a :EquipmentInstance ; rdfs:label 'M2123C'@zh ; :processSection 'S01' .</t>
  </si>
  <si>
    <t>:AcidMixerM2123_M04 a :EquipmentInstance ; rdfs:label 'M2123D'@zh ; :processSection 'S01' .</t>
  </si>
  <si>
    <t>:AcidMixerM2123_M05 a :EquipmentInstance ; rdfs:label 'M2123E'@zh ; :processSection 'S01' .</t>
  </si>
  <si>
    <r>
      <rPr>
        <sz val="10"/>
        <rFont val="Consolas"/>
        <family val="3"/>
      </rPr>
      <t>:WasteAcidTank2 a :ProductionEquipment ; rdfs:label '</t>
    </r>
    <r>
      <rPr>
        <sz val="10"/>
        <rFont val="Noto Sans CJK SC"/>
        <family val="2"/>
      </rPr>
      <t>二级废酸水罐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</si>
  <si>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:WasteAcidTank2_P01 a :EquipmentComponent ; rdfs:label '</t>
    </r>
    <r>
      <rPr>
        <sz val="10"/>
        <rFont val="Noto Sans CJK SC"/>
        <family val="2"/>
      </rPr>
      <t>二级废酸水罐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</si>
  <si>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:WasteAcidNeutralizerV2124 a :ProductionEquipment ; rdfs:label '</t>
    </r>
    <r>
      <rPr>
        <sz val="10"/>
        <rFont val="Noto Sans CJK SC"/>
        <family val="2"/>
      </rPr>
      <t>三级废酸水罐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废酸水中和罐</t>
    </r>
    <r>
      <rPr>
        <sz val="10"/>
        <rFont val="Consolas"/>
        <family val="3"/>
      </rPr>
      <t>V2124'@zh ; :processSection 'S01' .</t>
    </r>
  </si>
  <si>
    <r>
      <rPr>
        <sz val="10"/>
        <rFont val="Consolas"/>
        <family val="3"/>
      </rPr>
      <t>:WasteAcidNeutralizerV2124_P01 a :EquipmentComponent ; rdfs:label '</t>
    </r>
    <r>
      <rPr>
        <sz val="10"/>
        <rFont val="Noto Sans CJK SC"/>
        <family val="2"/>
      </rPr>
      <t>三级废酸水罐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废酸水中和罐</t>
    </r>
    <r>
      <rPr>
        <sz val="10"/>
        <rFont val="Consolas"/>
        <family val="3"/>
      </rPr>
      <t>V2124·pH</t>
    </r>
    <r>
      <rPr>
        <sz val="10"/>
        <rFont val="Noto Sans CJK SC"/>
        <family val="2"/>
      </rPr>
      <t>计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</si>
  <si>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:WasteAcidNeutralizerV2124_P02 a :EquipmentComponent ; rdfs:label '</t>
    </r>
    <r>
      <rPr>
        <sz val="10"/>
        <rFont val="Noto Sans CJK SC"/>
        <family val="2"/>
      </rPr>
      <t>三级废酸水罐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废酸水中和罐</t>
    </r>
    <r>
      <rPr>
        <sz val="10"/>
        <rFont val="Consolas"/>
        <family val="3"/>
      </rPr>
      <t>V2124·</t>
    </r>
    <r>
      <rPr>
        <sz val="10"/>
        <rFont val="Noto Sans CJK SC"/>
        <family val="2"/>
      </rPr>
      <t>液碱调节阀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</si>
  <si>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:RSE200CentrifugeGroup a :ProductionEquipment ; rdfs:label 'RSE200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)'@zh ; :processSection 'S02' .</t>
    </r>
  </si>
  <si>
    <r>
      <rPr>
        <sz val="10"/>
        <rFont val="Consolas"/>
        <family val="3"/>
      </rPr>
      <t>:RSE200CentrifugeGroup_M01 a :EquipmentInstance ; rdfs:label '</t>
    </r>
    <r>
      <rPr>
        <sz val="10"/>
        <rFont val="Noto Sans CJK SC"/>
        <family val="2"/>
      </rPr>
      <t>提取离心机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)1(II_10TQA)'@zh ; :processSection 'S02' .</t>
    </r>
  </si>
  <si>
    <r>
      <rPr>
        <sz val="10"/>
        <rFont val="Consolas"/>
        <family val="3"/>
      </rPr>
      <t>:RSE200CentrifugeGroup_M02 a :EquipmentInstance ; rdfs:label '</t>
    </r>
    <r>
      <rPr>
        <sz val="10"/>
        <rFont val="Noto Sans CJK SC"/>
        <family val="2"/>
      </rPr>
      <t>提取离心机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)2(II_10TQB)'@zh ; :processSection 'S02' .</t>
    </r>
  </si>
  <si>
    <r>
      <rPr>
        <sz val="10"/>
        <rFont val="Consolas"/>
        <family val="3"/>
      </rPr>
      <t>:RSE200CentrifugeGroup_M03 a :EquipmentInstance ; rdfs:label '</t>
    </r>
    <r>
      <rPr>
        <sz val="10"/>
        <rFont val="Noto Sans CJK SC"/>
        <family val="2"/>
      </rPr>
      <t>提取离心机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)3(II_10TQC)'@zh ; :processSection 'S02' .</t>
    </r>
  </si>
  <si>
    <r>
      <rPr>
        <sz val="10"/>
        <rFont val="Consolas"/>
        <family val="3"/>
      </rPr>
      <t>:RSE200CentrifugeGroup_M04 a :EquipmentInstance ; rdfs:label '</t>
    </r>
    <r>
      <rPr>
        <sz val="10"/>
        <rFont val="Noto Sans CJK SC"/>
        <family val="2"/>
      </rPr>
      <t>提取离心机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)4(II_10TQD)'@zh ; :processSection 'S02' .</t>
    </r>
  </si>
  <si>
    <r>
      <rPr>
        <sz val="10"/>
        <rFont val="Consolas"/>
        <family val="3"/>
      </rPr>
      <t>:RSE200CentrifugeGroup_P01 a :EquipmentComponent ; rdfs:label 'RSE200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碟片分离转鼓</t>
    </r>
    <r>
      <rPr>
        <sz val="10"/>
        <rFont val="Consolas"/>
        <family val="3"/>
      </rPr>
      <t>'@zh ; :processSection 'S02' .</t>
    </r>
  </si>
  <si>
    <r>
      <rPr>
        <sz val="10"/>
        <rFont val="Consolas"/>
        <family val="3"/>
      </rPr>
      <t>:RSE200CentrifugeGroup_P02 a :EquipmentComponent ; rdfs:label 'RSE200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轻相向心泵</t>
    </r>
    <r>
      <rPr>
        <sz val="10"/>
        <rFont val="Consolas"/>
        <family val="3"/>
      </rPr>
      <t>'@zh ; :processSection 'S02' .</t>
    </r>
  </si>
  <si>
    <r>
      <rPr>
        <sz val="10"/>
        <rFont val="Consolas"/>
        <family val="3"/>
      </rPr>
      <t>:RSE200CentrifugeGroup_P03 a :EquipmentComponent ; rdfs:label 'RSE200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重相向心泵</t>
    </r>
    <r>
      <rPr>
        <sz val="10"/>
        <rFont val="Consolas"/>
        <family val="3"/>
      </rPr>
      <t>'@zh ; :processSection 'S02' .</t>
    </r>
  </si>
  <si>
    <r>
      <rPr>
        <sz val="10"/>
        <rFont val="Consolas"/>
        <family val="3"/>
      </rPr>
      <t>:RSE200CentrifugeGroup_P04 a :EquipmentComponent ; rdfs:label 'RSE200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主电机</t>
    </r>
    <r>
      <rPr>
        <sz val="10"/>
        <rFont val="Consolas"/>
        <family val="3"/>
      </rPr>
      <t>'@zh ; :processSection 'S02' .</t>
    </r>
  </si>
  <si>
    <r>
      <rPr>
        <sz val="10"/>
        <rFont val="Consolas"/>
        <family val="3"/>
      </rPr>
      <t>:ButylAcetateTank a :ProductionEquipment ; rdfs:label '</t>
    </r>
    <r>
      <rPr>
        <sz val="10"/>
        <rFont val="Noto Sans CJK SC"/>
        <family val="2"/>
      </rPr>
      <t>丁酯罐</t>
    </r>
    <r>
      <rPr>
        <sz val="10"/>
        <rFont val="Consolas"/>
        <family val="3"/>
      </rPr>
      <t>'@zh ; :processSection 'S02' .</t>
    </r>
  </si>
  <si>
    <r>
      <rPr>
        <sz val="10"/>
        <rFont val="Consolas"/>
        <family val="3"/>
      </rPr>
      <t>:ButylAcetateTank_M01 a :EquipmentInstance ; rdfs:label '</t>
    </r>
    <r>
      <rPr>
        <sz val="10"/>
        <rFont val="Noto Sans CJK SC"/>
        <family val="2"/>
      </rPr>
      <t>丁酯罐</t>
    </r>
    <r>
      <rPr>
        <sz val="10"/>
        <rFont val="Consolas"/>
        <family val="3"/>
      </rPr>
      <t>A'@zh ; :processSection 'S02' .</t>
    </r>
  </si>
  <si>
    <r>
      <rPr>
        <sz val="10"/>
        <rFont val="Consolas"/>
        <family val="3"/>
      </rPr>
      <t>:ButylAcetateTank_M02 a :EquipmentInstance ; rdfs:label '</t>
    </r>
    <r>
      <rPr>
        <sz val="10"/>
        <rFont val="Noto Sans CJK SC"/>
        <family val="2"/>
      </rPr>
      <t>丁酯罐</t>
    </r>
    <r>
      <rPr>
        <sz val="10"/>
        <rFont val="Consolas"/>
        <family val="3"/>
      </rPr>
      <t>B'@zh ; :processSection 'S02' .</t>
    </r>
  </si>
  <si>
    <r>
      <rPr>
        <sz val="10"/>
        <rFont val="Consolas"/>
        <family val="3"/>
      </rPr>
      <t>:ButylAcetateTank_P01 a :EquipmentComponent ; rdfs:label '</t>
    </r>
    <r>
      <rPr>
        <sz val="10"/>
        <rFont val="Noto Sans CJK SC"/>
        <family val="2"/>
      </rPr>
      <t>丁酯罐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'S02' .</t>
    </r>
  </si>
  <si>
    <r>
      <rPr>
        <sz val="10"/>
        <rFont val="Consolas"/>
        <family val="3"/>
      </rPr>
      <t>:ButylAcetateTank_P02 a :EquipmentComponent ; rdfs:label '</t>
    </r>
    <r>
      <rPr>
        <sz val="10"/>
        <rFont val="Noto Sans CJK SC"/>
        <family val="2"/>
      </rPr>
      <t>丁酯罐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温度计</t>
    </r>
    <r>
      <rPr>
        <sz val="10"/>
        <rFont val="Consolas"/>
        <family val="3"/>
      </rPr>
      <t>'@zh ; :processSection 'S02' .</t>
    </r>
  </si>
  <si>
    <r>
      <rPr>
        <sz val="10"/>
        <rFont val="Consolas"/>
        <family val="3"/>
      </rPr>
      <t>:ButylAcetateTank_P03 a :EquipmentComponent ; rdfs:label '</t>
    </r>
    <r>
      <rPr>
        <sz val="10"/>
        <rFont val="Noto Sans CJK SC"/>
        <family val="2"/>
      </rPr>
      <t>丁酯罐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压力表</t>
    </r>
    <r>
      <rPr>
        <sz val="10"/>
        <rFont val="Consolas"/>
        <family val="3"/>
      </rPr>
      <t>'@zh ; :processSection 'S02' .</t>
    </r>
  </si>
  <si>
    <r>
      <rPr>
        <sz val="10"/>
        <rFont val="Consolas"/>
        <family val="3"/>
      </rPr>
      <t>:BACooler a :ProductionEquipment ; rdfs:label '</t>
    </r>
    <r>
      <rPr>
        <sz val="10"/>
        <rFont val="Noto Sans CJK SC"/>
        <family val="2"/>
      </rPr>
      <t>丁酯换热器</t>
    </r>
    <r>
      <rPr>
        <sz val="10"/>
        <rFont val="Consolas"/>
        <family val="3"/>
      </rPr>
      <t>'@zh ; :processSection 'S02' .</t>
    </r>
  </si>
  <si>
    <r>
      <rPr>
        <sz val="10"/>
        <rFont val="Consolas"/>
        <family val="3"/>
      </rPr>
      <t>:BACooler_P01 a :EquipmentComponent ; rdfs:label '</t>
    </r>
    <r>
      <rPr>
        <sz val="10"/>
        <rFont val="Noto Sans CJK SC"/>
        <family val="2"/>
      </rPr>
      <t>丁酯换热器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冷盐水调节阀</t>
    </r>
    <r>
      <rPr>
        <sz val="10"/>
        <rFont val="Consolas"/>
        <family val="3"/>
      </rPr>
      <t>HV_1001'@zh ; :processSection 'S02' .</t>
    </r>
  </si>
  <si>
    <r>
      <rPr>
        <sz val="10"/>
        <rFont val="Consolas"/>
        <family val="3"/>
      </rPr>
      <t>:WorkWaterTank a :ProductionEquipment ; rdfs:label '</t>
    </r>
    <r>
      <rPr>
        <sz val="10"/>
        <rFont val="Noto Sans CJK SC"/>
        <family val="2"/>
      </rPr>
      <t>工作水罐</t>
    </r>
    <r>
      <rPr>
        <sz val="10"/>
        <rFont val="Consolas"/>
        <family val="3"/>
      </rPr>
      <t>'@zh ; :processSection 'S02' .</t>
    </r>
  </si>
  <si>
    <r>
      <rPr>
        <sz val="10"/>
        <rFont val="Consolas"/>
        <family val="3"/>
      </rPr>
      <t>:WorkWaterTank_P01 a :EquipmentComponent ; rdfs:label '</t>
    </r>
    <r>
      <rPr>
        <sz val="10"/>
        <rFont val="Noto Sans CJK SC"/>
        <family val="2"/>
      </rPr>
      <t>工作水罐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'S02' .</t>
    </r>
  </si>
  <si>
    <r>
      <rPr>
        <sz val="10"/>
        <rFont val="Consolas"/>
        <family val="3"/>
      </rPr>
      <t>:PrimaryBATank a :ProductionEquipment ; rdfs:label '</t>
    </r>
    <r>
      <rPr>
        <sz val="10"/>
        <rFont val="Noto Sans CJK SC"/>
        <family val="2"/>
      </rPr>
      <t>一次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V2136'@zh ; :processSection 'S02' .</t>
    </r>
  </si>
  <si>
    <r>
      <rPr>
        <sz val="10"/>
        <rFont val="Consolas"/>
        <family val="3"/>
      </rPr>
      <t>:PrimaryBATank_P01 a :EquipmentComponent ; rdfs:label '</t>
    </r>
    <r>
      <rPr>
        <sz val="10"/>
        <rFont val="Noto Sans CJK SC"/>
        <family val="2"/>
      </rPr>
      <t>一次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V2136·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'S02' .</t>
    </r>
  </si>
  <si>
    <r>
      <rPr>
        <sz val="10"/>
        <rFont val="Consolas"/>
        <family val="3"/>
      </rPr>
      <t>:ConcH2SO4Tanks a :ProductionEquipment ; rdfs:label '</t>
    </r>
    <r>
      <rPr>
        <sz val="10"/>
        <rFont val="Noto Sans CJK SC"/>
        <family val="2"/>
      </rPr>
      <t>浓硫酸储罐组</t>
    </r>
    <r>
      <rPr>
        <sz val="10"/>
        <rFont val="Consolas"/>
        <family val="3"/>
      </rPr>
      <t>'@zh ; :processSection 'S03' .</t>
    </r>
  </si>
  <si>
    <r>
      <rPr>
        <sz val="10"/>
        <rFont val="Consolas"/>
        <family val="3"/>
      </rPr>
      <t>:ConcH2SO4Tanks_M01 a :EquipmentInstance ; rdfs:label '</t>
    </r>
    <r>
      <rPr>
        <sz val="10"/>
        <rFont val="Noto Sans CJK SC"/>
        <family val="2"/>
      </rPr>
      <t>浓硫酸储罐</t>
    </r>
    <r>
      <rPr>
        <sz val="10"/>
        <rFont val="Consolas"/>
        <family val="3"/>
      </rPr>
      <t>A'@zh ; :processSection 'S03' .</t>
    </r>
  </si>
  <si>
    <r>
      <rPr>
        <sz val="10"/>
        <rFont val="Consolas"/>
        <family val="3"/>
      </rPr>
      <t>:ConcH2SO4Tanks_M02 a :EquipmentInstance ; rdfs:label '</t>
    </r>
    <r>
      <rPr>
        <sz val="10"/>
        <rFont val="Noto Sans CJK SC"/>
        <family val="2"/>
      </rPr>
      <t>浓硫酸储罐</t>
    </r>
    <r>
      <rPr>
        <sz val="10"/>
        <rFont val="Consolas"/>
        <family val="3"/>
      </rPr>
      <t>B'@zh ; :processSection 'S03' .</t>
    </r>
  </si>
  <si>
    <r>
      <rPr>
        <sz val="10"/>
        <rFont val="Consolas"/>
        <family val="3"/>
      </rPr>
      <t>:ConcH2SO4Tanks_M03 a :EquipmentInstance ; rdfs:label '</t>
    </r>
    <r>
      <rPr>
        <sz val="10"/>
        <rFont val="Noto Sans CJK SC"/>
        <family val="2"/>
      </rPr>
      <t>浓硫酸储罐</t>
    </r>
    <r>
      <rPr>
        <sz val="10"/>
        <rFont val="Consolas"/>
        <family val="3"/>
      </rPr>
      <t>C'@zh ; :processSection 'S03' .</t>
    </r>
  </si>
  <si>
    <r>
      <rPr>
        <sz val="10"/>
        <rFont val="Consolas"/>
        <family val="3"/>
      </rPr>
      <t>:ConcH2SO4Tanks_P01 a :EquipmentComponent ; rdfs:label '</t>
    </r>
    <r>
      <rPr>
        <sz val="10"/>
        <rFont val="Noto Sans CJK SC"/>
        <family val="2"/>
      </rPr>
      <t>浓硫酸储罐组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'S03' .</t>
    </r>
  </si>
  <si>
    <r>
      <rPr>
        <sz val="10"/>
        <rFont val="Consolas"/>
        <family val="3"/>
      </rPr>
      <t>:ConcH2SO4Pumps a :ProductionEquipment ; rdfs:label '</t>
    </r>
    <r>
      <rPr>
        <sz val="10"/>
        <rFont val="Noto Sans CJK SC"/>
        <family val="2"/>
      </rPr>
      <t>浓硫酸进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出料泵</t>
    </r>
    <r>
      <rPr>
        <sz val="10"/>
        <rFont val="Consolas"/>
        <family val="3"/>
      </rPr>
      <t>'@zh ; :processSection 'S03' .</t>
    </r>
  </si>
  <si>
    <r>
      <rPr>
        <sz val="10"/>
        <rFont val="Consolas"/>
        <family val="3"/>
      </rPr>
      <t>:ConcH2SO4Pumps_M01 a :EquipmentInstance ; rdfs:label '</t>
    </r>
    <r>
      <rPr>
        <sz val="10"/>
        <rFont val="Noto Sans CJK SC"/>
        <family val="2"/>
      </rPr>
      <t>浓硫酸进料泵</t>
    </r>
    <r>
      <rPr>
        <sz val="10"/>
        <rFont val="Consolas"/>
        <family val="3"/>
      </rPr>
      <t>A'@zh ; :processSection 'S03' .</t>
    </r>
  </si>
  <si>
    <r>
      <rPr>
        <sz val="10"/>
        <rFont val="Consolas"/>
        <family val="3"/>
      </rPr>
      <t>:ConcH2SO4Pumps_M02 a :EquipmentInstance ; rdfs:label '</t>
    </r>
    <r>
      <rPr>
        <sz val="10"/>
        <rFont val="Noto Sans CJK SC"/>
        <family val="2"/>
      </rPr>
      <t>浓硫酸出料泵</t>
    </r>
    <r>
      <rPr>
        <sz val="10"/>
        <rFont val="Consolas"/>
        <family val="3"/>
      </rPr>
      <t>A'@zh ; :processSection 'S03' .</t>
    </r>
  </si>
  <si>
    <r>
      <rPr>
        <sz val="10"/>
        <rFont val="Consolas"/>
        <family val="3"/>
      </rPr>
      <t>:ConcH2SO4Pumps_M03 a :EquipmentInstance ; rdfs:label '</t>
    </r>
    <r>
      <rPr>
        <sz val="10"/>
        <rFont val="Noto Sans CJK SC"/>
        <family val="2"/>
      </rPr>
      <t>浓硫酸出料泵</t>
    </r>
    <r>
      <rPr>
        <sz val="10"/>
        <rFont val="Consolas"/>
        <family val="3"/>
      </rPr>
      <t>B'@zh ; :processSection 'S03' .</t>
    </r>
  </si>
  <si>
    <r>
      <rPr>
        <sz val="10"/>
        <rFont val="Consolas"/>
        <family val="3"/>
      </rPr>
      <t>:DiluteH2SO4PrepTanks a :ProductionEquipment ; rdfs:label '</t>
    </r>
    <r>
      <rPr>
        <sz val="10"/>
        <rFont val="Noto Sans CJK SC"/>
        <family val="2"/>
      </rPr>
      <t>稀硫酸配置罐组</t>
    </r>
    <r>
      <rPr>
        <sz val="10"/>
        <rFont val="Consolas"/>
        <family val="3"/>
      </rPr>
      <t>'@zh ; :processSection 'S03' .</t>
    </r>
  </si>
  <si>
    <r>
      <rPr>
        <sz val="10"/>
        <rFont val="Consolas"/>
        <family val="3"/>
      </rPr>
      <t>:DiluteH2SO4PrepTanks_M01 a :EquipmentInstance ; rdfs:label '</t>
    </r>
    <r>
      <rPr>
        <sz val="10"/>
        <rFont val="Noto Sans CJK SC"/>
        <family val="2"/>
      </rPr>
      <t>稀硫酸配置罐</t>
    </r>
    <r>
      <rPr>
        <sz val="10"/>
        <rFont val="Consolas"/>
        <family val="3"/>
      </rPr>
      <t>A'@zh ; :processSection 'S03' .</t>
    </r>
  </si>
  <si>
    <r>
      <rPr>
        <sz val="10"/>
        <rFont val="Consolas"/>
        <family val="3"/>
      </rPr>
      <t>:DiluteH2SO4PrepTanks_M02 a :EquipmentInstance ; rdfs:label '</t>
    </r>
    <r>
      <rPr>
        <sz val="10"/>
        <rFont val="Noto Sans CJK SC"/>
        <family val="2"/>
      </rPr>
      <t>稀硫酸配置罐</t>
    </r>
    <r>
      <rPr>
        <sz val="10"/>
        <rFont val="Consolas"/>
        <family val="3"/>
      </rPr>
      <t>B'@zh ; :processSection 'S03' .</t>
    </r>
  </si>
  <si>
    <r>
      <rPr>
        <sz val="10"/>
        <rFont val="Consolas"/>
        <family val="3"/>
      </rPr>
      <t>:DiluteH2SO4PrepTanks_M03 a :EquipmentInstance ; rdfs:label '</t>
    </r>
    <r>
      <rPr>
        <sz val="10"/>
        <rFont val="Noto Sans CJK SC"/>
        <family val="2"/>
      </rPr>
      <t>硫酸配置罐</t>
    </r>
    <r>
      <rPr>
        <sz val="10"/>
        <rFont val="Consolas"/>
        <family val="3"/>
      </rPr>
      <t>E'@zh ; :processSection 'S03' .</t>
    </r>
  </si>
  <si>
    <r>
      <rPr>
        <sz val="10"/>
        <rFont val="Consolas"/>
        <family val="3"/>
      </rPr>
      <t>:DiluteH2SO4PrepTanks_M04 a :EquipmentInstance ; rdfs:label '</t>
    </r>
    <r>
      <rPr>
        <sz val="10"/>
        <rFont val="Noto Sans CJK SC"/>
        <family val="2"/>
      </rPr>
      <t>硫酸配置罐</t>
    </r>
    <r>
      <rPr>
        <sz val="10"/>
        <rFont val="Consolas"/>
        <family val="3"/>
      </rPr>
      <t>F'@zh ; :processSection 'S03' .</t>
    </r>
  </si>
  <si>
    <r>
      <rPr>
        <sz val="10"/>
        <rFont val="Consolas"/>
        <family val="3"/>
      </rPr>
      <t>:DiluteH2SO4PrepTanks_P01 a :EquipmentComponent ; rdfs:label '</t>
    </r>
    <r>
      <rPr>
        <sz val="10"/>
        <rFont val="Noto Sans CJK SC"/>
        <family val="2"/>
      </rPr>
      <t>稀硫酸配置罐组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'S03' .</t>
    </r>
  </si>
  <si>
    <r>
      <rPr>
        <sz val="10"/>
        <rFont val="Consolas"/>
        <family val="3"/>
      </rPr>
      <t>:DiluteH2SO4PrepTanks_P02 a :EquipmentComponent ; rdfs:label '</t>
    </r>
    <r>
      <rPr>
        <sz val="10"/>
        <rFont val="Noto Sans CJK SC"/>
        <family val="2"/>
      </rPr>
      <t>稀硫酸配置罐组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浓度计</t>
    </r>
    <r>
      <rPr>
        <sz val="10"/>
        <rFont val="Consolas"/>
        <family val="3"/>
      </rPr>
      <t>'@zh ; :processSection 'S03' .</t>
    </r>
  </si>
  <si>
    <r>
      <rPr>
        <sz val="10"/>
        <rFont val="Consolas"/>
        <family val="3"/>
      </rPr>
      <t>:DiluteH2SO4PrepTanks_P03 a :EquipmentComponent ; rdfs:label '</t>
    </r>
    <r>
      <rPr>
        <sz val="10"/>
        <rFont val="Noto Sans CJK SC"/>
        <family val="2"/>
      </rPr>
      <t>稀硫酸配置罐组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一次水阀</t>
    </r>
    <r>
      <rPr>
        <sz val="10"/>
        <rFont val="Consolas"/>
        <family val="3"/>
      </rPr>
      <t>'@zh ; :processSection 'S03' .</t>
    </r>
  </si>
  <si>
    <r>
      <rPr>
        <sz val="10"/>
        <rFont val="Consolas"/>
        <family val="3"/>
      </rPr>
      <t>:DiluteH2SO4Buffer a :ProductionEquipment ; rdfs:label '</t>
    </r>
    <r>
      <rPr>
        <sz val="10"/>
        <rFont val="Noto Sans CJK SC"/>
        <family val="2"/>
      </rPr>
      <t>稀硫酸缓冲罐</t>
    </r>
    <r>
      <rPr>
        <sz val="10"/>
        <rFont val="Consolas"/>
        <family val="3"/>
      </rPr>
      <t>'@zh ; :processSection 'S03' .</t>
    </r>
  </si>
  <si>
    <r>
      <rPr>
        <sz val="10"/>
        <rFont val="Consolas"/>
        <family val="3"/>
      </rPr>
      <t>:DiluteH2SO4Buffer_P01 a :EquipmentComponent ; rdfs:label '</t>
    </r>
    <r>
      <rPr>
        <sz val="10"/>
        <rFont val="Noto Sans CJK SC"/>
        <family val="2"/>
      </rPr>
      <t>稀硫酸缓冲罐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'S03' .</t>
    </r>
  </si>
  <si>
    <r>
      <rPr>
        <sz val="10"/>
        <rFont val="Consolas"/>
        <family val="3"/>
      </rPr>
      <t>:DiluteH2SO4Pumps a :ProductionEquipment ; rdfs:label '</t>
    </r>
    <r>
      <rPr>
        <sz val="10"/>
        <rFont val="Noto Sans CJK SC"/>
        <family val="2"/>
      </rPr>
      <t>稀硫酸泵组</t>
    </r>
    <r>
      <rPr>
        <sz val="10"/>
        <rFont val="Consolas"/>
        <family val="3"/>
      </rPr>
      <t>'@zh ; :processSection 'S03' .</t>
    </r>
  </si>
  <si>
    <r>
      <rPr>
        <sz val="10"/>
        <rFont val="Consolas"/>
        <family val="3"/>
      </rPr>
      <t>:DiluteH2SO4Pumps_M01 a :EquipmentInstance ; rdfs:label '</t>
    </r>
    <r>
      <rPr>
        <sz val="10"/>
        <rFont val="Noto Sans CJK SC"/>
        <family val="2"/>
      </rPr>
      <t>稀硫酸泵</t>
    </r>
    <r>
      <rPr>
        <sz val="10"/>
        <rFont val="Consolas"/>
        <family val="3"/>
      </rPr>
      <t>a'@zh ; :processSection 'S03' .</t>
    </r>
  </si>
  <si>
    <r>
      <rPr>
        <sz val="10"/>
        <rFont val="Consolas"/>
        <family val="3"/>
      </rPr>
      <t>:DiluteH2SO4Pumps_M02 a :EquipmentInstance ; rdfs:label '</t>
    </r>
    <r>
      <rPr>
        <sz val="10"/>
        <rFont val="Noto Sans CJK SC"/>
        <family val="2"/>
      </rPr>
      <t>稀硫酸泵</t>
    </r>
    <r>
      <rPr>
        <sz val="10"/>
        <rFont val="Consolas"/>
        <family val="3"/>
      </rPr>
      <t>b'@zh ; :processSection 'S03' .</t>
    </r>
  </si>
  <si>
    <r>
      <rPr>
        <sz val="10"/>
        <rFont val="Consolas"/>
        <family val="3"/>
      </rPr>
      <t>:DiluteH2SO4Pumps_M03 a :EquipmentInstance ; rdfs:label '</t>
    </r>
    <r>
      <rPr>
        <sz val="10"/>
        <rFont val="Noto Sans CJK SC"/>
        <family val="2"/>
      </rPr>
      <t>稀硫酸泵</t>
    </r>
    <r>
      <rPr>
        <sz val="10"/>
        <rFont val="Consolas"/>
        <family val="3"/>
      </rPr>
      <t>c'@zh ; :processSection 'S03' .</t>
    </r>
  </si>
  <si>
    <r>
      <rPr>
        <sz val="10"/>
        <rFont val="Consolas"/>
        <family val="3"/>
      </rPr>
      <t>:DiluteH2SO4Pumps_M04 a :EquipmentInstance ; rdfs:label '</t>
    </r>
    <r>
      <rPr>
        <sz val="10"/>
        <rFont val="Noto Sans CJK SC"/>
        <family val="2"/>
      </rPr>
      <t>稀硫酸泵</t>
    </r>
    <r>
      <rPr>
        <sz val="10"/>
        <rFont val="Consolas"/>
        <family val="3"/>
      </rPr>
      <t>d'@zh ; :processSection 'S03' .</t>
    </r>
  </si>
  <si>
    <r>
      <rPr>
        <sz val="10"/>
        <rFont val="Consolas"/>
        <family val="3"/>
      </rPr>
      <t>:DiluteH2SO4Pumps_M05 a :EquipmentInstance ; rdfs:label '</t>
    </r>
    <r>
      <rPr>
        <sz val="10"/>
        <rFont val="Noto Sans CJK SC"/>
        <family val="2"/>
      </rPr>
      <t>稀硫酸泵</t>
    </r>
    <r>
      <rPr>
        <sz val="10"/>
        <rFont val="Consolas"/>
        <family val="3"/>
      </rPr>
      <t>e'@zh ; :processSection 'S03' .</t>
    </r>
  </si>
  <si>
    <r>
      <rPr>
        <sz val="10"/>
        <rFont val="Consolas"/>
        <family val="3"/>
      </rPr>
      <t>:DiluteH2SO4Pumps_M06 a :EquipmentInstance ; rdfs:label '</t>
    </r>
    <r>
      <rPr>
        <sz val="10"/>
        <rFont val="Noto Sans CJK SC"/>
        <family val="2"/>
      </rPr>
      <t>稀硫酸泵</t>
    </r>
    <r>
      <rPr>
        <sz val="10"/>
        <rFont val="Consolas"/>
        <family val="3"/>
      </rPr>
      <t>f'@zh ; :processSection 'S03' .</t>
    </r>
  </si>
  <si>
    <r>
      <rPr>
        <sz val="10"/>
        <rFont val="Consolas"/>
        <family val="3"/>
      </rPr>
      <t>:DiluteH2SO4Pumps_P01 a :EquipmentComponent ; rdfs:label '</t>
    </r>
    <r>
      <rPr>
        <sz val="10"/>
        <rFont val="Noto Sans CJK SC"/>
        <family val="2"/>
      </rPr>
      <t>稀硫酸泵组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变频器</t>
    </r>
    <r>
      <rPr>
        <sz val="10"/>
        <rFont val="Consolas"/>
        <family val="3"/>
      </rPr>
      <t>'@zh ; :processSection 'S03' .</t>
    </r>
  </si>
  <si>
    <r>
      <rPr>
        <sz val="10"/>
        <rFont val="Consolas"/>
        <family val="3"/>
      </rPr>
      <t>:DemulsifierStorage a :ProductionEquipment ; rdfs:label '</t>
    </r>
    <r>
      <rPr>
        <sz val="10"/>
        <rFont val="Noto Sans CJK SC"/>
        <family val="2"/>
      </rPr>
      <t>破乳剂罐（原液）</t>
    </r>
    <r>
      <rPr>
        <sz val="10"/>
        <rFont val="Consolas"/>
        <family val="3"/>
      </rPr>
      <t>'@zh ; :processSection 'S04' .</t>
    </r>
  </si>
  <si>
    <r>
      <rPr>
        <sz val="10"/>
        <rFont val="Consolas"/>
        <family val="3"/>
      </rPr>
      <t>:DemulsifierStorage_P01 a :EquipmentComponent ; rdfs:label '</t>
    </r>
    <r>
      <rPr>
        <sz val="10"/>
        <rFont val="Noto Sans CJK SC"/>
        <family val="2"/>
      </rPr>
      <t>破乳剂罐（原液）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'S04' .</t>
    </r>
  </si>
  <si>
    <r>
      <rPr>
        <sz val="10"/>
        <rFont val="Consolas"/>
        <family val="3"/>
      </rPr>
      <t>:DemulsifierStorage_P02 a :EquipmentComponent ; rdfs:label '</t>
    </r>
    <r>
      <rPr>
        <sz val="10"/>
        <rFont val="Noto Sans CJK SC"/>
        <family val="2"/>
      </rPr>
      <t>破乳剂罐（原液）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压力表</t>
    </r>
    <r>
      <rPr>
        <sz val="10"/>
        <rFont val="Consolas"/>
        <family val="3"/>
      </rPr>
      <t>'@zh ; :processSection 'S04' .</t>
    </r>
  </si>
  <si>
    <r>
      <rPr>
        <sz val="10"/>
        <rFont val="Consolas"/>
        <family val="3"/>
      </rPr>
      <t>:DemulsifierPrepTanks a :ProductionEquipment ; rdfs:label '</t>
    </r>
    <r>
      <rPr>
        <sz val="10"/>
        <rFont val="Noto Sans CJK SC"/>
        <family val="2"/>
      </rPr>
      <t>破乳剂配制罐组</t>
    </r>
    <r>
      <rPr>
        <sz val="10"/>
        <rFont val="Consolas"/>
        <family val="3"/>
      </rPr>
      <t>'@zh ; :processSection 'S04' .</t>
    </r>
  </si>
  <si>
    <r>
      <rPr>
        <sz val="10"/>
        <rFont val="Consolas"/>
        <family val="3"/>
      </rPr>
      <t>:DemulsifierPrepTanks_M01 a :EquipmentInstance ; rdfs:label '</t>
    </r>
    <r>
      <rPr>
        <sz val="10"/>
        <rFont val="Noto Sans CJK SC"/>
        <family val="2"/>
      </rPr>
      <t>破乳剂配置罐</t>
    </r>
    <r>
      <rPr>
        <sz val="10"/>
        <rFont val="Consolas"/>
        <family val="3"/>
      </rPr>
      <t>R2120A'@zh ; :processSection 'S04' .</t>
    </r>
  </si>
  <si>
    <r>
      <rPr>
        <sz val="10"/>
        <rFont val="Consolas"/>
        <family val="3"/>
      </rPr>
      <t>:DemulsifierPrepTanks_M02 a :EquipmentInstance ; rdfs:label '</t>
    </r>
    <r>
      <rPr>
        <sz val="10"/>
        <rFont val="Noto Sans CJK SC"/>
        <family val="2"/>
      </rPr>
      <t>破乳剂配置罐</t>
    </r>
    <r>
      <rPr>
        <sz val="10"/>
        <rFont val="Consolas"/>
        <family val="3"/>
      </rPr>
      <t>R2120B'@zh ; :processSection 'S04' .</t>
    </r>
  </si>
  <si>
    <r>
      <rPr>
        <sz val="10"/>
        <rFont val="Consolas"/>
        <family val="3"/>
      </rPr>
      <t>:DemulsifierPrepTanks_M03 a :EquipmentInstance ; rdfs:label '</t>
    </r>
    <r>
      <rPr>
        <sz val="10"/>
        <rFont val="Noto Sans CJK SC"/>
        <family val="2"/>
      </rPr>
      <t>破乳剂配置罐</t>
    </r>
    <r>
      <rPr>
        <sz val="10"/>
        <rFont val="Consolas"/>
        <family val="3"/>
      </rPr>
      <t>R2120C'@zh ; :processSection 'S04' .</t>
    </r>
  </si>
  <si>
    <r>
      <rPr>
        <sz val="10"/>
        <rFont val="Consolas"/>
        <family val="3"/>
      </rPr>
      <t>:DemulsifierPrepTanks_M04 a :EquipmentInstance ; rdfs:label '</t>
    </r>
    <r>
      <rPr>
        <sz val="10"/>
        <rFont val="Noto Sans CJK SC"/>
        <family val="2"/>
      </rPr>
      <t>破乳剂配置罐</t>
    </r>
    <r>
      <rPr>
        <sz val="10"/>
        <rFont val="Consolas"/>
        <family val="3"/>
      </rPr>
      <t>R2120D'@zh ; :processSection 'S04' .</t>
    </r>
  </si>
  <si>
    <r>
      <rPr>
        <sz val="10"/>
        <rFont val="Consolas"/>
        <family val="3"/>
      </rPr>
      <t>:DemulsifierPrepTanks_P01 a :EquipmentComponent ; rdfs:label '</t>
    </r>
    <r>
      <rPr>
        <sz val="10"/>
        <rFont val="Noto Sans CJK SC"/>
        <family val="2"/>
      </rPr>
      <t>破乳剂配制罐组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搅拌器</t>
    </r>
    <r>
      <rPr>
        <sz val="10"/>
        <rFont val="Consolas"/>
        <family val="3"/>
      </rPr>
      <t>'@zh ; :processSection 'S04' .</t>
    </r>
  </si>
  <si>
    <r>
      <rPr>
        <sz val="10"/>
        <rFont val="Consolas"/>
        <family val="3"/>
      </rPr>
      <t>:DemulsifierPrepTanks_P02 a :EquipmentComponent ; rdfs:label '</t>
    </r>
    <r>
      <rPr>
        <sz val="10"/>
        <rFont val="Noto Sans CJK SC"/>
        <family val="2"/>
      </rPr>
      <t>破乳剂配制罐组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蒸汽加热阀</t>
    </r>
    <r>
      <rPr>
        <sz val="10"/>
        <rFont val="Consolas"/>
        <family val="3"/>
      </rPr>
      <t>'@zh ; :processSection 'S04' .</t>
    </r>
  </si>
  <si>
    <r>
      <rPr>
        <sz val="10"/>
        <rFont val="Consolas"/>
        <family val="3"/>
      </rPr>
      <t>:DemulsifierPrepTanks_P03 a :EquipmentComponent ; rdfs:label '</t>
    </r>
    <r>
      <rPr>
        <sz val="10"/>
        <rFont val="Noto Sans CJK SC"/>
        <family val="2"/>
      </rPr>
      <t>破乳剂配制罐组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温度计</t>
    </r>
    <r>
      <rPr>
        <sz val="10"/>
        <rFont val="Consolas"/>
        <family val="3"/>
      </rPr>
      <t>TE_5043'@zh ; :processSection 'S04' .</t>
    </r>
  </si>
  <si>
    <r>
      <rPr>
        <sz val="10"/>
        <rFont val="Consolas"/>
        <family val="3"/>
      </rPr>
      <t>:DemulsifierBuffer a :ProductionEquipment ; rdfs:label '</t>
    </r>
    <r>
      <rPr>
        <sz val="10"/>
        <rFont val="Noto Sans CJK SC"/>
        <family val="2"/>
      </rPr>
      <t>破乳剂缓冲罐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出料缓冲罐</t>
    </r>
    <r>
      <rPr>
        <sz val="10"/>
        <rFont val="Consolas"/>
        <family val="3"/>
      </rPr>
      <t>)'@zh ; :processSection 'S04' .</t>
    </r>
  </si>
  <si>
    <r>
      <rPr>
        <sz val="10"/>
        <rFont val="Consolas"/>
        <family val="3"/>
      </rPr>
      <t>:DemulsifierBuffer_P01 a :EquipmentComponent ; rdfs:label '</t>
    </r>
    <r>
      <rPr>
        <sz val="10"/>
        <rFont val="Noto Sans CJK SC"/>
        <family val="2"/>
      </rPr>
      <t>破乳剂缓冲罐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出料缓冲罐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LT_PR'@zh ; :processSection 'S04' .</t>
    </r>
  </si>
  <si>
    <r>
      <rPr>
        <sz val="10"/>
        <rFont val="Consolas"/>
        <family val="3"/>
      </rPr>
      <t>:WashCentrifugeGroup a :ProductionEquipment ; rdfs:label '</t>
    </r>
    <r>
      <rPr>
        <sz val="10"/>
        <rFont val="Noto Sans CJK SC"/>
        <family val="2"/>
      </rPr>
      <t>水洗离心机组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</si>
  <si>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:WashCentrifugeGroup_M01 a :EquipmentInstance ; rdfs:label '</t>
    </r>
    <r>
      <rPr>
        <sz val="10"/>
        <rFont val="Noto Sans CJK SC"/>
        <family val="2"/>
      </rPr>
      <t>水洗离心机</t>
    </r>
    <r>
      <rPr>
        <sz val="10"/>
        <rFont val="Consolas"/>
        <family val="3"/>
      </rPr>
      <t>1(II_10SXA)'@zh ; :processSection 'S05' .</t>
    </r>
  </si>
  <si>
    <r>
      <rPr>
        <sz val="10"/>
        <rFont val="Consolas"/>
        <family val="3"/>
      </rPr>
      <t>:WashCentrifugeGroup_M02 a :EquipmentInstance ; rdfs:label '</t>
    </r>
    <r>
      <rPr>
        <sz val="10"/>
        <rFont val="Noto Sans CJK SC"/>
        <family val="2"/>
      </rPr>
      <t>水洗离心机</t>
    </r>
    <r>
      <rPr>
        <sz val="10"/>
        <rFont val="Consolas"/>
        <family val="3"/>
      </rPr>
      <t>2(II_10SXB)'@zh ; :processSection 'S05' .</t>
    </r>
  </si>
  <si>
    <r>
      <rPr>
        <sz val="10"/>
        <rFont val="Consolas"/>
        <family val="3"/>
      </rPr>
      <t>:WashCentrifugeGroup_M03 a :EquipmentInstance ; rdfs:label '</t>
    </r>
    <r>
      <rPr>
        <sz val="10"/>
        <rFont val="Noto Sans CJK SC"/>
        <family val="2"/>
      </rPr>
      <t>水洗离心机</t>
    </r>
    <r>
      <rPr>
        <sz val="10"/>
        <rFont val="Consolas"/>
        <family val="3"/>
      </rPr>
      <t>3(II_10SXC)'@zh ; :processSection 'S05' .</t>
    </r>
  </si>
  <si>
    <r>
      <rPr>
        <sz val="10"/>
        <rFont val="Consolas"/>
        <family val="3"/>
      </rPr>
      <t>:WashCentrifugeGroup_M04 a :EquipmentInstance ; rdfs:label '</t>
    </r>
    <r>
      <rPr>
        <sz val="10"/>
        <rFont val="Noto Sans CJK SC"/>
        <family val="2"/>
      </rPr>
      <t>水洗离心机</t>
    </r>
    <r>
      <rPr>
        <sz val="10"/>
        <rFont val="Consolas"/>
        <family val="3"/>
      </rPr>
      <t>4(II_10SXD)'@zh ; :processSection 'S05' .</t>
    </r>
  </si>
  <si>
    <r>
      <rPr>
        <sz val="10"/>
        <rFont val="Consolas"/>
        <family val="3"/>
      </rPr>
      <t>:WashCentrifugeGroup_M05 a :EquipmentInstance ; rdfs:label '</t>
    </r>
    <r>
      <rPr>
        <sz val="10"/>
        <rFont val="Noto Sans CJK SC"/>
        <family val="2"/>
      </rPr>
      <t>水洗离心机</t>
    </r>
    <r>
      <rPr>
        <sz val="10"/>
        <rFont val="Consolas"/>
        <family val="3"/>
      </rPr>
      <t>5(II_10SXE)'@zh ; :processSection 'S05' .</t>
    </r>
  </si>
  <si>
    <r>
      <rPr>
        <sz val="10"/>
        <rFont val="Consolas"/>
        <family val="3"/>
      </rPr>
      <t>:WashCentrifugeGroup_M06 a :EquipmentInstance ; rdfs:label '</t>
    </r>
    <r>
      <rPr>
        <sz val="10"/>
        <rFont val="Noto Sans CJK SC"/>
        <family val="2"/>
      </rPr>
      <t>水洗离心机</t>
    </r>
    <r>
      <rPr>
        <sz val="10"/>
        <rFont val="Consolas"/>
        <family val="3"/>
      </rPr>
      <t>6(II_10SXG)'@zh ; :processSection 'S05' .</t>
    </r>
  </si>
  <si>
    <r>
      <rPr>
        <sz val="10"/>
        <rFont val="Consolas"/>
        <family val="3"/>
      </rPr>
      <t>:WashCentrifugeGroup_M07 a :EquipmentInstance ; rdfs:label '</t>
    </r>
    <r>
      <rPr>
        <sz val="10"/>
        <rFont val="Noto Sans CJK SC"/>
        <family val="2"/>
      </rPr>
      <t>水洗离心机</t>
    </r>
    <r>
      <rPr>
        <sz val="10"/>
        <rFont val="Consolas"/>
        <family val="3"/>
      </rPr>
      <t>7(II_10SXF)'@zh ; :processSection 'S05' .</t>
    </r>
  </si>
  <si>
    <r>
      <rPr>
        <sz val="10"/>
        <rFont val="Consolas"/>
        <family val="3"/>
      </rPr>
      <t>:WashCentrifugeGroup_P01 a :EquipmentComponent ; rdfs:label '</t>
    </r>
    <r>
      <rPr>
        <sz val="10"/>
        <rFont val="Noto Sans CJK SC"/>
        <family val="2"/>
      </rPr>
      <t>水洗离心机组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碟片分离转鼓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</si>
  <si>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:WashCentrifugeGroup_P02 a :EquipmentComponent ; rdfs:label '</t>
    </r>
    <r>
      <rPr>
        <sz val="10"/>
        <rFont val="Noto Sans CJK SC"/>
        <family val="2"/>
      </rPr>
      <t>水洗离心机组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主电机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</si>
  <si>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:DiluteAlkaliTank a :ProductionEquipment ; rdfs:label '</t>
    </r>
    <r>
      <rPr>
        <sz val="10"/>
        <rFont val="Noto Sans CJK SC"/>
        <family val="2"/>
      </rPr>
      <t>稀碱配制罐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</si>
  <si>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:DiluteAlkaliTank_P01 a :EquipmentComponent ; rdfs:label '</t>
    </r>
    <r>
      <rPr>
        <sz val="10"/>
        <rFont val="Noto Sans CJK SC"/>
        <family val="2"/>
      </rPr>
      <t>稀碱配制罐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</si>
  <si>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:DiluteAlkaliTank_P02 a :EquipmentComponent ; rdfs:label '</t>
    </r>
    <r>
      <rPr>
        <sz val="10"/>
        <rFont val="Noto Sans CJK SC"/>
        <family val="2"/>
      </rPr>
      <t>稀碱配制罐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温度计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</si>
  <si>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:DiluteAlkaliTank_P03 a :EquipmentComponent ; rdfs:label '</t>
    </r>
    <r>
      <rPr>
        <sz val="10"/>
        <rFont val="Noto Sans CJK SC"/>
        <family val="2"/>
      </rPr>
      <t>稀碱配制罐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蒸汽阀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</si>
  <si>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:ConcAlkaliTank a :ProductionEquipment ; rdfs:label '</t>
    </r>
    <r>
      <rPr>
        <sz val="10"/>
        <rFont val="Noto Sans CJK SC"/>
        <family val="2"/>
      </rPr>
      <t>浓碱罐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液碱罐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</si>
  <si>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:ConcAlkaliTank_P01 a :EquipmentComponent ; rdfs:label '</t>
    </r>
    <r>
      <rPr>
        <sz val="10"/>
        <rFont val="Noto Sans CJK SC"/>
        <family val="2"/>
      </rPr>
      <t>浓碱罐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液碱罐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</si>
  <si>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:WashBATank a :ProductionEquipment ; rdfs:label '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罐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</si>
  <si>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:WashBATank_M01 a :EquipmentInstance ; rdfs:label '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罐</t>
    </r>
    <r>
      <rPr>
        <sz val="10"/>
        <rFont val="Consolas"/>
        <family val="3"/>
      </rPr>
      <t>V2142A'@zh ; :processSection 'S05' .</t>
    </r>
  </si>
  <si>
    <r>
      <rPr>
        <sz val="10"/>
        <rFont val="Consolas"/>
        <family val="3"/>
      </rPr>
      <t>:WashBATank_M02 a :EquipmentInstance ; rdfs:label '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罐</t>
    </r>
    <r>
      <rPr>
        <sz val="10"/>
        <rFont val="Consolas"/>
        <family val="3"/>
      </rPr>
      <t>V2142B'@zh ; :processSection 'S05' .</t>
    </r>
  </si>
  <si>
    <r>
      <rPr>
        <sz val="10"/>
        <rFont val="Consolas"/>
        <family val="3"/>
      </rPr>
      <t>:WashBATank_P01 a :EquipmentComponent ; rdfs:label '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</si>
  <si>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:WashHeavyTank a :ProductionEquipment ; rdfs:label '</t>
    </r>
    <r>
      <rPr>
        <sz val="10"/>
        <rFont val="Noto Sans CJK SC"/>
        <family val="2"/>
      </rPr>
      <t>水洗重相罐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</si>
  <si>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:WashHeavyTank_P01 a :EquipmentComponent ; rdfs:label '</t>
    </r>
    <r>
      <rPr>
        <sz val="10"/>
        <rFont val="Noto Sans CJK SC"/>
        <family val="2"/>
      </rPr>
      <t>水洗重相罐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</si>
  <si>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:WashHeavyTank_P02 a :EquipmentComponent ; rdfs:label '</t>
    </r>
    <r>
      <rPr>
        <sz val="10"/>
        <rFont val="Noto Sans CJK SC"/>
        <family val="2"/>
      </rPr>
      <t>水洗重相罐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调节阀</t>
    </r>
    <r>
      <rPr>
        <sz val="10"/>
        <rFont val="Consolas"/>
        <family val="3"/>
      </rPr>
      <t>HV_1007'@zh ; :processSection 'S05' .</t>
    </r>
  </si>
  <si>
    <r>
      <rPr>
        <sz val="10"/>
        <rFont val="Consolas"/>
        <family val="3"/>
      </rPr>
      <t>:PrimaryWaterTank a :ProductionEquipment ; rdfs:label '</t>
    </r>
    <r>
      <rPr>
        <sz val="10"/>
        <rFont val="Noto Sans CJK SC"/>
        <family val="2"/>
      </rPr>
      <t>一次水罐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</si>
  <si>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:PrimaryWaterTank_P01 a :EquipmentComponent ; rdfs:label '</t>
    </r>
    <r>
      <rPr>
        <sz val="10"/>
        <rFont val="Noto Sans CJK SC"/>
        <family val="2"/>
      </rPr>
      <t>一次水罐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</si>
  <si>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:DecolorTankGroup a :ProductionEquipment ; rdfs:label '</t>
    </r>
    <r>
      <rPr>
        <sz val="10"/>
        <rFont val="Noto Sans CJK SC"/>
        <family val="2"/>
      </rPr>
      <t>脱色罐组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</si>
  <si>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:DecolorTankGroup_M01 a :EquipmentInstance ; rdfs:label '</t>
    </r>
    <r>
      <rPr>
        <sz val="10"/>
        <rFont val="Noto Sans CJK SC"/>
        <family val="2"/>
      </rPr>
      <t>脱色罐</t>
    </r>
    <r>
      <rPr>
        <sz val="10"/>
        <rFont val="Consolas"/>
        <family val="3"/>
      </rPr>
      <t>A'@zh ; :processSection 'S06' .</t>
    </r>
  </si>
  <si>
    <r>
      <rPr>
        <sz val="10"/>
        <rFont val="Consolas"/>
        <family val="3"/>
      </rPr>
      <t>:DecolorTankGroup_M02 a :EquipmentInstance ; rdfs:label '</t>
    </r>
    <r>
      <rPr>
        <sz val="10"/>
        <rFont val="Noto Sans CJK SC"/>
        <family val="2"/>
      </rPr>
      <t>脱色罐</t>
    </r>
    <r>
      <rPr>
        <sz val="10"/>
        <rFont val="Consolas"/>
        <family val="3"/>
      </rPr>
      <t>B'@zh ; :processSection 'S06' .</t>
    </r>
  </si>
  <si>
    <r>
      <rPr>
        <sz val="10"/>
        <rFont val="Consolas"/>
        <family val="3"/>
      </rPr>
      <t>:DecolorTankGroup_M03 a :EquipmentInstance ; rdfs:label '</t>
    </r>
    <r>
      <rPr>
        <sz val="10"/>
        <rFont val="Noto Sans CJK SC"/>
        <family val="2"/>
      </rPr>
      <t>脱色罐</t>
    </r>
    <r>
      <rPr>
        <sz val="10"/>
        <rFont val="Consolas"/>
        <family val="3"/>
      </rPr>
      <t>C'@zh ; :processSection 'S06' .</t>
    </r>
  </si>
  <si>
    <r>
      <rPr>
        <sz val="10"/>
        <rFont val="Consolas"/>
        <family val="3"/>
      </rPr>
      <t>:DecolorTankGroup_M04 a :EquipmentInstance ; rdfs:label '</t>
    </r>
    <r>
      <rPr>
        <sz val="10"/>
        <rFont val="Noto Sans CJK SC"/>
        <family val="2"/>
      </rPr>
      <t>脱色罐</t>
    </r>
    <r>
      <rPr>
        <sz val="10"/>
        <rFont val="Consolas"/>
        <family val="3"/>
      </rPr>
      <t>D'@zh ; :processSection 'S06' .</t>
    </r>
  </si>
  <si>
    <r>
      <rPr>
        <sz val="10"/>
        <rFont val="Consolas"/>
        <family val="3"/>
      </rPr>
      <t>:DecolorTankGroup_M05 a :EquipmentInstance ; rdfs:label '</t>
    </r>
    <r>
      <rPr>
        <sz val="10"/>
        <rFont val="Noto Sans CJK SC"/>
        <family val="2"/>
      </rPr>
      <t>脱色罐</t>
    </r>
    <r>
      <rPr>
        <sz val="10"/>
        <rFont val="Consolas"/>
        <family val="3"/>
      </rPr>
      <t>E'@zh ; :processSection 'S06' .</t>
    </r>
  </si>
  <si>
    <r>
      <rPr>
        <sz val="10"/>
        <rFont val="Consolas"/>
        <family val="3"/>
      </rPr>
      <t>:DecolorTankGroup_M06 a :EquipmentInstance ; rdfs:label '</t>
    </r>
    <r>
      <rPr>
        <sz val="10"/>
        <rFont val="Noto Sans CJK SC"/>
        <family val="2"/>
      </rPr>
      <t>脱色罐</t>
    </r>
    <r>
      <rPr>
        <sz val="10"/>
        <rFont val="Consolas"/>
        <family val="3"/>
      </rPr>
      <t>F'@zh ; :processSection 'S06' .</t>
    </r>
  </si>
  <si>
    <r>
      <rPr>
        <sz val="10"/>
        <rFont val="Consolas"/>
        <family val="3"/>
      </rPr>
      <t>:DecolorTankGroup_P01 a :EquipmentComponent ; rdfs:label '</t>
    </r>
    <r>
      <rPr>
        <sz val="10"/>
        <rFont val="Noto Sans CJK SC"/>
        <family val="2"/>
      </rPr>
      <t>脱色罐组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搅拌器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</si>
  <si>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:DecolorTankGroup_P02 a :EquipmentComponent ; rdfs:label '</t>
    </r>
    <r>
      <rPr>
        <sz val="10"/>
        <rFont val="Noto Sans CJK SC"/>
        <family val="2"/>
      </rPr>
      <t>脱色罐组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进料阀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</si>
  <si>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:DecolorTankGroup_P03 a :EquipmentComponent ; rdfs:label '</t>
    </r>
    <r>
      <rPr>
        <sz val="10"/>
        <rFont val="Noto Sans CJK SC"/>
        <family val="2"/>
      </rPr>
      <t>脱色罐组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真空阀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</si>
  <si>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:DecolorTankGroup_P04 a :EquipmentComponent ; rdfs:label '</t>
    </r>
    <r>
      <rPr>
        <sz val="10"/>
        <rFont val="Noto Sans CJK SC"/>
        <family val="2"/>
      </rPr>
      <t>脱色罐组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进炭阀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</si>
  <si>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:DecolorTankGroup_P05 a :EquipmentComponent ; rdfs:label '</t>
    </r>
    <r>
      <rPr>
        <sz val="10"/>
        <rFont val="Noto Sans CJK SC"/>
        <family val="2"/>
      </rPr>
      <t>脱色罐组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出料阀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</si>
  <si>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:DecolorTankGroup_P06 a :EquipmentComponent ; rdfs:label '</t>
    </r>
    <r>
      <rPr>
        <sz val="10"/>
        <rFont val="Noto Sans CJK SC"/>
        <family val="2"/>
      </rPr>
      <t>脱色罐组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吹扫阀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</si>
  <si>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:CarbonVacuumFeeder a :ProductionEquipment ; rdfs:label '</t>
    </r>
    <r>
      <rPr>
        <sz val="10"/>
        <rFont val="Noto Sans CJK SC"/>
        <family val="2"/>
      </rPr>
      <t>活性炭真空上料系统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</si>
  <si>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:CarbonVacuumFeeder_P01 a :EquipmentComponent ; rdfs:label '</t>
    </r>
    <r>
      <rPr>
        <sz val="10"/>
        <rFont val="Noto Sans CJK SC"/>
        <family val="2"/>
      </rPr>
      <t>活性炭真空上料系统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料仓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</si>
  <si>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:CarbonVacuumFeeder_P02 a :EquipmentComponent ; rdfs:label '</t>
    </r>
    <r>
      <rPr>
        <sz val="10"/>
        <rFont val="Noto Sans CJK SC"/>
        <family val="2"/>
      </rPr>
      <t>活性炭真空上料系统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脉冲反吹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</si>
  <si>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:CarbonVacuumFeeder_P03 a :EquipmentComponent ; rdfs:label '</t>
    </r>
    <r>
      <rPr>
        <sz val="10"/>
        <rFont val="Noto Sans CJK SC"/>
        <family val="2"/>
      </rPr>
      <t>活性炭真空上料系统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绞龙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</si>
  <si>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:CarbonVacuumFeeder_P04 a :EquipmentComponent ; rdfs:label '</t>
    </r>
    <r>
      <rPr>
        <sz val="10"/>
        <rFont val="Noto Sans CJK SC"/>
        <family val="2"/>
      </rPr>
      <t>活性炭真空上料系统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关风机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</si>
  <si>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:CarbonVacuumFeeder_P05 a :EquipmentComponent ; rdfs:label '</t>
    </r>
    <r>
      <rPr>
        <sz val="10"/>
        <rFont val="Noto Sans CJK SC"/>
        <family val="2"/>
      </rPr>
      <t>活性炭真空上料系统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抽气阀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</si>
  <si>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:FunteFilterGroup a :ProductionEquipment ; rdfs:label '</t>
    </r>
    <r>
      <rPr>
        <sz val="10"/>
        <rFont val="Noto Sans CJK SC"/>
        <family val="2"/>
      </rPr>
      <t>芬特过滤器组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</si>
  <si>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:FunteFilterGroup_M01 a :EquipmentInstance ; rdfs:label '</t>
    </r>
    <r>
      <rPr>
        <sz val="10"/>
        <rFont val="Noto Sans CJK SC"/>
        <family val="2"/>
      </rPr>
      <t>芬特过滤器</t>
    </r>
    <r>
      <rPr>
        <sz val="10"/>
        <rFont val="Consolas"/>
        <family val="3"/>
      </rPr>
      <t>A'@zh ; :processSection 'S06' .</t>
    </r>
  </si>
  <si>
    <r>
      <rPr>
        <sz val="10"/>
        <rFont val="Consolas"/>
        <family val="3"/>
      </rPr>
      <t>:FunteFilterGroup_M02 a :EquipmentInstance ; rdfs:label '</t>
    </r>
    <r>
      <rPr>
        <sz val="10"/>
        <rFont val="Noto Sans CJK SC"/>
        <family val="2"/>
      </rPr>
      <t>芬特过滤器</t>
    </r>
    <r>
      <rPr>
        <sz val="10"/>
        <rFont val="Consolas"/>
        <family val="3"/>
      </rPr>
      <t>B'@zh ; :processSection 'S06' .</t>
    </r>
  </si>
  <si>
    <r>
      <rPr>
        <sz val="10"/>
        <rFont val="Consolas"/>
        <family val="3"/>
      </rPr>
      <t>:FunteFilterGroup_M03 a :EquipmentInstance ; rdfs:label '</t>
    </r>
    <r>
      <rPr>
        <sz val="10"/>
        <rFont val="Noto Sans CJK SC"/>
        <family val="2"/>
      </rPr>
      <t>芬特过滤器</t>
    </r>
    <r>
      <rPr>
        <sz val="10"/>
        <rFont val="Consolas"/>
        <family val="3"/>
      </rPr>
      <t>C'@zh ; :processSection 'S06' .</t>
    </r>
  </si>
  <si>
    <r>
      <rPr>
        <sz val="10"/>
        <rFont val="Consolas"/>
        <family val="3"/>
      </rPr>
      <t>:FunteFilterGroup_M04 a :EquipmentInstance ; rdfs:label '</t>
    </r>
    <r>
      <rPr>
        <sz val="10"/>
        <rFont val="Noto Sans CJK SC"/>
        <family val="2"/>
      </rPr>
      <t>芬特过滤器</t>
    </r>
    <r>
      <rPr>
        <sz val="10"/>
        <rFont val="Consolas"/>
        <family val="3"/>
      </rPr>
      <t>D'@zh ; :processSection 'S06' .</t>
    </r>
  </si>
  <si>
    <r>
      <rPr>
        <sz val="10"/>
        <rFont val="Consolas"/>
        <family val="3"/>
      </rPr>
      <t>:FunteFilterGroup_P01 a :EquipmentComponent ; rdfs:label '</t>
    </r>
    <r>
      <rPr>
        <sz val="10"/>
        <rFont val="Noto Sans CJK SC"/>
        <family val="2"/>
      </rPr>
      <t>芬特过滤器组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压力变送器</t>
    </r>
    <r>
      <rPr>
        <sz val="10"/>
        <rFont val="Consolas"/>
        <family val="3"/>
      </rPr>
      <t>PT_2002'@zh ; :processSection 'S06' .</t>
    </r>
  </si>
  <si>
    <r>
      <rPr>
        <sz val="10"/>
        <rFont val="Consolas"/>
        <family val="3"/>
      </rPr>
      <t>:FunteFilterGroup_P02 a :EquipmentComponent ; rdfs:label '</t>
    </r>
    <r>
      <rPr>
        <sz val="10"/>
        <rFont val="Noto Sans CJK SC"/>
        <family val="2"/>
      </rPr>
      <t>芬特过滤器组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浊度仪</t>
    </r>
    <r>
      <rPr>
        <sz val="10"/>
        <rFont val="Consolas"/>
        <family val="3"/>
      </rPr>
      <t>ZU_2001'@zh ; :processSection 'S06' .</t>
    </r>
  </si>
  <si>
    <r>
      <rPr>
        <sz val="10"/>
        <rFont val="Consolas"/>
        <family val="3"/>
      </rPr>
      <t>:FunteFilterGroup_P03 a :EquipmentComponent ; rdfs:label '</t>
    </r>
    <r>
      <rPr>
        <sz val="10"/>
        <rFont val="Noto Sans CJK SC"/>
        <family val="2"/>
      </rPr>
      <t>芬特过滤器组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搅拌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反吹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</si>
  <si>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:DecolorBABuffer a :ProductionEquipment ; rdfs:label '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V2157'@zh ; :processSection 'S06' .</t>
    </r>
  </si>
  <si>
    <r>
      <rPr>
        <sz val="10"/>
        <rFont val="Consolas"/>
        <family val="3"/>
      </rPr>
      <t>:DecolorBABuffer_P01 a :EquipmentComponent ; rdfs:label '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V2157·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</si>
  <si>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:DecolorBATanks a :ProductionEquipment ; rdfs:label '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储罐组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</si>
  <si>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:DecolorBATanks_M01 a :EquipmentInstance ; rdfs:label '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罐</t>
    </r>
    <r>
      <rPr>
        <sz val="10"/>
        <rFont val="Consolas"/>
        <family val="3"/>
      </rPr>
      <t>R2153A'@zh ; :processSection 'S06' .</t>
    </r>
  </si>
  <si>
    <r>
      <rPr>
        <sz val="10"/>
        <rFont val="Consolas"/>
        <family val="3"/>
      </rPr>
      <t>:DecolorBATanks_M02 a :EquipmentInstance ; rdfs:label '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罐</t>
    </r>
    <r>
      <rPr>
        <sz val="10"/>
        <rFont val="Consolas"/>
        <family val="3"/>
      </rPr>
      <t>R2153B'@zh ; :processSection 'S06' .</t>
    </r>
  </si>
  <si>
    <r>
      <rPr>
        <sz val="10"/>
        <rFont val="Consolas"/>
        <family val="3"/>
      </rPr>
      <t>:DecolorBATanks_M03 a :EquipmentInstance ; rdfs:label '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罐</t>
    </r>
    <r>
      <rPr>
        <sz val="10"/>
        <rFont val="Consolas"/>
        <family val="3"/>
      </rPr>
      <t>R2153C'@zh ; :processSection 'S06' .</t>
    </r>
  </si>
  <si>
    <r>
      <rPr>
        <sz val="10"/>
        <rFont val="Consolas"/>
        <family val="3"/>
      </rPr>
      <t>:DecolorBATanks_M04 a :EquipmentInstance ; rdfs:label '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罐</t>
    </r>
    <r>
      <rPr>
        <sz val="10"/>
        <rFont val="Consolas"/>
        <family val="3"/>
      </rPr>
      <t>R2153D'@zh ; :processSection 'S06' .</t>
    </r>
  </si>
  <si>
    <r>
      <rPr>
        <sz val="10"/>
        <rFont val="Consolas"/>
        <family val="3"/>
      </rPr>
      <t>:DecolorBATanks_P01 a :EquipmentComponent ; rdfs:label '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储罐组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</si>
  <si>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:SpentCarbonTank a :ProductionEquipment ; rdfs:label '</t>
    </r>
    <r>
      <rPr>
        <sz val="10"/>
        <rFont val="Noto Sans CJK SC"/>
        <family val="2"/>
      </rPr>
      <t>甩碳罐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甩碳储罐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</si>
  <si>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:SpentCarbonTank_P01 a :EquipmentComponent ; rdfs:label '</t>
    </r>
    <r>
      <rPr>
        <sz val="10"/>
        <rFont val="Noto Sans CJK SC"/>
        <family val="2"/>
      </rPr>
      <t>甩碳罐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甩碳储罐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搅拌器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</si>
  <si>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:SpentCarbonTank_P02 a :EquipmentComponent ; rdfs:label '</t>
    </r>
    <r>
      <rPr>
        <sz val="10"/>
        <rFont val="Noto Sans CJK SC"/>
        <family val="2"/>
      </rPr>
      <t>甩碳罐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甩碳储罐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压力表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</si>
  <si>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:K2CO3SiloGroup a :ProductionEquipment ; rdfs:label '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粉料料仓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</si>
  <si>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:K2CO3SiloGroup_M01 a :EquipmentInstance ; rdfs:label '1#</t>
    </r>
    <r>
      <rPr>
        <sz val="10"/>
        <rFont val="Noto Sans CJK SC"/>
        <family val="2"/>
      </rPr>
      <t>料仓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</si>
  <si>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:K2CO3SiloGroup_M02 a :EquipmentInstance ; rdfs:label '2#</t>
    </r>
    <r>
      <rPr>
        <sz val="10"/>
        <rFont val="Noto Sans CJK SC"/>
        <family val="2"/>
      </rPr>
      <t>料仓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</si>
  <si>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:K2CO3SiloGroup_M03 a :EquipmentInstance ; rdfs:label '3#</t>
    </r>
    <r>
      <rPr>
        <sz val="10"/>
        <rFont val="Noto Sans CJK SC"/>
        <family val="2"/>
      </rPr>
      <t>料仓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</si>
  <si>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:K2CO3SiloGroup_P01 a :EquipmentComponent ; rdfs:label '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粉料料仓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真空上料阀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</si>
  <si>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:K2CO3SiloGroup_P02 a :EquipmentComponent ; rdfs:label '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粉料料仓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压缩空气阀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</si>
  <si>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:K2CO3SiloGroup_P03 a :EquipmentComponent ; rdfs:label '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粉料料仓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卸料阀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</si>
  <si>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:K2CO3PrepTanks a :ProductionEquipment ; rdfs:label '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碳酸钠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>配制罐组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</si>
  <si>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:K2CO3PrepTanks_M01 a :EquipmentInstance ; rdfs:label '</t>
    </r>
    <r>
      <rPr>
        <sz val="10"/>
        <rFont val="Noto Sans CJK SC"/>
        <family val="2"/>
      </rPr>
      <t>一楼</t>
    </r>
    <r>
      <rPr>
        <sz val="10"/>
        <rFont val="Consolas"/>
        <family val="3"/>
      </rPr>
      <t>30%</t>
    </r>
    <r>
      <rPr>
        <sz val="10"/>
        <rFont val="Noto Sans CJK SC"/>
        <family val="2"/>
      </rPr>
      <t>碳酸钾配制罐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</si>
  <si>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:K2CO3PrepTanks_M02 a :EquipmentInstance ; rdfs:label '</t>
    </r>
    <r>
      <rPr>
        <sz val="10"/>
        <rFont val="Noto Sans CJK SC"/>
        <family val="2"/>
      </rPr>
      <t>二楼</t>
    </r>
    <r>
      <rPr>
        <sz val="10"/>
        <rFont val="Consolas"/>
        <family val="3"/>
      </rPr>
      <t>30%</t>
    </r>
    <r>
      <rPr>
        <sz val="10"/>
        <rFont val="Noto Sans CJK SC"/>
        <family val="2"/>
      </rPr>
      <t>碳酸钾配制罐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</si>
  <si>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:K2CO3PrepTanks_M03 a :EquipmentInstance ; rdfs:label '</t>
    </r>
    <r>
      <rPr>
        <sz val="10"/>
        <rFont val="Noto Sans CJK SC"/>
        <family val="2"/>
      </rPr>
      <t>二楼</t>
    </r>
    <r>
      <rPr>
        <sz val="10"/>
        <rFont val="Consolas"/>
        <family val="3"/>
      </rPr>
      <t>4%</t>
    </r>
    <r>
      <rPr>
        <sz val="10"/>
        <rFont val="Noto Sans CJK SC"/>
        <family val="2"/>
      </rPr>
      <t>碳酸钾配制罐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</si>
  <si>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:K2CO3PrepTanks_M04 a :EquipmentInstance ; rdfs:label '</t>
    </r>
    <r>
      <rPr>
        <sz val="10"/>
        <rFont val="Noto Sans CJK SC"/>
        <family val="2"/>
      </rPr>
      <t>碳酸钠配制罐</t>
    </r>
    <r>
      <rPr>
        <sz val="10"/>
        <rFont val="Consolas"/>
        <family val="3"/>
      </rPr>
      <t>1#–8#'@zh ; :processSection 'S07' .</t>
    </r>
  </si>
  <si>
    <r>
      <rPr>
        <sz val="10"/>
        <rFont val="Consolas"/>
        <family val="3"/>
      </rPr>
      <t>:K2CO3PrepTanks_P01 a :EquipmentComponent ; rdfs:label '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碳酸钠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>配制罐组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搅拌器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</si>
  <si>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:K2CO3PrepTanks_P02 a :EquipmentComponent ; rdfs:label '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碳酸钠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>配制罐组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软水阀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</si>
  <si>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:K2CO3PrepTanks_P03 a :EquipmentComponent ; rdfs:label '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碳酸钠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>配制罐组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压空阀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</si>
  <si>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:K2CO3BufferTanks a :ProductionEquipment ; rdfs:label '</t>
    </r>
    <r>
      <rPr>
        <sz val="10"/>
        <rFont val="Noto Sans CJK SC"/>
        <family val="2"/>
      </rPr>
      <t>碳酸钾缓冲罐组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</si>
  <si>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:K2CO3BufferTanks_M01 a :EquipmentInstance ; rdfs:label '30%</t>
    </r>
    <r>
      <rPr>
        <sz val="10"/>
        <rFont val="Noto Sans CJK SC"/>
        <family val="2"/>
      </rPr>
      <t>碳酸钾缓冲罐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</si>
  <si>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:K2CO3BufferTanks_M02 a :EquipmentInstance ; rdfs:label '5%</t>
    </r>
    <r>
      <rPr>
        <sz val="10"/>
        <rFont val="Noto Sans CJK SC"/>
        <family val="2"/>
      </rPr>
      <t>碳酸钾缓冲罐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</si>
  <si>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:K2CO3BufferTanks_M03 a :EquipmentInstance ; rdfs:label '</t>
    </r>
    <r>
      <rPr>
        <sz val="10"/>
        <rFont val="Noto Sans CJK SC"/>
        <family val="2"/>
      </rPr>
      <t>高浓度碳酸钾罐</t>
    </r>
    <r>
      <rPr>
        <sz val="10"/>
        <rFont val="Consolas"/>
        <family val="3"/>
      </rPr>
      <t>V2168'@zh ; :processSection 'S07' .</t>
    </r>
  </si>
  <si>
    <r>
      <rPr>
        <sz val="10"/>
        <rFont val="Consolas"/>
        <family val="3"/>
      </rPr>
      <t>:K2CO3BufferTanks_M04 a :EquipmentInstance ; rdfs:label '</t>
    </r>
    <r>
      <rPr>
        <sz val="10"/>
        <rFont val="Noto Sans CJK SC"/>
        <family val="2"/>
      </rPr>
      <t>低浓度碳酸钾罐</t>
    </r>
    <r>
      <rPr>
        <sz val="10"/>
        <rFont val="Consolas"/>
        <family val="3"/>
      </rPr>
      <t>R2170'@zh ; :processSection 'S07' .</t>
    </r>
  </si>
  <si>
    <r>
      <rPr>
        <sz val="10"/>
        <rFont val="Consolas"/>
        <family val="3"/>
      </rPr>
      <t>:K2CO3BufferTanks_M05 a :EquipmentInstance ; rdfs:label '</t>
    </r>
    <r>
      <rPr>
        <sz val="10"/>
        <rFont val="Noto Sans CJK SC"/>
        <family val="2"/>
      </rPr>
      <t>高浓度碳酸钾缓冲罐</t>
    </r>
    <r>
      <rPr>
        <sz val="10"/>
        <rFont val="Consolas"/>
        <family val="3"/>
      </rPr>
      <t>(LT_9004)'@zh ; :processSection 'S07' .</t>
    </r>
  </si>
  <si>
    <r>
      <rPr>
        <sz val="10"/>
        <rFont val="Consolas"/>
        <family val="3"/>
      </rPr>
      <t>:K2CO3BufferTanks_P01 a :EquipmentComponent ; rdfs:label '</t>
    </r>
    <r>
      <rPr>
        <sz val="10"/>
        <rFont val="Noto Sans CJK SC"/>
        <family val="2"/>
      </rPr>
      <t>碳酸钾缓冲罐组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</si>
  <si>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:K2CO3BufferTanks_P02 a :EquipmentComponent ; rdfs:label '</t>
    </r>
    <r>
      <rPr>
        <sz val="10"/>
        <rFont val="Noto Sans CJK SC"/>
        <family val="2"/>
      </rPr>
      <t>碳酸钾缓冲罐组</t>
    </r>
    <r>
      <rPr>
        <sz val="10"/>
        <rFont val="Consolas"/>
        <family val="3"/>
      </rPr>
      <t>·pH</t>
    </r>
    <r>
      <rPr>
        <sz val="10"/>
        <rFont val="Noto Sans CJK SC"/>
        <family val="2"/>
      </rPr>
      <t>计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</si>
  <si>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:Mixer1R2175 a :ProductionEquipment ; rdfs:label '</t>
    </r>
    <r>
      <rPr>
        <sz val="10"/>
        <rFont val="Noto Sans CJK SC"/>
        <family val="2"/>
      </rPr>
      <t>一级混合罐</t>
    </r>
    <r>
      <rPr>
        <sz val="10"/>
        <rFont val="Consolas"/>
        <family val="3"/>
      </rPr>
      <t>R2175(6A</t>
    </r>
    <r>
      <rPr>
        <sz val="10"/>
        <rFont val="Noto Sans CJK SC"/>
        <family val="2"/>
      </rPr>
      <t>一混罐</t>
    </r>
    <r>
      <rPr>
        <sz val="10"/>
        <rFont val="Consolas"/>
        <family val="3"/>
      </rPr>
      <t>)'@zh ; :processSection 'S07' .</t>
    </r>
  </si>
  <si>
    <r>
      <rPr>
        <sz val="10"/>
        <rFont val="Consolas"/>
        <family val="3"/>
      </rPr>
      <t>:Mixer1R2175_P01 a :EquipmentComponent ; rdfs:label '</t>
    </r>
    <r>
      <rPr>
        <sz val="10"/>
        <rFont val="Noto Sans CJK SC"/>
        <family val="2"/>
      </rPr>
      <t>一级混合罐</t>
    </r>
    <r>
      <rPr>
        <sz val="10"/>
        <rFont val="Consolas"/>
        <family val="3"/>
      </rPr>
      <t>R2175(6A</t>
    </r>
    <r>
      <rPr>
        <sz val="10"/>
        <rFont val="Noto Sans CJK SC"/>
        <family val="2"/>
      </rPr>
      <t>一混罐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搅拌器</t>
    </r>
    <r>
      <rPr>
        <sz val="10"/>
        <rFont val="Consolas"/>
        <family val="3"/>
      </rPr>
      <t>PB_1004'@zh ; :processSection 'S07' .</t>
    </r>
  </si>
  <si>
    <r>
      <rPr>
        <sz val="10"/>
        <rFont val="Consolas"/>
        <family val="3"/>
      </rPr>
      <t>:Mixer1R2175_P02 a :EquipmentComponent ; rdfs:label '</t>
    </r>
    <r>
      <rPr>
        <sz val="10"/>
        <rFont val="Noto Sans CJK SC"/>
        <family val="2"/>
      </rPr>
      <t>一级混合罐</t>
    </r>
    <r>
      <rPr>
        <sz val="10"/>
        <rFont val="Consolas"/>
        <family val="3"/>
      </rPr>
      <t>R2175(6A</t>
    </r>
    <r>
      <rPr>
        <sz val="10"/>
        <rFont val="Noto Sans CJK SC"/>
        <family val="2"/>
      </rPr>
      <t>一混罐</t>
    </r>
    <r>
      <rPr>
        <sz val="10"/>
        <rFont val="Consolas"/>
        <family val="3"/>
      </rPr>
      <t>)·pH</t>
    </r>
    <r>
      <rPr>
        <sz val="10"/>
        <rFont val="Noto Sans CJK SC"/>
        <family val="2"/>
      </rPr>
      <t>计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</si>
  <si>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:Mixer1R2175_P03 a :EquipmentComponent ; rdfs:label '</t>
    </r>
    <r>
      <rPr>
        <sz val="10"/>
        <rFont val="Noto Sans CJK SC"/>
        <family val="2"/>
      </rPr>
      <t>一级混合罐</t>
    </r>
    <r>
      <rPr>
        <sz val="10"/>
        <rFont val="Consolas"/>
        <family val="3"/>
      </rPr>
      <t>R2175(6A</t>
    </r>
    <r>
      <rPr>
        <sz val="10"/>
        <rFont val="Noto Sans CJK SC"/>
        <family val="2"/>
      </rPr>
      <t>一混罐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温度计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</si>
  <si>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:Mixer2R2177 a :ProductionEquipment ; rdfs:label '</t>
    </r>
    <r>
      <rPr>
        <sz val="10"/>
        <rFont val="Noto Sans CJK SC"/>
        <family val="2"/>
      </rPr>
      <t>二级混合罐</t>
    </r>
    <r>
      <rPr>
        <sz val="10"/>
        <rFont val="Consolas"/>
        <family val="3"/>
      </rPr>
      <t>R2177(6A</t>
    </r>
    <r>
      <rPr>
        <sz val="10"/>
        <rFont val="Noto Sans CJK SC"/>
        <family val="2"/>
      </rPr>
      <t>二混罐</t>
    </r>
    <r>
      <rPr>
        <sz val="10"/>
        <rFont val="Consolas"/>
        <family val="3"/>
      </rPr>
      <t>)'@zh ; :processSection 'S07' .</t>
    </r>
  </si>
  <si>
    <r>
      <rPr>
        <sz val="10"/>
        <rFont val="Consolas"/>
        <family val="3"/>
      </rPr>
      <t>:Mixer2R2177_P01 a :EquipmentComponent ; rdfs:label '</t>
    </r>
    <r>
      <rPr>
        <sz val="10"/>
        <rFont val="Noto Sans CJK SC"/>
        <family val="2"/>
      </rPr>
      <t>二级混合罐</t>
    </r>
    <r>
      <rPr>
        <sz val="10"/>
        <rFont val="Consolas"/>
        <family val="3"/>
      </rPr>
      <t>R2177(6A</t>
    </r>
    <r>
      <rPr>
        <sz val="10"/>
        <rFont val="Noto Sans CJK SC"/>
        <family val="2"/>
      </rPr>
      <t>二混罐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搅拌器</t>
    </r>
    <r>
      <rPr>
        <sz val="10"/>
        <rFont val="Consolas"/>
        <family val="3"/>
      </rPr>
      <t>PB_1005'@zh ; :processSection 'S07' .</t>
    </r>
  </si>
  <si>
    <r>
      <rPr>
        <sz val="10"/>
        <rFont val="Consolas"/>
        <family val="3"/>
      </rPr>
      <t>:Mixer2R2177_P02 a :EquipmentComponent ; rdfs:label '</t>
    </r>
    <r>
      <rPr>
        <sz val="10"/>
        <rFont val="Noto Sans CJK SC"/>
        <family val="2"/>
      </rPr>
      <t>二级混合罐</t>
    </r>
    <r>
      <rPr>
        <sz val="10"/>
        <rFont val="Consolas"/>
        <family val="3"/>
      </rPr>
      <t>R2177(6A</t>
    </r>
    <r>
      <rPr>
        <sz val="10"/>
        <rFont val="Noto Sans CJK SC"/>
        <family val="2"/>
      </rPr>
      <t>二混罐</t>
    </r>
    <r>
      <rPr>
        <sz val="10"/>
        <rFont val="Consolas"/>
        <family val="3"/>
      </rPr>
      <t>)·pH</t>
    </r>
    <r>
      <rPr>
        <sz val="10"/>
        <rFont val="Noto Sans CJK SC"/>
        <family val="2"/>
      </rPr>
      <t>计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</si>
  <si>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:Mixer2R2177_P03 a :EquipmentComponent ; rdfs:label '</t>
    </r>
    <r>
      <rPr>
        <sz val="10"/>
        <rFont val="Noto Sans CJK SC"/>
        <family val="2"/>
      </rPr>
      <t>二级混合罐</t>
    </r>
    <r>
      <rPr>
        <sz val="10"/>
        <rFont val="Consolas"/>
        <family val="3"/>
      </rPr>
      <t>R2177(6A</t>
    </r>
    <r>
      <rPr>
        <sz val="10"/>
        <rFont val="Noto Sans CJK SC"/>
        <family val="2"/>
      </rPr>
      <t>二混罐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温度计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</si>
  <si>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:BackExtCentrifuge1 a :ProductionEquipment ; rdfs:label '</t>
    </r>
    <r>
      <rPr>
        <sz val="10"/>
        <rFont val="Noto Sans CJK SC"/>
        <family val="2"/>
      </rPr>
      <t>抽提一级离心机组</t>
    </r>
    <r>
      <rPr>
        <sz val="10"/>
        <rFont val="Consolas"/>
        <family val="3"/>
      </rPr>
      <t>(CT1)'@zh ; :processSection 'S07' .</t>
    </r>
  </si>
  <si>
    <r>
      <rPr>
        <sz val="10"/>
        <rFont val="Consolas"/>
        <family val="3"/>
      </rPr>
      <t>:BackExtCentrifuge1_M01 a :EquipmentInstance ; rdfs:label '</t>
    </r>
    <r>
      <rPr>
        <sz val="10"/>
        <rFont val="Noto Sans CJK SC"/>
        <family val="2"/>
      </rPr>
      <t>抽提一级离心机</t>
    </r>
    <r>
      <rPr>
        <sz val="10"/>
        <rFont val="Consolas"/>
        <family val="3"/>
      </rPr>
      <t>A'@zh ; :processSection 'S07' .</t>
    </r>
  </si>
  <si>
    <r>
      <rPr>
        <sz val="10"/>
        <rFont val="Consolas"/>
        <family val="3"/>
      </rPr>
      <t>:BackExtCentrifuge1_M02 a :EquipmentInstance ; rdfs:label '</t>
    </r>
    <r>
      <rPr>
        <sz val="10"/>
        <rFont val="Noto Sans CJK SC"/>
        <family val="2"/>
      </rPr>
      <t>抽提一级离心机</t>
    </r>
    <r>
      <rPr>
        <sz val="10"/>
        <rFont val="Consolas"/>
        <family val="3"/>
      </rPr>
      <t>B'@zh ; :processSection 'S07' .</t>
    </r>
  </si>
  <si>
    <r>
      <rPr>
        <sz val="10"/>
        <rFont val="Consolas"/>
        <family val="3"/>
      </rPr>
      <t>:BackExtCentrifuge1_M03 a :EquipmentInstance ; rdfs:label '</t>
    </r>
    <r>
      <rPr>
        <sz val="10"/>
        <rFont val="Noto Sans CJK SC"/>
        <family val="2"/>
      </rPr>
      <t>抽提一级离心机</t>
    </r>
    <r>
      <rPr>
        <sz val="10"/>
        <rFont val="Consolas"/>
        <family val="3"/>
      </rPr>
      <t>C'@zh ; :processSection 'S07' .</t>
    </r>
  </si>
  <si>
    <r>
      <rPr>
        <sz val="10"/>
        <rFont val="Consolas"/>
        <family val="3"/>
      </rPr>
      <t>:BackExtCentrifuge1_M04 a :EquipmentInstance ; rdfs:label '</t>
    </r>
    <r>
      <rPr>
        <sz val="10"/>
        <rFont val="Noto Sans CJK SC"/>
        <family val="2"/>
      </rPr>
      <t>抽提一级离心机</t>
    </r>
    <r>
      <rPr>
        <sz val="10"/>
        <rFont val="Consolas"/>
        <family val="3"/>
      </rPr>
      <t>D'@zh ; :processSection 'S07' .</t>
    </r>
  </si>
  <si>
    <r>
      <rPr>
        <sz val="10"/>
        <rFont val="Consolas"/>
        <family val="3"/>
      </rPr>
      <t>:BackExtCentrifuge1_M05 a :EquipmentInstance ; rdfs:label '</t>
    </r>
    <r>
      <rPr>
        <sz val="10"/>
        <rFont val="Noto Sans CJK SC"/>
        <family val="2"/>
      </rPr>
      <t>抽提一级离心机</t>
    </r>
    <r>
      <rPr>
        <sz val="10"/>
        <rFont val="Consolas"/>
        <family val="3"/>
      </rPr>
      <t>E'@zh ; :processSection 'S07' .</t>
    </r>
  </si>
  <si>
    <r>
      <rPr>
        <sz val="10"/>
        <rFont val="Consolas"/>
        <family val="3"/>
      </rPr>
      <t>:BackExtCentrifuge1_M06 a :EquipmentInstance ; rdfs:label '</t>
    </r>
    <r>
      <rPr>
        <sz val="10"/>
        <rFont val="Noto Sans CJK SC"/>
        <family val="2"/>
      </rPr>
      <t>抽提一级离心机</t>
    </r>
    <r>
      <rPr>
        <sz val="10"/>
        <rFont val="Consolas"/>
        <family val="3"/>
      </rPr>
      <t>F'@zh ; :processSection 'S07' .</t>
    </r>
  </si>
  <si>
    <r>
      <rPr>
        <sz val="10"/>
        <rFont val="Consolas"/>
        <family val="3"/>
      </rPr>
      <t>:BackExtCentrifuge1_P01 a :EquipmentComponent ; rdfs:label '</t>
    </r>
    <r>
      <rPr>
        <sz val="10"/>
        <rFont val="Noto Sans CJK SC"/>
        <family val="2"/>
      </rPr>
      <t>抽提一级离心机组</t>
    </r>
    <r>
      <rPr>
        <sz val="10"/>
        <rFont val="Consolas"/>
        <family val="3"/>
      </rPr>
      <t>(CT1)·</t>
    </r>
    <r>
      <rPr>
        <sz val="10"/>
        <rFont val="Noto Sans CJK SC"/>
        <family val="2"/>
      </rPr>
      <t>碟片分离转鼓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</si>
  <si>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:BackExtCentrifuge1_P02 a :EquipmentComponent ; rdfs:label '</t>
    </r>
    <r>
      <rPr>
        <sz val="10"/>
        <rFont val="Noto Sans CJK SC"/>
        <family val="2"/>
      </rPr>
      <t>抽提一级离心机组</t>
    </r>
    <r>
      <rPr>
        <sz val="10"/>
        <rFont val="Consolas"/>
        <family val="3"/>
      </rPr>
      <t>(CT1)·BA</t>
    </r>
    <r>
      <rPr>
        <sz val="10"/>
        <rFont val="Noto Sans CJK SC"/>
        <family val="2"/>
      </rPr>
      <t>进口调节阀</t>
    </r>
    <r>
      <rPr>
        <sz val="10"/>
        <rFont val="Consolas"/>
        <family val="3"/>
      </rPr>
      <t>HV_2004'@zh ; :processSection 'S07' .</t>
    </r>
  </si>
  <si>
    <r>
      <rPr>
        <sz val="10"/>
        <rFont val="Consolas"/>
        <family val="3"/>
      </rPr>
      <t>:BackExtCentrifuge1_P03 a :EquipmentComponent ; rdfs:label '</t>
    </r>
    <r>
      <rPr>
        <sz val="10"/>
        <rFont val="Noto Sans CJK SC"/>
        <family val="2"/>
      </rPr>
      <t>抽提一级离心机组</t>
    </r>
    <r>
      <rPr>
        <sz val="10"/>
        <rFont val="Consolas"/>
        <family val="3"/>
      </rPr>
      <t>(CT1)·</t>
    </r>
    <r>
      <rPr>
        <sz val="10"/>
        <rFont val="Noto Sans CJK SC"/>
        <family val="2"/>
      </rPr>
      <t>主电机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</si>
  <si>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:BackExtCentrifuge2 a :ProductionEquipment ; rdfs:label '</t>
    </r>
    <r>
      <rPr>
        <sz val="10"/>
        <rFont val="Noto Sans CJK SC"/>
        <family val="2"/>
      </rPr>
      <t>抽提二级离心机组</t>
    </r>
    <r>
      <rPr>
        <sz val="10"/>
        <rFont val="Consolas"/>
        <family val="3"/>
      </rPr>
      <t>(CT2)'@zh ; :processSection 'S07' .</t>
    </r>
  </si>
  <si>
    <r>
      <rPr>
        <sz val="10"/>
        <rFont val="Consolas"/>
        <family val="3"/>
      </rPr>
      <t>:BackExtCentrifuge2_M01 a :EquipmentInstance ; rdfs:label '</t>
    </r>
    <r>
      <rPr>
        <sz val="10"/>
        <rFont val="Noto Sans CJK SC"/>
        <family val="2"/>
      </rPr>
      <t>抽提二级离心机</t>
    </r>
    <r>
      <rPr>
        <sz val="10"/>
        <rFont val="Consolas"/>
        <family val="3"/>
      </rPr>
      <t>A'@zh ; :processSection 'S07' .</t>
    </r>
  </si>
  <si>
    <r>
      <rPr>
        <sz val="10"/>
        <rFont val="Consolas"/>
        <family val="3"/>
      </rPr>
      <t>:BackExtCentrifuge2_M02 a :EquipmentInstance ; rdfs:label '</t>
    </r>
    <r>
      <rPr>
        <sz val="10"/>
        <rFont val="Noto Sans CJK SC"/>
        <family val="2"/>
      </rPr>
      <t>抽提二级离心机</t>
    </r>
    <r>
      <rPr>
        <sz val="10"/>
        <rFont val="Consolas"/>
        <family val="3"/>
      </rPr>
      <t>B'@zh ; :processSection 'S07' .</t>
    </r>
  </si>
  <si>
    <r>
      <rPr>
        <sz val="10"/>
        <rFont val="Consolas"/>
        <family val="3"/>
      </rPr>
      <t>:BackExtCentrifuge2_M03 a :EquipmentInstance ; rdfs:label '</t>
    </r>
    <r>
      <rPr>
        <sz val="10"/>
        <rFont val="Noto Sans CJK SC"/>
        <family val="2"/>
      </rPr>
      <t>抽提二级离心机</t>
    </r>
    <r>
      <rPr>
        <sz val="10"/>
        <rFont val="Consolas"/>
        <family val="3"/>
      </rPr>
      <t>C'@zh ; :processSection 'S07' .</t>
    </r>
  </si>
  <si>
    <r>
      <rPr>
        <sz val="10"/>
        <rFont val="Consolas"/>
        <family val="3"/>
      </rPr>
      <t>:BackExtCentrifuge2_M04 a :EquipmentInstance ; rdfs:label '</t>
    </r>
    <r>
      <rPr>
        <sz val="10"/>
        <rFont val="Noto Sans CJK SC"/>
        <family val="2"/>
      </rPr>
      <t>抽提二级离心机</t>
    </r>
    <r>
      <rPr>
        <sz val="10"/>
        <rFont val="Consolas"/>
        <family val="3"/>
      </rPr>
      <t>D'@zh ; :processSection 'S07' .</t>
    </r>
  </si>
  <si>
    <r>
      <rPr>
        <sz val="10"/>
        <rFont val="Consolas"/>
        <family val="3"/>
      </rPr>
      <t>:BackExtCentrifuge2_P01 a :EquipmentComponent ; rdfs:label '</t>
    </r>
    <r>
      <rPr>
        <sz val="10"/>
        <rFont val="Noto Sans CJK SC"/>
        <family val="2"/>
      </rPr>
      <t>抽提二级离心机组</t>
    </r>
    <r>
      <rPr>
        <sz val="10"/>
        <rFont val="Consolas"/>
        <family val="3"/>
      </rPr>
      <t>(CT2)·</t>
    </r>
    <r>
      <rPr>
        <sz val="10"/>
        <rFont val="Noto Sans CJK SC"/>
        <family val="2"/>
      </rPr>
      <t>碟片分离转鼓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</si>
  <si>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:BackExtCentrifuge2_P02 a :EquipmentComponent ; rdfs:label '</t>
    </r>
    <r>
      <rPr>
        <sz val="10"/>
        <rFont val="Noto Sans CJK SC"/>
        <family val="2"/>
      </rPr>
      <t>抽提二级离心机组</t>
    </r>
    <r>
      <rPr>
        <sz val="10"/>
        <rFont val="Consolas"/>
        <family val="3"/>
      </rPr>
      <t>(CT2)·BA</t>
    </r>
    <r>
      <rPr>
        <sz val="10"/>
        <rFont val="Noto Sans CJK SC"/>
        <family val="2"/>
      </rPr>
      <t>进口调节阀</t>
    </r>
    <r>
      <rPr>
        <sz val="10"/>
        <rFont val="Consolas"/>
        <family val="3"/>
      </rPr>
      <t>HV_2006'@zh ; :processSection 'S07' .</t>
    </r>
  </si>
  <si>
    <r>
      <rPr>
        <sz val="10"/>
        <rFont val="Consolas"/>
        <family val="3"/>
      </rPr>
      <t>:BackExtCentrifuge2_P03 a :EquipmentComponent ; rdfs:label '</t>
    </r>
    <r>
      <rPr>
        <sz val="10"/>
        <rFont val="Noto Sans CJK SC"/>
        <family val="2"/>
      </rPr>
      <t>抽提二级离心机组</t>
    </r>
    <r>
      <rPr>
        <sz val="10"/>
        <rFont val="Consolas"/>
        <family val="3"/>
      </rPr>
      <t>(CT2)·</t>
    </r>
    <r>
      <rPr>
        <sz val="10"/>
        <rFont val="Noto Sans CJK SC"/>
        <family val="2"/>
      </rPr>
      <t>主电机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</si>
  <si>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:KSaltMixers a :ProductionEquipment ; rdfs:label '</t>
    </r>
    <r>
      <rPr>
        <sz val="10"/>
        <rFont val="Noto Sans CJK SC"/>
        <family val="2"/>
      </rPr>
      <t>钾盐一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二混罐</t>
    </r>
    <r>
      <rPr>
        <sz val="10"/>
        <rFont val="Consolas"/>
        <family val="3"/>
      </rPr>
      <t>'@zh ; :processSection 'S08' .</t>
    </r>
  </si>
  <si>
    <r>
      <rPr>
        <sz val="10"/>
        <rFont val="Consolas"/>
        <family val="3"/>
      </rPr>
      <t>:KSaltMixers_M01 a :EquipmentInstance ; rdfs:label '</t>
    </r>
    <r>
      <rPr>
        <sz val="10"/>
        <rFont val="Noto Sans CJK SC"/>
        <family val="2"/>
      </rPr>
      <t>钾盐一混罐</t>
    </r>
    <r>
      <rPr>
        <sz val="10"/>
        <rFont val="Consolas"/>
        <family val="3"/>
      </rPr>
      <t>'@zh ; :processSection 'S08' .</t>
    </r>
  </si>
  <si>
    <r>
      <rPr>
        <sz val="10"/>
        <rFont val="Consolas"/>
        <family val="3"/>
      </rPr>
      <t>:KSaltMixers_M02 a :EquipmentInstance ; rdfs:label '</t>
    </r>
    <r>
      <rPr>
        <sz val="10"/>
        <rFont val="Noto Sans CJK SC"/>
        <family val="2"/>
      </rPr>
      <t>钾盐二混罐</t>
    </r>
    <r>
      <rPr>
        <sz val="10"/>
        <rFont val="Consolas"/>
        <family val="3"/>
      </rPr>
      <t>'@zh ; :processSection 'S08' .</t>
    </r>
  </si>
  <si>
    <r>
      <rPr>
        <sz val="10"/>
        <rFont val="Consolas"/>
        <family val="3"/>
      </rPr>
      <t>:KSaltMixers_P01 a :EquipmentComponent ; rdfs:label '</t>
    </r>
    <r>
      <rPr>
        <sz val="10"/>
        <rFont val="Noto Sans CJK SC"/>
        <family val="2"/>
      </rPr>
      <t>钾盐一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二混罐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搅拌器</t>
    </r>
    <r>
      <rPr>
        <sz val="10"/>
        <rFont val="Consolas"/>
        <family val="3"/>
      </rPr>
      <t>'@zh ; :processSection 'S08' .</t>
    </r>
  </si>
  <si>
    <r>
      <rPr>
        <sz val="10"/>
        <rFont val="Consolas"/>
        <family val="3"/>
      </rPr>
      <t>:KSaltCentrifuges a :ProductionEquipment ; rdfs:label '</t>
    </r>
    <r>
      <rPr>
        <sz val="10"/>
        <rFont val="Noto Sans CJK SC"/>
        <family val="2"/>
      </rPr>
      <t>钾盐离心机组</t>
    </r>
    <r>
      <rPr>
        <sz val="10"/>
        <rFont val="Consolas"/>
        <family val="3"/>
      </rPr>
      <t>'@zh ; :processSection 'S08' .</t>
    </r>
  </si>
  <si>
    <r>
      <rPr>
        <sz val="10"/>
        <rFont val="Consolas"/>
        <family val="3"/>
      </rPr>
      <t>:KSaltCentrifuges_M01 a :EquipmentInstance ; rdfs:label '</t>
    </r>
    <r>
      <rPr>
        <sz val="10"/>
        <rFont val="Noto Sans CJK SC"/>
        <family val="2"/>
      </rPr>
      <t>钾盐离心机</t>
    </r>
    <r>
      <rPr>
        <sz val="10"/>
        <rFont val="Consolas"/>
        <family val="3"/>
      </rPr>
      <t>A'@zh ; :processSection 'S08' .</t>
    </r>
  </si>
  <si>
    <r>
      <rPr>
        <sz val="10"/>
        <rFont val="Consolas"/>
        <family val="3"/>
      </rPr>
      <t>:KSaltCentrifuges_M02 a :EquipmentInstance ; rdfs:label '</t>
    </r>
    <r>
      <rPr>
        <sz val="10"/>
        <rFont val="Noto Sans CJK SC"/>
        <family val="2"/>
      </rPr>
      <t>钾盐离心机</t>
    </r>
    <r>
      <rPr>
        <sz val="10"/>
        <rFont val="Consolas"/>
        <family val="3"/>
      </rPr>
      <t>B'@zh ; :processSection 'S08' .</t>
    </r>
  </si>
  <si>
    <r>
      <rPr>
        <sz val="10"/>
        <rFont val="Consolas"/>
        <family val="3"/>
      </rPr>
      <t>:KSaltCentrifuges_M03 a :EquipmentInstance ; rdfs:label '</t>
    </r>
    <r>
      <rPr>
        <sz val="10"/>
        <rFont val="Noto Sans CJK SC"/>
        <family val="2"/>
      </rPr>
      <t>钾盐离心机</t>
    </r>
    <r>
      <rPr>
        <sz val="10"/>
        <rFont val="Consolas"/>
        <family val="3"/>
      </rPr>
      <t>C'@zh ; :processSection 'S08' .</t>
    </r>
  </si>
  <si>
    <r>
      <rPr>
        <sz val="10"/>
        <rFont val="Consolas"/>
        <family val="3"/>
      </rPr>
      <t>:KSaltCentrifuges_M04 a :EquipmentInstance ; rdfs:label '</t>
    </r>
    <r>
      <rPr>
        <sz val="10"/>
        <rFont val="Noto Sans CJK SC"/>
        <family val="2"/>
      </rPr>
      <t>钾盐离心机</t>
    </r>
    <r>
      <rPr>
        <sz val="10"/>
        <rFont val="Consolas"/>
        <family val="3"/>
      </rPr>
      <t>D'@zh ; :processSection 'S08' .</t>
    </r>
  </si>
  <si>
    <r>
      <rPr>
        <sz val="10"/>
        <rFont val="Consolas"/>
        <family val="3"/>
      </rPr>
      <t>:KSaltCentrifuges_M05 a :EquipmentInstance ; rdfs:label '</t>
    </r>
    <r>
      <rPr>
        <sz val="10"/>
        <rFont val="Noto Sans CJK SC"/>
        <family val="2"/>
      </rPr>
      <t>钾盐离心机</t>
    </r>
    <r>
      <rPr>
        <sz val="10"/>
        <rFont val="Consolas"/>
        <family val="3"/>
      </rPr>
      <t>E'@zh ; :processSection 'S08' .</t>
    </r>
  </si>
  <si>
    <r>
      <rPr>
        <sz val="10"/>
        <rFont val="Consolas"/>
        <family val="3"/>
      </rPr>
      <t>:KSaltCentrifuges_M06 a :EquipmentInstance ; rdfs:label '</t>
    </r>
    <r>
      <rPr>
        <sz val="10"/>
        <rFont val="Noto Sans CJK SC"/>
        <family val="2"/>
      </rPr>
      <t>钾盐离心机</t>
    </r>
    <r>
      <rPr>
        <sz val="10"/>
        <rFont val="Consolas"/>
        <family val="3"/>
      </rPr>
      <t>F'@zh ; :processSection 'S08' .</t>
    </r>
  </si>
  <si>
    <r>
      <rPr>
        <sz val="10"/>
        <rFont val="Consolas"/>
        <family val="3"/>
      </rPr>
      <t>:KSaltCentrifuges_P01 a :EquipmentComponent ; rdfs:label '</t>
    </r>
    <r>
      <rPr>
        <sz val="10"/>
        <rFont val="Noto Sans CJK SC"/>
        <family val="2"/>
      </rPr>
      <t>钾盐离心机组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主电机</t>
    </r>
    <r>
      <rPr>
        <sz val="10"/>
        <rFont val="Consolas"/>
        <family val="3"/>
      </rPr>
      <t>'@zh ; :processSection 'S08' .</t>
    </r>
  </si>
  <si>
    <r>
      <rPr>
        <sz val="10"/>
        <rFont val="Consolas"/>
        <family val="3"/>
      </rPr>
      <t>:KSaltRBTank a :ProductionEquipment ; rdfs:label '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/RB</t>
    </r>
    <r>
      <rPr>
        <sz val="10"/>
        <rFont val="Noto Sans CJK SC"/>
        <family val="2"/>
      </rPr>
      <t>计量罐</t>
    </r>
    <r>
      <rPr>
        <sz val="10"/>
        <rFont val="Consolas"/>
        <family val="3"/>
      </rPr>
      <t>'@zh ; :processSection 'S08' .</t>
    </r>
  </si>
  <si>
    <r>
      <rPr>
        <sz val="10"/>
        <rFont val="Consolas"/>
        <family val="3"/>
      </rPr>
      <t>:KSaltRBTank_M01 a :EquipmentInstance ; rdfs:label '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'@zh ; :processSection 'S08' .</t>
    </r>
  </si>
  <si>
    <r>
      <rPr>
        <sz val="10"/>
        <rFont val="Consolas"/>
        <family val="3"/>
      </rPr>
      <t>:KSaltRBTank_M02 a :EquipmentInstance ; rdfs:label '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罐</t>
    </r>
    <r>
      <rPr>
        <sz val="10"/>
        <rFont val="Consolas"/>
        <family val="3"/>
      </rPr>
      <t>'@zh ; :processSection 'S08' .</t>
    </r>
  </si>
  <si>
    <r>
      <rPr>
        <sz val="10"/>
        <rFont val="Consolas"/>
        <family val="3"/>
      </rPr>
      <t>:KSaltRBTank_M03 a :EquipmentInstance ; rdfs:label 'RB</t>
    </r>
    <r>
      <rPr>
        <sz val="10"/>
        <rFont val="Noto Sans CJK SC"/>
        <family val="2"/>
      </rPr>
      <t>计量罐</t>
    </r>
    <r>
      <rPr>
        <sz val="10"/>
        <rFont val="Consolas"/>
        <family val="3"/>
      </rPr>
      <t>'@zh ; :processSection 'S08' .</t>
    </r>
  </si>
  <si>
    <r>
      <rPr>
        <sz val="10"/>
        <rFont val="Consolas"/>
        <family val="3"/>
      </rPr>
      <t>:KSaltRBTank_P01 a :EquipmentComponent ; rdfs:label '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/RB</t>
    </r>
    <r>
      <rPr>
        <sz val="10"/>
        <rFont val="Noto Sans CJK SC"/>
        <family val="2"/>
      </rPr>
      <t>计量罐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温控阀</t>
    </r>
    <r>
      <rPr>
        <sz val="10"/>
        <rFont val="Consolas"/>
        <family val="3"/>
      </rPr>
      <t>HV_2009'@zh ; :processSection 'S08' .</t>
    </r>
  </si>
  <si>
    <r>
      <rPr>
        <sz val="10"/>
        <rFont val="Consolas"/>
        <family val="3"/>
      </rPr>
      <t>:KSaltRBTank_P02 a :EquipmentComponent ; rdfs:label '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/RB</t>
    </r>
    <r>
      <rPr>
        <sz val="10"/>
        <rFont val="Noto Sans CJK SC"/>
        <family val="2"/>
      </rPr>
      <t>计量罐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冰盐水调节阀</t>
    </r>
    <r>
      <rPr>
        <sz val="10"/>
        <rFont val="Consolas"/>
        <family val="3"/>
      </rPr>
      <t>AO127'@zh ; :processSection 'S08' .</t>
    </r>
  </si>
  <si>
    <r>
      <rPr>
        <sz val="10"/>
        <rFont val="Consolas"/>
        <family val="3"/>
      </rPr>
      <t>:KSaltCrystallizers a :ProductionEquipment ; rdfs:label '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R2185A–F'@zh ; :processSection 'S08' .</t>
    </r>
  </si>
  <si>
    <r>
      <rPr>
        <sz val="10"/>
        <rFont val="Consolas"/>
        <family val="3"/>
      </rPr>
      <t>:KSaltCrystallizers_M01 a :EquipmentInstance ; rdfs:label '</t>
    </r>
    <r>
      <rPr>
        <sz val="10"/>
        <rFont val="Noto Sans CJK SC"/>
        <family val="2"/>
      </rPr>
      <t>结晶罐</t>
    </r>
    <r>
      <rPr>
        <sz val="10"/>
        <rFont val="Consolas"/>
        <family val="3"/>
      </rPr>
      <t>R2185A'@zh ; :processSection 'S08' .</t>
    </r>
  </si>
  <si>
    <r>
      <rPr>
        <sz val="10"/>
        <rFont val="Consolas"/>
        <family val="3"/>
      </rPr>
      <t>:KSaltCrystallizers_M02 a :EquipmentInstance ; rdfs:label '</t>
    </r>
    <r>
      <rPr>
        <sz val="10"/>
        <rFont val="Noto Sans CJK SC"/>
        <family val="2"/>
      </rPr>
      <t>结晶罐</t>
    </r>
    <r>
      <rPr>
        <sz val="10"/>
        <rFont val="Consolas"/>
        <family val="3"/>
      </rPr>
      <t>R2185B'@zh ; :processSection 'S08' .</t>
    </r>
  </si>
  <si>
    <r>
      <rPr>
        <sz val="10"/>
        <rFont val="Consolas"/>
        <family val="3"/>
      </rPr>
      <t>:KSaltCrystallizers_M03 a :EquipmentInstance ; rdfs:label '</t>
    </r>
    <r>
      <rPr>
        <sz val="10"/>
        <rFont val="Noto Sans CJK SC"/>
        <family val="2"/>
      </rPr>
      <t>结晶罐</t>
    </r>
    <r>
      <rPr>
        <sz val="10"/>
        <rFont val="Consolas"/>
        <family val="3"/>
      </rPr>
      <t>R2185C'@zh ; :processSection 'S08' .</t>
    </r>
  </si>
  <si>
    <r>
      <rPr>
        <sz val="10"/>
        <rFont val="Consolas"/>
        <family val="3"/>
      </rPr>
      <t>:KSaltCrystallizers_M04 a :EquipmentInstance ; rdfs:label '</t>
    </r>
    <r>
      <rPr>
        <sz val="10"/>
        <rFont val="Noto Sans CJK SC"/>
        <family val="2"/>
      </rPr>
      <t>结晶罐</t>
    </r>
    <r>
      <rPr>
        <sz val="10"/>
        <rFont val="Consolas"/>
        <family val="3"/>
      </rPr>
      <t>R2185D'@zh ; :processSection 'S08' .</t>
    </r>
  </si>
  <si>
    <r>
      <rPr>
        <sz val="10"/>
        <rFont val="Consolas"/>
        <family val="3"/>
      </rPr>
      <t>:KSaltCrystallizers_M05 a :EquipmentInstance ; rdfs:label '</t>
    </r>
    <r>
      <rPr>
        <sz val="10"/>
        <rFont val="Noto Sans CJK SC"/>
        <family val="2"/>
      </rPr>
      <t>结晶罐</t>
    </r>
    <r>
      <rPr>
        <sz val="10"/>
        <rFont val="Consolas"/>
        <family val="3"/>
      </rPr>
      <t>R2185E'@zh ; :processSection 'S08' .</t>
    </r>
  </si>
  <si>
    <r>
      <rPr>
        <sz val="10"/>
        <rFont val="Consolas"/>
        <family val="3"/>
      </rPr>
      <t>:KSaltCrystallizers_M06 a :EquipmentInstance ; rdfs:label '</t>
    </r>
    <r>
      <rPr>
        <sz val="10"/>
        <rFont val="Noto Sans CJK SC"/>
        <family val="2"/>
      </rPr>
      <t>结晶罐</t>
    </r>
    <r>
      <rPr>
        <sz val="10"/>
        <rFont val="Consolas"/>
        <family val="3"/>
      </rPr>
      <t>R2185F'@zh ; :processSection 'S08' .</t>
    </r>
  </si>
  <si>
    <r>
      <rPr>
        <sz val="10"/>
        <rFont val="Consolas"/>
        <family val="3"/>
      </rPr>
      <t>:KSaltCrystallizers_P01 a :EquipmentComponent ; rdfs:label '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R2185A–F·</t>
    </r>
    <r>
      <rPr>
        <sz val="10"/>
        <rFont val="Noto Sans CJK SC"/>
        <family val="2"/>
      </rPr>
      <t>夹套蒸汽阀</t>
    </r>
    <r>
      <rPr>
        <sz val="10"/>
        <rFont val="Consolas"/>
        <family val="3"/>
      </rPr>
      <t>JY_9'@zh ; :processSection 'S08' .</t>
    </r>
  </si>
  <si>
    <r>
      <rPr>
        <sz val="10"/>
        <rFont val="Consolas"/>
        <family val="3"/>
      </rPr>
      <t>:KSaltCrystallizers_P02 a :EquipmentComponent ; rdfs:label '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R2185A–F·</t>
    </r>
    <r>
      <rPr>
        <sz val="10"/>
        <rFont val="Noto Sans CJK SC"/>
        <family val="2"/>
      </rPr>
      <t>导流筒蒸汽阀</t>
    </r>
    <r>
      <rPr>
        <sz val="10"/>
        <rFont val="Consolas"/>
        <family val="3"/>
      </rPr>
      <t>JY_10'@zh ; :processSection 'S08' .</t>
    </r>
  </si>
  <si>
    <r>
      <rPr>
        <sz val="10"/>
        <rFont val="Consolas"/>
        <family val="3"/>
      </rPr>
      <t>:KSaltCrystallizers_P03 a :EquipmentComponent ; rdfs:label '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R2185A–F·</t>
    </r>
    <r>
      <rPr>
        <sz val="10"/>
        <rFont val="Noto Sans CJK SC"/>
        <family val="2"/>
      </rPr>
      <t>补丁醇调节阀</t>
    </r>
    <r>
      <rPr>
        <sz val="10"/>
        <rFont val="Consolas"/>
        <family val="3"/>
      </rPr>
      <t>JY_6'@zh ; :processSection 'S08' .</t>
    </r>
  </si>
  <si>
    <r>
      <rPr>
        <sz val="10"/>
        <rFont val="Consolas"/>
        <family val="3"/>
      </rPr>
      <t>:KSaltCrystallizers_P04 a :EquipmentComponent ; rdfs:label '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R2185A–F·</t>
    </r>
    <r>
      <rPr>
        <sz val="10"/>
        <rFont val="Noto Sans CJK SC"/>
        <family val="2"/>
      </rPr>
      <t>真空系统</t>
    </r>
    <r>
      <rPr>
        <sz val="10"/>
        <rFont val="Consolas"/>
        <family val="3"/>
      </rPr>
      <t>'@zh ; :processSection 'S08' .</t>
    </r>
  </si>
  <si>
    <r>
      <rPr>
        <sz val="10"/>
        <rFont val="Consolas"/>
        <family val="3"/>
      </rPr>
      <t>:KSaltCrystallizers_P05 a :EquipmentComponent ; rdfs:label '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R2185A–F·</t>
    </r>
    <r>
      <rPr>
        <sz val="10"/>
        <rFont val="Noto Sans CJK SC"/>
        <family val="2"/>
      </rPr>
      <t>搅拌器</t>
    </r>
    <r>
      <rPr>
        <sz val="10"/>
        <rFont val="Consolas"/>
        <family val="3"/>
      </rPr>
      <t>'@zh ; :processSection 'S08' .</t>
    </r>
  </si>
  <si>
    <r>
      <rPr>
        <sz val="10"/>
        <rFont val="Consolas"/>
        <family val="3"/>
      </rPr>
      <t>:KSalt1600Centrifuge a :ProductionEquipment ; rdfs:label '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1600</t>
    </r>
    <r>
      <rPr>
        <sz val="10"/>
        <rFont val="Noto Sans CJK SC"/>
        <family val="2"/>
      </rPr>
      <t>离心机</t>
    </r>
    <r>
      <rPr>
        <sz val="10"/>
        <rFont val="Consolas"/>
        <family val="3"/>
      </rPr>
      <t>'@zh ; :processSection 'S08' .</t>
    </r>
  </si>
  <si>
    <r>
      <rPr>
        <sz val="10"/>
        <rFont val="Consolas"/>
        <family val="3"/>
      </rPr>
      <t>:KSalt1600Centrifuge_M01 a :EquipmentInstance ; rdfs:label '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1600</t>
    </r>
    <r>
      <rPr>
        <sz val="10"/>
        <rFont val="Noto Sans CJK SC"/>
        <family val="2"/>
      </rPr>
      <t>离心机</t>
    </r>
    <r>
      <rPr>
        <sz val="10"/>
        <rFont val="Consolas"/>
        <family val="3"/>
      </rPr>
      <t>A'@zh ; :processSection 'S08' .</t>
    </r>
  </si>
  <si>
    <r>
      <rPr>
        <sz val="10"/>
        <rFont val="Consolas"/>
        <family val="3"/>
      </rPr>
      <t>:KSalt1600Centrifuge_M02 a :EquipmentInstance ; rdfs:label '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1600</t>
    </r>
    <r>
      <rPr>
        <sz val="10"/>
        <rFont val="Noto Sans CJK SC"/>
        <family val="2"/>
      </rPr>
      <t>离心机</t>
    </r>
    <r>
      <rPr>
        <sz val="10"/>
        <rFont val="Consolas"/>
        <family val="3"/>
      </rPr>
      <t>B'@zh ; :processSection 'S08' .</t>
    </r>
  </si>
  <si>
    <r>
      <rPr>
        <sz val="10"/>
        <rFont val="Consolas"/>
        <family val="3"/>
      </rPr>
      <t>:KSalt1600Centrifuge_M03 a :EquipmentInstance ; rdfs:label '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1600</t>
    </r>
    <r>
      <rPr>
        <sz val="10"/>
        <rFont val="Noto Sans CJK SC"/>
        <family val="2"/>
      </rPr>
      <t>离心机</t>
    </r>
    <r>
      <rPr>
        <sz val="10"/>
        <rFont val="Consolas"/>
        <family val="3"/>
      </rPr>
      <t>C'@zh ; :processSection 'S08' .</t>
    </r>
  </si>
  <si>
    <r>
      <rPr>
        <sz val="10"/>
        <rFont val="Consolas"/>
        <family val="3"/>
      </rPr>
      <t>:KSalt1600Centrifuge_M04 a :EquipmentInstance ; rdfs:label '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1600</t>
    </r>
    <r>
      <rPr>
        <sz val="10"/>
        <rFont val="Noto Sans CJK SC"/>
        <family val="2"/>
      </rPr>
      <t>离心机</t>
    </r>
    <r>
      <rPr>
        <sz val="10"/>
        <rFont val="Consolas"/>
        <family val="3"/>
      </rPr>
      <t>D'@zh ; :processSection 'S08' .</t>
    </r>
  </si>
  <si>
    <r>
      <rPr>
        <sz val="10"/>
        <rFont val="Consolas"/>
        <family val="3"/>
      </rPr>
      <t>:KSalt1600Centrifuge_P01 a :EquipmentComponent ; rdfs:label '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1600</t>
    </r>
    <r>
      <rPr>
        <sz val="10"/>
        <rFont val="Noto Sans CJK SC"/>
        <family val="2"/>
      </rPr>
      <t>离心机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进料调节阀</t>
    </r>
    <r>
      <rPr>
        <sz val="10"/>
        <rFont val="Consolas"/>
        <family val="3"/>
      </rPr>
      <t>JYLX_1'@zh ; :processSection 'S08' .</t>
    </r>
  </si>
  <si>
    <r>
      <rPr>
        <sz val="10"/>
        <rFont val="Consolas"/>
        <family val="3"/>
      </rPr>
      <t>:TFEvaporatorGroup a :ProductionEquipment ; rdfs:label '</t>
    </r>
    <r>
      <rPr>
        <sz val="10"/>
        <rFont val="Noto Sans CJK SC"/>
        <family val="2"/>
      </rPr>
      <t>薄膜蒸发器组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</si>
  <si>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:TFEvaporatorGroup_M01 a :EquipmentInstance ; rdfs:label '</t>
    </r>
    <r>
      <rPr>
        <sz val="10"/>
        <rFont val="Noto Sans CJK SC"/>
        <family val="2"/>
      </rPr>
      <t>薄膜蒸发器</t>
    </r>
    <r>
      <rPr>
        <sz val="10"/>
        <rFont val="Consolas"/>
        <family val="3"/>
      </rPr>
      <t>A'@zh ; :processSection 'S09' .</t>
    </r>
  </si>
  <si>
    <r>
      <rPr>
        <sz val="10"/>
        <rFont val="Consolas"/>
        <family val="3"/>
      </rPr>
      <t>:TFEvaporatorGroup_M02 a :EquipmentInstance ; rdfs:label '</t>
    </r>
    <r>
      <rPr>
        <sz val="10"/>
        <rFont val="Noto Sans CJK SC"/>
        <family val="2"/>
      </rPr>
      <t>薄膜蒸发器</t>
    </r>
    <r>
      <rPr>
        <sz val="10"/>
        <rFont val="Consolas"/>
        <family val="3"/>
      </rPr>
      <t>B'@zh ; :processSection 'S09' .</t>
    </r>
  </si>
  <si>
    <r>
      <rPr>
        <sz val="10"/>
        <rFont val="Consolas"/>
        <family val="3"/>
      </rPr>
      <t>:TFEvaporatorGroup_M03 a :EquipmentInstance ; rdfs:label '</t>
    </r>
    <r>
      <rPr>
        <sz val="10"/>
        <rFont val="Noto Sans CJK SC"/>
        <family val="2"/>
      </rPr>
      <t>薄膜蒸发器</t>
    </r>
    <r>
      <rPr>
        <sz val="10"/>
        <rFont val="Consolas"/>
        <family val="3"/>
      </rPr>
      <t>C'@zh ; :processSection 'S09' .</t>
    </r>
  </si>
  <si>
    <r>
      <rPr>
        <sz val="10"/>
        <rFont val="Consolas"/>
        <family val="3"/>
      </rPr>
      <t>:TFEvaporatorGroup_M04 a :EquipmentInstance ; rdfs:label '</t>
    </r>
    <r>
      <rPr>
        <sz val="10"/>
        <rFont val="Noto Sans CJK SC"/>
        <family val="2"/>
      </rPr>
      <t>薄膜蒸发器</t>
    </r>
    <r>
      <rPr>
        <sz val="10"/>
        <rFont val="Consolas"/>
        <family val="3"/>
      </rPr>
      <t>D'@zh ; :processSection 'S09' .</t>
    </r>
  </si>
  <si>
    <r>
      <rPr>
        <sz val="10"/>
        <rFont val="Consolas"/>
        <family val="3"/>
      </rPr>
      <t>:TFEvaporatorGroup_P01 a :EquipmentComponent ; rdfs:label '</t>
    </r>
    <r>
      <rPr>
        <sz val="10"/>
        <rFont val="Noto Sans CJK SC"/>
        <family val="2"/>
      </rPr>
      <t>薄膜蒸发器组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转子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刮板电机</t>
    </r>
    <r>
      <rPr>
        <sz val="10"/>
        <rFont val="Consolas"/>
        <family val="3"/>
      </rPr>
      <t>PB_1008'@zh ; :processSection 'S09' .</t>
    </r>
  </si>
  <si>
    <r>
      <rPr>
        <sz val="10"/>
        <rFont val="Consolas"/>
        <family val="3"/>
      </rPr>
      <t>:TFEvaporatorGroup_P02 a :EquipmentComponent ; rdfs:label '</t>
    </r>
    <r>
      <rPr>
        <sz val="10"/>
        <rFont val="Noto Sans CJK SC"/>
        <family val="2"/>
      </rPr>
      <t>薄膜蒸发器组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加热夹套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</si>
  <si>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:TFEvaporatorGroup_P03 a :EquipmentComponent ; rdfs:label '</t>
    </r>
    <r>
      <rPr>
        <sz val="10"/>
        <rFont val="Noto Sans CJK SC"/>
        <family val="2"/>
      </rPr>
      <t>薄膜蒸发器组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进口流量调节阀</t>
    </r>
    <r>
      <rPr>
        <sz val="10"/>
        <rFont val="Consolas"/>
        <family val="3"/>
      </rPr>
      <t>HV_1011'@zh ; :processSection 'S09' .</t>
    </r>
  </si>
  <si>
    <r>
      <rPr>
        <sz val="10"/>
        <rFont val="Consolas"/>
        <family val="3"/>
      </rPr>
      <t>:TFEvaporatorGroup_P04 a :EquipmentComponent ; rdfs:label '</t>
    </r>
    <r>
      <rPr>
        <sz val="10"/>
        <rFont val="Noto Sans CJK SC"/>
        <family val="2"/>
      </rPr>
      <t>薄膜蒸发器组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泵后调节阀</t>
    </r>
    <r>
      <rPr>
        <sz val="10"/>
        <rFont val="Consolas"/>
        <family val="3"/>
      </rPr>
      <t>HV_1012'@zh ; :processSection 'S09' .</t>
    </r>
  </si>
  <si>
    <r>
      <rPr>
        <sz val="10"/>
        <rFont val="Consolas"/>
        <family val="3"/>
      </rPr>
      <t>:TFCondenserGroup a :ProductionEquipment ; rdfs:label '</t>
    </r>
    <r>
      <rPr>
        <sz val="10"/>
        <rFont val="Noto Sans CJK SC"/>
        <family val="2"/>
      </rPr>
      <t>薄膜冷凝器组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</si>
  <si>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:TFCondenserGroup_M01 a :EquipmentInstance ; rdfs:label '</t>
    </r>
    <r>
      <rPr>
        <sz val="10"/>
        <rFont val="Noto Sans CJK SC"/>
        <family val="2"/>
      </rPr>
      <t>冷凝器</t>
    </r>
    <r>
      <rPr>
        <sz val="10"/>
        <rFont val="Consolas"/>
        <family val="3"/>
      </rPr>
      <t>A'@zh ; :processSection 'S09' .</t>
    </r>
  </si>
  <si>
    <r>
      <rPr>
        <sz val="10"/>
        <rFont val="Consolas"/>
        <family val="3"/>
      </rPr>
      <t>:TFCondenserGroup_M02 a :EquipmentInstance ; rdfs:label '</t>
    </r>
    <r>
      <rPr>
        <sz val="10"/>
        <rFont val="Noto Sans CJK SC"/>
        <family val="2"/>
      </rPr>
      <t>冷凝器</t>
    </r>
    <r>
      <rPr>
        <sz val="10"/>
        <rFont val="Consolas"/>
        <family val="3"/>
      </rPr>
      <t>B'@zh ; :processSection 'S09' .</t>
    </r>
  </si>
  <si>
    <r>
      <rPr>
        <sz val="10"/>
        <rFont val="Consolas"/>
        <family val="3"/>
      </rPr>
      <t>:TFCondenserGroup_M03 a :EquipmentInstance ; rdfs:label '</t>
    </r>
    <r>
      <rPr>
        <sz val="10"/>
        <rFont val="Noto Sans CJK SC"/>
        <family val="2"/>
      </rPr>
      <t>冷凝器</t>
    </r>
    <r>
      <rPr>
        <sz val="10"/>
        <rFont val="Consolas"/>
        <family val="3"/>
      </rPr>
      <t>C'@zh ; :processSection 'S09' .</t>
    </r>
  </si>
  <si>
    <r>
      <rPr>
        <sz val="10"/>
        <rFont val="Consolas"/>
        <family val="3"/>
      </rPr>
      <t>:TFCondenserGroup_M04 a :EquipmentInstance ; rdfs:label '</t>
    </r>
    <r>
      <rPr>
        <sz val="10"/>
        <rFont val="Noto Sans CJK SC"/>
        <family val="2"/>
      </rPr>
      <t>冷凝器</t>
    </r>
    <r>
      <rPr>
        <sz val="10"/>
        <rFont val="Consolas"/>
        <family val="3"/>
      </rPr>
      <t>D'@zh ; :processSection 'S09' .</t>
    </r>
  </si>
  <si>
    <r>
      <rPr>
        <sz val="10"/>
        <rFont val="Consolas"/>
        <family val="3"/>
      </rPr>
      <t>:TFCondenserGroup_P01 a :EquipmentComponent ; rdfs:label '</t>
    </r>
    <r>
      <rPr>
        <sz val="10"/>
        <rFont val="Noto Sans CJK SC"/>
        <family val="2"/>
      </rPr>
      <t>薄膜冷凝器组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冷盐水分阀</t>
    </r>
    <r>
      <rPr>
        <sz val="10"/>
        <rFont val="Consolas"/>
        <family val="3"/>
      </rPr>
      <t>HV_1014'@zh ; :processSection 'S09' .</t>
    </r>
  </si>
  <si>
    <r>
      <rPr>
        <sz val="10"/>
        <rFont val="Consolas"/>
        <family val="3"/>
      </rPr>
      <t>:TFHeavyTanks a :ProductionEquipment ; rdfs:label '</t>
    </r>
    <r>
      <rPr>
        <sz val="10"/>
        <rFont val="Noto Sans CJK SC"/>
        <family val="2"/>
      </rPr>
      <t>薄膜重相罐组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脱溶</t>
    </r>
    <r>
      <rPr>
        <sz val="10"/>
        <rFont val="Consolas"/>
        <family val="3"/>
      </rPr>
      <t>RB)'@zh ; :processSection 'S09' .</t>
    </r>
  </si>
  <si>
    <r>
      <rPr>
        <sz val="10"/>
        <rFont val="Consolas"/>
        <family val="3"/>
      </rPr>
      <t>:TFHeavyTanks_M01 a :EquipmentInstance ; rdfs:label '</t>
    </r>
    <r>
      <rPr>
        <sz val="10"/>
        <rFont val="Noto Sans CJK SC"/>
        <family val="2"/>
      </rPr>
      <t>重相罐</t>
    </r>
    <r>
      <rPr>
        <sz val="10"/>
        <rFont val="Consolas"/>
        <family val="3"/>
      </rPr>
      <t>A'@zh ; :processSection 'S09' .</t>
    </r>
  </si>
  <si>
    <r>
      <rPr>
        <sz val="10"/>
        <rFont val="Consolas"/>
        <family val="3"/>
      </rPr>
      <t>:TFHeavyTanks_M02 a :EquipmentInstance ; rdfs:label '</t>
    </r>
    <r>
      <rPr>
        <sz val="10"/>
        <rFont val="Noto Sans CJK SC"/>
        <family val="2"/>
      </rPr>
      <t>重相罐</t>
    </r>
    <r>
      <rPr>
        <sz val="10"/>
        <rFont val="Consolas"/>
        <family val="3"/>
      </rPr>
      <t>B'@zh ; :processSection 'S09' .</t>
    </r>
  </si>
  <si>
    <r>
      <rPr>
        <sz val="10"/>
        <rFont val="Consolas"/>
        <family val="3"/>
      </rPr>
      <t>:TFHeavyTanks_M03 a :EquipmentInstance ; rdfs:label '</t>
    </r>
    <r>
      <rPr>
        <sz val="10"/>
        <rFont val="Noto Sans CJK SC"/>
        <family val="2"/>
      </rPr>
      <t>重相罐</t>
    </r>
    <r>
      <rPr>
        <sz val="10"/>
        <rFont val="Consolas"/>
        <family val="3"/>
      </rPr>
      <t>C'@zh ; :processSection 'S09' .</t>
    </r>
  </si>
  <si>
    <r>
      <rPr>
        <sz val="10"/>
        <rFont val="Consolas"/>
        <family val="3"/>
      </rPr>
      <t>:TFHeavyTanks_M04 a :EquipmentInstance ; rdfs:label '</t>
    </r>
    <r>
      <rPr>
        <sz val="10"/>
        <rFont val="Noto Sans CJK SC"/>
        <family val="2"/>
      </rPr>
      <t>重相罐</t>
    </r>
    <r>
      <rPr>
        <sz val="10"/>
        <rFont val="Consolas"/>
        <family val="3"/>
      </rPr>
      <t>D'@zh ; :processSection 'S09' .</t>
    </r>
  </si>
  <si>
    <r>
      <rPr>
        <sz val="10"/>
        <rFont val="Consolas"/>
        <family val="3"/>
      </rPr>
      <t>:TFHeavyTanks_P01 a :EquipmentComponent ; rdfs:label '</t>
    </r>
    <r>
      <rPr>
        <sz val="10"/>
        <rFont val="Noto Sans CJK SC"/>
        <family val="2"/>
      </rPr>
      <t>薄膜重相罐组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脱溶</t>
    </r>
    <r>
      <rPr>
        <sz val="10"/>
        <rFont val="Consolas"/>
        <family val="3"/>
      </rPr>
      <t>RB)·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</si>
  <si>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:TFLightTanks a :ProductionEquipment ; rdfs:label '</t>
    </r>
    <r>
      <rPr>
        <sz val="10"/>
        <rFont val="Noto Sans CJK SC"/>
        <family val="2"/>
      </rPr>
      <t>薄膜轻相罐组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馏出液</t>
    </r>
    <r>
      <rPr>
        <sz val="10"/>
        <rFont val="Consolas"/>
        <family val="3"/>
      </rPr>
      <t>)'@zh ; :processSection 'S09' .</t>
    </r>
  </si>
  <si>
    <r>
      <rPr>
        <sz val="10"/>
        <rFont val="Consolas"/>
        <family val="3"/>
      </rPr>
      <t>:TFLightTanks_M01 a :EquipmentInstance ; rdfs:label '</t>
    </r>
    <r>
      <rPr>
        <sz val="10"/>
        <rFont val="Noto Sans CJK SC"/>
        <family val="2"/>
      </rPr>
      <t>轻相罐</t>
    </r>
    <r>
      <rPr>
        <sz val="10"/>
        <rFont val="Consolas"/>
        <family val="3"/>
      </rPr>
      <t>A'@zh ; :processSection 'S09' .</t>
    </r>
  </si>
  <si>
    <r>
      <rPr>
        <sz val="10"/>
        <rFont val="Consolas"/>
        <family val="3"/>
      </rPr>
      <t>:TFLightTanks_M02 a :EquipmentInstance ; rdfs:label '</t>
    </r>
    <r>
      <rPr>
        <sz val="10"/>
        <rFont val="Noto Sans CJK SC"/>
        <family val="2"/>
      </rPr>
      <t>轻相罐</t>
    </r>
    <r>
      <rPr>
        <sz val="10"/>
        <rFont val="Consolas"/>
        <family val="3"/>
      </rPr>
      <t>B'@zh ; :processSection 'S09' .</t>
    </r>
  </si>
  <si>
    <r>
      <rPr>
        <sz val="10"/>
        <rFont val="Consolas"/>
        <family val="3"/>
      </rPr>
      <t>:TFLightTanks_M03 a :EquipmentInstance ; rdfs:label '</t>
    </r>
    <r>
      <rPr>
        <sz val="10"/>
        <rFont val="Noto Sans CJK SC"/>
        <family val="2"/>
      </rPr>
      <t>轻相罐</t>
    </r>
    <r>
      <rPr>
        <sz val="10"/>
        <rFont val="Consolas"/>
        <family val="3"/>
      </rPr>
      <t>C'@zh ; :processSection 'S09' .</t>
    </r>
  </si>
  <si>
    <r>
      <rPr>
        <sz val="10"/>
        <rFont val="Consolas"/>
        <family val="3"/>
      </rPr>
      <t>:TFLightTanks_M04 a :EquipmentInstance ; rdfs:label '</t>
    </r>
    <r>
      <rPr>
        <sz val="10"/>
        <rFont val="Noto Sans CJK SC"/>
        <family val="2"/>
      </rPr>
      <t>轻相罐</t>
    </r>
    <r>
      <rPr>
        <sz val="10"/>
        <rFont val="Consolas"/>
        <family val="3"/>
      </rPr>
      <t>D'@zh ; :processSection 'S09' .</t>
    </r>
  </si>
  <si>
    <r>
      <rPr>
        <sz val="10"/>
        <rFont val="Consolas"/>
        <family val="3"/>
      </rPr>
      <t>:TFLightTanks_P01 a :EquipmentComponent ; rdfs:label '</t>
    </r>
    <r>
      <rPr>
        <sz val="10"/>
        <rFont val="Noto Sans CJK SC"/>
        <family val="2"/>
      </rPr>
      <t>薄膜轻相罐组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馏出液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</si>
  <si>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:WaterSeparator a :ProductionEquipment ; rdfs:label '</t>
    </r>
    <r>
      <rPr>
        <sz val="10"/>
        <rFont val="Noto Sans CJK SC"/>
        <family val="2"/>
      </rPr>
      <t>分水罐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</si>
  <si>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:WaterSeparator_P01 a :EquipmentComponent ; rdfs:label '</t>
    </r>
    <r>
      <rPr>
        <sz val="10"/>
        <rFont val="Noto Sans CJK SC"/>
        <family val="2"/>
      </rPr>
      <t>分水罐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</si>
  <si>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:RBStorageTF a :ProductionEquipment ; rdfs:label 'RB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>（薄膜出料）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</si>
  <si>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:RBStorageTF_M01 a :EquipmentInstance ; rdfs:label 'Rb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A'@zh ; :processSection 'S09' .</t>
    </r>
  </si>
  <si>
    <r>
      <rPr>
        <sz val="10"/>
        <rFont val="Consolas"/>
        <family val="3"/>
      </rPr>
      <t>:RBStorageTF_M02 a :EquipmentInstance ; rdfs:label 'Rb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B'@zh ; :processSection 'S09' .</t>
    </r>
  </si>
  <si>
    <r>
      <rPr>
        <sz val="10"/>
        <rFont val="Consolas"/>
        <family val="3"/>
      </rPr>
      <t>:RBStorageTF_P01 a :EquipmentComponent ; rdfs:label 'RB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>（薄膜出料）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</si>
  <si>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:RBStorageTF_P02 a :EquipmentComponent ; rdfs:label 'RB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>（薄膜出料）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温度计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</si>
  <si>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:TFHotWaterTank a :ProductionEquipment ; rdfs:label '</t>
    </r>
    <r>
      <rPr>
        <sz val="10"/>
        <rFont val="Noto Sans CJK SC"/>
        <family val="2"/>
      </rPr>
      <t>薄膜热水罐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余热软水罐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</si>
  <si>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:TFHotWaterTank_P01 a :EquipmentComponent ; rdfs:label '</t>
    </r>
    <r>
      <rPr>
        <sz val="10"/>
        <rFont val="Noto Sans CJK SC"/>
        <family val="2"/>
      </rPr>
      <t>薄膜热水罐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余热软水罐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板式换热器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</si>
  <si>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:TFHotWaterTank_P02 a :EquipmentComponent ; rdfs:label '</t>
    </r>
    <r>
      <rPr>
        <sz val="10"/>
        <rFont val="Noto Sans CJK SC"/>
        <family val="2"/>
      </rPr>
      <t>薄膜热水罐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余热软水罐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</si>
  <si>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:TFHotWaterTank_P03 a :EquipmentComponent ; rdfs:label '</t>
    </r>
    <r>
      <rPr>
        <sz val="10"/>
        <rFont val="Noto Sans CJK SC"/>
        <family val="2"/>
      </rPr>
      <t>薄膜热水罐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余热软水罐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温度计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</si>
  <si>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:TFVacuumPump a :ProductionEquipment ; rdfs:label '</t>
    </r>
    <r>
      <rPr>
        <sz val="10"/>
        <rFont val="Noto Sans CJK SC"/>
        <family val="2"/>
      </rPr>
      <t>薄膜真空泵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</si>
  <si>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:TFVacuumPump_P01 a :EquipmentComponent ; rdfs:label '</t>
    </r>
    <r>
      <rPr>
        <sz val="10"/>
        <rFont val="Noto Sans CJK SC"/>
        <family val="2"/>
      </rPr>
      <t>薄膜真空泵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工作水罐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</si>
  <si>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:HydroSoftWaterTank a :ProductionEquipment ; rdfs:label '</t>
    </r>
    <r>
      <rPr>
        <sz val="10"/>
        <rFont val="Noto Sans CJK SC"/>
        <family val="2"/>
      </rPr>
      <t>水解软水罐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</si>
  <si>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:HydroSoftWaterTank_P01 a :EquipmentComponent ; rdfs:label '</t>
    </r>
    <r>
      <rPr>
        <sz val="10"/>
        <rFont val="Noto Sans CJK SC"/>
        <family val="2"/>
      </rPr>
      <t>水解软水罐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</si>
  <si>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:CausticPrepTanks a :ProductionEquipment ; rdfs:label '</t>
    </r>
    <r>
      <rPr>
        <sz val="10"/>
        <rFont val="Noto Sans CJK SC"/>
        <family val="2"/>
      </rPr>
      <t>萃取稀碱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液碱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>配制罐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</si>
  <si>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:CausticPrepTanks_M01 a :EquipmentInstance ; rdfs:label '</t>
    </r>
    <r>
      <rPr>
        <sz val="10"/>
        <rFont val="Noto Sans CJK SC"/>
        <family val="2"/>
      </rPr>
      <t>液碱配制罐</t>
    </r>
    <r>
      <rPr>
        <sz val="10"/>
        <rFont val="Consolas"/>
        <family val="3"/>
      </rPr>
      <t>A'@zh ; :processSection 'S10' .</t>
    </r>
  </si>
  <si>
    <r>
      <rPr>
        <sz val="10"/>
        <rFont val="Consolas"/>
        <family val="3"/>
      </rPr>
      <t>:CausticPrepTanks_M02 a :EquipmentInstance ; rdfs:label '</t>
    </r>
    <r>
      <rPr>
        <sz val="10"/>
        <rFont val="Noto Sans CJK SC"/>
        <family val="2"/>
      </rPr>
      <t>液碱配制罐</t>
    </r>
    <r>
      <rPr>
        <sz val="10"/>
        <rFont val="Consolas"/>
        <family val="3"/>
      </rPr>
      <t>B'@zh ; :processSection 'S10' .</t>
    </r>
  </si>
  <si>
    <r>
      <rPr>
        <sz val="10"/>
        <rFont val="Consolas"/>
        <family val="3"/>
      </rPr>
      <t>:CausticPrepTanks_P01 a :EquipmentComponent ; rdfs:label '</t>
    </r>
    <r>
      <rPr>
        <sz val="10"/>
        <rFont val="Noto Sans CJK SC"/>
        <family val="2"/>
      </rPr>
      <t>萃取稀碱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液碱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>配制罐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</si>
  <si>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:ConcAmmoniaMeter a :ProductionEquipment ; rdfs:label '</t>
    </r>
    <r>
      <rPr>
        <sz val="10"/>
        <rFont val="Noto Sans CJK SC"/>
        <family val="2"/>
      </rPr>
      <t>浓氨计量罐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</si>
  <si>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:ConcAmmoniaMeter_P01 a :EquipmentComponent ; rdfs:label '</t>
    </r>
    <r>
      <rPr>
        <sz val="10"/>
        <rFont val="Noto Sans CJK SC"/>
        <family val="2"/>
      </rPr>
      <t>浓氨计量罐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</si>
  <si>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:AmmoniaPrepTank a :ProductionEquipment ; rdfs:label '</t>
    </r>
    <r>
      <rPr>
        <sz val="10"/>
        <rFont val="Noto Sans CJK SC"/>
        <family val="2"/>
      </rPr>
      <t>氨水配制罐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</si>
  <si>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:AmmoniaPrepTank_P01 a :EquipmentComponent ; rdfs:label '</t>
    </r>
    <r>
      <rPr>
        <sz val="10"/>
        <rFont val="Noto Sans CJK SC"/>
        <family val="2"/>
      </rPr>
      <t>氨水配制罐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搅拌器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</si>
  <si>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:AmmoniaPrepTank_P02 a :EquipmentComponent ; rdfs:label '</t>
    </r>
    <r>
      <rPr>
        <sz val="10"/>
        <rFont val="Noto Sans CJK SC"/>
        <family val="2"/>
      </rPr>
      <t>氨水配制罐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</si>
  <si>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:AmmoniaPrepTank_P03 a :EquipmentComponent ; rdfs:label '</t>
    </r>
    <r>
      <rPr>
        <sz val="10"/>
        <rFont val="Noto Sans CJK SC"/>
        <family val="2"/>
      </rPr>
      <t>氨水配制罐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软水流量计</t>
    </r>
    <r>
      <rPr>
        <sz val="10"/>
        <rFont val="Consolas"/>
        <family val="3"/>
      </rPr>
      <t>SJ_NH3FLOW'@zh ; :processSection 'S10' .</t>
    </r>
  </si>
  <si>
    <r>
      <rPr>
        <sz val="10"/>
        <rFont val="Consolas"/>
        <family val="3"/>
      </rPr>
      <t>:HydroAmmoniaBuffer a :ProductionEquipment ; rdfs:label '</t>
    </r>
    <r>
      <rPr>
        <sz val="10"/>
        <rFont val="Noto Sans CJK SC"/>
        <family val="2"/>
      </rPr>
      <t>水解氨水缓冲罐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稀氨水缓冲罐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</si>
  <si>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:HydroAmmoniaBuffer_P01 a :EquipmentComponent ; rdfs:label '</t>
    </r>
    <r>
      <rPr>
        <sz val="10"/>
        <rFont val="Noto Sans CJK SC"/>
        <family val="2"/>
      </rPr>
      <t>水解氨水缓冲罐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稀氨水缓冲罐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</si>
  <si>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:ExtAmmoniaBuffer a :ProductionEquipment ; rdfs:label '</t>
    </r>
    <r>
      <rPr>
        <sz val="10"/>
        <rFont val="Noto Sans CJK SC"/>
        <family val="2"/>
      </rPr>
      <t>抽提氨水缓冲罐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氨水溢流罐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</si>
  <si>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:ExtAmmoniaBuffer_P01 a :EquipmentComponent ; rdfs:label '</t>
    </r>
    <r>
      <rPr>
        <sz val="10"/>
        <rFont val="Noto Sans CJK SC"/>
        <family val="2"/>
      </rPr>
      <t>抽提氨水缓冲罐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氨水溢流罐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</si>
  <si>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:BoricAcidPrep a :ProductionEquipment ; rdfs:label '</t>
    </r>
    <r>
      <rPr>
        <sz val="10"/>
        <rFont val="Noto Sans CJK SC"/>
        <family val="2"/>
      </rPr>
      <t>硼酸配制罐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真空上料</t>
    </r>
    <r>
      <rPr>
        <sz val="10"/>
        <rFont val="Consolas"/>
        <family val="3"/>
      </rPr>
      <t>)'@zh ; :processSection 'S10' .</t>
    </r>
  </si>
  <si>
    <r>
      <rPr>
        <sz val="10"/>
        <rFont val="Consolas"/>
        <family val="3"/>
      </rPr>
      <t>:BoricAcidPrep_M01 a :EquipmentInstance ; rdfs:label '</t>
    </r>
    <r>
      <rPr>
        <sz val="10"/>
        <rFont val="Noto Sans CJK SC"/>
        <family val="2"/>
      </rPr>
      <t>硼酸配制罐</t>
    </r>
    <r>
      <rPr>
        <sz val="10"/>
        <rFont val="Consolas"/>
        <family val="3"/>
      </rPr>
      <t>1</t>
    </r>
    <r>
      <rPr>
        <sz val="10"/>
        <rFont val="Noto Sans CJK SC"/>
        <family val="2"/>
      </rPr>
      <t>号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</si>
  <si>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:BoricAcidPrep_M02 a :EquipmentInstance ; rdfs:label '</t>
    </r>
    <r>
      <rPr>
        <sz val="10"/>
        <rFont val="Noto Sans CJK SC"/>
        <family val="2"/>
      </rPr>
      <t>硼酸配制罐</t>
    </r>
    <r>
      <rPr>
        <sz val="10"/>
        <rFont val="Consolas"/>
        <family val="3"/>
      </rPr>
      <t>2</t>
    </r>
    <r>
      <rPr>
        <sz val="10"/>
        <rFont val="Noto Sans CJK SC"/>
        <family val="2"/>
      </rPr>
      <t>号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</si>
  <si>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:BoricAcidPrep_P01 a :EquipmentComponent ; rdfs:label '</t>
    </r>
    <r>
      <rPr>
        <sz val="10"/>
        <rFont val="Noto Sans CJK SC"/>
        <family val="2"/>
      </rPr>
      <t>硼酸配制罐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真空上料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真空上料料仓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</si>
  <si>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:BoricAcidPrep_P02 a :EquipmentComponent ; rdfs:label '</t>
    </r>
    <r>
      <rPr>
        <sz val="10"/>
        <rFont val="Noto Sans CJK SC"/>
        <family val="2"/>
      </rPr>
      <t>硼酸配制罐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真空上料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搅拌器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</si>
  <si>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:BoricAcidPrep_P03 a :EquipmentComponent ; rdfs:label '</t>
    </r>
    <r>
      <rPr>
        <sz val="10"/>
        <rFont val="Noto Sans CJK SC"/>
        <family val="2"/>
      </rPr>
      <t>硼酸配制罐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真空上料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温度计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</si>
  <si>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:BoricAcidTanks a :ProductionEquipment ; rdfs:label '</t>
    </r>
    <r>
      <rPr>
        <sz val="10"/>
        <rFont val="Noto Sans CJK SC"/>
        <family val="2"/>
      </rPr>
      <t>硼酸罐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硼酸缓冲罐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</si>
  <si>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:BoricAcidTanks_M01 a :EquipmentInstance ; rdfs:label '</t>
    </r>
    <r>
      <rPr>
        <sz val="10"/>
        <rFont val="Noto Sans CJK SC"/>
        <family val="2"/>
      </rPr>
      <t>硼酸罐</t>
    </r>
    <r>
      <rPr>
        <sz val="10"/>
        <rFont val="Consolas"/>
        <family val="3"/>
      </rPr>
      <t>A'@zh ; :processSection 'S10' .</t>
    </r>
  </si>
  <si>
    <r>
      <rPr>
        <sz val="10"/>
        <rFont val="Consolas"/>
        <family val="3"/>
      </rPr>
      <t>:BoricAcidTanks_M02 a :EquipmentInstance ; rdfs:label '</t>
    </r>
    <r>
      <rPr>
        <sz val="10"/>
        <rFont val="Noto Sans CJK SC"/>
        <family val="2"/>
      </rPr>
      <t>硼酸罐</t>
    </r>
    <r>
      <rPr>
        <sz val="10"/>
        <rFont val="Consolas"/>
        <family val="3"/>
      </rPr>
      <t>B'@zh ; :processSection 'S10' .</t>
    </r>
  </si>
  <si>
    <r>
      <rPr>
        <sz val="10"/>
        <rFont val="Consolas"/>
        <family val="3"/>
      </rPr>
      <t>:BoricAcidTanks_P01 a :EquipmentComponent ; rdfs:label '</t>
    </r>
    <r>
      <rPr>
        <sz val="10"/>
        <rFont val="Noto Sans CJK SC"/>
        <family val="2"/>
      </rPr>
      <t>硼酸罐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硼酸缓冲罐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</si>
  <si>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:BoricAcidTanks_P02 a :EquipmentComponent ; rdfs:label '</t>
    </r>
    <r>
      <rPr>
        <sz val="10"/>
        <rFont val="Noto Sans CJK SC"/>
        <family val="2"/>
      </rPr>
      <t>硼酸罐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硼酸缓冲罐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温度计</t>
    </r>
    <r>
      <rPr>
        <sz val="10"/>
        <rFont val="Consolas"/>
        <family val="3"/>
      </rPr>
      <t>TE_9004'@zh ; :processSection 'S10' .</t>
    </r>
  </si>
  <si>
    <r>
      <rPr>
        <sz val="10"/>
        <rFont val="Consolas"/>
        <family val="3"/>
      </rPr>
      <t>:HydroHotWaterTank a :ProductionEquipment ; rdfs:label '</t>
    </r>
    <r>
      <rPr>
        <sz val="10"/>
        <rFont val="Noto Sans CJK SC"/>
        <family val="2"/>
      </rPr>
      <t>水解热水罐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</si>
  <si>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:HydroHotWaterTank_P01 a :EquipmentComponent ; rdfs:label '</t>
    </r>
    <r>
      <rPr>
        <sz val="10"/>
        <rFont val="Noto Sans CJK SC"/>
        <family val="2"/>
      </rPr>
      <t>水解热水罐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蒸汽阀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</si>
  <si>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:HydroHotWaterTank_P02 a :EquipmentComponent ; rdfs:label '</t>
    </r>
    <r>
      <rPr>
        <sz val="10"/>
        <rFont val="Noto Sans CJK SC"/>
        <family val="2"/>
      </rPr>
      <t>水解热水罐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温度计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</si>
  <si>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:HydrolysisReactorGroup a :ProductionEquipment ; rdfs:label '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A–K)'@zh ; :processSection 'S11' .</t>
    </r>
  </si>
  <si>
    <r>
      <rPr>
        <sz val="10"/>
        <rFont val="Consolas"/>
        <family val="3"/>
      </rPr>
      <t>:HydrolysisReactorGroup_M01 a :EquipmentInstance ; rdfs:label '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A'@zh ; :processSection 'S11' .</t>
    </r>
  </si>
  <si>
    <r>
      <rPr>
        <sz val="10"/>
        <rFont val="Consolas"/>
        <family val="3"/>
      </rPr>
      <t>:HydrolysisReactorGroup_M02 a :EquipmentInstance ; rdfs:label '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B'@zh ; :processSection 'S11' .</t>
    </r>
  </si>
  <si>
    <r>
      <rPr>
        <sz val="10"/>
        <rFont val="Consolas"/>
        <family val="3"/>
      </rPr>
      <t>:HydrolysisReactorGroup_M03 a :EquipmentInstance ; rdfs:label '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C'@zh ; :processSection 'S11' .</t>
    </r>
  </si>
  <si>
    <r>
      <rPr>
        <sz val="10"/>
        <rFont val="Consolas"/>
        <family val="3"/>
      </rPr>
      <t>:HydrolysisReactorGroup_M04 a :EquipmentInstance ; rdfs:label '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D'@zh ; :processSection 'S11' .</t>
    </r>
  </si>
  <si>
    <r>
      <rPr>
        <sz val="10"/>
        <rFont val="Consolas"/>
        <family val="3"/>
      </rPr>
      <t>:HydrolysisReactorGroup_M05 a :EquipmentInstance ; rdfs:label '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E'@zh ; :processSection 'S11' .</t>
    </r>
  </si>
  <si>
    <r>
      <rPr>
        <sz val="10"/>
        <rFont val="Consolas"/>
        <family val="3"/>
      </rPr>
      <t>:HydrolysisReactorGroup_M06 a :EquipmentInstance ; rdfs:label '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F'@zh ; :processSection 'S11' .</t>
    </r>
  </si>
  <si>
    <r>
      <rPr>
        <sz val="10"/>
        <rFont val="Consolas"/>
        <family val="3"/>
      </rPr>
      <t>:HydrolysisReactorGroup_M07 a :EquipmentInstance ; rdfs:label '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G'@zh ; :processSection 'S11' .</t>
    </r>
  </si>
  <si>
    <r>
      <rPr>
        <sz val="10"/>
        <rFont val="Consolas"/>
        <family val="3"/>
      </rPr>
      <t>:HydrolysisReactorGroup_M08 a :EquipmentInstance ; rdfs:label '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H'@zh ; :processSection 'S11' .</t>
    </r>
  </si>
  <si>
    <r>
      <rPr>
        <sz val="10"/>
        <rFont val="Consolas"/>
        <family val="3"/>
      </rPr>
      <t>:HydrolysisReactorGroup_M09 a :EquipmentInstance ; rdfs:label '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I'@zh ; :processSection 'S11' .</t>
    </r>
  </si>
  <si>
    <r>
      <rPr>
        <sz val="10"/>
        <rFont val="Consolas"/>
        <family val="3"/>
      </rPr>
      <t>:HydrolysisReactorGroup_M10 a :EquipmentInstance ; rdfs:label '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J'@zh ; :processSection 'S11' .</t>
    </r>
  </si>
  <si>
    <r>
      <rPr>
        <sz val="10"/>
        <rFont val="Consolas"/>
        <family val="3"/>
      </rPr>
      <t>:HydrolysisReactorGroup_M11 a :EquipmentInstance ; rdfs:label '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K'@zh ; :processSection 'S11' .</t>
    </r>
  </si>
  <si>
    <r>
      <rPr>
        <sz val="10"/>
        <rFont val="Consolas"/>
        <family val="3"/>
      </rPr>
      <t>:HydrolysisReactorGroup_P01 a :EquipmentComponent ; rdfs:label '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A–K)·</t>
    </r>
    <r>
      <rPr>
        <sz val="10"/>
        <rFont val="Noto Sans CJK SC"/>
        <family val="2"/>
      </rPr>
      <t>夹套换热系统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</si>
  <si>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:HydrolysisReactorGroup_P02 a :EquipmentComponent ; rdfs:label '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A–K)·</t>
    </r>
    <r>
      <rPr>
        <sz val="10"/>
        <rFont val="Noto Sans CJK SC"/>
        <family val="2"/>
      </rPr>
      <t>机械搅拌装置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</si>
  <si>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:HydrolysisReactorGroup_P03 a :EquipmentComponent ; rdfs:label '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A–K)·</t>
    </r>
    <r>
      <rPr>
        <sz val="10"/>
        <rFont val="Noto Sans CJK SC"/>
        <family val="2"/>
      </rPr>
      <t>固定化酶截留筛网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</si>
  <si>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:HydrolysisReactorGroup_P04 a :EquipmentComponent ; rdfs:label '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A–K)·</t>
    </r>
    <r>
      <rPr>
        <sz val="10"/>
        <rFont val="Noto Sans CJK SC"/>
        <family val="2"/>
      </rPr>
      <t>双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电极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</si>
  <si>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:HydrolysisReactorGroup_P05 a :EquipmentComponent ; rdfs:label '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A–K)·</t>
    </r>
    <r>
      <rPr>
        <sz val="10"/>
        <rFont val="Noto Sans CJK SC"/>
        <family val="2"/>
      </rPr>
      <t>温度计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</si>
  <si>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:HydrolysisReactorGroup_P06 a :EquipmentComponent ; rdfs:label '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</si>
  <si>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:AmmoniaMeterTanks a :ProductionEquipment ; rdfs:label '</t>
    </r>
    <r>
      <rPr>
        <sz val="10"/>
        <rFont val="Noto Sans CJK SC"/>
        <family val="2"/>
      </rPr>
      <t>水解氨水计量罐组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</si>
  <si>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:AmmoniaMeterTanks_M01 a :EquipmentInstance ; rdfs:label '</t>
    </r>
    <r>
      <rPr>
        <sz val="10"/>
        <rFont val="Noto Sans CJK SC"/>
        <family val="2"/>
      </rPr>
      <t>氨水计量罐</t>
    </r>
    <r>
      <rPr>
        <sz val="10"/>
        <rFont val="Consolas"/>
        <family val="3"/>
      </rPr>
      <t>A'@zh ; :processSection 'S11' .</t>
    </r>
  </si>
  <si>
    <r>
      <rPr>
        <sz val="10"/>
        <rFont val="Consolas"/>
        <family val="3"/>
      </rPr>
      <t>:AmmoniaMeterTanks_M02 a :EquipmentInstance ; rdfs:label '</t>
    </r>
    <r>
      <rPr>
        <sz val="10"/>
        <rFont val="Noto Sans CJK SC"/>
        <family val="2"/>
      </rPr>
      <t>氨水计量罐</t>
    </r>
    <r>
      <rPr>
        <sz val="10"/>
        <rFont val="Consolas"/>
        <family val="3"/>
      </rPr>
      <t>B'@zh ; :processSection 'S11' .</t>
    </r>
  </si>
  <si>
    <r>
      <rPr>
        <sz val="10"/>
        <rFont val="Consolas"/>
        <family val="3"/>
      </rPr>
      <t>:AmmoniaMeterTanks_M03 a :EquipmentInstance ; rdfs:label '</t>
    </r>
    <r>
      <rPr>
        <sz val="10"/>
        <rFont val="Noto Sans CJK SC"/>
        <family val="2"/>
      </rPr>
      <t>氨水计量罐</t>
    </r>
    <r>
      <rPr>
        <sz val="10"/>
        <rFont val="Consolas"/>
        <family val="3"/>
      </rPr>
      <t>C'@zh ; :processSection 'S11' .</t>
    </r>
  </si>
  <si>
    <r>
      <rPr>
        <sz val="10"/>
        <rFont val="Consolas"/>
        <family val="3"/>
      </rPr>
      <t>:AmmoniaMeterTanks_M04 a :EquipmentInstance ; rdfs:label '</t>
    </r>
    <r>
      <rPr>
        <sz val="10"/>
        <rFont val="Noto Sans CJK SC"/>
        <family val="2"/>
      </rPr>
      <t>氨水计量罐</t>
    </r>
    <r>
      <rPr>
        <sz val="10"/>
        <rFont val="Consolas"/>
        <family val="3"/>
      </rPr>
      <t>D'@zh ; :processSection 'S11' .</t>
    </r>
  </si>
  <si>
    <r>
      <rPr>
        <sz val="10"/>
        <rFont val="Consolas"/>
        <family val="3"/>
      </rPr>
      <t>:AmmoniaMeterTanks_M05 a :EquipmentInstance ; rdfs:label '</t>
    </r>
    <r>
      <rPr>
        <sz val="10"/>
        <rFont val="Noto Sans CJK SC"/>
        <family val="2"/>
      </rPr>
      <t>氨水计量罐</t>
    </r>
    <r>
      <rPr>
        <sz val="10"/>
        <rFont val="Consolas"/>
        <family val="3"/>
      </rPr>
      <t>E'@zh ; :processSection 'S11' .</t>
    </r>
  </si>
  <si>
    <r>
      <rPr>
        <sz val="10"/>
        <rFont val="Consolas"/>
        <family val="3"/>
      </rPr>
      <t>:AmmoniaMeterTanks_M06 a :EquipmentInstance ; rdfs:label '</t>
    </r>
    <r>
      <rPr>
        <sz val="10"/>
        <rFont val="Noto Sans CJK SC"/>
        <family val="2"/>
      </rPr>
      <t>氨水计量罐</t>
    </r>
    <r>
      <rPr>
        <sz val="10"/>
        <rFont val="Consolas"/>
        <family val="3"/>
      </rPr>
      <t>F'@zh ; :processSection 'S11' .</t>
    </r>
  </si>
  <si>
    <r>
      <rPr>
        <sz val="10"/>
        <rFont val="Consolas"/>
        <family val="3"/>
      </rPr>
      <t>:AmmoniaMeterTanks_M07 a :EquipmentInstance ; rdfs:label '</t>
    </r>
    <r>
      <rPr>
        <sz val="10"/>
        <rFont val="Noto Sans CJK SC"/>
        <family val="2"/>
      </rPr>
      <t>氨水计量罐</t>
    </r>
    <r>
      <rPr>
        <sz val="10"/>
        <rFont val="Consolas"/>
        <family val="3"/>
      </rPr>
      <t>G'@zh ; :processSection 'S11' .</t>
    </r>
  </si>
  <si>
    <r>
      <rPr>
        <sz val="10"/>
        <rFont val="Consolas"/>
        <family val="3"/>
      </rPr>
      <t>:AmmoniaMeterTanks_M08 a :EquipmentInstance ; rdfs:label '</t>
    </r>
    <r>
      <rPr>
        <sz val="10"/>
        <rFont val="Noto Sans CJK SC"/>
        <family val="2"/>
      </rPr>
      <t>氨水计量罐</t>
    </r>
    <r>
      <rPr>
        <sz val="10"/>
        <rFont val="Consolas"/>
        <family val="3"/>
      </rPr>
      <t>H'@zh ; :processSection 'S11' .</t>
    </r>
  </si>
  <si>
    <r>
      <rPr>
        <sz val="10"/>
        <rFont val="Consolas"/>
        <family val="3"/>
      </rPr>
      <t>:AmmoniaMeterTanks_M09 a :EquipmentInstance ; rdfs:label '</t>
    </r>
    <r>
      <rPr>
        <sz val="10"/>
        <rFont val="Noto Sans CJK SC"/>
        <family val="2"/>
      </rPr>
      <t>氨水计量罐</t>
    </r>
    <r>
      <rPr>
        <sz val="10"/>
        <rFont val="Consolas"/>
        <family val="3"/>
      </rPr>
      <t>J'@zh ; :processSection 'S11' .</t>
    </r>
  </si>
  <si>
    <r>
      <rPr>
        <sz val="10"/>
        <rFont val="Consolas"/>
        <family val="3"/>
      </rPr>
      <t>:AmmoniaMeterTanks_M10 a :EquipmentInstance ; rdfs:label '</t>
    </r>
    <r>
      <rPr>
        <sz val="10"/>
        <rFont val="Noto Sans CJK SC"/>
        <family val="2"/>
      </rPr>
      <t>氨水计量罐</t>
    </r>
    <r>
      <rPr>
        <sz val="10"/>
        <rFont val="Consolas"/>
        <family val="3"/>
      </rPr>
      <t>K'@zh ; :processSection 'S11' .</t>
    </r>
  </si>
  <si>
    <r>
      <rPr>
        <sz val="10"/>
        <rFont val="Consolas"/>
        <family val="3"/>
      </rPr>
      <t>:AmmoniaMeterTanks_M11 a :EquipmentInstance ; rdfs:label '</t>
    </r>
    <r>
      <rPr>
        <sz val="10"/>
        <rFont val="Noto Sans CJK SC"/>
        <family val="2"/>
      </rPr>
      <t>氨水计量罐</t>
    </r>
    <r>
      <rPr>
        <sz val="10"/>
        <rFont val="Consolas"/>
        <family val="3"/>
      </rPr>
      <t>L'@zh ; :processSection 'S11' .</t>
    </r>
  </si>
  <si>
    <r>
      <rPr>
        <sz val="10"/>
        <rFont val="Consolas"/>
        <family val="3"/>
      </rPr>
      <t>:AmmoniaMeterTanks_P01 a :EquipmentComponent ; rdfs:label '</t>
    </r>
    <r>
      <rPr>
        <sz val="10"/>
        <rFont val="Noto Sans CJK SC"/>
        <family val="2"/>
      </rPr>
      <t>水解氨水计量罐组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</si>
  <si>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:AmmoniaMeterTanks_P02 a :EquipmentComponent ; rdfs:label '</t>
    </r>
    <r>
      <rPr>
        <sz val="10"/>
        <rFont val="Noto Sans CJK SC"/>
        <family val="2"/>
      </rPr>
      <t>水解氨水计量罐组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加氨阀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</si>
  <si>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:RBStorageHydro a :ProductionEquipment ; rdfs:label 'RB</t>
    </r>
    <r>
      <rPr>
        <sz val="10"/>
        <rFont val="Noto Sans CJK SC"/>
        <family val="2"/>
      </rPr>
      <t>储罐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>（水解进料）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</si>
  <si>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:RBStorageHydro_M01 a :EquipmentInstance ; rdfs:label 'RB</t>
    </r>
    <r>
      <rPr>
        <sz val="10"/>
        <rFont val="Noto Sans CJK SC"/>
        <family val="2"/>
      </rPr>
      <t>储罐</t>
    </r>
    <r>
      <rPr>
        <sz val="10"/>
        <rFont val="Consolas"/>
        <family val="3"/>
      </rPr>
      <t>A'@zh ; :processSection 'S11' .</t>
    </r>
  </si>
  <si>
    <r>
      <rPr>
        <sz val="10"/>
        <rFont val="Consolas"/>
        <family val="3"/>
      </rPr>
      <t>:RBStorageHydro_M02 a :EquipmentInstance ; rdfs:label 'RB</t>
    </r>
    <r>
      <rPr>
        <sz val="10"/>
        <rFont val="Noto Sans CJK SC"/>
        <family val="2"/>
      </rPr>
      <t>储罐</t>
    </r>
    <r>
      <rPr>
        <sz val="10"/>
        <rFont val="Consolas"/>
        <family val="3"/>
      </rPr>
      <t>B'@zh ; :processSection 'S11' .</t>
    </r>
  </si>
  <si>
    <r>
      <rPr>
        <sz val="10"/>
        <rFont val="Consolas"/>
        <family val="3"/>
      </rPr>
      <t>:RBStorageHydro_P01 a :EquipmentComponent ; rdfs:label 'RB</t>
    </r>
    <r>
      <rPr>
        <sz val="10"/>
        <rFont val="Noto Sans CJK SC"/>
        <family val="2"/>
      </rPr>
      <t>储罐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>（水解进料）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</si>
  <si>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:HydrolysateBuffer a :ProductionEquipment ; rdfs:label '</t>
    </r>
    <r>
      <rPr>
        <sz val="10"/>
        <rFont val="Noto Sans CJK SC"/>
        <family val="2"/>
      </rPr>
      <t>水解液缓冲罐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</si>
  <si>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:HydrolysateBuffer_P01 a :EquipmentComponent ; rdfs:label '</t>
    </r>
    <r>
      <rPr>
        <sz val="10"/>
        <rFont val="Noto Sans CJK SC"/>
        <family val="2"/>
      </rPr>
      <t>水解液缓冲罐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</si>
  <si>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:HydrolysateBuffer_P02 a :EquipmentComponent ; rdfs:label '</t>
    </r>
    <r>
      <rPr>
        <sz val="10"/>
        <rFont val="Noto Sans CJK SC"/>
        <family val="2"/>
      </rPr>
      <t>水解液缓冲罐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高位报警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</si>
  <si>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:HydrolysateCoolers a :ProductionEquipment ; rdfs:label '</t>
    </r>
    <r>
      <rPr>
        <sz val="10"/>
        <rFont val="Noto Sans CJK SC"/>
        <family val="2"/>
      </rPr>
      <t>水解液换热器组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</si>
  <si>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:HydrolysateCoolers_M01 a :EquipmentInstance ; rdfs:label '</t>
    </r>
    <r>
      <rPr>
        <sz val="10"/>
        <rFont val="Noto Sans CJK SC"/>
        <family val="2"/>
      </rPr>
      <t>水解液缓冲罐回流换热器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</si>
  <si>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:HydrolysateCoolers_M02 a :EquipmentInstance ; rdfs:label '</t>
    </r>
    <r>
      <rPr>
        <sz val="10"/>
        <rFont val="Noto Sans CJK SC"/>
        <family val="2"/>
      </rPr>
      <t>水解液缓冲罐去萃取换热器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</si>
  <si>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:HydrolysateCoolers_P01 a :EquipmentComponent ; rdfs:label '</t>
    </r>
    <r>
      <rPr>
        <sz val="10"/>
        <rFont val="Noto Sans CJK SC"/>
        <family val="2"/>
      </rPr>
      <t>水解液换热器组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冷盐水调节阀</t>
    </r>
    <r>
      <rPr>
        <sz val="10"/>
        <rFont val="Consolas"/>
        <family val="3"/>
      </rPr>
      <t>HV_1016/1017/1018'@zh ; :processSection 'S12' .</t>
    </r>
  </si>
  <si>
    <r>
      <rPr>
        <sz val="10"/>
        <rFont val="Consolas"/>
        <family val="3"/>
      </rPr>
      <t>:HClBufferTank a :ProductionEquipment ; rdfs:label '</t>
    </r>
    <r>
      <rPr>
        <sz val="10"/>
        <rFont val="Noto Sans CJK SC"/>
        <family val="2"/>
      </rPr>
      <t>盐酸缓冲罐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</si>
  <si>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:HClBufferTank_P01 a :EquipmentComponent ; rdfs:label '</t>
    </r>
    <r>
      <rPr>
        <sz val="10"/>
        <rFont val="Noto Sans CJK SC"/>
        <family val="2"/>
      </rPr>
      <t>盐酸缓冲罐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输送泵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</si>
  <si>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:ExtractionEjector a :ProductionEquipment ; rdfs:label '</t>
    </r>
    <r>
      <rPr>
        <sz val="10"/>
        <rFont val="Noto Sans CJK SC"/>
        <family val="2"/>
      </rPr>
      <t>萃取喷射器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酸化混合器</t>
    </r>
    <r>
      <rPr>
        <sz val="10"/>
        <rFont val="Consolas"/>
        <family val="3"/>
      </rPr>
      <t>)'@zh ; :processSection 'S12' .</t>
    </r>
  </si>
  <si>
    <r>
      <rPr>
        <sz val="10"/>
        <rFont val="Consolas"/>
        <family val="3"/>
      </rPr>
      <t>:ExtractionEjector_M01 a :EquipmentInstance ; rdfs:label '</t>
    </r>
    <r>
      <rPr>
        <sz val="10"/>
        <rFont val="Noto Sans CJK SC"/>
        <family val="2"/>
      </rPr>
      <t>萃取喷射器</t>
    </r>
    <r>
      <rPr>
        <sz val="10"/>
        <rFont val="Consolas"/>
        <family val="3"/>
      </rPr>
      <t>A'@zh ; :processSection 'S12' .</t>
    </r>
  </si>
  <si>
    <r>
      <rPr>
        <sz val="10"/>
        <rFont val="Consolas"/>
        <family val="3"/>
      </rPr>
      <t>:ExtractionEjector_M02 a :EquipmentInstance ; rdfs:label '</t>
    </r>
    <r>
      <rPr>
        <sz val="10"/>
        <rFont val="Noto Sans CJK SC"/>
        <family val="2"/>
      </rPr>
      <t>萃取喷射器</t>
    </r>
    <r>
      <rPr>
        <sz val="10"/>
        <rFont val="Consolas"/>
        <family val="3"/>
      </rPr>
      <t>B'@zh ; :processSection 'S12' .</t>
    </r>
  </si>
  <si>
    <r>
      <rPr>
        <sz val="10"/>
        <rFont val="Consolas"/>
        <family val="3"/>
      </rPr>
      <t>:ExtractionEjector_M03 a :EquipmentInstance ; rdfs:label '</t>
    </r>
    <r>
      <rPr>
        <sz val="10"/>
        <rFont val="Noto Sans CJK SC"/>
        <family val="2"/>
      </rPr>
      <t>萃取喷射器</t>
    </r>
    <r>
      <rPr>
        <sz val="10"/>
        <rFont val="Consolas"/>
        <family val="3"/>
      </rPr>
      <t>C'@zh ; :processSection 'S12' .</t>
    </r>
  </si>
  <si>
    <r>
      <rPr>
        <sz val="10"/>
        <rFont val="Consolas"/>
        <family val="3"/>
      </rPr>
      <t>:ExtractionEjector_M04 a :EquipmentInstance ; rdfs:label '</t>
    </r>
    <r>
      <rPr>
        <sz val="10"/>
        <rFont val="Noto Sans CJK SC"/>
        <family val="2"/>
      </rPr>
      <t>萃取喷射器</t>
    </r>
    <r>
      <rPr>
        <sz val="10"/>
        <rFont val="Consolas"/>
        <family val="3"/>
      </rPr>
      <t>D'@zh ; :processSection 'S12' .</t>
    </r>
  </si>
  <si>
    <r>
      <rPr>
        <sz val="10"/>
        <rFont val="Consolas"/>
        <family val="3"/>
      </rPr>
      <t>:MixedSolventTank a :ProductionEquipment ; rdfs:label '</t>
    </r>
    <r>
      <rPr>
        <sz val="10"/>
        <rFont val="Noto Sans CJK SC"/>
        <family val="2"/>
      </rPr>
      <t>混合溶媒罐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</si>
  <si>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:MixedSolventTank_M01 a :EquipmentInstance ; rdfs:label '</t>
    </r>
    <r>
      <rPr>
        <sz val="10"/>
        <rFont val="Noto Sans CJK SC"/>
        <family val="2"/>
      </rPr>
      <t>混合溶媒罐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</si>
  <si>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:MixedSolventTank_M02 a :EquipmentInstance ; rdfs:label '</t>
    </r>
    <r>
      <rPr>
        <sz val="10"/>
        <rFont val="Noto Sans CJK SC"/>
        <family val="2"/>
      </rPr>
      <t>混合溶媒缓冲罐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</si>
  <si>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:MixedSolventTank_M03 a :EquipmentInstance ; rdfs:label '</t>
    </r>
    <r>
      <rPr>
        <sz val="10"/>
        <rFont val="Noto Sans CJK SC"/>
        <family val="2"/>
      </rPr>
      <t>混合溶媒储罐卧罐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</si>
  <si>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:MixedSolventTank_P01 a :EquipmentComponent ; rdfs:label '</t>
    </r>
    <r>
      <rPr>
        <sz val="10"/>
        <rFont val="Noto Sans CJK SC"/>
        <family val="2"/>
      </rPr>
      <t>混合溶媒罐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换热器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冷盐水</t>
    </r>
    <r>
      <rPr>
        <sz val="10"/>
        <rFont val="Consolas"/>
        <family val="3"/>
      </rPr>
      <t>)'@zh ; :processSection 'S12' .</t>
    </r>
  </si>
  <si>
    <r>
      <rPr>
        <sz val="10"/>
        <rFont val="Consolas"/>
        <family val="3"/>
      </rPr>
      <t>:MixedSolventTank_P02 a :EquipmentComponent ; rdfs:label '</t>
    </r>
    <r>
      <rPr>
        <sz val="10"/>
        <rFont val="Noto Sans CJK SC"/>
        <family val="2"/>
      </rPr>
      <t>混合溶媒罐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</si>
  <si>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:ExtCentrifuge1 a :ProductionEquipment ; rdfs:label '</t>
    </r>
    <r>
      <rPr>
        <sz val="10"/>
        <rFont val="Noto Sans CJK SC"/>
        <family val="2"/>
      </rPr>
      <t>一萃离心机组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</si>
  <si>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:ExtCentrifuge1_M01 a :EquipmentInstance ; rdfs:label '</t>
    </r>
    <r>
      <rPr>
        <sz val="10"/>
        <rFont val="Noto Sans CJK SC"/>
        <family val="2"/>
      </rPr>
      <t>萃取离心机</t>
    </r>
    <r>
      <rPr>
        <sz val="10"/>
        <rFont val="Consolas"/>
        <family val="3"/>
      </rPr>
      <t>A'@zh ; :processSection 'S12' .</t>
    </r>
  </si>
  <si>
    <r>
      <rPr>
        <sz val="10"/>
        <rFont val="Consolas"/>
        <family val="3"/>
      </rPr>
      <t>:ExtCentrifuge1_M02 a :EquipmentInstance ; rdfs:label '</t>
    </r>
    <r>
      <rPr>
        <sz val="10"/>
        <rFont val="Noto Sans CJK SC"/>
        <family val="2"/>
      </rPr>
      <t>萃取离心机</t>
    </r>
    <r>
      <rPr>
        <sz val="10"/>
        <rFont val="Consolas"/>
        <family val="3"/>
      </rPr>
      <t>B'@zh ; :processSection 'S12' .</t>
    </r>
  </si>
  <si>
    <r>
      <rPr>
        <sz val="10"/>
        <rFont val="Consolas"/>
        <family val="3"/>
      </rPr>
      <t>:ExtCentrifuge1_M03 a :EquipmentInstance ; rdfs:label '</t>
    </r>
    <r>
      <rPr>
        <sz val="10"/>
        <rFont val="Noto Sans CJK SC"/>
        <family val="2"/>
      </rPr>
      <t>萃取离心机</t>
    </r>
    <r>
      <rPr>
        <sz val="10"/>
        <rFont val="Consolas"/>
        <family val="3"/>
      </rPr>
      <t>C'@zh ; :processSection 'S12' .</t>
    </r>
  </si>
  <si>
    <r>
      <rPr>
        <sz val="10"/>
        <rFont val="Consolas"/>
        <family val="3"/>
      </rPr>
      <t>:ExtCentrifuge1_M04 a :EquipmentInstance ; rdfs:label '</t>
    </r>
    <r>
      <rPr>
        <sz val="10"/>
        <rFont val="Noto Sans CJK SC"/>
        <family val="2"/>
      </rPr>
      <t>萃取离心机</t>
    </r>
    <r>
      <rPr>
        <sz val="10"/>
        <rFont val="Consolas"/>
        <family val="3"/>
      </rPr>
      <t>D'@zh ; :processSection 'S12' .</t>
    </r>
  </si>
  <si>
    <r>
      <rPr>
        <sz val="10"/>
        <rFont val="Consolas"/>
        <family val="3"/>
      </rPr>
      <t>:ExtCentrifuge1_P01 a :EquipmentComponent ; rdfs:label '</t>
    </r>
    <r>
      <rPr>
        <sz val="10"/>
        <rFont val="Noto Sans CJK SC"/>
        <family val="2"/>
      </rPr>
      <t>一萃离心机组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碟片分离转鼓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</si>
  <si>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:ExtCentrifuge1_P02 a :EquipmentComponent ; rdfs:label '</t>
    </r>
    <r>
      <rPr>
        <sz val="10"/>
        <rFont val="Noto Sans CJK SC"/>
        <family val="2"/>
      </rPr>
      <t>一萃离心机组</t>
    </r>
    <r>
      <rPr>
        <sz val="10"/>
        <rFont val="Consolas"/>
        <family val="3"/>
      </rPr>
      <t>·pH</t>
    </r>
    <r>
      <rPr>
        <sz val="10"/>
        <rFont val="Noto Sans CJK SC"/>
        <family val="2"/>
      </rPr>
      <t>开关阀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保护阀</t>
    </r>
    <r>
      <rPr>
        <sz val="10"/>
        <rFont val="Consolas"/>
        <family val="3"/>
      </rPr>
      <t>XV_1314'@zh ; :processSection 'S12' .</t>
    </r>
  </si>
  <si>
    <r>
      <rPr>
        <sz val="10"/>
        <rFont val="Consolas"/>
        <family val="3"/>
      </rPr>
      <t>:ExtCentrifuge2 a :ProductionEquipment ; rdfs:label '</t>
    </r>
    <r>
      <rPr>
        <sz val="10"/>
        <rFont val="Noto Sans CJK SC"/>
        <family val="2"/>
      </rPr>
      <t>二萃离心机组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</si>
  <si>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:ExtCentrifuge2_M01 a :EquipmentInstance ; rdfs:label '</t>
    </r>
    <r>
      <rPr>
        <sz val="10"/>
        <rFont val="Noto Sans CJK SC"/>
        <family val="2"/>
      </rPr>
      <t>萃取离心机</t>
    </r>
    <r>
      <rPr>
        <sz val="10"/>
        <rFont val="Consolas"/>
        <family val="3"/>
      </rPr>
      <t>E'@zh ; :processSection 'S12' .</t>
    </r>
  </si>
  <si>
    <r>
      <rPr>
        <sz val="10"/>
        <rFont val="Consolas"/>
        <family val="3"/>
      </rPr>
      <t>:ExtCentrifuge2_M02 a :EquipmentInstance ; rdfs:label '</t>
    </r>
    <r>
      <rPr>
        <sz val="10"/>
        <rFont val="Noto Sans CJK SC"/>
        <family val="2"/>
      </rPr>
      <t>萃取离心机</t>
    </r>
    <r>
      <rPr>
        <sz val="10"/>
        <rFont val="Consolas"/>
        <family val="3"/>
      </rPr>
      <t>F'@zh ; :processSection 'S12' .</t>
    </r>
  </si>
  <si>
    <r>
      <rPr>
        <sz val="10"/>
        <rFont val="Consolas"/>
        <family val="3"/>
      </rPr>
      <t>:ExtCentrifuge2_M03 a :EquipmentInstance ; rdfs:label '</t>
    </r>
    <r>
      <rPr>
        <sz val="10"/>
        <rFont val="Noto Sans CJK SC"/>
        <family val="2"/>
      </rPr>
      <t>萃取离心机</t>
    </r>
    <r>
      <rPr>
        <sz val="10"/>
        <rFont val="Consolas"/>
        <family val="3"/>
      </rPr>
      <t>G'@zh ; :processSection 'S12' .</t>
    </r>
  </si>
  <si>
    <r>
      <rPr>
        <sz val="10"/>
        <rFont val="Consolas"/>
        <family val="3"/>
      </rPr>
      <t>:ExtCentrifuge2_M04 a :EquipmentInstance ; rdfs:label '</t>
    </r>
    <r>
      <rPr>
        <sz val="10"/>
        <rFont val="Noto Sans CJK SC"/>
        <family val="2"/>
      </rPr>
      <t>萃取离心机</t>
    </r>
    <r>
      <rPr>
        <sz val="10"/>
        <rFont val="Consolas"/>
        <family val="3"/>
      </rPr>
      <t>H'@zh ; :processSection 'S12' .</t>
    </r>
  </si>
  <si>
    <r>
      <rPr>
        <sz val="10"/>
        <rFont val="Consolas"/>
        <family val="3"/>
      </rPr>
      <t>:ExtCentrifuge2_P01 a :EquipmentComponent ; rdfs:label '</t>
    </r>
    <r>
      <rPr>
        <sz val="10"/>
        <rFont val="Noto Sans CJK SC"/>
        <family val="2"/>
      </rPr>
      <t>二萃离心机组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碟片分离转鼓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</si>
  <si>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:ExtCentrifuge2_P02 a :EquipmentComponent ; rdfs:label '</t>
    </r>
    <r>
      <rPr>
        <sz val="10"/>
        <rFont val="Noto Sans CJK SC"/>
        <family val="2"/>
      </rPr>
      <t>二萃离心机组</t>
    </r>
    <r>
      <rPr>
        <sz val="10"/>
        <rFont val="Consolas"/>
        <family val="3"/>
      </rPr>
      <t>·pH</t>
    </r>
    <r>
      <rPr>
        <sz val="10"/>
        <rFont val="Noto Sans CJK SC"/>
        <family val="2"/>
      </rPr>
      <t>开关阀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保护阀</t>
    </r>
    <r>
      <rPr>
        <sz val="10"/>
        <rFont val="Consolas"/>
        <family val="3"/>
      </rPr>
      <t>XV_1315'@zh ; :processSection 'S12' .</t>
    </r>
  </si>
  <si>
    <r>
      <rPr>
        <sz val="10"/>
        <rFont val="Consolas"/>
        <family val="3"/>
      </rPr>
      <t>:BackExtCentrifugeR a :ProductionEquipment ; rdfs:label '</t>
    </r>
    <r>
      <rPr>
        <sz val="10"/>
        <rFont val="Noto Sans CJK SC"/>
        <family val="2"/>
      </rPr>
      <t>反萃离心机组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</si>
  <si>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:BackExtCentrifugeR_M01 a :EquipmentInstance ; rdfs:label '</t>
    </r>
    <r>
      <rPr>
        <sz val="10"/>
        <rFont val="Noto Sans CJK SC"/>
        <family val="2"/>
      </rPr>
      <t>萃取离心机</t>
    </r>
    <r>
      <rPr>
        <sz val="10"/>
        <rFont val="Consolas"/>
        <family val="3"/>
      </rPr>
      <t>I'@zh ; :processSection 'S12' .</t>
    </r>
  </si>
  <si>
    <r>
      <rPr>
        <sz val="10"/>
        <rFont val="Consolas"/>
        <family val="3"/>
      </rPr>
      <t>:BackExtCentrifugeR_M02 a :EquipmentInstance ; rdfs:label '</t>
    </r>
    <r>
      <rPr>
        <sz val="10"/>
        <rFont val="Noto Sans CJK SC"/>
        <family val="2"/>
      </rPr>
      <t>萃取离心机</t>
    </r>
    <r>
      <rPr>
        <sz val="10"/>
        <rFont val="Consolas"/>
        <family val="3"/>
      </rPr>
      <t>J'@zh ; :processSection 'S12' .</t>
    </r>
  </si>
  <si>
    <r>
      <rPr>
        <sz val="10"/>
        <rFont val="Consolas"/>
        <family val="3"/>
      </rPr>
      <t>:BackExtCentrifugeR_P01 a :EquipmentComponent ; rdfs:label '</t>
    </r>
    <r>
      <rPr>
        <sz val="10"/>
        <rFont val="Noto Sans CJK SC"/>
        <family val="2"/>
      </rPr>
      <t>反萃离心机组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碟片分离转鼓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</si>
  <si>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:PhaseSeparator a :ProductionEquipment ; rdfs:label '</t>
    </r>
    <r>
      <rPr>
        <sz val="10"/>
        <rFont val="Noto Sans CJK SC"/>
        <family val="2"/>
      </rPr>
      <t>萃取分相罐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室外分相罐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</si>
  <si>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:PhaseSeparator_P01 a :EquipmentComponent ; rdfs:label '</t>
    </r>
    <r>
      <rPr>
        <sz val="10"/>
        <rFont val="Noto Sans CJK SC"/>
        <family val="2"/>
      </rPr>
      <t>萃取分相罐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室外分相罐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</si>
  <si>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:PhaseSeparator_P02 a :EquipmentComponent ; rdfs:label '</t>
    </r>
    <r>
      <rPr>
        <sz val="10"/>
        <rFont val="Noto Sans CJK SC"/>
        <family val="2"/>
      </rPr>
      <t>萃取分相罐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室外分相罐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温度计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</si>
  <si>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:PhaseSeparator_P03 a :EquipmentComponent ; rdfs:label '</t>
    </r>
    <r>
      <rPr>
        <sz val="10"/>
        <rFont val="Noto Sans CJK SC"/>
        <family val="2"/>
      </rPr>
      <t>萃取分相罐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室外分相罐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出料调节阀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</si>
  <si>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:HeavyLiquorBuffer a :ProductionEquipment ; rdfs:label '</t>
    </r>
    <r>
      <rPr>
        <sz val="10"/>
        <rFont val="Noto Sans CJK SC"/>
        <family val="2"/>
      </rPr>
      <t>重液缓冲罐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萃取离心机重相缓冲罐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</si>
  <si>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:HeavyLiquorBuffer_M01 a :EquipmentInstance ; rdfs:label '</t>
    </r>
    <r>
      <rPr>
        <sz val="10"/>
        <rFont val="Noto Sans CJK SC"/>
        <family val="2"/>
      </rPr>
      <t>重液缓冲罐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</si>
  <si>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:HeavyLiquorBuffer_M02 a :EquipmentInstance ; rdfs:label '</t>
    </r>
    <r>
      <rPr>
        <sz val="10"/>
        <rFont val="Noto Sans CJK SC"/>
        <family val="2"/>
      </rPr>
      <t>萃取离心机重相缓冲罐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</si>
  <si>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:HeavyLiquorBuffer_M03 a :EquipmentInstance ; rdfs:label '</t>
    </r>
    <r>
      <rPr>
        <sz val="10"/>
        <rFont val="Noto Sans CJK SC"/>
        <family val="2"/>
      </rPr>
      <t>重相缓冲罐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</si>
  <si>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:HeavyLiquorBuffer_P01 a :EquipmentComponent ; rdfs:label '</t>
    </r>
    <r>
      <rPr>
        <sz val="10"/>
        <rFont val="Noto Sans CJK SC"/>
        <family val="2"/>
      </rPr>
      <t>重液缓冲罐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萃取离心机重相缓冲罐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回流换热器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</si>
  <si>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:HeavyLiquorBuffer_P02 a :EquipmentComponent ; rdfs:label '</t>
    </r>
    <r>
      <rPr>
        <sz val="10"/>
        <rFont val="Noto Sans CJK SC"/>
        <family val="2"/>
      </rPr>
      <t>重液缓冲罐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萃取离心机重相缓冲罐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去结晶换热器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</si>
  <si>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:HeavyLiquorFilter a :ProductionEquipment ; rdfs:label '</t>
    </r>
    <r>
      <rPr>
        <sz val="10"/>
        <rFont val="Noto Sans CJK SC"/>
        <family val="2"/>
      </rPr>
      <t>萃取重液过滤器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</si>
  <si>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:HeavyLiquorFilter_M01 a :EquipmentInstance ; rdfs:label '</t>
    </r>
    <r>
      <rPr>
        <sz val="10"/>
        <rFont val="Noto Sans CJK SC"/>
        <family val="2"/>
      </rPr>
      <t>过滤器</t>
    </r>
    <r>
      <rPr>
        <sz val="10"/>
        <rFont val="Consolas"/>
        <family val="3"/>
      </rPr>
      <t>1#–6#'@zh ; :processSection 'S12' .</t>
    </r>
  </si>
  <si>
    <r>
      <rPr>
        <sz val="10"/>
        <rFont val="Consolas"/>
        <family val="3"/>
      </rPr>
      <t>:ExtLightTank a :ProductionEquipment ; rdfs:label '</t>
    </r>
    <r>
      <rPr>
        <sz val="10"/>
        <rFont val="Noto Sans CJK SC"/>
        <family val="2"/>
      </rPr>
      <t>萃取轻相罐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</si>
  <si>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:ExtLightTank_M01 a :EquipmentInstance ; rdfs:label '</t>
    </r>
    <r>
      <rPr>
        <sz val="10"/>
        <rFont val="Noto Sans CJK SC"/>
        <family val="2"/>
      </rPr>
      <t>萃取轻相罐</t>
    </r>
    <r>
      <rPr>
        <sz val="10"/>
        <rFont val="Consolas"/>
        <family val="3"/>
      </rPr>
      <t>A'@zh ; :processSection 'S12' .</t>
    </r>
  </si>
  <si>
    <r>
      <rPr>
        <sz val="10"/>
        <rFont val="Consolas"/>
        <family val="3"/>
      </rPr>
      <t>:ExtLightTank_M02 a :EquipmentInstance ; rdfs:label '</t>
    </r>
    <r>
      <rPr>
        <sz val="10"/>
        <rFont val="Noto Sans CJK SC"/>
        <family val="2"/>
      </rPr>
      <t>萃取轻相罐</t>
    </r>
    <r>
      <rPr>
        <sz val="10"/>
        <rFont val="Consolas"/>
        <family val="3"/>
      </rPr>
      <t>B'@zh ; :processSection 'S12' .</t>
    </r>
  </si>
  <si>
    <r>
      <rPr>
        <sz val="10"/>
        <rFont val="Consolas"/>
        <family val="3"/>
      </rPr>
      <t>:ExtLightTank_P01 a :EquipmentComponent ; rdfs:label '</t>
    </r>
    <r>
      <rPr>
        <sz val="10"/>
        <rFont val="Noto Sans CJK SC"/>
        <family val="2"/>
      </rPr>
      <t>萃取轻相罐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</si>
  <si>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:BackExtLightTank a :ProductionEquipment ; rdfs:label '</t>
    </r>
    <r>
      <rPr>
        <sz val="10"/>
        <rFont val="Noto Sans CJK SC"/>
        <family val="2"/>
      </rPr>
      <t>反萃取轻相罐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反萃轻相缓冲罐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</si>
  <si>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:BackExtLightTank_P01 a :EquipmentComponent ; rdfs:label '</t>
    </r>
    <r>
      <rPr>
        <sz val="10"/>
        <rFont val="Noto Sans CJK SC"/>
        <family val="2"/>
      </rPr>
      <t>反萃取轻相罐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反萃轻相缓冲罐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密度计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</si>
  <si>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:BackExtLightTank_P02 a :EquipmentComponent ; rdfs:label '</t>
    </r>
    <r>
      <rPr>
        <sz val="10"/>
        <rFont val="Noto Sans CJK SC"/>
        <family val="2"/>
      </rPr>
      <t>反萃取轻相罐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反萃轻相缓冲罐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去回收调节阀</t>
    </r>
    <r>
      <rPr>
        <sz val="10"/>
        <rFont val="Consolas"/>
        <family val="3"/>
      </rPr>
      <t>HV_1026'@zh ; :processSection 'S12' .</t>
    </r>
  </si>
  <si>
    <r>
      <rPr>
        <sz val="10"/>
        <rFont val="Consolas"/>
        <family val="3"/>
      </rPr>
      <t>:BatchCrystallizerGroup a :ProductionEquipment ; rdfs:label '6APA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R112–R125'@zh ; :processSection 'S13' .</t>
    </r>
  </si>
  <si>
    <t>:BatchCrystallizerGroup_M01 a :EquipmentInstance ; rdfs:label 'R112'@zh ; :processSection 'S13' .</t>
  </si>
  <si>
    <t>:BatchCrystallizerGroup_M02 a :EquipmentInstance ; rdfs:label 'R113'@zh ; :processSection 'S13' .</t>
  </si>
  <si>
    <t>:BatchCrystallizerGroup_M03 a :EquipmentInstance ; rdfs:label 'R114'@zh ; :processSection 'S13' .</t>
  </si>
  <si>
    <t>:BatchCrystallizerGroup_M04 a :EquipmentInstance ; rdfs:label 'R115'@zh ; :processSection 'S13' .</t>
  </si>
  <si>
    <t>:BatchCrystallizerGroup_M05 a :EquipmentInstance ; rdfs:label 'R116'@zh ; :processSection 'S13' .</t>
  </si>
  <si>
    <t>:BatchCrystallizerGroup_M06 a :EquipmentInstance ; rdfs:label 'R117'@zh ; :processSection 'S13' .</t>
  </si>
  <si>
    <t>:BatchCrystallizerGroup_M07 a :EquipmentInstance ; rdfs:label 'R118'@zh ; :processSection 'S13' .</t>
  </si>
  <si>
    <t>:BatchCrystallizerGroup_M08 a :EquipmentInstance ; rdfs:label 'R119'@zh ; :processSection 'S13' .</t>
  </si>
  <si>
    <t>:BatchCrystallizerGroup_M09 a :EquipmentInstance ; rdfs:label 'R120'@zh ; :processSection 'S13' .</t>
  </si>
  <si>
    <t>:BatchCrystallizerGroup_M10 a :EquipmentInstance ; rdfs:label 'R121'@zh ; :processSection 'S13' .</t>
  </si>
  <si>
    <t>:BatchCrystallizerGroup_M11 a :EquipmentInstance ; rdfs:label 'R122'@zh ; :processSection 'S13' .</t>
  </si>
  <si>
    <t>:BatchCrystallizerGroup_M12 a :EquipmentInstance ; rdfs:label 'R123'@zh ; :processSection 'S13' .</t>
  </si>
  <si>
    <t>:BatchCrystallizerGroup_M13 a :EquipmentInstance ; rdfs:label 'R124'@zh ; :processSection 'S13' .</t>
  </si>
  <si>
    <t>:BatchCrystallizerGroup_M14 a :EquipmentInstance ; rdfs:label 'R125'@zh ; :processSection 'S13' .</t>
  </si>
  <si>
    <r>
      <rPr>
        <sz val="10"/>
        <rFont val="Consolas"/>
        <family val="3"/>
      </rPr>
      <t>:BatchCrystallizerGroup_P01 a :EquipmentComponent ; rdfs:label '6APA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R112–R125·</t>
    </r>
    <r>
      <rPr>
        <sz val="10"/>
        <rFont val="Noto Sans CJK SC"/>
        <family val="2"/>
      </rPr>
      <t>搅拌器</t>
    </r>
    <r>
      <rPr>
        <sz val="10"/>
        <rFont val="Consolas"/>
        <family val="3"/>
      </rPr>
      <t>PB_1013'@zh ; :processSection 'S13' .</t>
    </r>
  </si>
  <si>
    <r>
      <rPr>
        <sz val="10"/>
        <rFont val="Consolas"/>
        <family val="3"/>
      </rPr>
      <t>:BatchCrystallizerGroup_P02 a :EquipmentComponent ; rdfs:label '6APA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R112–R125·</t>
    </r>
    <r>
      <rPr>
        <sz val="10"/>
        <rFont val="Noto Sans CJK SC"/>
        <family val="2"/>
      </rPr>
      <t>温控调节阀</t>
    </r>
    <r>
      <rPr>
        <sz val="10"/>
        <rFont val="Consolas"/>
        <family val="3"/>
      </rPr>
      <t>HV_1029'@zh ; :processSection 'S13' .</t>
    </r>
  </si>
  <si>
    <r>
      <rPr>
        <sz val="10"/>
        <rFont val="Consolas"/>
        <family val="3"/>
      </rPr>
      <t>:BatchCrystallizerGroup_P03 a :EquipmentComponent ; rdfs:label '6APA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R112–R125·</t>
    </r>
    <r>
      <rPr>
        <sz val="10"/>
        <rFont val="Noto Sans CJK SC"/>
        <family val="2"/>
      </rPr>
      <t>盐酸调节阀</t>
    </r>
    <r>
      <rPr>
        <sz val="10"/>
        <rFont val="Consolas"/>
        <family val="3"/>
      </rPr>
      <t>JJG1xx_HCL'@zh ; :processSection 'S13' .</t>
    </r>
  </si>
  <si>
    <r>
      <rPr>
        <sz val="10"/>
        <rFont val="Consolas"/>
        <family val="3"/>
      </rPr>
      <t>:BatchCrystallizerGroup_P04 a :EquipmentComponent ; rdfs:label '6APA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R112–R125·</t>
    </r>
    <r>
      <rPr>
        <sz val="10"/>
        <rFont val="Noto Sans CJK SC"/>
        <family val="2"/>
      </rPr>
      <t>氨水进口阀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</si>
  <si>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:BatchCrystallizerGroup_P05 a :EquipmentComponent ; rdfs:label '6APA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R112–R125·</t>
    </r>
    <r>
      <rPr>
        <sz val="10"/>
        <rFont val="Noto Sans CJK SC"/>
        <family val="2"/>
      </rPr>
      <t>重液进口阀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</si>
  <si>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:BatchCrystallizerGroup_P06 a :EquipmentComponent ; rdfs:label '6APA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R112–R125·</t>
    </r>
    <r>
      <rPr>
        <sz val="10"/>
        <rFont val="Noto Sans CJK SC"/>
        <family val="2"/>
      </rPr>
      <t>软水阀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</si>
  <si>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:SlurryPumps a :ProductionEquipment ; rdfs:label '</t>
    </r>
    <r>
      <rPr>
        <sz val="10"/>
        <rFont val="Noto Sans CJK SC"/>
        <family val="2"/>
      </rPr>
      <t>晶浆打料泵组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</si>
  <si>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:SlurryPumps_M01 a :EquipmentInstance ; rdfs:label '</t>
    </r>
    <r>
      <rPr>
        <sz val="10"/>
        <rFont val="Noto Sans CJK SC"/>
        <family val="2"/>
      </rPr>
      <t>三层打料泵</t>
    </r>
    <r>
      <rPr>
        <sz val="10"/>
        <rFont val="Consolas"/>
        <family val="3"/>
      </rPr>
      <t>A'@zh ; :processSection 'S13' .</t>
    </r>
  </si>
  <si>
    <r>
      <rPr>
        <sz val="10"/>
        <rFont val="Consolas"/>
        <family val="3"/>
      </rPr>
      <t>:SlurryPumps_M02 a :EquipmentInstance ; rdfs:label '</t>
    </r>
    <r>
      <rPr>
        <sz val="10"/>
        <rFont val="Noto Sans CJK SC"/>
        <family val="2"/>
      </rPr>
      <t>三层打料泵</t>
    </r>
    <r>
      <rPr>
        <sz val="10"/>
        <rFont val="Consolas"/>
        <family val="3"/>
      </rPr>
      <t>B'@zh ; :processSection 'S13' .</t>
    </r>
  </si>
  <si>
    <r>
      <rPr>
        <sz val="10"/>
        <rFont val="Consolas"/>
        <family val="3"/>
      </rPr>
      <t>:SlurryPumps_M03 a :EquipmentInstance ; rdfs:label '</t>
    </r>
    <r>
      <rPr>
        <sz val="10"/>
        <rFont val="Noto Sans CJK SC"/>
        <family val="2"/>
      </rPr>
      <t>三层打料泵</t>
    </r>
    <r>
      <rPr>
        <sz val="10"/>
        <rFont val="Consolas"/>
        <family val="3"/>
      </rPr>
      <t>C'@zh ; :processSection 'S13' .</t>
    </r>
  </si>
  <si>
    <r>
      <rPr>
        <sz val="10"/>
        <rFont val="Consolas"/>
        <family val="3"/>
      </rPr>
      <t>:SlurryPumps_M04 a :EquipmentInstance ; rdfs:label '</t>
    </r>
    <r>
      <rPr>
        <sz val="10"/>
        <rFont val="Noto Sans CJK SC"/>
        <family val="2"/>
      </rPr>
      <t>三层打料泵</t>
    </r>
    <r>
      <rPr>
        <sz val="10"/>
        <rFont val="Consolas"/>
        <family val="3"/>
      </rPr>
      <t>D'@zh ; :processSection 'S13' .</t>
    </r>
  </si>
  <si>
    <r>
      <rPr>
        <sz val="10"/>
        <rFont val="Consolas"/>
        <family val="3"/>
      </rPr>
      <t>:SlurryPumps_M05 a :EquipmentInstance ; rdfs:label '</t>
    </r>
    <r>
      <rPr>
        <sz val="10"/>
        <rFont val="Noto Sans CJK SC"/>
        <family val="2"/>
      </rPr>
      <t>晶浆打料泵</t>
    </r>
    <r>
      <rPr>
        <sz val="10"/>
        <rFont val="Consolas"/>
        <family val="3"/>
      </rPr>
      <t>A'@zh ; :processSection 'S13' .</t>
    </r>
  </si>
  <si>
    <r>
      <rPr>
        <sz val="10"/>
        <rFont val="Consolas"/>
        <family val="3"/>
      </rPr>
      <t>:SlurryPumps_M06 a :EquipmentInstance ; rdfs:label '</t>
    </r>
    <r>
      <rPr>
        <sz val="10"/>
        <rFont val="Noto Sans CJK SC"/>
        <family val="2"/>
      </rPr>
      <t>晶浆打料泵</t>
    </r>
    <r>
      <rPr>
        <sz val="10"/>
        <rFont val="Consolas"/>
        <family val="3"/>
      </rPr>
      <t>B'@zh ; :processSection 'S13' .</t>
    </r>
  </si>
  <si>
    <r>
      <rPr>
        <sz val="10"/>
        <rFont val="Consolas"/>
        <family val="3"/>
      </rPr>
      <t>:SlurryPumps_M07 a :EquipmentInstance ; rdfs:label '</t>
    </r>
    <r>
      <rPr>
        <sz val="10"/>
        <rFont val="Noto Sans CJK SC"/>
        <family val="2"/>
      </rPr>
      <t>晶浆打料泵</t>
    </r>
    <r>
      <rPr>
        <sz val="10"/>
        <rFont val="Consolas"/>
        <family val="3"/>
      </rPr>
      <t>C'@zh ; :processSection 'S13' .</t>
    </r>
  </si>
  <si>
    <r>
      <rPr>
        <sz val="10"/>
        <rFont val="Consolas"/>
        <family val="3"/>
      </rPr>
      <t>:SlurryPumps_M08 a :EquipmentInstance ; rdfs:label '</t>
    </r>
    <r>
      <rPr>
        <sz val="10"/>
        <rFont val="Noto Sans CJK SC"/>
        <family val="2"/>
      </rPr>
      <t>晶浆打料泵</t>
    </r>
    <r>
      <rPr>
        <sz val="10"/>
        <rFont val="Consolas"/>
        <family val="3"/>
      </rPr>
      <t>D'@zh ; :processSection 'S13' .</t>
    </r>
  </si>
  <si>
    <r>
      <rPr>
        <sz val="10"/>
        <rFont val="Consolas"/>
        <family val="3"/>
      </rPr>
      <t>:SlurryPumps_P01 a :EquipmentComponent ; rdfs:label '</t>
    </r>
    <r>
      <rPr>
        <sz val="10"/>
        <rFont val="Noto Sans CJK SC"/>
        <family val="2"/>
      </rPr>
      <t>晶浆打料泵组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变频器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</si>
  <si>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:Centrifuge1600Group a :ProductionEquipment ; rdfs:label '1600</t>
    </r>
    <r>
      <rPr>
        <sz val="10"/>
        <rFont val="Noto Sans CJK SC"/>
        <family val="2"/>
      </rPr>
      <t>离心机组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</si>
  <si>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:Centrifuge1600Group_M01 a :EquipmentInstance ; rdfs:label '1600</t>
    </r>
    <r>
      <rPr>
        <sz val="10"/>
        <rFont val="Noto Sans CJK SC"/>
        <family val="2"/>
      </rPr>
      <t>离心机</t>
    </r>
    <r>
      <rPr>
        <sz val="10"/>
        <rFont val="Consolas"/>
        <family val="3"/>
      </rPr>
      <t>1</t>
    </r>
    <r>
      <rPr>
        <sz val="10"/>
        <rFont val="Noto Sans CJK SC"/>
        <family val="2"/>
      </rPr>
      <t>号</t>
    </r>
    <r>
      <rPr>
        <sz val="10"/>
        <rFont val="Consolas"/>
        <family val="3"/>
      </rPr>
      <t>(A)'@zh ; :processSection 'S13' .</t>
    </r>
  </si>
  <si>
    <r>
      <rPr>
        <sz val="10"/>
        <rFont val="Consolas"/>
        <family val="3"/>
      </rPr>
      <t>:Centrifuge1600Group_M02 a :EquipmentInstance ; rdfs:label '2</t>
    </r>
    <r>
      <rPr>
        <sz val="10"/>
        <rFont val="Noto Sans CJK SC"/>
        <family val="2"/>
      </rPr>
      <t>号</t>
    </r>
    <r>
      <rPr>
        <sz val="10"/>
        <rFont val="Consolas"/>
        <family val="3"/>
      </rPr>
      <t>(B)'@zh ; :processSection 'S13' .</t>
    </r>
  </si>
  <si>
    <r>
      <rPr>
        <sz val="10"/>
        <rFont val="Consolas"/>
        <family val="3"/>
      </rPr>
      <t>:Centrifuge1600Group_M03 a :EquipmentInstance ; rdfs:label '3</t>
    </r>
    <r>
      <rPr>
        <sz val="10"/>
        <rFont val="Noto Sans CJK SC"/>
        <family val="2"/>
      </rPr>
      <t>号</t>
    </r>
    <r>
      <rPr>
        <sz val="10"/>
        <rFont val="Consolas"/>
        <family val="3"/>
      </rPr>
      <t>(C)'@zh ; :processSection 'S13' .</t>
    </r>
  </si>
  <si>
    <r>
      <rPr>
        <sz val="10"/>
        <rFont val="Consolas"/>
        <family val="3"/>
      </rPr>
      <t>:Centrifuge1600Group_M04 a :EquipmentInstance ; rdfs:label '4</t>
    </r>
    <r>
      <rPr>
        <sz val="10"/>
        <rFont val="Noto Sans CJK SC"/>
        <family val="2"/>
      </rPr>
      <t>号</t>
    </r>
    <r>
      <rPr>
        <sz val="10"/>
        <rFont val="Consolas"/>
        <family val="3"/>
      </rPr>
      <t>(D)'@zh ; :processSection 'S13' .</t>
    </r>
  </si>
  <si>
    <r>
      <rPr>
        <sz val="10"/>
        <rFont val="Consolas"/>
        <family val="3"/>
      </rPr>
      <t>:Centrifuge1600Group_M05 a :EquipmentInstance ; rdfs:label '5</t>
    </r>
    <r>
      <rPr>
        <sz val="10"/>
        <rFont val="Noto Sans CJK SC"/>
        <family val="2"/>
      </rPr>
      <t>号</t>
    </r>
    <r>
      <rPr>
        <sz val="10"/>
        <rFont val="Consolas"/>
        <family val="3"/>
      </rPr>
      <t>(E)'@zh ; :processSection 'S13' .</t>
    </r>
  </si>
  <si>
    <r>
      <rPr>
        <sz val="10"/>
        <rFont val="Consolas"/>
        <family val="3"/>
      </rPr>
      <t>:Centrifuge1600Group_M06 a :EquipmentInstance ; rdfs:label '6</t>
    </r>
    <r>
      <rPr>
        <sz val="10"/>
        <rFont val="Noto Sans CJK SC"/>
        <family val="2"/>
      </rPr>
      <t>号</t>
    </r>
    <r>
      <rPr>
        <sz val="10"/>
        <rFont val="Consolas"/>
        <family val="3"/>
      </rPr>
      <t>(F)'@zh ; :processSection 'S13' .</t>
    </r>
  </si>
  <si>
    <r>
      <rPr>
        <sz val="10"/>
        <rFont val="Consolas"/>
        <family val="3"/>
      </rPr>
      <t>:Centrifuge1600Group_M07 a :EquipmentInstance ; rdfs:label '7</t>
    </r>
    <r>
      <rPr>
        <sz val="10"/>
        <rFont val="Noto Sans CJK SC"/>
        <family val="2"/>
      </rPr>
      <t>号</t>
    </r>
    <r>
      <rPr>
        <sz val="10"/>
        <rFont val="Consolas"/>
        <family val="3"/>
      </rPr>
      <t>(G)'@zh ; :processSection 'S13' .</t>
    </r>
  </si>
  <si>
    <r>
      <rPr>
        <sz val="10"/>
        <rFont val="Consolas"/>
        <family val="3"/>
      </rPr>
      <t>:Centrifuge1600Group_M08 a :EquipmentInstance ; rdfs:label '8</t>
    </r>
    <r>
      <rPr>
        <sz val="10"/>
        <rFont val="Noto Sans CJK SC"/>
        <family val="2"/>
      </rPr>
      <t>号</t>
    </r>
    <r>
      <rPr>
        <sz val="10"/>
        <rFont val="Consolas"/>
        <family val="3"/>
      </rPr>
      <t>(H)'@zh ; :processSection 'S13' .</t>
    </r>
  </si>
  <si>
    <r>
      <rPr>
        <sz val="10"/>
        <rFont val="Consolas"/>
        <family val="3"/>
      </rPr>
      <t>:Centrifuge1600Group_M09 a :EquipmentInstance ; rdfs:label '9</t>
    </r>
    <r>
      <rPr>
        <sz val="10"/>
        <rFont val="Noto Sans CJK SC"/>
        <family val="2"/>
      </rPr>
      <t>号</t>
    </r>
    <r>
      <rPr>
        <sz val="10"/>
        <rFont val="Consolas"/>
        <family val="3"/>
      </rPr>
      <t>(I)'@zh ; :processSection 'S13' .</t>
    </r>
  </si>
  <si>
    <r>
      <rPr>
        <sz val="10"/>
        <rFont val="Consolas"/>
        <family val="3"/>
      </rPr>
      <t>:Centrifuge1600Group_M10 a :EquipmentInstance ; rdfs:label '10</t>
    </r>
    <r>
      <rPr>
        <sz val="10"/>
        <rFont val="Noto Sans CJK SC"/>
        <family val="2"/>
      </rPr>
      <t>号</t>
    </r>
    <r>
      <rPr>
        <sz val="10"/>
        <rFont val="Consolas"/>
        <family val="3"/>
      </rPr>
      <t>(J)'@zh ; :processSection 'S13' .</t>
    </r>
  </si>
  <si>
    <r>
      <rPr>
        <sz val="10"/>
        <rFont val="Consolas"/>
        <family val="3"/>
      </rPr>
      <t>:Centrifuge1600Group_M11 a :EquipmentInstance ; rdfs:label '11</t>
    </r>
    <r>
      <rPr>
        <sz val="10"/>
        <rFont val="Noto Sans CJK SC"/>
        <family val="2"/>
      </rPr>
      <t>号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</si>
  <si>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:Centrifuge1600Group_P01 a :EquipmentComponent ; rdfs:label '1600</t>
    </r>
    <r>
      <rPr>
        <sz val="10"/>
        <rFont val="Noto Sans CJK SC"/>
        <family val="2"/>
      </rPr>
      <t>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进料调节阀</t>
    </r>
    <r>
      <rPr>
        <sz val="10"/>
        <rFont val="Consolas"/>
        <family val="3"/>
      </rPr>
      <t>HV_2014/2017'@zh ; :processSection 'S13' .</t>
    </r>
  </si>
  <si>
    <r>
      <rPr>
        <sz val="10"/>
        <rFont val="Consolas"/>
        <family val="3"/>
      </rPr>
      <t>:Centrifuge1600Group_P02 a :EquipmentComponent ; rdfs:label '1600</t>
    </r>
    <r>
      <rPr>
        <sz val="10"/>
        <rFont val="Noto Sans CJK SC"/>
        <family val="2"/>
      </rPr>
      <t>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洗涤软水阀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</si>
  <si>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:Centrifuge1600Group_P03 a :EquipmentComponent ; rdfs:label '1600</t>
    </r>
    <r>
      <rPr>
        <sz val="10"/>
        <rFont val="Noto Sans CJK SC"/>
        <family val="2"/>
      </rPr>
      <t>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主电机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</si>
  <si>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:CentrifugeSoftWaterTank a :ProductionEquipment ; rdfs:label '1600</t>
    </r>
    <r>
      <rPr>
        <sz val="10"/>
        <rFont val="Noto Sans CJK SC"/>
        <family val="2"/>
      </rPr>
      <t>离心机软水罐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</si>
  <si>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:CentrifugeSoftWaterTank_P01 a :EquipmentComponent ; rdfs:label '1600</t>
    </r>
    <r>
      <rPr>
        <sz val="10"/>
        <rFont val="Noto Sans CJK SC"/>
        <family val="2"/>
      </rPr>
      <t>离心机软水罐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降温调节阀</t>
    </r>
    <r>
      <rPr>
        <sz val="10"/>
        <rFont val="Consolas"/>
        <family val="3"/>
      </rPr>
      <t>HV_1338'@zh ; :processSection 'S13' .</t>
    </r>
  </si>
  <si>
    <r>
      <rPr>
        <sz val="10"/>
        <rFont val="Consolas"/>
        <family val="3"/>
      </rPr>
      <t>:CrystMotherTanks a :ProductionEquipment ; rdfs:label '</t>
    </r>
    <r>
      <rPr>
        <sz val="10"/>
        <rFont val="Noto Sans CJK SC"/>
        <family val="2"/>
      </rPr>
      <t>离心母液罐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洗液罐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</si>
  <si>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:CrystMotherTanks_M01 a :EquipmentInstance ; rdfs:label '</t>
    </r>
    <r>
      <rPr>
        <sz val="10"/>
        <rFont val="Noto Sans CJK SC"/>
        <family val="2"/>
      </rPr>
      <t>母液罐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</si>
  <si>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:CrystMotherTanks_M02 a :EquipmentInstance ; rdfs:label '</t>
    </r>
    <r>
      <rPr>
        <sz val="10"/>
        <rFont val="Noto Sans CJK SC"/>
        <family val="2"/>
      </rPr>
      <t>洗液罐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</si>
  <si>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:CrystMotherTanks_M03 a :EquipmentInstance ; rdfs:label '</t>
    </r>
    <r>
      <rPr>
        <sz val="10"/>
        <rFont val="Noto Sans CJK SC"/>
        <family val="2"/>
      </rPr>
      <t>排空罐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</si>
  <si>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:CrystMotherTanks_P01 a :EquipmentComponent ; rdfs:label '</t>
    </r>
    <r>
      <rPr>
        <sz val="10"/>
        <rFont val="Noto Sans CJK SC"/>
        <family val="2"/>
      </rPr>
      <t>离心母液罐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洗液罐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</si>
  <si>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:TitaniumHXE101 a :ProductionEquipment ; rdfs:label '</t>
    </r>
    <r>
      <rPr>
        <sz val="10"/>
        <rFont val="Noto Sans CJK SC"/>
        <family val="2"/>
      </rPr>
      <t>钛材换热器</t>
    </r>
    <r>
      <rPr>
        <sz val="10"/>
        <rFont val="Consolas"/>
        <family val="3"/>
      </rPr>
      <t>E101'@zh ; :processSection 'S14' .</t>
    </r>
  </si>
  <si>
    <r>
      <rPr>
        <sz val="10"/>
        <rFont val="Consolas"/>
        <family val="3"/>
      </rPr>
      <t>:TitaniumHXE101_P01 a :EquipmentComponent ; rdfs:label '</t>
    </r>
    <r>
      <rPr>
        <sz val="10"/>
        <rFont val="Noto Sans CJK SC"/>
        <family val="2"/>
      </rPr>
      <t>钛材换热器</t>
    </r>
    <r>
      <rPr>
        <sz val="10"/>
        <rFont val="Consolas"/>
        <family val="3"/>
      </rPr>
      <t>E101·</t>
    </r>
    <r>
      <rPr>
        <sz val="10"/>
        <rFont val="Noto Sans CJK SC"/>
        <family val="2"/>
      </rPr>
      <t>冷水</t>
    </r>
    <r>
      <rPr>
        <sz val="10"/>
        <rFont val="Consolas"/>
        <family val="3"/>
      </rPr>
      <t>(-15℃)/</t>
    </r>
    <r>
      <rPr>
        <sz val="10"/>
        <rFont val="Noto Sans CJK SC"/>
        <family val="2"/>
      </rPr>
      <t>热水</t>
    </r>
    <r>
      <rPr>
        <sz val="10"/>
        <rFont val="Consolas"/>
        <family val="3"/>
      </rPr>
      <t>(30℃)</t>
    </r>
    <r>
      <rPr>
        <sz val="10"/>
        <rFont val="Noto Sans CJK SC"/>
        <family val="2"/>
      </rPr>
      <t>切换阀</t>
    </r>
    <r>
      <rPr>
        <sz val="10"/>
        <rFont val="Consolas"/>
        <family val="3"/>
      </rPr>
      <t>'@zh ; :processSection 'S14' .</t>
    </r>
  </si>
  <si>
    <r>
      <rPr>
        <sz val="10"/>
        <rFont val="Consolas"/>
        <family val="3"/>
      </rPr>
      <t>:ContCrystC101 a :ProductionEquipment ; rdfs:label '</t>
    </r>
    <r>
      <rPr>
        <sz val="10"/>
        <rFont val="Noto Sans CJK SC"/>
        <family val="2"/>
      </rPr>
      <t>一级结晶罐</t>
    </r>
    <r>
      <rPr>
        <sz val="10"/>
        <rFont val="Consolas"/>
        <family val="3"/>
      </rPr>
      <t>C101(</t>
    </r>
    <r>
      <rPr>
        <sz val="10"/>
        <rFont val="Noto Sans CJK SC"/>
        <family val="2"/>
      </rPr>
      <t>北罐</t>
    </r>
    <r>
      <rPr>
        <sz val="10"/>
        <rFont val="Consolas"/>
        <family val="3"/>
      </rPr>
      <t>)'@zh ; :processSection 'S14' .</t>
    </r>
  </si>
  <si>
    <r>
      <rPr>
        <sz val="10"/>
        <rFont val="Consolas"/>
        <family val="3"/>
      </rPr>
      <t>:ContCrystC101_P01 a :EquipmentComponent ; rdfs:label '</t>
    </r>
    <r>
      <rPr>
        <sz val="10"/>
        <rFont val="Noto Sans CJK SC"/>
        <family val="2"/>
      </rPr>
      <t>一级结晶罐</t>
    </r>
    <r>
      <rPr>
        <sz val="10"/>
        <rFont val="Consolas"/>
        <family val="3"/>
      </rPr>
      <t>C101(</t>
    </r>
    <r>
      <rPr>
        <sz val="10"/>
        <rFont val="Noto Sans CJK SC"/>
        <family val="2"/>
      </rPr>
      <t>北罐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搅拌器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变频</t>
    </r>
    <r>
      <rPr>
        <sz val="10"/>
        <rFont val="Consolas"/>
        <family val="3"/>
      </rPr>
      <t>)'@zh ; :processSection 'S14' .</t>
    </r>
  </si>
  <si>
    <r>
      <rPr>
        <sz val="10"/>
        <rFont val="Consolas"/>
        <family val="3"/>
      </rPr>
      <t>:ContCrystC101_P02 a :EquipmentComponent ; rdfs:label '</t>
    </r>
    <r>
      <rPr>
        <sz val="10"/>
        <rFont val="Noto Sans CJK SC"/>
        <family val="2"/>
      </rPr>
      <t>一级结晶罐</t>
    </r>
    <r>
      <rPr>
        <sz val="10"/>
        <rFont val="Consolas"/>
        <family val="3"/>
      </rPr>
      <t>C101(</t>
    </r>
    <r>
      <rPr>
        <sz val="10"/>
        <rFont val="Noto Sans CJK SC"/>
        <family val="2"/>
      </rPr>
      <t>北罐</t>
    </r>
    <r>
      <rPr>
        <sz val="10"/>
        <rFont val="Consolas"/>
        <family val="3"/>
      </rPr>
      <t>)·pH</t>
    </r>
    <r>
      <rPr>
        <sz val="10"/>
        <rFont val="Noto Sans CJK SC"/>
        <family val="2"/>
      </rPr>
      <t>计</t>
    </r>
    <r>
      <rPr>
        <sz val="10"/>
        <rFont val="Consolas"/>
        <family val="3"/>
      </rPr>
      <t>'@zh ; :processSection 'S14' .</t>
    </r>
  </si>
  <si>
    <r>
      <rPr>
        <sz val="10"/>
        <rFont val="Consolas"/>
        <family val="3"/>
      </rPr>
      <t>:ContCrystC101_P03 a :EquipmentComponent ; rdfs:label '</t>
    </r>
    <r>
      <rPr>
        <sz val="10"/>
        <rFont val="Noto Sans CJK SC"/>
        <family val="2"/>
      </rPr>
      <t>一级结晶罐</t>
    </r>
    <r>
      <rPr>
        <sz val="10"/>
        <rFont val="Consolas"/>
        <family val="3"/>
      </rPr>
      <t>C101(</t>
    </r>
    <r>
      <rPr>
        <sz val="10"/>
        <rFont val="Noto Sans CJK SC"/>
        <family val="2"/>
      </rPr>
      <t>北罐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温度计</t>
    </r>
    <r>
      <rPr>
        <sz val="10"/>
        <rFont val="Consolas"/>
        <family val="3"/>
      </rPr>
      <t>'@zh ; :processSection 'S14' .</t>
    </r>
  </si>
  <si>
    <r>
      <rPr>
        <sz val="10"/>
        <rFont val="Consolas"/>
        <family val="3"/>
      </rPr>
      <t>:ContCrystC101_P04 a :EquipmentComponent ; rdfs:label '</t>
    </r>
    <r>
      <rPr>
        <sz val="10"/>
        <rFont val="Noto Sans CJK SC"/>
        <family val="2"/>
      </rPr>
      <t>一级结晶罐</t>
    </r>
    <r>
      <rPr>
        <sz val="10"/>
        <rFont val="Consolas"/>
        <family val="3"/>
      </rPr>
      <t>C101(</t>
    </r>
    <r>
      <rPr>
        <sz val="10"/>
        <rFont val="Noto Sans CJK SC"/>
        <family val="2"/>
      </rPr>
      <t>北罐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氨水调节阀</t>
    </r>
    <r>
      <rPr>
        <sz val="10"/>
        <rFont val="Consolas"/>
        <family val="3"/>
      </rPr>
      <t>1#'@zh ; :processSection 'S14' .</t>
    </r>
  </si>
  <si>
    <r>
      <rPr>
        <sz val="10"/>
        <rFont val="Consolas"/>
        <family val="3"/>
      </rPr>
      <t>:ContCrystC102 a :ProductionEquipment ; rdfs:label '</t>
    </r>
    <r>
      <rPr>
        <sz val="10"/>
        <rFont val="Noto Sans CJK SC"/>
        <family val="2"/>
      </rPr>
      <t>二级结晶罐</t>
    </r>
    <r>
      <rPr>
        <sz val="10"/>
        <rFont val="Consolas"/>
        <family val="3"/>
      </rPr>
      <t>C102(</t>
    </r>
    <r>
      <rPr>
        <sz val="10"/>
        <rFont val="Noto Sans CJK SC"/>
        <family val="2"/>
      </rPr>
      <t>南罐</t>
    </r>
    <r>
      <rPr>
        <sz val="10"/>
        <rFont val="Consolas"/>
        <family val="3"/>
      </rPr>
      <t>)'@zh ; :processSection 'S14' .</t>
    </r>
  </si>
  <si>
    <r>
      <rPr>
        <sz val="10"/>
        <rFont val="Consolas"/>
        <family val="3"/>
      </rPr>
      <t>:ContCrystC102_P01 a :EquipmentComponent ; rdfs:label '</t>
    </r>
    <r>
      <rPr>
        <sz val="10"/>
        <rFont val="Noto Sans CJK SC"/>
        <family val="2"/>
      </rPr>
      <t>二级结晶罐</t>
    </r>
    <r>
      <rPr>
        <sz val="10"/>
        <rFont val="Consolas"/>
        <family val="3"/>
      </rPr>
      <t>C102(</t>
    </r>
    <r>
      <rPr>
        <sz val="10"/>
        <rFont val="Noto Sans CJK SC"/>
        <family val="2"/>
      </rPr>
      <t>南罐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搅拌器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变频</t>
    </r>
    <r>
      <rPr>
        <sz val="10"/>
        <rFont val="Consolas"/>
        <family val="3"/>
      </rPr>
      <t>)'@zh ; :processSection 'S14' .</t>
    </r>
  </si>
  <si>
    <r>
      <rPr>
        <sz val="10"/>
        <rFont val="Consolas"/>
        <family val="3"/>
      </rPr>
      <t>:ContCrystC102_P02 a :EquipmentComponent ; rdfs:label '</t>
    </r>
    <r>
      <rPr>
        <sz val="10"/>
        <rFont val="Noto Sans CJK SC"/>
        <family val="2"/>
      </rPr>
      <t>二级结晶罐</t>
    </r>
    <r>
      <rPr>
        <sz val="10"/>
        <rFont val="Consolas"/>
        <family val="3"/>
      </rPr>
      <t>C102(</t>
    </r>
    <r>
      <rPr>
        <sz val="10"/>
        <rFont val="Noto Sans CJK SC"/>
        <family val="2"/>
      </rPr>
      <t>南罐</t>
    </r>
    <r>
      <rPr>
        <sz val="10"/>
        <rFont val="Consolas"/>
        <family val="3"/>
      </rPr>
      <t>)·pH</t>
    </r>
    <r>
      <rPr>
        <sz val="10"/>
        <rFont val="Noto Sans CJK SC"/>
        <family val="2"/>
      </rPr>
      <t>计</t>
    </r>
    <r>
      <rPr>
        <sz val="10"/>
        <rFont val="Consolas"/>
        <family val="3"/>
      </rPr>
      <t>'@zh ; :processSection 'S14' .</t>
    </r>
  </si>
  <si>
    <r>
      <rPr>
        <sz val="10"/>
        <rFont val="Consolas"/>
        <family val="3"/>
      </rPr>
      <t>:ContCrystC102_P03 a :EquipmentComponent ; rdfs:label '</t>
    </r>
    <r>
      <rPr>
        <sz val="10"/>
        <rFont val="Noto Sans CJK SC"/>
        <family val="2"/>
      </rPr>
      <t>二级结晶罐</t>
    </r>
    <r>
      <rPr>
        <sz val="10"/>
        <rFont val="Consolas"/>
        <family val="3"/>
      </rPr>
      <t>C102(</t>
    </r>
    <r>
      <rPr>
        <sz val="10"/>
        <rFont val="Noto Sans CJK SC"/>
        <family val="2"/>
      </rPr>
      <t>南罐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温度计</t>
    </r>
    <r>
      <rPr>
        <sz val="10"/>
        <rFont val="Consolas"/>
        <family val="3"/>
      </rPr>
      <t>'@zh ; :processSection 'S14' .</t>
    </r>
  </si>
  <si>
    <r>
      <rPr>
        <sz val="10"/>
        <rFont val="Consolas"/>
        <family val="3"/>
      </rPr>
      <t>:ContCrystC102_P04 a :EquipmentComponent ; rdfs:label '</t>
    </r>
    <r>
      <rPr>
        <sz val="10"/>
        <rFont val="Noto Sans CJK SC"/>
        <family val="2"/>
      </rPr>
      <t>二级结晶罐</t>
    </r>
    <r>
      <rPr>
        <sz val="10"/>
        <rFont val="Consolas"/>
        <family val="3"/>
      </rPr>
      <t>C102(</t>
    </r>
    <r>
      <rPr>
        <sz val="10"/>
        <rFont val="Noto Sans CJK SC"/>
        <family val="2"/>
      </rPr>
      <t>南罐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氨水调节阀</t>
    </r>
    <r>
      <rPr>
        <sz val="10"/>
        <rFont val="Consolas"/>
        <family val="3"/>
      </rPr>
      <t>2#'@zh ; :processSection 'S14' .</t>
    </r>
  </si>
  <si>
    <r>
      <rPr>
        <sz val="10"/>
        <rFont val="Consolas"/>
        <family val="3"/>
      </rPr>
      <t>:ContCrystPumps a :ProductionEquipment ; rdfs:label '</t>
    </r>
    <r>
      <rPr>
        <sz val="10"/>
        <rFont val="Noto Sans CJK SC"/>
        <family val="2"/>
      </rPr>
      <t>第一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二级出料泵</t>
    </r>
    <r>
      <rPr>
        <sz val="10"/>
        <rFont val="Consolas"/>
        <family val="3"/>
      </rPr>
      <t>P101/P102'@zh ; :processSection 'S14' .</t>
    </r>
  </si>
  <si>
    <t>:ContCrystPumps_M01 a :EquipmentInstance ; rdfs:label 'P101A'@zh ; :processSection 'S14' .</t>
  </si>
  <si>
    <t>:ContCrystPumps_M02 a :EquipmentInstance ; rdfs:label 'P101B'@zh ; :processSection 'S14' .</t>
  </si>
  <si>
    <t>:ContCrystPumps_M03 a :EquipmentInstance ; rdfs:label 'P102C'@zh ; :processSection 'S14' .</t>
  </si>
  <si>
    <t>:ContCrystPumps_M04 a :EquipmentInstance ; rdfs:label 'P102D'@zh ; :processSection 'S14' .</t>
  </si>
  <si>
    <r>
      <rPr>
        <sz val="10"/>
        <rFont val="Consolas"/>
        <family val="3"/>
      </rPr>
      <t>:ContCrystPumps_P01 a :EquipmentComponent ; rdfs:label '</t>
    </r>
    <r>
      <rPr>
        <sz val="10"/>
        <rFont val="Noto Sans CJK SC"/>
        <family val="2"/>
      </rPr>
      <t>第一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二级出料泵</t>
    </r>
    <r>
      <rPr>
        <sz val="10"/>
        <rFont val="Consolas"/>
        <family val="3"/>
      </rPr>
      <t>P101/P102·</t>
    </r>
    <r>
      <rPr>
        <sz val="10"/>
        <rFont val="Noto Sans CJK SC"/>
        <family val="2"/>
      </rPr>
      <t>变频器</t>
    </r>
    <r>
      <rPr>
        <sz val="10"/>
        <rFont val="Consolas"/>
        <family val="3"/>
      </rPr>
      <t>'@zh ; :processSection 'S14' .</t>
    </r>
  </si>
  <si>
    <r>
      <rPr>
        <sz val="10"/>
        <rFont val="Consolas"/>
        <family val="3"/>
      </rPr>
      <t>:AgingTanksR118R119 a :ProductionEquipment ; rdfs:label '</t>
    </r>
    <r>
      <rPr>
        <sz val="10"/>
        <rFont val="Noto Sans CJK SC"/>
        <family val="2"/>
      </rPr>
      <t>养晶结晶罐</t>
    </r>
    <r>
      <rPr>
        <sz val="10"/>
        <rFont val="Consolas"/>
        <family val="3"/>
      </rPr>
      <t>R118/R119'@zh ; :processSection 'S14' .</t>
    </r>
  </si>
  <si>
    <r>
      <rPr>
        <sz val="10"/>
        <rFont val="Consolas"/>
        <family val="3"/>
      </rPr>
      <t>:AgingTanksR118R119_P01 a :EquipmentComponent ; rdfs:label '</t>
    </r>
    <r>
      <rPr>
        <sz val="10"/>
        <rFont val="Noto Sans CJK SC"/>
        <family val="2"/>
      </rPr>
      <t>养晶结晶罐</t>
    </r>
    <r>
      <rPr>
        <sz val="10"/>
        <rFont val="Consolas"/>
        <family val="3"/>
      </rPr>
      <t>R118/R119·</t>
    </r>
    <r>
      <rPr>
        <sz val="10"/>
        <rFont val="Noto Sans CJK SC"/>
        <family val="2"/>
      </rPr>
      <t>冰盐水调节阀</t>
    </r>
    <r>
      <rPr>
        <sz val="10"/>
        <rFont val="Consolas"/>
        <family val="3"/>
      </rPr>
      <t>JJG118_BYS/JJG119_BYS'@zh ; :processSection 'S14' .</t>
    </r>
  </si>
  <si>
    <r>
      <rPr>
        <sz val="10"/>
        <rFont val="Consolas"/>
        <family val="3"/>
      </rPr>
      <t>:OutdoorAmmoniaTank a :ProductionEquipment ; rdfs:label '</t>
    </r>
    <r>
      <rPr>
        <sz val="10"/>
        <rFont val="Noto Sans CJK SC"/>
        <family val="2"/>
      </rPr>
      <t>室外氨水储罐</t>
    </r>
    <r>
      <rPr>
        <sz val="10"/>
        <rFont val="Consolas"/>
        <family val="3"/>
      </rPr>
      <t>'@zh ; :processSection 'S15' .</t>
    </r>
  </si>
  <si>
    <r>
      <rPr>
        <sz val="10"/>
        <rFont val="Consolas"/>
        <family val="3"/>
      </rPr>
      <t>:OutdoorAmmoniaTank_P01 a :EquipmentComponent ; rdfs:label '</t>
    </r>
    <r>
      <rPr>
        <sz val="10"/>
        <rFont val="Noto Sans CJK SC"/>
        <family val="2"/>
      </rPr>
      <t>室外氨水储罐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LT_AS01'@zh ; :processSection 'S15' .</t>
    </r>
  </si>
  <si>
    <r>
      <rPr>
        <sz val="10"/>
        <rFont val="Consolas"/>
        <family val="3"/>
      </rPr>
      <t>:AmmoniaTransferPumps a :ProductionEquipment ; rdfs:label '</t>
    </r>
    <r>
      <rPr>
        <sz val="10"/>
        <rFont val="Noto Sans CJK SC"/>
        <family val="2"/>
      </rPr>
      <t>氨水输送泵组</t>
    </r>
    <r>
      <rPr>
        <sz val="10"/>
        <rFont val="Consolas"/>
        <family val="3"/>
      </rPr>
      <t>'@zh ; :processSection 'S15' .</t>
    </r>
  </si>
  <si>
    <r>
      <rPr>
        <sz val="10"/>
        <rFont val="Consolas"/>
        <family val="3"/>
      </rPr>
      <t>:AmmoniaTransferPumps_M01 a :EquipmentInstance ; rdfs:label '</t>
    </r>
    <r>
      <rPr>
        <sz val="10"/>
        <rFont val="Noto Sans CJK SC"/>
        <family val="2"/>
      </rPr>
      <t>氨水去结晶泵</t>
    </r>
    <r>
      <rPr>
        <sz val="10"/>
        <rFont val="Consolas"/>
        <family val="3"/>
      </rPr>
      <t>B'@zh ; :processSection 'S15' .</t>
    </r>
  </si>
  <si>
    <r>
      <rPr>
        <sz val="10"/>
        <rFont val="Consolas"/>
        <family val="3"/>
      </rPr>
      <t>:AmmoniaTransferPumps_M02 a :EquipmentInstance ; rdfs:label '</t>
    </r>
    <r>
      <rPr>
        <sz val="10"/>
        <rFont val="Noto Sans CJK SC"/>
        <family val="2"/>
      </rPr>
      <t>氨水去结晶泵</t>
    </r>
    <r>
      <rPr>
        <sz val="10"/>
        <rFont val="Consolas"/>
        <family val="3"/>
      </rPr>
      <t>D'@zh ; :processSection 'S15' .</t>
    </r>
  </si>
  <si>
    <r>
      <rPr>
        <sz val="10"/>
        <rFont val="Consolas"/>
        <family val="3"/>
      </rPr>
      <t>:AmmoniaTransferPumps_M03 a :EquipmentInstance ; rdfs:label '</t>
    </r>
    <r>
      <rPr>
        <sz val="10"/>
        <rFont val="Noto Sans CJK SC"/>
        <family val="2"/>
      </rPr>
      <t>氨水去水解泵</t>
    </r>
    <r>
      <rPr>
        <sz val="10"/>
        <rFont val="Consolas"/>
        <family val="3"/>
      </rPr>
      <t>A'@zh ; :processSection 'S15' .</t>
    </r>
  </si>
  <si>
    <r>
      <rPr>
        <sz val="10"/>
        <rFont val="Consolas"/>
        <family val="3"/>
      </rPr>
      <t>:AmmoniaTransferPumps_M04 a :EquipmentInstance ; rdfs:label '</t>
    </r>
    <r>
      <rPr>
        <sz val="10"/>
        <rFont val="Noto Sans CJK SC"/>
        <family val="2"/>
      </rPr>
      <t>氨水去水解泵</t>
    </r>
    <r>
      <rPr>
        <sz val="10"/>
        <rFont val="Consolas"/>
        <family val="3"/>
      </rPr>
      <t>C'@zh ; :processSection 'S15' .</t>
    </r>
  </si>
  <si>
    <r>
      <rPr>
        <sz val="10"/>
        <rFont val="Consolas"/>
        <family val="3"/>
      </rPr>
      <t>:OutdoorHClTanks a :ProductionEquipment ; rdfs:label '</t>
    </r>
    <r>
      <rPr>
        <sz val="10"/>
        <rFont val="Noto Sans CJK SC"/>
        <family val="2"/>
      </rPr>
      <t>室外盐酸储罐组</t>
    </r>
    <r>
      <rPr>
        <sz val="10"/>
        <rFont val="Consolas"/>
        <family val="3"/>
      </rPr>
      <t>'@zh ; :processSection 'S15' .</t>
    </r>
  </si>
  <si>
    <r>
      <rPr>
        <sz val="10"/>
        <rFont val="Consolas"/>
        <family val="3"/>
      </rPr>
      <t>:OutdoorHClTanks_M01 a :EquipmentInstance ; rdfs:label '</t>
    </r>
    <r>
      <rPr>
        <sz val="10"/>
        <rFont val="Noto Sans CJK SC"/>
        <family val="2"/>
      </rPr>
      <t>室外盐酸罐</t>
    </r>
    <r>
      <rPr>
        <sz val="10"/>
        <rFont val="Consolas"/>
        <family val="3"/>
      </rPr>
      <t>01(A)'@zh ; :processSection 'S15' .</t>
    </r>
  </si>
  <si>
    <r>
      <rPr>
        <sz val="10"/>
        <rFont val="Consolas"/>
        <family val="3"/>
      </rPr>
      <t>:OutdoorHClTanks_M02 a :EquipmentInstance ; rdfs:label '</t>
    </r>
    <r>
      <rPr>
        <sz val="10"/>
        <rFont val="Noto Sans CJK SC"/>
        <family val="2"/>
      </rPr>
      <t>室外盐酸罐</t>
    </r>
    <r>
      <rPr>
        <sz val="10"/>
        <rFont val="Consolas"/>
        <family val="3"/>
      </rPr>
      <t>02(B)'@zh ; :processSection 'S15' .</t>
    </r>
  </si>
  <si>
    <r>
      <rPr>
        <sz val="10"/>
        <rFont val="Consolas"/>
        <family val="3"/>
      </rPr>
      <t>:OutdoorHClTanks_M03 a :EquipmentInstance ; rdfs:label '</t>
    </r>
    <r>
      <rPr>
        <sz val="10"/>
        <rFont val="Noto Sans CJK SC"/>
        <family val="2"/>
      </rPr>
      <t>室外盐酸罐</t>
    </r>
    <r>
      <rPr>
        <sz val="10"/>
        <rFont val="Consolas"/>
        <family val="3"/>
      </rPr>
      <t>03(C)'@zh ; :processSection 'S15' .</t>
    </r>
  </si>
  <si>
    <r>
      <rPr>
        <sz val="10"/>
        <rFont val="Consolas"/>
        <family val="3"/>
      </rPr>
      <t>:OutdoorHClTanks_M04 a :EquipmentInstance ; rdfs:label '</t>
    </r>
    <r>
      <rPr>
        <sz val="10"/>
        <rFont val="Noto Sans CJK SC"/>
        <family val="2"/>
      </rPr>
      <t>室外盐酸罐</t>
    </r>
    <r>
      <rPr>
        <sz val="10"/>
        <rFont val="Consolas"/>
        <family val="3"/>
      </rPr>
      <t>04(D)'@zh ; :processSection 'S15' .</t>
    </r>
  </si>
  <si>
    <r>
      <rPr>
        <sz val="10"/>
        <rFont val="Consolas"/>
        <family val="3"/>
      </rPr>
      <t>:OutdoorHClTanks_P01 a :EquipmentComponent ; rdfs:label '</t>
    </r>
    <r>
      <rPr>
        <sz val="10"/>
        <rFont val="Noto Sans CJK SC"/>
        <family val="2"/>
      </rPr>
      <t>室外盐酸储罐组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'S15' .</t>
    </r>
  </si>
  <si>
    <r>
      <rPr>
        <sz val="10"/>
        <rFont val="Consolas"/>
        <family val="3"/>
      </rPr>
      <t>:OutdoorHClTanks_P02 a :EquipmentComponent ; rdfs:label '</t>
    </r>
    <r>
      <rPr>
        <sz val="10"/>
        <rFont val="Noto Sans CJK SC"/>
        <family val="2"/>
      </rPr>
      <t>室外盐酸储罐组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低液位报警</t>
    </r>
    <r>
      <rPr>
        <sz val="10"/>
        <rFont val="Consolas"/>
        <family val="3"/>
      </rPr>
      <t>'@zh ; :processSection 'S15' .</t>
    </r>
  </si>
  <si>
    <r>
      <rPr>
        <sz val="10"/>
        <rFont val="Consolas"/>
        <family val="3"/>
      </rPr>
      <t>:HClAbsorber a :ProductionEquipment ; rdfs:label '</t>
    </r>
    <r>
      <rPr>
        <sz val="10"/>
        <rFont val="Noto Sans CJK SC"/>
        <family val="2"/>
      </rPr>
      <t>盐酸吸收塔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吸收罐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室外中和罐</t>
    </r>
    <r>
      <rPr>
        <sz val="10"/>
        <rFont val="Consolas"/>
        <family val="3"/>
      </rPr>
      <t>)'@zh ; :processSection 'S15' .</t>
    </r>
  </si>
  <si>
    <r>
      <rPr>
        <sz val="10"/>
        <rFont val="Consolas"/>
        <family val="3"/>
      </rPr>
      <t>:HClAbsorber_P01 a :EquipmentComponent ; rdfs:label '</t>
    </r>
    <r>
      <rPr>
        <sz val="10"/>
        <rFont val="Noto Sans CJK SC"/>
        <family val="2"/>
      </rPr>
      <t>盐酸吸收塔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吸收罐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室外中和罐</t>
    </r>
    <r>
      <rPr>
        <sz val="10"/>
        <rFont val="Consolas"/>
        <family val="3"/>
      </rPr>
      <t>)·pH</t>
    </r>
    <r>
      <rPr>
        <sz val="10"/>
        <rFont val="Noto Sans CJK SC"/>
        <family val="2"/>
      </rPr>
      <t>计</t>
    </r>
    <r>
      <rPr>
        <sz val="10"/>
        <rFont val="Consolas"/>
        <family val="3"/>
      </rPr>
      <t>AT_1501'@zh ; :processSection 'S15' .</t>
    </r>
  </si>
  <si>
    <r>
      <rPr>
        <sz val="10"/>
        <rFont val="Consolas"/>
        <family val="3"/>
      </rPr>
      <t>:HClAbsorber_P02 a :EquipmentComponent ; rdfs:label '</t>
    </r>
    <r>
      <rPr>
        <sz val="10"/>
        <rFont val="Noto Sans CJK SC"/>
        <family val="2"/>
      </rPr>
      <t>盐酸吸收塔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吸收罐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室外中和罐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进水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进碱阀</t>
    </r>
    <r>
      <rPr>
        <sz val="10"/>
        <rFont val="Consolas"/>
        <family val="3"/>
      </rPr>
      <t>'@zh ; :processSection 'S15' .</t>
    </r>
  </si>
  <si>
    <r>
      <rPr>
        <sz val="10"/>
        <rFont val="Consolas"/>
        <family val="3"/>
      </rPr>
      <t>:CrystSoftWaterTank a :ProductionEquipment ; rdfs:label '</t>
    </r>
    <r>
      <rPr>
        <sz val="10"/>
        <rFont val="Noto Sans CJK SC"/>
        <family val="2"/>
      </rPr>
      <t>结晶软水罐</t>
    </r>
    <r>
      <rPr>
        <sz val="10"/>
        <rFont val="Consolas"/>
        <family val="3"/>
      </rPr>
      <t>'@zh ; :processSection 'S15' .</t>
    </r>
  </si>
  <si>
    <r>
      <rPr>
        <sz val="10"/>
        <rFont val="Consolas"/>
        <family val="3"/>
      </rPr>
      <t>:CrystSoftWaterTank_P01 a :EquipmentComponent ; rdfs:label '</t>
    </r>
    <r>
      <rPr>
        <sz val="10"/>
        <rFont val="Noto Sans CJK SC"/>
        <family val="2"/>
      </rPr>
      <t>结晶软水罐</t>
    </r>
    <r>
      <rPr>
        <sz val="10"/>
        <rFont val="Consolas"/>
        <family val="3"/>
      </rPr>
      <t>·pH</t>
    </r>
    <r>
      <rPr>
        <sz val="10"/>
        <rFont val="Noto Sans CJK SC"/>
        <family val="2"/>
      </rPr>
      <t>计</t>
    </r>
    <r>
      <rPr>
        <sz val="10"/>
        <rFont val="Consolas"/>
        <family val="3"/>
      </rPr>
      <t>'@zh ; :processSection 'S15' .</t>
    </r>
  </si>
  <si>
    <r>
      <rPr>
        <sz val="10"/>
        <rFont val="Consolas"/>
        <family val="3"/>
      </rPr>
      <t>:CrystSoftWaterTank_P02 a :EquipmentComponent ; rdfs:label '</t>
    </r>
    <r>
      <rPr>
        <sz val="10"/>
        <rFont val="Noto Sans CJK SC"/>
        <family val="2"/>
      </rPr>
      <t>结晶软水罐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温度计</t>
    </r>
    <r>
      <rPr>
        <sz val="10"/>
        <rFont val="Consolas"/>
        <family val="3"/>
      </rPr>
      <t>'@zh ; :processSection 'S15' .</t>
    </r>
  </si>
  <si>
    <r>
      <rPr>
        <sz val="10"/>
        <rFont val="Consolas"/>
        <family val="3"/>
      </rPr>
      <t>:DryerGroup a :ProductionEquipment ; rdfs:label '6APA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)'@zh ; :processSection 'S16' .</t>
    </r>
  </si>
  <si>
    <r>
      <rPr>
        <sz val="10"/>
        <rFont val="Consolas"/>
        <family val="3"/>
      </rPr>
      <t>:DryerGroup_M01 a :EquipmentInstance ; rdfs:label '</t>
    </r>
    <r>
      <rPr>
        <sz val="10"/>
        <rFont val="Noto Sans CJK SC"/>
        <family val="2"/>
      </rPr>
      <t>双锥干燥罐</t>
    </r>
    <r>
      <rPr>
        <sz val="10"/>
        <rFont val="Consolas"/>
        <family val="3"/>
      </rPr>
      <t>A'@zh ; :processSection 'S16' .</t>
    </r>
  </si>
  <si>
    <r>
      <rPr>
        <sz val="10"/>
        <rFont val="Consolas"/>
        <family val="3"/>
      </rPr>
      <t>:DryerGroup_M02 a :EquipmentInstance ; rdfs:label '</t>
    </r>
    <r>
      <rPr>
        <sz val="10"/>
        <rFont val="Noto Sans CJK SC"/>
        <family val="2"/>
      </rPr>
      <t>双锥干燥罐</t>
    </r>
    <r>
      <rPr>
        <sz val="10"/>
        <rFont val="Consolas"/>
        <family val="3"/>
      </rPr>
      <t>B'@zh ; :processSection 'S16' .</t>
    </r>
  </si>
  <si>
    <r>
      <rPr>
        <sz val="10"/>
        <rFont val="Consolas"/>
        <family val="3"/>
      </rPr>
      <t>:DryerGroup_M03 a :EquipmentInstance ; rdfs:label '</t>
    </r>
    <r>
      <rPr>
        <sz val="10"/>
        <rFont val="Noto Sans CJK SC"/>
        <family val="2"/>
      </rPr>
      <t>二合一过滤干燥机</t>
    </r>
    <r>
      <rPr>
        <sz val="10"/>
        <rFont val="Consolas"/>
        <family val="3"/>
      </rPr>
      <t>'@zh ; :processSection 'S16' .</t>
    </r>
  </si>
  <si>
    <r>
      <rPr>
        <sz val="10"/>
        <rFont val="Consolas"/>
        <family val="3"/>
      </rPr>
      <t>:DryerGroup_P01 a :EquipmentComponent ; rdfs:label '6APA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蒸汽进出口阀</t>
    </r>
    <r>
      <rPr>
        <sz val="10"/>
        <rFont val="Consolas"/>
        <family val="3"/>
      </rPr>
      <t>'@zh ; :processSection 'S16' .</t>
    </r>
  </si>
  <si>
    <r>
      <rPr>
        <sz val="10"/>
        <rFont val="Consolas"/>
        <family val="3"/>
      </rPr>
      <t>:DryerGroup_P02 a :EquipmentComponent ; rdfs:label '6APA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干燥进出口阀</t>
    </r>
    <r>
      <rPr>
        <sz val="10"/>
        <rFont val="Consolas"/>
        <family val="3"/>
      </rPr>
      <t>'@zh ; :processSection 'S16' .</t>
    </r>
  </si>
  <si>
    <r>
      <rPr>
        <sz val="10"/>
        <rFont val="Consolas"/>
        <family val="3"/>
      </rPr>
      <t>:DryerGroup_P03 a :EquipmentComponent ; rdfs:label '6APA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尾气进出口阀</t>
    </r>
    <r>
      <rPr>
        <sz val="10"/>
        <rFont val="Consolas"/>
        <family val="3"/>
      </rPr>
      <t>'@zh ; :processSection 'S16' .</t>
    </r>
  </si>
  <si>
    <r>
      <rPr>
        <sz val="10"/>
        <rFont val="Consolas"/>
        <family val="3"/>
      </rPr>
      <t>:DryerGroup_P04 a :EquipmentComponent ; rdfs:label '6APA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干燥风机</t>
    </r>
    <r>
      <rPr>
        <sz val="10"/>
        <rFont val="Consolas"/>
        <family val="3"/>
      </rPr>
      <t>'@zh ; :processSection 'S16' .</t>
    </r>
  </si>
  <si>
    <r>
      <rPr>
        <sz val="10"/>
        <rFont val="Consolas"/>
        <family val="3"/>
      </rPr>
      <t>:DryerGroup_P05 a :EquipmentComponent ; rdfs:label '6APA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吹冷风机</t>
    </r>
    <r>
      <rPr>
        <sz val="10"/>
        <rFont val="Consolas"/>
        <family val="3"/>
      </rPr>
      <t>'@zh ; :processSection 'S16' .</t>
    </r>
  </si>
  <si>
    <r>
      <rPr>
        <sz val="10"/>
        <rFont val="Consolas"/>
        <family val="3"/>
      </rPr>
      <t>:MotherLiquorTank a :ProductionEquipment ; rdfs:label '</t>
    </r>
    <r>
      <rPr>
        <sz val="10"/>
        <rFont val="Noto Sans CJK SC"/>
        <family val="2"/>
      </rPr>
      <t>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母液缓冲罐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</si>
  <si>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:MotherLiquorTank_M02 a :EquipmentInstance ; rdfs:label '</t>
    </r>
    <r>
      <rPr>
        <sz val="10"/>
        <rFont val="Noto Sans CJK SC"/>
        <family val="2"/>
      </rPr>
      <t>母液缓冲罐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</si>
  <si>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:MotherLiquorTank_M03 a :EquipmentInstance ; rdfs:label '</t>
    </r>
    <r>
      <rPr>
        <sz val="10"/>
        <rFont val="Noto Sans CJK SC"/>
        <family val="2"/>
      </rPr>
      <t>母液储罐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</si>
  <si>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:MotherLiquorTank_P01 a :EquipmentComponent ; rdfs:label '</t>
    </r>
    <r>
      <rPr>
        <sz val="10"/>
        <rFont val="Noto Sans CJK SC"/>
        <family val="2"/>
      </rPr>
      <t>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母液缓冲罐</t>
    </r>
    <r>
      <rPr>
        <sz val="10"/>
        <rFont val="Consolas"/>
        <family val="3"/>
      </rPr>
      <t>·pH</t>
    </r>
    <r>
      <rPr>
        <sz val="10"/>
        <rFont val="Noto Sans CJK SC"/>
        <family val="2"/>
      </rPr>
      <t>计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</si>
  <si>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:MotherLiquorTank_P02 a :EquipmentComponent ; rdfs:label '</t>
    </r>
    <r>
      <rPr>
        <sz val="10"/>
        <rFont val="Noto Sans CJK SC"/>
        <family val="2"/>
      </rPr>
      <t>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母液缓冲罐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</si>
  <si>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:NanofiltrationUnit a :ProductionEquipment ; rdfs:label '</t>
    </r>
    <r>
      <rPr>
        <sz val="10"/>
        <rFont val="Noto Sans CJK SC"/>
        <family val="2"/>
      </rPr>
      <t>纳滤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超滤浓缩单元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</si>
  <si>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:NanofiltrationUnit_P01 a :EquipmentComponent ; rdfs:label '</t>
    </r>
    <r>
      <rPr>
        <sz val="10"/>
        <rFont val="Noto Sans CJK SC"/>
        <family val="2"/>
      </rPr>
      <t>纳滤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超滤浓缩单元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复滤进料泵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</si>
  <si>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:MLCrystallizers a :ProductionEquipment ; rdfs:label '</t>
    </r>
    <r>
      <rPr>
        <sz val="10"/>
        <rFont val="Noto Sans CJK SC"/>
        <family val="2"/>
      </rPr>
      <t>母液结晶罐组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</si>
  <si>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:MLCrystallizers_M01 a :EquipmentInstance ; rdfs:label '</t>
    </r>
    <r>
      <rPr>
        <sz val="10"/>
        <rFont val="Noto Sans CJK SC"/>
        <family val="2"/>
      </rPr>
      <t>母液结晶罐</t>
    </r>
    <r>
      <rPr>
        <sz val="10"/>
        <rFont val="Consolas"/>
        <family val="3"/>
      </rPr>
      <t>A'@zh ; :processSection 'S17' .</t>
    </r>
  </si>
  <si>
    <r>
      <rPr>
        <sz val="10"/>
        <rFont val="Consolas"/>
        <family val="3"/>
      </rPr>
      <t>:MLCrystallizers_M02 a :EquipmentInstance ; rdfs:label '</t>
    </r>
    <r>
      <rPr>
        <sz val="10"/>
        <rFont val="Noto Sans CJK SC"/>
        <family val="2"/>
      </rPr>
      <t>母液结晶罐</t>
    </r>
    <r>
      <rPr>
        <sz val="10"/>
        <rFont val="Consolas"/>
        <family val="3"/>
      </rPr>
      <t>B'@zh ; :processSection 'S17' .</t>
    </r>
  </si>
  <si>
    <r>
      <rPr>
        <sz val="10"/>
        <rFont val="Consolas"/>
        <family val="3"/>
      </rPr>
      <t>:MLCrystallizers_M03 a :EquipmentInstance ; rdfs:label '</t>
    </r>
    <r>
      <rPr>
        <sz val="10"/>
        <rFont val="Noto Sans CJK SC"/>
        <family val="2"/>
      </rPr>
      <t>母液结晶罐</t>
    </r>
    <r>
      <rPr>
        <sz val="10"/>
        <rFont val="Consolas"/>
        <family val="3"/>
      </rPr>
      <t>C'@zh ; :processSection 'S17' .</t>
    </r>
  </si>
  <si>
    <r>
      <rPr>
        <sz val="10"/>
        <rFont val="Consolas"/>
        <family val="3"/>
      </rPr>
      <t>:MLCrystallizers_M04 a :EquipmentInstance ; rdfs:label '</t>
    </r>
    <r>
      <rPr>
        <sz val="10"/>
        <rFont val="Noto Sans CJK SC"/>
        <family val="2"/>
      </rPr>
      <t>母液结晶罐</t>
    </r>
    <r>
      <rPr>
        <sz val="10"/>
        <rFont val="Consolas"/>
        <family val="3"/>
      </rPr>
      <t>D'@zh ; :processSection 'S17' .</t>
    </r>
  </si>
  <si>
    <r>
      <rPr>
        <sz val="10"/>
        <rFont val="Consolas"/>
        <family val="3"/>
      </rPr>
      <t>:MLCrystallizers_P01 a :EquipmentComponent ; rdfs:label '</t>
    </r>
    <r>
      <rPr>
        <sz val="10"/>
        <rFont val="Noto Sans CJK SC"/>
        <family val="2"/>
      </rPr>
      <t>母液结晶罐组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搅拌器</t>
    </r>
    <r>
      <rPr>
        <sz val="10"/>
        <rFont val="Consolas"/>
        <family val="3"/>
      </rPr>
      <t>P_3082'@zh ; :processSection 'S17' .</t>
    </r>
  </si>
  <si>
    <r>
      <rPr>
        <sz val="10"/>
        <rFont val="Consolas"/>
        <family val="3"/>
      </rPr>
      <t>:MLCrystallizers_P02 a :EquipmentComponent ; rdfs:label '</t>
    </r>
    <r>
      <rPr>
        <sz val="10"/>
        <rFont val="Noto Sans CJK SC"/>
        <family val="2"/>
      </rPr>
      <t>母液结晶罐组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温度调节阀</t>
    </r>
    <r>
      <rPr>
        <sz val="10"/>
        <rFont val="Consolas"/>
        <family val="3"/>
      </rPr>
      <t>HV_3078'@zh ; :processSection 'S17' .</t>
    </r>
  </si>
  <si>
    <r>
      <rPr>
        <sz val="10"/>
        <rFont val="Consolas"/>
        <family val="3"/>
      </rPr>
      <t>:DealcoholTower a :ProductionEquipment ; rdfs:label '</t>
    </r>
    <r>
      <rPr>
        <sz val="10"/>
        <rFont val="Noto Sans CJK SC"/>
        <family val="2"/>
      </rPr>
      <t>脱醇脱酯塔组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</si>
  <si>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:DealcoholTower_M01 a :EquipmentInstance ; rdfs:label '</t>
    </r>
    <r>
      <rPr>
        <sz val="10"/>
        <rFont val="Noto Sans CJK SC"/>
        <family val="2"/>
      </rPr>
      <t>脱醇脱酯</t>
    </r>
    <r>
      <rPr>
        <sz val="10"/>
        <rFont val="Consolas"/>
        <family val="3"/>
      </rPr>
      <t>A</t>
    </r>
    <r>
      <rPr>
        <sz val="10"/>
        <rFont val="Noto Sans CJK SC"/>
        <family val="2"/>
      </rPr>
      <t>塔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</si>
  <si>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:DealcoholTower_M02 a :EquipmentInstance ; rdfs:label '</t>
    </r>
    <r>
      <rPr>
        <sz val="10"/>
        <rFont val="Noto Sans CJK SC"/>
        <family val="2"/>
      </rPr>
      <t>脱醇脱酯</t>
    </r>
    <r>
      <rPr>
        <sz val="10"/>
        <rFont val="Consolas"/>
        <family val="3"/>
      </rPr>
      <t>B</t>
    </r>
    <r>
      <rPr>
        <sz val="10"/>
        <rFont val="Noto Sans CJK SC"/>
        <family val="2"/>
      </rPr>
      <t>塔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</si>
  <si>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:DealcoholTower_P01 a :EquipmentComponent ; rdfs:label '</t>
    </r>
    <r>
      <rPr>
        <sz val="10"/>
        <rFont val="Noto Sans CJK SC"/>
        <family val="2"/>
      </rPr>
      <t>脱醇脱酯塔组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加热器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</si>
  <si>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:DealcoholTower_P02 a :EquipmentComponent ; rdfs:label '</t>
    </r>
    <r>
      <rPr>
        <sz val="10"/>
        <rFont val="Noto Sans CJK SC"/>
        <family val="2"/>
      </rPr>
      <t>脱醇脱酯塔组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预热器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</si>
  <si>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:DealcoholTower_P03 a :EquipmentComponent ; rdfs:label '</t>
    </r>
    <r>
      <rPr>
        <sz val="10"/>
        <rFont val="Noto Sans CJK SC"/>
        <family val="2"/>
      </rPr>
      <t>脱醇脱酯塔组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二冷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尾冷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</si>
  <si>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:MLTowers a :ProductionEquipment ; rdfs:label '</t>
    </r>
    <r>
      <rPr>
        <sz val="10"/>
        <rFont val="Noto Sans CJK SC"/>
        <family val="2"/>
      </rPr>
      <t>母液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>塔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</si>
  <si>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:MLTowers_M01 a :EquipmentInstance ; rdfs:label '</t>
    </r>
    <r>
      <rPr>
        <sz val="10"/>
        <rFont val="Noto Sans CJK SC"/>
        <family val="2"/>
      </rPr>
      <t>母液</t>
    </r>
    <r>
      <rPr>
        <sz val="10"/>
        <rFont val="Consolas"/>
        <family val="3"/>
      </rPr>
      <t>A</t>
    </r>
    <r>
      <rPr>
        <sz val="10"/>
        <rFont val="Noto Sans CJK SC"/>
        <family val="2"/>
      </rPr>
      <t>塔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</si>
  <si>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:MLTowers_M02 a :EquipmentInstance ; rdfs:label '</t>
    </r>
    <r>
      <rPr>
        <sz val="10"/>
        <rFont val="Noto Sans CJK SC"/>
        <family val="2"/>
      </rPr>
      <t>母液</t>
    </r>
    <r>
      <rPr>
        <sz val="10"/>
        <rFont val="Consolas"/>
        <family val="3"/>
      </rPr>
      <t>B</t>
    </r>
    <r>
      <rPr>
        <sz val="10"/>
        <rFont val="Noto Sans CJK SC"/>
        <family val="2"/>
      </rPr>
      <t>塔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</si>
  <si>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:BuOHDistillation a :ProductionEquipment ; rdfs:label '</t>
    </r>
    <r>
      <rPr>
        <sz val="10"/>
        <rFont val="Noto Sans CJK SC"/>
        <family val="2"/>
      </rPr>
      <t>丁醇精馏塔组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</si>
  <si>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:BuOHDistillation_M01 a :EquipmentInstance ; rdfs:label '</t>
    </r>
    <r>
      <rPr>
        <sz val="10"/>
        <rFont val="Noto Sans CJK SC"/>
        <family val="2"/>
      </rPr>
      <t>丁醇精馏</t>
    </r>
    <r>
      <rPr>
        <sz val="10"/>
        <rFont val="Consolas"/>
        <family val="3"/>
      </rPr>
      <t>A</t>
    </r>
    <r>
      <rPr>
        <sz val="10"/>
        <rFont val="Noto Sans CJK SC"/>
        <family val="2"/>
      </rPr>
      <t>塔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</si>
  <si>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:BuOHDistillation_M02 a :EquipmentInstance ; rdfs:label '</t>
    </r>
    <r>
      <rPr>
        <sz val="10"/>
        <rFont val="Noto Sans CJK SC"/>
        <family val="2"/>
      </rPr>
      <t>丁醇精馏</t>
    </r>
    <r>
      <rPr>
        <sz val="10"/>
        <rFont val="Consolas"/>
        <family val="3"/>
      </rPr>
      <t>B</t>
    </r>
    <r>
      <rPr>
        <sz val="10"/>
        <rFont val="Noto Sans CJK SC"/>
        <family val="2"/>
      </rPr>
      <t>塔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</si>
  <si>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:BuOHDistillation_M03 a :EquipmentInstance ; rdfs:label '</t>
    </r>
    <r>
      <rPr>
        <sz val="10"/>
        <rFont val="Noto Sans CJK SC"/>
        <family val="2"/>
      </rPr>
      <t>丁醇精馏塔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醇酯分离</t>
    </r>
    <r>
      <rPr>
        <sz val="10"/>
        <rFont val="Consolas"/>
        <family val="3"/>
      </rPr>
      <t>)'@zh ; :processSection 'S18' .</t>
    </r>
  </si>
  <si>
    <r>
      <rPr>
        <sz val="10"/>
        <rFont val="Consolas"/>
        <family val="3"/>
      </rPr>
      <t>:BuOHDistillation_P01 a :EquipmentComponent ; rdfs:label '</t>
    </r>
    <r>
      <rPr>
        <sz val="10"/>
        <rFont val="Noto Sans CJK SC"/>
        <family val="2"/>
      </rPr>
      <t>丁醇精馏塔组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再沸器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</si>
  <si>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:BuOHDistillation_P02 a :EquipmentComponent ; rdfs:label '</t>
    </r>
    <r>
      <rPr>
        <sz val="10"/>
        <rFont val="Noto Sans CJK SC"/>
        <family val="2"/>
      </rPr>
      <t>丁醇精馏塔组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一冷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二冷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尾冷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</si>
  <si>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:BuOHDistillation_P03 a :EquipmentComponent ; rdfs:label '</t>
    </r>
    <r>
      <rPr>
        <sz val="10"/>
        <rFont val="Noto Sans CJK SC"/>
        <family val="2"/>
      </rPr>
      <t>丁醇精馏塔组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回流罐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</si>
  <si>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:BuOHDecolorTower a :ProductionEquipment ; rdfs:label '</t>
    </r>
    <r>
      <rPr>
        <sz val="10"/>
        <rFont val="Noto Sans CJK SC"/>
        <family val="2"/>
      </rPr>
      <t>丁醇脱色塔组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</si>
  <si>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:BuOHDecolorTower_M01 a :EquipmentInstance ; rdfs:label '</t>
    </r>
    <r>
      <rPr>
        <sz val="10"/>
        <rFont val="Noto Sans CJK SC"/>
        <family val="2"/>
      </rPr>
      <t>丁醇脱色</t>
    </r>
    <r>
      <rPr>
        <sz val="10"/>
        <rFont val="Consolas"/>
        <family val="3"/>
      </rPr>
      <t>A</t>
    </r>
    <r>
      <rPr>
        <sz val="10"/>
        <rFont val="Noto Sans CJK SC"/>
        <family val="2"/>
      </rPr>
      <t>塔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</si>
  <si>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:BuOHDecolorTower_M02 a :EquipmentInstance ; rdfs:label '</t>
    </r>
    <r>
      <rPr>
        <sz val="10"/>
        <rFont val="Noto Sans CJK SC"/>
        <family val="2"/>
      </rPr>
      <t>丁醇脱色</t>
    </r>
    <r>
      <rPr>
        <sz val="10"/>
        <rFont val="Consolas"/>
        <family val="3"/>
      </rPr>
      <t>B</t>
    </r>
    <r>
      <rPr>
        <sz val="10"/>
        <rFont val="Noto Sans CJK SC"/>
        <family val="2"/>
      </rPr>
      <t>塔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</si>
  <si>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:BuOHDecolorTower_P01 a :EquipmentComponent ; rdfs:label '</t>
    </r>
    <r>
      <rPr>
        <sz val="10"/>
        <rFont val="Noto Sans CJK SC"/>
        <family val="2"/>
      </rPr>
      <t>丁醇脱色塔组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再沸器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</si>
  <si>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:BAcDistillation a :ProductionEquipment ; rdfs:label '</t>
    </r>
    <r>
      <rPr>
        <sz val="10"/>
        <rFont val="Noto Sans CJK SC"/>
        <family val="2"/>
      </rPr>
      <t>丁酯精馏塔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丁酯脱色塔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</si>
  <si>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:BAcDistillation_M01 a :EquipmentInstance ; rdfs:label '</t>
    </r>
    <r>
      <rPr>
        <sz val="10"/>
        <rFont val="Noto Sans CJK SC"/>
        <family val="2"/>
      </rPr>
      <t>丁酯精馏塔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</si>
  <si>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:BAcDistillation_M02 a :EquipmentInstance ; rdfs:label '</t>
    </r>
    <r>
      <rPr>
        <sz val="10"/>
        <rFont val="Noto Sans CJK SC"/>
        <family val="2"/>
      </rPr>
      <t>丁酯脱色塔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</si>
  <si>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:BAcDistillation_P01 a :EquipmentComponent ; rdfs:label '</t>
    </r>
    <r>
      <rPr>
        <sz val="10"/>
        <rFont val="Noto Sans CJK SC"/>
        <family val="2"/>
      </rPr>
      <t>丁酯精馏塔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丁酯脱色塔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再沸器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</si>
  <si>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:BAcDistillation_P02 a :EquipmentComponent ; rdfs:label '</t>
    </r>
    <r>
      <rPr>
        <sz val="10"/>
        <rFont val="Noto Sans CJK SC"/>
        <family val="2"/>
      </rPr>
      <t>丁酯精馏塔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丁酯脱色塔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冷凝器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</si>
  <si>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:SolventQCTanks a :ProductionEquipment ; rdfs:label '</t>
    </r>
    <r>
      <rPr>
        <sz val="10"/>
        <rFont val="Noto Sans CJK SC"/>
        <family val="2"/>
      </rPr>
      <t>溶媒待检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成品罐组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</si>
  <si>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:SolventQCTanks_M01 a :EquipmentInstance ; rdfs:label '</t>
    </r>
    <r>
      <rPr>
        <sz val="10"/>
        <rFont val="Noto Sans CJK SC"/>
        <family val="2"/>
      </rPr>
      <t>丁醇待检罐</t>
    </r>
    <r>
      <rPr>
        <sz val="10"/>
        <rFont val="Consolas"/>
        <family val="3"/>
      </rPr>
      <t>A–D'@zh ; :processSection 'S18' .</t>
    </r>
  </si>
  <si>
    <r>
      <rPr>
        <sz val="10"/>
        <rFont val="Consolas"/>
        <family val="3"/>
      </rPr>
      <t>:SolventQCTanks_M02 a :EquipmentInstance ; rdfs:label '</t>
    </r>
    <r>
      <rPr>
        <sz val="10"/>
        <rFont val="Noto Sans CJK SC"/>
        <family val="2"/>
      </rPr>
      <t>丁醇成品罐</t>
    </r>
    <r>
      <rPr>
        <sz val="10"/>
        <rFont val="Consolas"/>
        <family val="3"/>
      </rPr>
      <t>A–C'@zh ; :processSection 'S18' .</t>
    </r>
  </si>
  <si>
    <r>
      <rPr>
        <sz val="10"/>
        <rFont val="Consolas"/>
        <family val="3"/>
      </rPr>
      <t>:SolventQCTanks_M03 a :EquipmentInstance ; rdfs:label '</t>
    </r>
    <r>
      <rPr>
        <sz val="10"/>
        <rFont val="Noto Sans CJK SC"/>
        <family val="2"/>
      </rPr>
      <t>丁酯待检罐</t>
    </r>
    <r>
      <rPr>
        <sz val="10"/>
        <rFont val="Consolas"/>
        <family val="3"/>
      </rPr>
      <t>A/B'@zh ; :processSection 'S18' .</t>
    </r>
  </si>
  <si>
    <r>
      <rPr>
        <sz val="10"/>
        <rFont val="Consolas"/>
        <family val="3"/>
      </rPr>
      <t>:SolventQCTanks_M04 a :EquipmentInstance ; rdfs:label '</t>
    </r>
    <r>
      <rPr>
        <sz val="10"/>
        <rFont val="Noto Sans CJK SC"/>
        <family val="2"/>
      </rPr>
      <t>丁酯成品罐</t>
    </r>
    <r>
      <rPr>
        <sz val="10"/>
        <rFont val="Consolas"/>
        <family val="3"/>
      </rPr>
      <t>A/B'@zh ; :processSection 'S18' .</t>
    </r>
  </si>
  <si>
    <r>
      <rPr>
        <sz val="10"/>
        <rFont val="Consolas"/>
        <family val="3"/>
      </rPr>
      <t>:SolventQCTanks_P01 a :EquipmentComponent ; rdfs:label '</t>
    </r>
    <r>
      <rPr>
        <sz val="10"/>
        <rFont val="Noto Sans CJK SC"/>
        <family val="2"/>
      </rPr>
      <t>溶媒待检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成品罐组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密度计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</si>
  <si>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:PAAVacuumTower a :ProductionEquipment ; rdfs:label '</t>
    </r>
    <r>
      <rPr>
        <sz val="10"/>
        <rFont val="Noto Sans CJK SC"/>
        <family val="2"/>
      </rPr>
      <t>苯乙酸减压塔</t>
    </r>
    <r>
      <rPr>
        <sz val="10"/>
        <rFont val="Consolas"/>
        <family val="3"/>
      </rPr>
      <t>'@zh ; :processSection 'S19' .</t>
    </r>
  </si>
  <si>
    <r>
      <rPr>
        <sz val="10"/>
        <rFont val="Consolas"/>
        <family val="3"/>
      </rPr>
      <t>:PAAVacuumTower_P01 a :EquipmentComponent ; rdfs:label '</t>
    </r>
    <r>
      <rPr>
        <sz val="10"/>
        <rFont val="Noto Sans CJK SC"/>
        <family val="2"/>
      </rPr>
      <t>苯乙酸减压塔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再沸器</t>
    </r>
    <r>
      <rPr>
        <sz val="10"/>
        <rFont val="Consolas"/>
        <family val="3"/>
      </rPr>
      <t>'@zh ; :processSection 'S19' .</t>
    </r>
  </si>
  <si>
    <r>
      <rPr>
        <sz val="10"/>
        <rFont val="Consolas"/>
        <family val="3"/>
      </rPr>
      <t>:PAAVacuumTower_P02 a :EquipmentComponent ; rdfs:label '</t>
    </r>
    <r>
      <rPr>
        <sz val="10"/>
        <rFont val="Noto Sans CJK SC"/>
        <family val="2"/>
      </rPr>
      <t>苯乙酸减压塔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中间罐</t>
    </r>
    <r>
      <rPr>
        <sz val="10"/>
        <rFont val="Consolas"/>
        <family val="3"/>
      </rPr>
      <t>'@zh ; :processSection 'S19' .</t>
    </r>
  </si>
  <si>
    <r>
      <rPr>
        <sz val="10"/>
        <rFont val="Consolas"/>
        <family val="3"/>
      </rPr>
      <t>:PAAStorage a :ProductionEquipment ; rdfs:label '</t>
    </r>
    <r>
      <rPr>
        <sz val="10"/>
        <rFont val="Noto Sans CJK SC"/>
        <family val="2"/>
      </rPr>
      <t>苯乙酸储罐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成品罐</t>
    </r>
    <r>
      <rPr>
        <sz val="10"/>
        <rFont val="Consolas"/>
        <family val="3"/>
      </rPr>
      <t>'@zh ; :processSection 'S19' .</t>
    </r>
  </si>
  <si>
    <r>
      <rPr>
        <sz val="10"/>
        <rFont val="Consolas"/>
        <family val="3"/>
      </rPr>
      <t>:PAAStorage_M01 a :EquipmentInstance ; rdfs:label '</t>
    </r>
    <r>
      <rPr>
        <sz val="10"/>
        <rFont val="Noto Sans CJK SC"/>
        <family val="2"/>
      </rPr>
      <t>苯乙酸储罐</t>
    </r>
    <r>
      <rPr>
        <sz val="10"/>
        <rFont val="Consolas"/>
        <family val="3"/>
      </rPr>
      <t>A'@zh ; :processSection 'S19' .</t>
    </r>
  </si>
  <si>
    <r>
      <rPr>
        <sz val="10"/>
        <rFont val="Consolas"/>
        <family val="3"/>
      </rPr>
      <t>:PAAStorage_M02 a :EquipmentInstance ; rdfs:label '</t>
    </r>
    <r>
      <rPr>
        <sz val="10"/>
        <rFont val="Noto Sans CJK SC"/>
        <family val="2"/>
      </rPr>
      <t>苯乙酸储罐</t>
    </r>
    <r>
      <rPr>
        <sz val="10"/>
        <rFont val="Consolas"/>
        <family val="3"/>
      </rPr>
      <t>B'@zh ; :processSection 'S19' .</t>
    </r>
  </si>
  <si>
    <r>
      <rPr>
        <sz val="10"/>
        <rFont val="Consolas"/>
        <family val="3"/>
      </rPr>
      <t>:PAAStorage_M03 a :EquipmentInstance ; rdfs:label '</t>
    </r>
    <r>
      <rPr>
        <sz val="10"/>
        <rFont val="Noto Sans CJK SC"/>
        <family val="2"/>
      </rPr>
      <t>苯乙酸储罐</t>
    </r>
    <r>
      <rPr>
        <sz val="10"/>
        <rFont val="Consolas"/>
        <family val="3"/>
      </rPr>
      <t>C'@zh ; :processSection 'S19' .</t>
    </r>
  </si>
  <si>
    <r>
      <rPr>
        <sz val="10"/>
        <rFont val="Consolas"/>
        <family val="3"/>
      </rPr>
      <t>:PAAStorage_M04 a :EquipmentInstance ; rdfs:label '</t>
    </r>
    <r>
      <rPr>
        <sz val="10"/>
        <rFont val="Noto Sans CJK SC"/>
        <family val="2"/>
      </rPr>
      <t>苯乙酸成品罐</t>
    </r>
    <r>
      <rPr>
        <sz val="10"/>
        <rFont val="Consolas"/>
        <family val="3"/>
      </rPr>
      <t>'@zh ; :processSection 'S19' .</t>
    </r>
  </si>
  <si>
    <r>
      <rPr>
        <sz val="10"/>
        <rFont val="Consolas"/>
        <family val="3"/>
      </rPr>
      <t>:PAAStorage_M05 a :EquipmentInstance ; rdfs:label '</t>
    </r>
    <r>
      <rPr>
        <sz val="10"/>
        <rFont val="Noto Sans CJK SC"/>
        <family val="2"/>
      </rPr>
      <t>苯乙酸室外储罐</t>
    </r>
    <r>
      <rPr>
        <sz val="10"/>
        <rFont val="Consolas"/>
        <family val="3"/>
      </rPr>
      <t>'@zh ; :processSection 'S19' .</t>
    </r>
  </si>
  <si>
    <r>
      <rPr>
        <sz val="10"/>
        <rFont val="Consolas"/>
        <family val="3"/>
      </rPr>
      <t>:MixedSolventPrep a :ProductionEquipment ; rdfs:label '</t>
    </r>
    <r>
      <rPr>
        <sz val="10"/>
        <rFont val="Noto Sans CJK SC"/>
        <family val="2"/>
      </rPr>
      <t>混合溶媒配制罐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混合溶媒塔</t>
    </r>
    <r>
      <rPr>
        <sz val="10"/>
        <rFont val="Consolas"/>
        <family val="3"/>
      </rPr>
      <t>'@zh ; :processSection 'S19' .</t>
    </r>
  </si>
  <si>
    <r>
      <rPr>
        <sz val="10"/>
        <rFont val="Consolas"/>
        <family val="3"/>
      </rPr>
      <t>:MixedSolventPrep_M01 a :EquipmentInstance ; rdfs:label '</t>
    </r>
    <r>
      <rPr>
        <sz val="10"/>
        <rFont val="Noto Sans CJK SC"/>
        <family val="2"/>
      </rPr>
      <t>混合溶媒配制罐</t>
    </r>
    <r>
      <rPr>
        <sz val="10"/>
        <rFont val="Consolas"/>
        <family val="3"/>
      </rPr>
      <t>A'@zh ; :processSection 'S19' .</t>
    </r>
  </si>
  <si>
    <r>
      <rPr>
        <sz val="10"/>
        <rFont val="Consolas"/>
        <family val="3"/>
      </rPr>
      <t>:MixedSolventPrep_M02 a :EquipmentInstance ; rdfs:label '</t>
    </r>
    <r>
      <rPr>
        <sz val="10"/>
        <rFont val="Noto Sans CJK SC"/>
        <family val="2"/>
      </rPr>
      <t>混合溶媒配制罐</t>
    </r>
    <r>
      <rPr>
        <sz val="10"/>
        <rFont val="Consolas"/>
        <family val="3"/>
      </rPr>
      <t>B'@zh ; :processSection 'S19' .</t>
    </r>
  </si>
  <si>
    <r>
      <rPr>
        <sz val="10"/>
        <rFont val="Consolas"/>
        <family val="3"/>
      </rPr>
      <t>:MixedSolventPrep_M03 a :EquipmentInstance ; rdfs:label '</t>
    </r>
    <r>
      <rPr>
        <sz val="10"/>
        <rFont val="Noto Sans CJK SC"/>
        <family val="2"/>
      </rPr>
      <t>混合溶媒</t>
    </r>
    <r>
      <rPr>
        <sz val="10"/>
        <rFont val="Consolas"/>
        <family val="3"/>
      </rPr>
      <t>A</t>
    </r>
    <r>
      <rPr>
        <sz val="10"/>
        <rFont val="Noto Sans CJK SC"/>
        <family val="2"/>
      </rPr>
      <t>塔</t>
    </r>
    <r>
      <rPr>
        <sz val="10"/>
        <rFont val="Consolas"/>
        <family val="3"/>
      </rPr>
      <t>'@zh ; :processSection 'S19' .</t>
    </r>
  </si>
  <si>
    <r>
      <rPr>
        <sz val="10"/>
        <rFont val="Consolas"/>
        <family val="3"/>
      </rPr>
      <t>:MixedSolventPrep_M04 a :EquipmentInstance ; rdfs:label '</t>
    </r>
    <r>
      <rPr>
        <sz val="10"/>
        <rFont val="Noto Sans CJK SC"/>
        <family val="2"/>
      </rPr>
      <t>混合溶媒</t>
    </r>
    <r>
      <rPr>
        <sz val="10"/>
        <rFont val="Consolas"/>
        <family val="3"/>
      </rPr>
      <t>B</t>
    </r>
    <r>
      <rPr>
        <sz val="10"/>
        <rFont val="Noto Sans CJK SC"/>
        <family val="2"/>
      </rPr>
      <t>塔</t>
    </r>
    <r>
      <rPr>
        <sz val="10"/>
        <rFont val="Consolas"/>
        <family val="3"/>
      </rPr>
      <t>'@zh ; :processSection 'S19' .</t>
    </r>
  </si>
  <si>
    <r>
      <rPr>
        <sz val="10"/>
        <rFont val="Consolas"/>
        <family val="3"/>
      </rPr>
      <t>:MixedSolventPrep_P01 a :EquipmentComponent ; rdfs:label '</t>
    </r>
    <r>
      <rPr>
        <sz val="10"/>
        <rFont val="Noto Sans CJK SC"/>
        <family val="2"/>
      </rPr>
      <t>混合溶媒配制罐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混合溶媒塔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在线丁醇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丁酯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水分含量检测</t>
    </r>
    <r>
      <rPr>
        <sz val="10"/>
        <rFont val="Consolas"/>
        <family val="3"/>
      </rPr>
      <t>'@zh ; :processSection 'S19' .</t>
    </r>
  </si>
  <si>
    <r>
      <rPr>
        <sz val="10"/>
        <rFont val="Consolas"/>
        <family val="3"/>
      </rPr>
      <t>:CausticWashTanks a :ProductionEquipment ; rdfs:label '</t>
    </r>
    <r>
      <rPr>
        <sz val="10"/>
        <rFont val="Noto Sans CJK SC"/>
        <family val="2"/>
      </rPr>
      <t>碱洗罐组</t>
    </r>
    <r>
      <rPr>
        <sz val="10"/>
        <rFont val="Consolas"/>
        <family val="3"/>
      </rPr>
      <t>'@zh ; :processSection 'S19' .</t>
    </r>
  </si>
  <si>
    <r>
      <rPr>
        <sz val="10"/>
        <rFont val="Consolas"/>
        <family val="3"/>
      </rPr>
      <t>:CausticWashTanks_M01 a :EquipmentInstance ; rdfs:label '</t>
    </r>
    <r>
      <rPr>
        <sz val="10"/>
        <rFont val="Noto Sans CJK SC"/>
        <family val="2"/>
      </rPr>
      <t>碱洗</t>
    </r>
    <r>
      <rPr>
        <sz val="10"/>
        <rFont val="Consolas"/>
        <family val="3"/>
      </rPr>
      <t>A</t>
    </r>
    <r>
      <rPr>
        <sz val="10"/>
        <rFont val="Noto Sans CJK SC"/>
        <family val="2"/>
      </rPr>
      <t>罐</t>
    </r>
    <r>
      <rPr>
        <sz val="10"/>
        <rFont val="Consolas"/>
        <family val="3"/>
      </rPr>
      <t>'@zh ; :processSection 'S19' .</t>
    </r>
  </si>
  <si>
    <r>
      <rPr>
        <sz val="10"/>
        <rFont val="Consolas"/>
        <family val="3"/>
      </rPr>
      <t>:CausticWashTanks_M02 a :EquipmentInstance ; rdfs:label '</t>
    </r>
    <r>
      <rPr>
        <sz val="10"/>
        <rFont val="Noto Sans CJK SC"/>
        <family val="2"/>
      </rPr>
      <t>碱洗</t>
    </r>
    <r>
      <rPr>
        <sz val="10"/>
        <rFont val="Consolas"/>
        <family val="3"/>
      </rPr>
      <t>B</t>
    </r>
    <r>
      <rPr>
        <sz val="10"/>
        <rFont val="Noto Sans CJK SC"/>
        <family val="2"/>
      </rPr>
      <t>罐</t>
    </r>
    <r>
      <rPr>
        <sz val="10"/>
        <rFont val="Consolas"/>
        <family val="3"/>
      </rPr>
      <t>'@zh ; :processSection 'S19' .</t>
    </r>
  </si>
  <si>
    <r>
      <rPr>
        <sz val="10"/>
        <rFont val="Consolas"/>
        <family val="3"/>
      </rPr>
      <t>:CausticWashTanks_P01 a :EquipmentComponent ; rdfs:label '</t>
    </r>
    <r>
      <rPr>
        <sz val="10"/>
        <rFont val="Noto Sans CJK SC"/>
        <family val="2"/>
      </rPr>
      <t>碱洗罐组</t>
    </r>
    <r>
      <rPr>
        <sz val="10"/>
        <rFont val="Consolas"/>
        <family val="3"/>
      </rPr>
      <t>·pH</t>
    </r>
    <r>
      <rPr>
        <sz val="10"/>
        <rFont val="Noto Sans CJK SC"/>
        <family val="2"/>
      </rPr>
      <t>计</t>
    </r>
    <r>
      <rPr>
        <sz val="10"/>
        <rFont val="Consolas"/>
        <family val="3"/>
      </rPr>
      <t>'@zh ; :processSection 'S19' .</t>
    </r>
  </si>
  <si>
    <r>
      <rPr>
        <sz val="10"/>
        <rFont val="Consolas"/>
        <family val="3"/>
      </rPr>
      <t>:WasteAcidTowers a :ProductionEquipment ; rdfs:label '</t>
    </r>
    <r>
      <rPr>
        <sz val="10"/>
        <rFont val="Noto Sans CJK SC"/>
        <family val="2"/>
      </rPr>
      <t>废酸水汽提塔</t>
    </r>
    <r>
      <rPr>
        <sz val="10"/>
        <rFont val="Consolas"/>
        <family val="3"/>
      </rPr>
      <t>A/B/C'@zh ; :processSection 'S20' .</t>
    </r>
  </si>
  <si>
    <r>
      <rPr>
        <sz val="10"/>
        <rFont val="Consolas"/>
        <family val="3"/>
      </rPr>
      <t>:WasteAcidTowers_M01 a :EquipmentInstance ; rdfs:label '</t>
    </r>
    <r>
      <rPr>
        <sz val="10"/>
        <rFont val="Noto Sans CJK SC"/>
        <family val="2"/>
      </rPr>
      <t>废酸水</t>
    </r>
    <r>
      <rPr>
        <sz val="10"/>
        <rFont val="Consolas"/>
        <family val="3"/>
      </rPr>
      <t>A</t>
    </r>
    <r>
      <rPr>
        <sz val="10"/>
        <rFont val="Noto Sans CJK SC"/>
        <family val="2"/>
      </rPr>
      <t>塔</t>
    </r>
    <r>
      <rPr>
        <sz val="10"/>
        <rFont val="Consolas"/>
        <family val="3"/>
      </rPr>
      <t>'@zh ; :processSection 'S20' .</t>
    </r>
  </si>
  <si>
    <r>
      <rPr>
        <sz val="10"/>
        <rFont val="Consolas"/>
        <family val="3"/>
      </rPr>
      <t>:WasteAcidTowers_M02 a :EquipmentInstance ; rdfs:label '</t>
    </r>
    <r>
      <rPr>
        <sz val="10"/>
        <rFont val="Noto Sans CJK SC"/>
        <family val="2"/>
      </rPr>
      <t>废酸水</t>
    </r>
    <r>
      <rPr>
        <sz val="10"/>
        <rFont val="Consolas"/>
        <family val="3"/>
      </rPr>
      <t>B</t>
    </r>
    <r>
      <rPr>
        <sz val="10"/>
        <rFont val="Noto Sans CJK SC"/>
        <family val="2"/>
      </rPr>
      <t>塔</t>
    </r>
    <r>
      <rPr>
        <sz val="10"/>
        <rFont val="Consolas"/>
        <family val="3"/>
      </rPr>
      <t>'@zh ; :processSection 'S20' .</t>
    </r>
  </si>
  <si>
    <r>
      <rPr>
        <sz val="10"/>
        <rFont val="Consolas"/>
        <family val="3"/>
      </rPr>
      <t>:WasteAcidTowers_M03 a :EquipmentInstance ; rdfs:label '</t>
    </r>
    <r>
      <rPr>
        <sz val="10"/>
        <rFont val="Noto Sans CJK SC"/>
        <family val="2"/>
      </rPr>
      <t>废酸水</t>
    </r>
    <r>
      <rPr>
        <sz val="10"/>
        <rFont val="Consolas"/>
        <family val="3"/>
      </rPr>
      <t>C</t>
    </r>
    <r>
      <rPr>
        <sz val="10"/>
        <rFont val="Noto Sans CJK SC"/>
        <family val="2"/>
      </rPr>
      <t>塔</t>
    </r>
    <r>
      <rPr>
        <sz val="10"/>
        <rFont val="Consolas"/>
        <family val="3"/>
      </rPr>
      <t>'@zh ; :processSection 'S20' .</t>
    </r>
  </si>
  <si>
    <r>
      <rPr>
        <sz val="10"/>
        <rFont val="Consolas"/>
        <family val="3"/>
      </rPr>
      <t>:WasteAcidTowers_P01 a :EquipmentComponent ; rdfs:label '</t>
    </r>
    <r>
      <rPr>
        <sz val="10"/>
        <rFont val="Noto Sans CJK SC"/>
        <family val="2"/>
      </rPr>
      <t>废酸水汽提塔</t>
    </r>
    <r>
      <rPr>
        <sz val="10"/>
        <rFont val="Consolas"/>
        <family val="3"/>
      </rPr>
      <t>A/B/C·</t>
    </r>
    <r>
      <rPr>
        <sz val="10"/>
        <rFont val="Noto Sans CJK SC"/>
        <family val="2"/>
      </rPr>
      <t>预热器</t>
    </r>
    <r>
      <rPr>
        <sz val="10"/>
        <rFont val="Consolas"/>
        <family val="3"/>
      </rPr>
      <t>'@zh ; :processSection 'S20' .</t>
    </r>
  </si>
  <si>
    <r>
      <rPr>
        <sz val="10"/>
        <rFont val="Consolas"/>
        <family val="3"/>
      </rPr>
      <t>:WasteAcidTowers_P02 a :EquipmentComponent ; rdfs:label '</t>
    </r>
    <r>
      <rPr>
        <sz val="10"/>
        <rFont val="Noto Sans CJK SC"/>
        <family val="2"/>
      </rPr>
      <t>废酸水汽提塔</t>
    </r>
    <r>
      <rPr>
        <sz val="10"/>
        <rFont val="Consolas"/>
        <family val="3"/>
      </rPr>
      <t>A/B/C·</t>
    </r>
    <r>
      <rPr>
        <sz val="10"/>
        <rFont val="Noto Sans CJK SC"/>
        <family val="2"/>
      </rPr>
      <t>降膜</t>
    </r>
    <r>
      <rPr>
        <sz val="10"/>
        <rFont val="Consolas"/>
        <family val="3"/>
      </rPr>
      <t>'@zh ; :processSection 'S20' .</t>
    </r>
  </si>
  <si>
    <r>
      <rPr>
        <sz val="10"/>
        <rFont val="Consolas"/>
        <family val="3"/>
      </rPr>
      <t>:WasteAcidTowers_P03 a :EquipmentComponent ; rdfs:label '</t>
    </r>
    <r>
      <rPr>
        <sz val="10"/>
        <rFont val="Noto Sans CJK SC"/>
        <family val="2"/>
      </rPr>
      <t>废酸水汽提塔</t>
    </r>
    <r>
      <rPr>
        <sz val="10"/>
        <rFont val="Consolas"/>
        <family val="3"/>
      </rPr>
      <t>A/B/C·</t>
    </r>
    <r>
      <rPr>
        <sz val="10"/>
        <rFont val="Noto Sans CJK SC"/>
        <family val="2"/>
      </rPr>
      <t>二冷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尾冷</t>
    </r>
    <r>
      <rPr>
        <sz val="10"/>
        <rFont val="Consolas"/>
        <family val="3"/>
      </rPr>
      <t>'@zh ; :processSection 'S20' .</t>
    </r>
  </si>
  <si>
    <r>
      <rPr>
        <sz val="10"/>
        <rFont val="Consolas"/>
        <family val="3"/>
      </rPr>
      <t>:AmmoniaStripper a :ProductionEquipment ; rdfs:label '</t>
    </r>
    <r>
      <rPr>
        <sz val="10"/>
        <rFont val="Noto Sans CJK SC"/>
        <family val="2"/>
      </rPr>
      <t>蒸氨塔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氨吸收塔</t>
    </r>
    <r>
      <rPr>
        <sz val="10"/>
        <rFont val="Consolas"/>
        <family val="3"/>
      </rPr>
      <t>'@zh ; :processSection 'S20' .</t>
    </r>
  </si>
  <si>
    <r>
      <rPr>
        <sz val="10"/>
        <rFont val="Consolas"/>
        <family val="3"/>
      </rPr>
      <t>:AmmoniaStripper_M01 a :EquipmentInstance ; rdfs:label '</t>
    </r>
    <r>
      <rPr>
        <sz val="10"/>
        <rFont val="Noto Sans CJK SC"/>
        <family val="2"/>
      </rPr>
      <t>蒸氨塔</t>
    </r>
    <r>
      <rPr>
        <sz val="10"/>
        <rFont val="Consolas"/>
        <family val="3"/>
      </rPr>
      <t>'@zh ; :processSection 'S20' .</t>
    </r>
  </si>
  <si>
    <r>
      <rPr>
        <sz val="10"/>
        <rFont val="Consolas"/>
        <family val="3"/>
      </rPr>
      <t>:AmmoniaStripper_M02 a :EquipmentInstance ; rdfs:label '</t>
    </r>
    <r>
      <rPr>
        <sz val="10"/>
        <rFont val="Noto Sans CJK SC"/>
        <family val="2"/>
      </rPr>
      <t>氨吸收塔</t>
    </r>
    <r>
      <rPr>
        <sz val="10"/>
        <rFont val="Consolas"/>
        <family val="3"/>
      </rPr>
      <t>'@zh ; :processSection 'S20' .</t>
    </r>
  </si>
  <si>
    <r>
      <rPr>
        <sz val="10"/>
        <rFont val="Consolas"/>
        <family val="3"/>
      </rPr>
      <t>:AmmoniaStripper_P01 a :EquipmentComponent ; rdfs:label '</t>
    </r>
    <r>
      <rPr>
        <sz val="10"/>
        <rFont val="Noto Sans CJK SC"/>
        <family val="2"/>
      </rPr>
      <t>蒸氨塔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氨吸收塔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分凝器</t>
    </r>
    <r>
      <rPr>
        <sz val="10"/>
        <rFont val="Consolas"/>
        <family val="3"/>
      </rPr>
      <t>'@zh ; :processSection 'S20' .</t>
    </r>
  </si>
  <si>
    <r>
      <rPr>
        <sz val="10"/>
        <rFont val="Consolas"/>
        <family val="3"/>
      </rPr>
      <t>:AmmoniaStripper_P02 a :EquipmentComponent ; rdfs:label '</t>
    </r>
    <r>
      <rPr>
        <sz val="10"/>
        <rFont val="Noto Sans CJK SC"/>
        <family val="2"/>
      </rPr>
      <t>蒸氨塔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氨吸收塔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上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下段回流泵</t>
    </r>
    <r>
      <rPr>
        <sz val="10"/>
        <rFont val="Consolas"/>
        <family val="3"/>
      </rPr>
      <t>'@zh ; :processSection 'S20' .</t>
    </r>
  </si>
  <si>
    <r>
      <rPr>
        <sz val="10"/>
        <rFont val="Consolas"/>
        <family val="3"/>
      </rPr>
      <t>:AcidWaterHX a :ProductionEquipment ; rdfs:label '</t>
    </r>
    <r>
      <rPr>
        <sz val="10"/>
        <rFont val="Noto Sans CJK SC"/>
        <family val="2"/>
      </rPr>
      <t>酸水高效换热器</t>
    </r>
    <r>
      <rPr>
        <sz val="10"/>
        <rFont val="Consolas"/>
        <family val="3"/>
      </rPr>
      <t>'@zh ; :processSection 'S20' .</t>
    </r>
  </si>
  <si>
    <r>
      <rPr>
        <sz val="10"/>
        <rFont val="Consolas"/>
        <family val="3"/>
      </rPr>
      <t>:WasteAcidTanks a :ProductionEquipment ; rdfs:label '</t>
    </r>
    <r>
      <rPr>
        <sz val="10"/>
        <rFont val="Noto Sans CJK SC"/>
        <family val="2"/>
      </rPr>
      <t>废酸水储罐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中间罐</t>
    </r>
    <r>
      <rPr>
        <sz val="10"/>
        <rFont val="Consolas"/>
        <family val="3"/>
      </rPr>
      <t>'@zh ; :processSection 'S20' .</t>
    </r>
  </si>
  <si>
    <r>
      <rPr>
        <sz val="10"/>
        <rFont val="Consolas"/>
        <family val="3"/>
      </rPr>
      <t>:WasteAcidTanks_M01 a :EquipmentInstance ; rdfs:label '</t>
    </r>
    <r>
      <rPr>
        <sz val="10"/>
        <rFont val="Noto Sans CJK SC"/>
        <family val="2"/>
      </rPr>
      <t>废酸水储罐</t>
    </r>
    <r>
      <rPr>
        <sz val="10"/>
        <rFont val="Consolas"/>
        <family val="3"/>
      </rPr>
      <t>A'@zh ; :processSection 'S20' .</t>
    </r>
  </si>
  <si>
    <r>
      <rPr>
        <sz val="10"/>
        <rFont val="Consolas"/>
        <family val="3"/>
      </rPr>
      <t>:WasteAcidTanks_M02 a :EquipmentInstance ; rdfs:label '</t>
    </r>
    <r>
      <rPr>
        <sz val="10"/>
        <rFont val="Noto Sans CJK SC"/>
        <family val="2"/>
      </rPr>
      <t>废酸水储罐</t>
    </r>
    <r>
      <rPr>
        <sz val="10"/>
        <rFont val="Consolas"/>
        <family val="3"/>
      </rPr>
      <t>B'@zh ; :processSection 'S20' .</t>
    </r>
  </si>
  <si>
    <r>
      <rPr>
        <sz val="10"/>
        <rFont val="Consolas"/>
        <family val="3"/>
      </rPr>
      <t>:WasteAcidTanks_M03 a :EquipmentInstance ; rdfs:label '</t>
    </r>
    <r>
      <rPr>
        <sz val="10"/>
        <rFont val="Noto Sans CJK SC"/>
        <family val="2"/>
      </rPr>
      <t>废酸水中间罐</t>
    </r>
    <r>
      <rPr>
        <sz val="10"/>
        <rFont val="Consolas"/>
        <family val="3"/>
      </rPr>
      <t>'@zh ; :processSection 'S20' .</t>
    </r>
  </si>
  <si>
    <r>
      <rPr>
        <sz val="10"/>
        <rFont val="Consolas"/>
        <family val="3"/>
      </rPr>
      <t>:WasteAcidTanks_P01 a :EquipmentComponent ; rdfs:label '</t>
    </r>
    <r>
      <rPr>
        <sz val="10"/>
        <rFont val="Noto Sans CJK SC"/>
        <family val="2"/>
      </rPr>
      <t>废酸水储罐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中间罐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密度计</t>
    </r>
    <r>
      <rPr>
        <sz val="10"/>
        <rFont val="Consolas"/>
        <family val="3"/>
      </rPr>
      <t>DT_9002'@zh ; :processSection 'S20' .</t>
    </r>
  </si>
  <si>
    <r>
      <rPr>
        <sz val="10"/>
        <rFont val="Consolas"/>
        <family val="3"/>
      </rPr>
      <t>:AdsorptionColumns a :ProductionEquipment ; rdfs:label '</t>
    </r>
    <r>
      <rPr>
        <sz val="10"/>
        <rFont val="Noto Sans CJK SC"/>
        <family val="2"/>
      </rPr>
      <t>吸附柱组</t>
    </r>
    <r>
      <rPr>
        <sz val="10"/>
        <rFont val="Consolas"/>
        <family val="3"/>
      </rPr>
      <t>'@zh ; :processSection 'S21' .</t>
    </r>
  </si>
  <si>
    <r>
      <rPr>
        <sz val="10"/>
        <rFont val="Consolas"/>
        <family val="3"/>
      </rPr>
      <t>:AdsorptionColumns_M01 a :EquipmentInstance ; rdfs:label '</t>
    </r>
    <r>
      <rPr>
        <sz val="10"/>
        <rFont val="Noto Sans CJK SC"/>
        <family val="2"/>
      </rPr>
      <t>吸附柱</t>
    </r>
    <r>
      <rPr>
        <sz val="10"/>
        <rFont val="Consolas"/>
        <family val="3"/>
      </rPr>
      <t>542127A–C'@zh ; :processSection 'S21' .</t>
    </r>
  </si>
  <si>
    <r>
      <rPr>
        <sz val="10"/>
        <rFont val="Consolas"/>
        <family val="3"/>
      </rPr>
      <t>:AdsorptionColumns_M02 a :EquipmentInstance ; rdfs:label '</t>
    </r>
    <r>
      <rPr>
        <sz val="10"/>
        <rFont val="Noto Sans CJK SC"/>
        <family val="2"/>
      </rPr>
      <t>吸附柱</t>
    </r>
    <r>
      <rPr>
        <sz val="10"/>
        <rFont val="Consolas"/>
        <family val="3"/>
      </rPr>
      <t>542128A–C'@zh ; :processSection 'S21' .</t>
    </r>
  </si>
  <si>
    <r>
      <rPr>
        <sz val="10"/>
        <rFont val="Consolas"/>
        <family val="3"/>
      </rPr>
      <t>:AdsorptionColumns_M03 a :EquipmentInstance ; rdfs:label '</t>
    </r>
    <r>
      <rPr>
        <sz val="10"/>
        <rFont val="Noto Sans CJK SC"/>
        <family val="2"/>
      </rPr>
      <t>吸附柱</t>
    </r>
    <r>
      <rPr>
        <sz val="10"/>
        <rFont val="Consolas"/>
        <family val="3"/>
      </rPr>
      <t>542129A–C'@zh ; :processSection 'S21' .</t>
    </r>
  </si>
  <si>
    <r>
      <rPr>
        <sz val="10"/>
        <rFont val="Consolas"/>
        <family val="3"/>
      </rPr>
      <t>:AdsorptionColumns_P01 a :EquipmentComponent ; rdfs:label '</t>
    </r>
    <r>
      <rPr>
        <sz val="10"/>
        <rFont val="Noto Sans CJK SC"/>
        <family val="2"/>
      </rPr>
      <t>吸附柱组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进料流量计</t>
    </r>
    <r>
      <rPr>
        <sz val="10"/>
        <rFont val="Consolas"/>
        <family val="3"/>
      </rPr>
      <t>'@zh ; :processSection 'S21' .</t>
    </r>
  </si>
  <si>
    <r>
      <rPr>
        <sz val="10"/>
        <rFont val="Consolas"/>
        <family val="3"/>
      </rPr>
      <t>:AdsorptionColumns_P02 a :EquipmentComponent ; rdfs:label '</t>
    </r>
    <r>
      <rPr>
        <sz val="10"/>
        <rFont val="Noto Sans CJK SC"/>
        <family val="2"/>
      </rPr>
      <t>吸附柱组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甲醇进口</t>
    </r>
    <r>
      <rPr>
        <sz val="10"/>
        <rFont val="Consolas"/>
        <family val="3"/>
      </rPr>
      <t>'@zh ; :processSection 'S21' .</t>
    </r>
  </si>
  <si>
    <r>
      <rPr>
        <sz val="10"/>
        <rFont val="Consolas"/>
        <family val="3"/>
      </rPr>
      <t>:ElutionCollectTanks a :ProductionEquipment ; rdfs:label '</t>
    </r>
    <r>
      <rPr>
        <sz val="10"/>
        <rFont val="Noto Sans CJK SC"/>
        <family val="2"/>
      </rPr>
      <t>解析液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水洗液收集罐</t>
    </r>
    <r>
      <rPr>
        <sz val="10"/>
        <rFont val="Consolas"/>
        <family val="3"/>
      </rPr>
      <t>'@zh ; :processSection 'S21' .</t>
    </r>
  </si>
  <si>
    <r>
      <rPr>
        <sz val="10"/>
        <rFont val="Consolas"/>
        <family val="3"/>
      </rPr>
      <t>:ElutionCollectTanks_M01 a :EquipmentInstance ; rdfs:label '</t>
    </r>
    <r>
      <rPr>
        <sz val="10"/>
        <rFont val="Noto Sans CJK SC"/>
        <family val="2"/>
      </rPr>
      <t>解析液收集罐</t>
    </r>
    <r>
      <rPr>
        <sz val="10"/>
        <rFont val="Consolas"/>
        <family val="3"/>
      </rPr>
      <t>A–C'@zh ; :processSection 'S21' .</t>
    </r>
  </si>
  <si>
    <r>
      <rPr>
        <sz val="10"/>
        <rFont val="Consolas"/>
        <family val="3"/>
      </rPr>
      <t>:ElutionCollectTanks_M02 a :EquipmentInstance ; rdfs:label '</t>
    </r>
    <r>
      <rPr>
        <sz val="10"/>
        <rFont val="Noto Sans CJK SC"/>
        <family val="2"/>
      </rPr>
      <t>水洗液收集罐</t>
    </r>
    <r>
      <rPr>
        <sz val="10"/>
        <rFont val="Consolas"/>
        <family val="3"/>
      </rPr>
      <t>'@zh ; :processSection 'S21' .</t>
    </r>
  </si>
  <si>
    <r>
      <rPr>
        <sz val="10"/>
        <rFont val="Consolas"/>
        <family val="3"/>
      </rPr>
      <t>:ElutionCollectTanks_M03 a :EquipmentInstance ; rdfs:label '</t>
    </r>
    <r>
      <rPr>
        <sz val="10"/>
        <rFont val="Noto Sans CJK SC"/>
        <family val="2"/>
      </rPr>
      <t>水洗液中转罐</t>
    </r>
    <r>
      <rPr>
        <sz val="10"/>
        <rFont val="Consolas"/>
        <family val="3"/>
      </rPr>
      <t>A/B'@zh ; :processSection 'S21' .</t>
    </r>
  </si>
  <si>
    <r>
      <rPr>
        <sz val="10"/>
        <rFont val="Consolas"/>
        <family val="3"/>
      </rPr>
      <t>:CrudeCrystallizers a :ProductionEquipment ; rdfs:label '</t>
    </r>
    <r>
      <rPr>
        <sz val="10"/>
        <rFont val="Noto Sans CJK SC"/>
        <family val="2"/>
      </rPr>
      <t>粗品结晶罐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精制溶解罐</t>
    </r>
    <r>
      <rPr>
        <sz val="10"/>
        <rFont val="Consolas"/>
        <family val="3"/>
      </rPr>
      <t>'@zh ; :processSection 'S21' .</t>
    </r>
  </si>
  <si>
    <r>
      <rPr>
        <sz val="10"/>
        <rFont val="Consolas"/>
        <family val="3"/>
      </rPr>
      <t>:CrudeCrystallizers_M01 a :EquipmentInstance ; rdfs:label '</t>
    </r>
    <r>
      <rPr>
        <sz val="10"/>
        <rFont val="Noto Sans CJK SC"/>
        <family val="2"/>
      </rPr>
      <t>粗品结晶罐</t>
    </r>
    <r>
      <rPr>
        <sz val="10"/>
        <rFont val="Consolas"/>
        <family val="3"/>
      </rPr>
      <t>A–E'@zh ; :processSection 'S21' .</t>
    </r>
  </si>
  <si>
    <r>
      <rPr>
        <sz val="10"/>
        <rFont val="Consolas"/>
        <family val="3"/>
      </rPr>
      <t>:CrudeCrystallizers_M02 a :EquipmentInstance ; rdfs:label '</t>
    </r>
    <r>
      <rPr>
        <sz val="10"/>
        <rFont val="Noto Sans CJK SC"/>
        <family val="2"/>
      </rPr>
      <t>精制溶解罐</t>
    </r>
    <r>
      <rPr>
        <sz val="10"/>
        <rFont val="Consolas"/>
        <family val="3"/>
      </rPr>
      <t>A/B'@zh ; :processSection 'S21' .</t>
    </r>
  </si>
  <si>
    <r>
      <rPr>
        <sz val="10"/>
        <rFont val="Consolas"/>
        <family val="3"/>
      </rPr>
      <t>:CrudeCrystallizers_P01 a :EquipmentComponent ; rdfs:label '</t>
    </r>
    <r>
      <rPr>
        <sz val="10"/>
        <rFont val="Noto Sans CJK SC"/>
        <family val="2"/>
      </rPr>
      <t>粗品结晶罐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精制溶解罐</t>
    </r>
    <r>
      <rPr>
        <sz val="10"/>
        <rFont val="Consolas"/>
        <family val="3"/>
      </rPr>
      <t>·pH</t>
    </r>
    <r>
      <rPr>
        <sz val="10"/>
        <rFont val="Noto Sans CJK SC"/>
        <family val="2"/>
      </rPr>
      <t>计</t>
    </r>
    <r>
      <rPr>
        <sz val="10"/>
        <rFont val="Consolas"/>
        <family val="3"/>
      </rPr>
      <t>'@zh ; :processSection 'S21' .</t>
    </r>
  </si>
  <si>
    <r>
      <rPr>
        <sz val="10"/>
        <rFont val="Consolas"/>
        <family val="3"/>
      </rPr>
      <t>:SolventMeterTanks a :ProductionEquipment ; rdfs:label '</t>
    </r>
    <r>
      <rPr>
        <sz val="10"/>
        <rFont val="Noto Sans CJK SC"/>
        <family val="2"/>
      </rPr>
      <t>丙酮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甲醇计量与回收罐</t>
    </r>
    <r>
      <rPr>
        <sz val="10"/>
        <rFont val="Consolas"/>
        <family val="3"/>
      </rPr>
      <t>'@zh ; :processSection 'S21' .</t>
    </r>
  </si>
  <si>
    <r>
      <rPr>
        <sz val="10"/>
        <rFont val="Consolas"/>
        <family val="3"/>
      </rPr>
      <t>:SolventMeterTanks_M01 a :EquipmentInstance ; rdfs:label '</t>
    </r>
    <r>
      <rPr>
        <sz val="10"/>
        <rFont val="Noto Sans CJK SC"/>
        <family val="2"/>
      </rPr>
      <t>丙酮计量罐</t>
    </r>
    <r>
      <rPr>
        <sz val="10"/>
        <rFont val="Consolas"/>
        <family val="3"/>
      </rPr>
      <t>A/B'@zh ; :processSection 'S21' .</t>
    </r>
  </si>
  <si>
    <r>
      <rPr>
        <sz val="10"/>
        <rFont val="Consolas"/>
        <family val="3"/>
      </rPr>
      <t>:SolventMeterTanks_M02 a :EquipmentInstance ; rdfs:label '</t>
    </r>
    <r>
      <rPr>
        <sz val="10"/>
        <rFont val="Noto Sans CJK SC"/>
        <family val="2"/>
      </rPr>
      <t>甲醇待检罐</t>
    </r>
    <r>
      <rPr>
        <sz val="10"/>
        <rFont val="Consolas"/>
        <family val="3"/>
      </rPr>
      <t>A/B'@zh ; :processSection 'S21' .</t>
    </r>
  </si>
  <si>
    <r>
      <rPr>
        <sz val="10"/>
        <rFont val="Consolas"/>
        <family val="3"/>
      </rPr>
      <t>:SolventMeterTanks_M03 a :EquipmentInstance ; rdfs:label '</t>
    </r>
    <r>
      <rPr>
        <sz val="10"/>
        <rFont val="Noto Sans CJK SC"/>
        <family val="2"/>
      </rPr>
      <t>丙酮母液罐</t>
    </r>
    <r>
      <rPr>
        <sz val="10"/>
        <rFont val="Consolas"/>
        <family val="3"/>
      </rPr>
      <t>A/B'@zh ; :processSection 'S21' .</t>
    </r>
  </si>
  <si>
    <r>
      <rPr>
        <sz val="10"/>
        <rFont val="Consolas"/>
        <family val="3"/>
      </rPr>
      <t>:SolventMeterTanks_M04 a :EquipmentInstance ; rdfs:label '</t>
    </r>
    <r>
      <rPr>
        <sz val="10"/>
        <rFont val="Noto Sans CJK SC"/>
        <family val="2"/>
      </rPr>
      <t>丙酮待检罐</t>
    </r>
    <r>
      <rPr>
        <sz val="10"/>
        <rFont val="Consolas"/>
        <family val="3"/>
      </rPr>
      <t>A/B'@zh ; :processSection 'S21' .</t>
    </r>
  </si>
  <si>
    <r>
      <rPr>
        <sz val="10"/>
        <rFont val="Consolas"/>
        <family val="3"/>
      </rPr>
      <t>:ChilledWaterSystem a :ProductionEquipment ; rdfs:label '</t>
    </r>
    <r>
      <rPr>
        <sz val="10"/>
        <rFont val="Noto Sans CJK SC"/>
        <family val="2"/>
      </rPr>
      <t>冷冻水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冷盐水系统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</si>
  <si>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:ChilledWaterSystem_M01 a :EquipmentInstance ; rdfs:label '</t>
    </r>
    <r>
      <rPr>
        <sz val="10"/>
        <rFont val="Noto Sans CJK SC"/>
        <family val="2"/>
      </rPr>
      <t>冷盐水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冰盐水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>管网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</si>
  <si>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:ChilledWaterSystem_M02 a :EquipmentInstance ; rdfs:label '7℃</t>
    </r>
    <r>
      <rPr>
        <sz val="10"/>
        <rFont val="Noto Sans CJK SC"/>
        <family val="2"/>
      </rPr>
      <t>水管网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</si>
  <si>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:ChilledWaterSystem_P01 a :EquipmentComponent ; rdfs:label '</t>
    </r>
    <r>
      <rPr>
        <sz val="10"/>
        <rFont val="Noto Sans CJK SC"/>
        <family val="2"/>
      </rPr>
      <t>冷冻水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冷盐水系统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冷盐水总阀</t>
    </r>
    <r>
      <rPr>
        <sz val="10"/>
        <rFont val="Consolas"/>
        <family val="3"/>
      </rPr>
      <t>HV_1010'@zh ; :processSection 'S22' .</t>
    </r>
  </si>
  <si>
    <r>
      <rPr>
        <sz val="10"/>
        <rFont val="Consolas"/>
        <family val="3"/>
      </rPr>
      <t>:SteamCondensateSystem a :ProductionEquipment ; rdfs:label '</t>
    </r>
    <r>
      <rPr>
        <sz val="10"/>
        <rFont val="Noto Sans CJK SC"/>
        <family val="2"/>
      </rPr>
      <t>蒸汽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冷凝水系统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</si>
  <si>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:SteamCondensateSystem_P01 a :EquipmentComponent ; rdfs:label '</t>
    </r>
    <r>
      <rPr>
        <sz val="10"/>
        <rFont val="Noto Sans CJK SC"/>
        <family val="2"/>
      </rPr>
      <t>蒸汽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冷凝水系统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冷凝水泵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</si>
  <si>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:SteamCondensateSystem_P02 a :EquipmentComponent ; rdfs:label '</t>
    </r>
    <r>
      <rPr>
        <sz val="10"/>
        <rFont val="Noto Sans CJK SC"/>
        <family val="2"/>
      </rPr>
      <t>蒸汽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冷凝水系统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暖器水罐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</si>
  <si>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:ProcessWaterSystem a :ProductionEquipment ; rdfs:label '</t>
    </r>
    <r>
      <rPr>
        <sz val="10"/>
        <rFont val="Noto Sans CJK SC"/>
        <family val="2"/>
      </rPr>
      <t>工艺水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软水系统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</si>
  <si>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:ProcessWaterSystem_P01 a :EquipmentComponent ; rdfs:label '</t>
    </r>
    <r>
      <rPr>
        <sz val="10"/>
        <rFont val="Noto Sans CJK SC"/>
        <family val="2"/>
      </rPr>
      <t>工艺水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软水系统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软水泵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</si>
  <si>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:ProcessWaterSystem_P02 a :EquipmentComponent ; rdfs:label '</t>
    </r>
    <r>
      <rPr>
        <sz val="10"/>
        <rFont val="Noto Sans CJK SC"/>
        <family val="2"/>
      </rPr>
      <t>工艺水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软水系统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软水总阀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</si>
  <si>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:HVACSystem a :ProductionEquipment ; rdfs:label '</t>
    </r>
    <r>
      <rPr>
        <sz val="10"/>
        <rFont val="Noto Sans CJK SC"/>
        <family val="2"/>
      </rPr>
      <t>车间暖通排风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送风系统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</si>
  <si>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:HVACSystem_M01 a :EquipmentInstance ; rdfs:label 'F1–F5</t>
    </r>
    <r>
      <rPr>
        <sz val="10"/>
        <rFont val="Noto Sans CJK SC"/>
        <family val="2"/>
      </rPr>
      <t>排风机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</si>
  <si>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:HVACSystem_M02 a :EquipmentInstance ; rdfs:label 'P1–P11/S1–S14</t>
    </r>
    <r>
      <rPr>
        <sz val="10"/>
        <rFont val="Noto Sans CJK SC"/>
        <family val="2"/>
      </rPr>
      <t>变频器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</si>
  <si>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:HVACSystem_M03 a :EquipmentInstance ; rdfs:label '101–115</t>
    </r>
    <r>
      <rPr>
        <sz val="10"/>
        <rFont val="Noto Sans CJK SC"/>
        <family val="2"/>
      </rPr>
      <t>送风管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</si>
  <si>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:HVACSystem_P01 a :EquipmentComponent ; rdfs:label '</t>
    </r>
    <r>
      <rPr>
        <sz val="10"/>
        <rFont val="Noto Sans CJK SC"/>
        <family val="2"/>
      </rPr>
      <t>车间暖通排风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送风系统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电动调节阀</t>
    </r>
    <r>
      <rPr>
        <sz val="10"/>
        <rFont val="Consolas"/>
        <family val="3"/>
      </rPr>
      <t>DV_101~118'@zh ; :processSection 'S22' .</t>
    </r>
  </si>
  <si>
    <r>
      <rPr>
        <sz val="10"/>
        <rFont val="Consolas"/>
        <family val="3"/>
      </rPr>
      <t>:InstrumentAirSystem a :ProductionEquipment ; rdfs:label '</t>
    </r>
    <r>
      <rPr>
        <sz val="10"/>
        <rFont val="Noto Sans CJK SC"/>
        <family val="2"/>
      </rPr>
      <t>压缩空气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仪表气系统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</si>
  <si>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:InstrumentAirSystem_M01 a :EquipmentInstance ; rdfs:label '</t>
    </r>
    <r>
      <rPr>
        <sz val="10"/>
        <rFont val="Noto Sans CJK SC"/>
        <family val="2"/>
      </rPr>
      <t>压缩空气罐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</si>
  <si>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:InstrumentAirSystem_M02 a :EquipmentInstance ; rdfs:label '</t>
    </r>
    <r>
      <rPr>
        <sz val="10"/>
        <rFont val="Noto Sans CJK SC"/>
        <family val="2"/>
      </rPr>
      <t>仪表气罐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</si>
  <si>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:OffgasCompressors a :ProductionEquipment ; rdfs:label '</t>
    </r>
    <r>
      <rPr>
        <sz val="10"/>
        <rFont val="Noto Sans CJK SC"/>
        <family val="2"/>
      </rPr>
      <t>尾气压缩机组</t>
    </r>
    <r>
      <rPr>
        <sz val="10"/>
        <rFont val="Consolas"/>
        <family val="3"/>
      </rPr>
      <t>'@zh ; :processSection 'S23' .</t>
    </r>
  </si>
  <si>
    <r>
      <rPr>
        <sz val="10"/>
        <rFont val="Consolas"/>
        <family val="3"/>
      </rPr>
      <t>:OffgasCompressors_M01 a :EquipmentInstance ; rdfs:label '</t>
    </r>
    <r>
      <rPr>
        <sz val="10"/>
        <rFont val="Noto Sans CJK SC"/>
        <family val="2"/>
      </rPr>
      <t>尾气压缩机</t>
    </r>
    <r>
      <rPr>
        <sz val="10"/>
        <rFont val="Consolas"/>
        <family val="3"/>
      </rPr>
      <t>A'@zh ; :processSection 'S23' .</t>
    </r>
  </si>
  <si>
    <r>
      <rPr>
        <sz val="10"/>
        <rFont val="Consolas"/>
        <family val="3"/>
      </rPr>
      <t>:OffgasCompressors_M02 a :EquipmentInstance ; rdfs:label '</t>
    </r>
    <r>
      <rPr>
        <sz val="10"/>
        <rFont val="Noto Sans CJK SC"/>
        <family val="2"/>
      </rPr>
      <t>尾气压缩机</t>
    </r>
    <r>
      <rPr>
        <sz val="10"/>
        <rFont val="Consolas"/>
        <family val="3"/>
      </rPr>
      <t>B'@zh ; :processSection 'S23' .</t>
    </r>
  </si>
  <si>
    <r>
      <rPr>
        <sz val="10"/>
        <rFont val="Consolas"/>
        <family val="3"/>
      </rPr>
      <t>:OffgasCompressors_M03 a :EquipmentInstance ; rdfs:label '</t>
    </r>
    <r>
      <rPr>
        <sz val="10"/>
        <rFont val="Noto Sans CJK SC"/>
        <family val="2"/>
      </rPr>
      <t>尾气压缩机</t>
    </r>
    <r>
      <rPr>
        <sz val="10"/>
        <rFont val="Consolas"/>
        <family val="3"/>
      </rPr>
      <t>C'@zh ; :processSection 'S23' .</t>
    </r>
  </si>
  <si>
    <r>
      <rPr>
        <sz val="10"/>
        <rFont val="Consolas"/>
        <family val="3"/>
      </rPr>
      <t>:OffgasCompressors_P01 a :EquipmentComponent ; rdfs:label '</t>
    </r>
    <r>
      <rPr>
        <sz val="10"/>
        <rFont val="Noto Sans CJK SC"/>
        <family val="2"/>
      </rPr>
      <t>尾气压缩机组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油泵</t>
    </r>
    <r>
      <rPr>
        <sz val="10"/>
        <rFont val="Consolas"/>
        <family val="3"/>
      </rPr>
      <t>'@zh ; :processSection 'S23' .</t>
    </r>
  </si>
  <si>
    <r>
      <rPr>
        <sz val="10"/>
        <rFont val="Consolas"/>
        <family val="3"/>
      </rPr>
      <t>:OffgasCompressors_P02 a :EquipmentComponent ; rdfs:label '</t>
    </r>
    <r>
      <rPr>
        <sz val="10"/>
        <rFont val="Noto Sans CJK SC"/>
        <family val="2"/>
      </rPr>
      <t>尾气压缩机组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风机</t>
    </r>
    <r>
      <rPr>
        <sz val="10"/>
        <rFont val="Consolas"/>
        <family val="3"/>
      </rPr>
      <t>'@zh ; :processSection 'S23' .</t>
    </r>
  </si>
  <si>
    <r>
      <rPr>
        <sz val="10"/>
        <rFont val="Consolas"/>
        <family val="3"/>
      </rPr>
      <t>:OffgasCompressors_P03 a :EquipmentComponent ; rdfs:label '</t>
    </r>
    <r>
      <rPr>
        <sz val="10"/>
        <rFont val="Noto Sans CJK SC"/>
        <family val="2"/>
      </rPr>
      <t>尾气压缩机组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紧急补液阀</t>
    </r>
    <r>
      <rPr>
        <sz val="10"/>
        <rFont val="Consolas"/>
        <family val="3"/>
      </rPr>
      <t>'@zh ; :processSection 'S23' .</t>
    </r>
  </si>
  <si>
    <r>
      <rPr>
        <sz val="10"/>
        <rFont val="Consolas"/>
        <family val="3"/>
      </rPr>
      <t>:OffgasCompressors_P04 a :EquipmentComponent ; rdfs:label '</t>
    </r>
    <r>
      <rPr>
        <sz val="10"/>
        <rFont val="Noto Sans CJK SC"/>
        <family val="2"/>
      </rPr>
      <t>尾气压缩机组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循环液切断阀</t>
    </r>
    <r>
      <rPr>
        <sz val="10"/>
        <rFont val="Consolas"/>
        <family val="3"/>
      </rPr>
      <t>'@zh ; :processSection 'S23' .</t>
    </r>
  </si>
  <si>
    <r>
      <rPr>
        <sz val="10"/>
        <rFont val="Consolas"/>
        <family val="3"/>
      </rPr>
      <t>:OffgasScrubber a :ProductionEquipment ; rdfs:label '</t>
    </r>
    <r>
      <rPr>
        <sz val="10"/>
        <rFont val="Noto Sans CJK SC"/>
        <family val="2"/>
      </rPr>
      <t>尾气喷淋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碱洗塔</t>
    </r>
    <r>
      <rPr>
        <sz val="10"/>
        <rFont val="Consolas"/>
        <family val="3"/>
      </rPr>
      <t>'@zh ; :processSection 'S23' .</t>
    </r>
  </si>
  <si>
    <r>
      <rPr>
        <sz val="10"/>
        <rFont val="Consolas"/>
        <family val="3"/>
      </rPr>
      <t>:OffgasScrubber_M01 a :EquipmentInstance ; rdfs:label '</t>
    </r>
    <r>
      <rPr>
        <sz val="10"/>
        <rFont val="Noto Sans CJK SC"/>
        <family val="2"/>
      </rPr>
      <t>尾气喷淋泵</t>
    </r>
    <r>
      <rPr>
        <sz val="10"/>
        <rFont val="Consolas"/>
        <family val="3"/>
      </rPr>
      <t>01–04'@zh ; :processSection 'S23' .</t>
    </r>
  </si>
  <si>
    <r>
      <rPr>
        <sz val="10"/>
        <rFont val="Consolas"/>
        <family val="3"/>
      </rPr>
      <t>:OffgasScrubber_M02 a :EquipmentInstance ; rdfs:label '</t>
    </r>
    <r>
      <rPr>
        <sz val="10"/>
        <rFont val="Noto Sans CJK SC"/>
        <family val="2"/>
      </rPr>
      <t>碱洗塔</t>
    </r>
    <r>
      <rPr>
        <sz val="10"/>
        <rFont val="Consolas"/>
        <family val="3"/>
      </rPr>
      <t>'@zh ; :processSection 'S23' .</t>
    </r>
  </si>
  <si>
    <r>
      <rPr>
        <sz val="10"/>
        <rFont val="Consolas"/>
        <family val="3"/>
      </rPr>
      <t>:OffgasScrubber_P01 a :EquipmentComponent ; rdfs:label '</t>
    </r>
    <r>
      <rPr>
        <sz val="10"/>
        <rFont val="Noto Sans CJK SC"/>
        <family val="2"/>
      </rPr>
      <t>尾气喷淋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碱洗塔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进碱阀</t>
    </r>
    <r>
      <rPr>
        <sz val="10"/>
        <rFont val="Consolas"/>
        <family val="3"/>
      </rPr>
      <t>'@zh ; :processSection 'S23' .</t>
    </r>
  </si>
  <si>
    <r>
      <rPr>
        <sz val="10"/>
        <rFont val="Consolas"/>
        <family val="3"/>
      </rPr>
      <t>:OffgasScrubber_P02 a :EquipmentComponent ; rdfs:label '</t>
    </r>
    <r>
      <rPr>
        <sz val="10"/>
        <rFont val="Noto Sans CJK SC"/>
        <family val="2"/>
      </rPr>
      <t>尾气喷淋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碱洗塔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排液阀</t>
    </r>
    <r>
      <rPr>
        <sz val="10"/>
        <rFont val="Consolas"/>
        <family val="3"/>
      </rPr>
      <t>'@zh ; :processSection 'S23' .</t>
    </r>
  </si>
  <si>
    <r>
      <rPr>
        <sz val="10"/>
        <rFont val="Consolas"/>
        <family val="3"/>
      </rPr>
      <t>:MS_Filtrate a :MaterialStream ; rdfs:label '</t>
    </r>
    <r>
      <rPr>
        <sz val="10"/>
        <rFont val="Noto Sans CJK SC"/>
        <family val="2"/>
      </rPr>
      <t>青霉素</t>
    </r>
    <r>
      <rPr>
        <sz val="10"/>
        <rFont val="Consolas"/>
        <family val="3"/>
      </rPr>
      <t>G</t>
    </r>
    <r>
      <rPr>
        <sz val="10"/>
        <rFont val="Noto Sans CJK SC"/>
        <family val="2"/>
      </rPr>
      <t>发酵滤液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</si>
  <si>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:MS_DiluteH2SO4 a :MaterialStream ; rdfs:label '</t>
    </r>
    <r>
      <rPr>
        <sz val="10"/>
        <rFont val="Noto Sans CJK SC"/>
        <family val="2"/>
      </rPr>
      <t>稀硫酸</t>
    </r>
    <r>
      <rPr>
        <sz val="10"/>
        <rFont val="Consolas"/>
        <family val="3"/>
      </rPr>
      <t>'@zh ; :processSection 'S03' .</t>
    </r>
  </si>
  <si>
    <r>
      <rPr>
        <sz val="10"/>
        <rFont val="Consolas"/>
        <family val="3"/>
      </rPr>
      <t>:MS_Demulsifier a :MaterialStream ; rdfs:label '</t>
    </r>
    <r>
      <rPr>
        <sz val="10"/>
        <rFont val="Noto Sans CJK SC"/>
        <family val="2"/>
      </rPr>
      <t>破乳剂溶液</t>
    </r>
    <r>
      <rPr>
        <sz val="10"/>
        <rFont val="Consolas"/>
        <family val="3"/>
      </rPr>
      <t>'@zh ; :processSection 'S04' .</t>
    </r>
  </si>
  <si>
    <r>
      <rPr>
        <sz val="10"/>
        <rFont val="Consolas"/>
        <family val="3"/>
      </rPr>
      <t>:MS_BA_Fresh a :MaterialStream ; rdfs:label '</t>
    </r>
    <r>
      <rPr>
        <sz val="10"/>
        <rFont val="Noto Sans CJK SC"/>
        <family val="2"/>
      </rPr>
      <t>丁酯</t>
    </r>
    <r>
      <rPr>
        <sz val="10"/>
        <rFont val="Consolas"/>
        <family val="3"/>
      </rPr>
      <t>(BA</t>
    </r>
    <r>
      <rPr>
        <sz val="10"/>
        <rFont val="Noto Sans CJK SC"/>
        <family val="2"/>
      </rPr>
      <t>，醋酸丁酯</t>
    </r>
    <r>
      <rPr>
        <sz val="10"/>
        <rFont val="Consolas"/>
        <family val="3"/>
      </rPr>
      <t>)'@zh ; :processSection 'S02' .</t>
    </r>
  </si>
  <si>
    <r>
      <rPr>
        <sz val="10"/>
        <rFont val="Consolas"/>
        <family val="3"/>
      </rPr>
      <t>:MS_BA_3rd a :MaterialStream ; rdfs:label '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BA'@zh ; :processSection 'S02' .</t>
    </r>
  </si>
  <si>
    <r>
      <rPr>
        <sz val="10"/>
        <rFont val="Consolas"/>
        <family val="3"/>
      </rPr>
      <t>:MS_PrimaryBA a :MaterialStream ; rdfs:label '</t>
    </r>
    <r>
      <rPr>
        <sz val="10"/>
        <rFont val="Noto Sans CJK SC"/>
        <family val="2"/>
      </rPr>
      <t>一次</t>
    </r>
    <r>
      <rPr>
        <sz val="10"/>
        <rFont val="Consolas"/>
        <family val="3"/>
      </rPr>
      <t>BA'@zh ; :processSection 'S01' .</t>
    </r>
  </si>
  <si>
    <r>
      <rPr>
        <sz val="10"/>
        <rFont val="Consolas"/>
        <family val="3"/>
      </rPr>
      <t>:MS_WasteAcid2 a :MaterialStream ; rdfs:label '</t>
    </r>
    <r>
      <rPr>
        <sz val="10"/>
        <rFont val="Noto Sans CJK SC"/>
        <family val="2"/>
      </rPr>
      <t>二级废酸水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</si>
  <si>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:MS_WasteAcid3 a :MaterialStream ; rdfs:label '</t>
    </r>
    <r>
      <rPr>
        <sz val="10"/>
        <rFont val="Noto Sans CJK SC"/>
        <family val="2"/>
      </rPr>
      <t>三级废酸水</t>
    </r>
    <r>
      <rPr>
        <sz val="10"/>
        <rFont val="Consolas"/>
        <family val="3"/>
      </rPr>
      <t>'@zh ; :processSection 'S02' .</t>
    </r>
  </si>
  <si>
    <r>
      <rPr>
        <sz val="10"/>
        <rFont val="Consolas"/>
        <family val="3"/>
      </rPr>
      <t>:MS_PrimaryWater a :UtilityMedium ; rdfs:label '</t>
    </r>
    <r>
      <rPr>
        <sz val="10"/>
        <rFont val="Noto Sans CJK SC"/>
        <family val="2"/>
      </rPr>
      <t>一次水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</si>
  <si>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:MS_WashBA a :MaterialStream ; rdfs:label '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BA'@zh ; :processSection 'S05' .</t>
    </r>
  </si>
  <si>
    <r>
      <rPr>
        <sz val="10"/>
        <rFont val="Consolas"/>
        <family val="3"/>
      </rPr>
      <t>:MS_WashHeavy a :MaterialStream ; rdfs:label '</t>
    </r>
    <r>
      <rPr>
        <sz val="10"/>
        <rFont val="Noto Sans CJK SC"/>
        <family val="2"/>
      </rPr>
      <t>水洗重相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</si>
  <si>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:MS_Carbon a :MaterialStream ; rdfs:label '</t>
    </r>
    <r>
      <rPr>
        <sz val="10"/>
        <rFont val="Noto Sans CJK SC"/>
        <family val="2"/>
      </rPr>
      <t>活性炭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</si>
  <si>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:MS_DecolorSlurry a :MaterialStream ; rdfs:label '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炭浆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</si>
  <si>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:MS_DecolorBA a :MaterialStream ; rdfs:label '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BA'@zh ; :processSection 'S06' .</t>
    </r>
  </si>
  <si>
    <r>
      <rPr>
        <sz val="10"/>
        <rFont val="Consolas"/>
        <family val="3"/>
      </rPr>
      <t>:MS_SpentCarbon a :MaterialStream ; rdfs:label '</t>
    </r>
    <r>
      <rPr>
        <sz val="10"/>
        <rFont val="Noto Sans CJK SC"/>
        <family val="2"/>
      </rPr>
      <t>废活性炭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炭渣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</si>
  <si>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:MS_K2CO3 a :MaterialStream ; rdfs:label '</t>
    </r>
    <r>
      <rPr>
        <sz val="10"/>
        <rFont val="Noto Sans CJK SC"/>
        <family val="2"/>
      </rPr>
      <t>碳酸钾溶液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</si>
  <si>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:MS_Mix1 a :MaterialStream ; rdfs:label '</t>
    </r>
    <r>
      <rPr>
        <sz val="10"/>
        <rFont val="Noto Sans CJK SC"/>
        <family val="2"/>
      </rPr>
      <t>一级混合液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</si>
  <si>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:MS_Mix2 a :MaterialStream ; rdfs:label '</t>
    </r>
    <r>
      <rPr>
        <sz val="10"/>
        <rFont val="Noto Sans CJK SC"/>
        <family val="2"/>
      </rPr>
      <t>二级混合液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</si>
  <si>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:MS_RB a :MaterialStream ; rdfs:label 'RB</t>
    </r>
    <r>
      <rPr>
        <sz val="10"/>
        <rFont val="Noto Sans CJK SC"/>
        <family val="2"/>
      </rPr>
      <t>液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青霉素</t>
    </r>
    <r>
      <rPr>
        <sz val="10"/>
        <rFont val="Consolas"/>
        <family val="3"/>
      </rPr>
      <t>G</t>
    </r>
    <r>
      <rPr>
        <sz val="10"/>
        <rFont val="Noto Sans CJK SC"/>
        <family val="2"/>
      </rPr>
      <t>钾水溶液</t>
    </r>
    <r>
      <rPr>
        <sz val="10"/>
        <rFont val="Consolas"/>
        <family val="3"/>
      </rPr>
      <t>)'@zh ; :processSection 'S07' .</t>
    </r>
  </si>
  <si>
    <r>
      <rPr>
        <sz val="10"/>
        <rFont val="Consolas"/>
        <family val="3"/>
      </rPr>
      <t>:MS_Stage1Light a :MaterialStream ; rdfs:label '</t>
    </r>
    <r>
      <rPr>
        <sz val="10"/>
        <rFont val="Noto Sans CJK SC"/>
        <family val="2"/>
      </rPr>
      <t>一阶轻相</t>
    </r>
    <r>
      <rPr>
        <sz val="10"/>
        <rFont val="Consolas"/>
        <family val="3"/>
      </rPr>
      <t>BA'@zh ; :processSection 'S07' .</t>
    </r>
  </si>
  <si>
    <r>
      <rPr>
        <sz val="10"/>
        <rFont val="Consolas"/>
        <family val="3"/>
      </rPr>
      <t>:MS_Stage2Heavy a :MaterialStream ; rdfs:label '</t>
    </r>
    <r>
      <rPr>
        <sz val="10"/>
        <rFont val="Noto Sans CJK SC"/>
        <family val="2"/>
      </rPr>
      <t>二阶重相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</si>
  <si>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:MS_ReturnBA a :MaterialStream ; rdfs:label '</t>
    </r>
    <r>
      <rPr>
        <sz val="10"/>
        <rFont val="Noto Sans CJK SC"/>
        <family val="2"/>
      </rPr>
      <t>退</t>
    </r>
    <r>
      <rPr>
        <sz val="10"/>
        <rFont val="Consolas"/>
        <family val="3"/>
      </rPr>
      <t>BA(</t>
    </r>
    <r>
      <rPr>
        <sz val="10"/>
        <rFont val="Noto Sans CJK SC"/>
        <family val="2"/>
      </rPr>
      <t>贫</t>
    </r>
    <r>
      <rPr>
        <sz val="10"/>
        <rFont val="Consolas"/>
        <family val="3"/>
      </rPr>
      <t>BA)'@zh ; :processSection 'S07' .</t>
    </r>
  </si>
  <si>
    <r>
      <rPr>
        <sz val="10"/>
        <rFont val="Consolas"/>
        <family val="3"/>
      </rPr>
      <t>:MS_RB_Desolv a :MaterialStream ; rdfs:label '</t>
    </r>
    <r>
      <rPr>
        <sz val="10"/>
        <rFont val="Noto Sans CJK SC"/>
        <family val="2"/>
      </rPr>
      <t>脱溶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液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</si>
  <si>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:MS_TFDistillate a :MaterialStream ; rdfs:label '</t>
    </r>
    <r>
      <rPr>
        <sz val="10"/>
        <rFont val="Noto Sans CJK SC"/>
        <family val="2"/>
      </rPr>
      <t>薄膜馏出液</t>
    </r>
    <r>
      <rPr>
        <sz val="10"/>
        <rFont val="Consolas"/>
        <family val="3"/>
      </rPr>
      <t>(BA/</t>
    </r>
    <r>
      <rPr>
        <sz val="10"/>
        <rFont val="Noto Sans CJK SC"/>
        <family val="2"/>
      </rPr>
      <t>水</t>
    </r>
    <r>
      <rPr>
        <sz val="10"/>
        <rFont val="Consolas"/>
        <family val="3"/>
      </rPr>
      <t>)'@zh ; :processSection 'S09' .</t>
    </r>
  </si>
  <si>
    <r>
      <rPr>
        <sz val="10"/>
        <rFont val="Consolas"/>
        <family val="3"/>
      </rPr>
      <t>:MS_Borate a :MaterialStream ; rdfs:label '</t>
    </r>
    <r>
      <rPr>
        <sz val="10"/>
        <rFont val="Noto Sans CJK SC"/>
        <family val="2"/>
      </rPr>
      <t>硼酸缓冲液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</si>
  <si>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:MS_Ammonia_Hydro a :MaterialStream ; rdfs:label '</t>
    </r>
    <r>
      <rPr>
        <sz val="10"/>
        <rFont val="Noto Sans CJK SC"/>
        <family val="2"/>
      </rPr>
      <t>中和氨水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</si>
  <si>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:MS_Hydrolysate a :MaterialStream ; rdfs:label '</t>
    </r>
    <r>
      <rPr>
        <sz val="10"/>
        <rFont val="Noto Sans CJK SC"/>
        <family val="2"/>
      </rPr>
      <t>酶解水解反应液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</si>
  <si>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:MS_HCl a :MaterialStream ; rdfs:label '</t>
    </r>
    <r>
      <rPr>
        <sz val="10"/>
        <rFont val="Noto Sans CJK SC"/>
        <family val="2"/>
      </rPr>
      <t>盐酸</t>
    </r>
    <r>
      <rPr>
        <sz val="10"/>
        <rFont val="Consolas"/>
        <family val="3"/>
      </rPr>
      <t>'@zh ; :processSection 'S15' .</t>
    </r>
  </si>
  <si>
    <r>
      <rPr>
        <sz val="10"/>
        <rFont val="Consolas"/>
        <family val="3"/>
      </rPr>
      <t>:MS_MixedSolvent a :MaterialStream ; rdfs:label '</t>
    </r>
    <r>
      <rPr>
        <sz val="10"/>
        <rFont val="Noto Sans CJK SC"/>
        <family val="2"/>
      </rPr>
      <t>混合溶媒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</si>
  <si>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:MS_AcidifiedHydro a :MaterialStream ; rdfs:label '</t>
    </r>
    <r>
      <rPr>
        <sz val="10"/>
        <rFont val="Noto Sans CJK SC"/>
        <family val="2"/>
      </rPr>
      <t>酸化萃取混合液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</si>
  <si>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:MS_Ext1Heavy a :MaterialStream ; rdfs:label '</t>
    </r>
    <r>
      <rPr>
        <sz val="10"/>
        <rFont val="Noto Sans CJK SC"/>
        <family val="2"/>
      </rPr>
      <t>一萃重相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</si>
  <si>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:MS_ExtLight a :MaterialStream ; rdfs:label '</t>
    </r>
    <r>
      <rPr>
        <sz val="10"/>
        <rFont val="Noto Sans CJK SC"/>
        <family val="2"/>
      </rPr>
      <t>萃取轻相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富苯乙酸溶媒</t>
    </r>
    <r>
      <rPr>
        <sz val="10"/>
        <rFont val="Consolas"/>
        <family val="3"/>
      </rPr>
      <t>)'@zh ; :processSection 'S12' .</t>
    </r>
  </si>
  <si>
    <r>
      <rPr>
        <sz val="10"/>
        <rFont val="Consolas"/>
        <family val="3"/>
      </rPr>
      <t>:MS_HeavyLiquor a :MaterialStream ; rdfs:label '6APA</t>
    </r>
    <r>
      <rPr>
        <sz val="10"/>
        <rFont val="Noto Sans CJK SC"/>
        <family val="2"/>
      </rPr>
      <t>重液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</si>
  <si>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:MS_Caustic a :MaterialStream ; rdfs:label '</t>
    </r>
    <r>
      <rPr>
        <sz val="10"/>
        <rFont val="Noto Sans CJK SC"/>
        <family val="2"/>
      </rPr>
      <t>液碱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稀碱</t>
    </r>
    <r>
      <rPr>
        <sz val="10"/>
        <rFont val="Consolas"/>
        <family val="3"/>
      </rPr>
      <t>)'@zh ; :processSection 'S10' .</t>
    </r>
  </si>
  <si>
    <r>
      <rPr>
        <sz val="10"/>
        <rFont val="Consolas"/>
        <family val="3"/>
      </rPr>
      <t>:MS_BackExtHeavy a :MaterialStream ; rdfs:label '</t>
    </r>
    <r>
      <rPr>
        <sz val="10"/>
        <rFont val="Noto Sans CJK SC"/>
        <family val="2"/>
      </rPr>
      <t>反萃重相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苯乙酸钠液</t>
    </r>
    <r>
      <rPr>
        <sz val="10"/>
        <rFont val="Consolas"/>
        <family val="3"/>
      </rPr>
      <t>)'@zh ; :processSection 'S12' .</t>
    </r>
  </si>
  <si>
    <r>
      <rPr>
        <sz val="10"/>
        <rFont val="Consolas"/>
        <family val="3"/>
      </rPr>
      <t>:MS_BackExtLight a :MaterialStream ; rdfs:label '</t>
    </r>
    <r>
      <rPr>
        <sz val="10"/>
        <rFont val="Noto Sans CJK SC"/>
        <family val="2"/>
      </rPr>
      <t>反萃轻相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再生溶媒</t>
    </r>
    <r>
      <rPr>
        <sz val="10"/>
        <rFont val="Consolas"/>
        <family val="3"/>
      </rPr>
      <t>)'@zh ; :processSection 'S12' .</t>
    </r>
  </si>
  <si>
    <r>
      <rPr>
        <sz val="10"/>
        <rFont val="Consolas"/>
        <family val="3"/>
      </rPr>
      <t>:MS_Ammonia_Cryst a :MaterialStream ; rdfs:label '</t>
    </r>
    <r>
      <rPr>
        <sz val="10"/>
        <rFont val="Noto Sans CJK SC"/>
        <family val="2"/>
      </rPr>
      <t>结晶氨水</t>
    </r>
    <r>
      <rPr>
        <sz val="10"/>
        <rFont val="Consolas"/>
        <family val="3"/>
      </rPr>
      <t>'@zh ; :processSection 'S15' .</t>
    </r>
  </si>
  <si>
    <r>
      <rPr>
        <sz val="10"/>
        <rFont val="Consolas"/>
        <family val="3"/>
      </rPr>
      <t>:MS_CrystSlurry a :MaterialStream ; rdfs:label '6APA</t>
    </r>
    <r>
      <rPr>
        <sz val="10"/>
        <rFont val="Noto Sans CJK SC"/>
        <family val="2"/>
      </rPr>
      <t>晶浆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</si>
  <si>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:MS_WashWater a :MaterialStream ; rdfs:label '</t>
    </r>
    <r>
      <rPr>
        <sz val="10"/>
        <rFont val="Noto Sans CJK SC"/>
        <family val="2"/>
      </rPr>
      <t>离心洗涤软水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</si>
  <si>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:MS_WetCake a :MaterialStream ; rdfs:label '6APA</t>
    </r>
    <r>
      <rPr>
        <sz val="10"/>
        <rFont val="Noto Sans CJK SC"/>
        <family val="2"/>
      </rPr>
      <t>湿品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</si>
  <si>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:MS_MotherLiquor a :MaterialStream ; rdfs:label '</t>
    </r>
    <r>
      <rPr>
        <sz val="10"/>
        <rFont val="Noto Sans CJK SC"/>
        <family val="2"/>
      </rPr>
      <t>结晶离心母液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</si>
  <si>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:MS_6APA_Product a :MaterialStream ; rdfs:label '6-APA</t>
    </r>
    <r>
      <rPr>
        <sz val="10"/>
        <rFont val="Noto Sans CJK SC"/>
        <family val="2"/>
      </rPr>
      <t>成品</t>
    </r>
    <r>
      <rPr>
        <sz val="10"/>
        <rFont val="Consolas"/>
        <family val="3"/>
      </rPr>
      <t>'@zh ; :processSection 'S16' .</t>
    </r>
  </si>
  <si>
    <r>
      <rPr>
        <sz val="10"/>
        <rFont val="Consolas"/>
        <family val="3"/>
      </rPr>
      <t>:MS_MLRework a :MaterialStream ; rdfs:label '</t>
    </r>
    <r>
      <rPr>
        <sz val="10"/>
        <rFont val="Noto Sans CJK SC"/>
        <family val="2"/>
      </rPr>
      <t>母液返工料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</si>
  <si>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:MS_RecoveredSolvent a :MaterialStream ; rdfs:label '</t>
    </r>
    <r>
      <rPr>
        <sz val="10"/>
        <rFont val="Noto Sans CJK SC"/>
        <family val="2"/>
      </rPr>
      <t>回收混合溶媒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丁酯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丁醇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</si>
  <si>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:MS_PAA_Product a :MaterialStream ; rdfs:label '</t>
    </r>
    <r>
      <rPr>
        <sz val="10"/>
        <rFont val="Noto Sans CJK SC"/>
        <family val="2"/>
      </rPr>
      <t>苯乙酸成品</t>
    </r>
    <r>
      <rPr>
        <sz val="10"/>
        <rFont val="Consolas"/>
        <family val="3"/>
      </rPr>
      <t>'@zh ; :processSection 'S19' .</t>
    </r>
  </si>
  <si>
    <r>
      <rPr>
        <sz val="10"/>
        <rFont val="Consolas"/>
        <family val="3"/>
      </rPr>
      <t>:MS_KSalt a :MaterialStream ; rdfs:label '</t>
    </r>
    <r>
      <rPr>
        <sz val="10"/>
        <rFont val="Noto Sans CJK SC"/>
        <family val="2"/>
      </rPr>
      <t>青霉素</t>
    </r>
    <r>
      <rPr>
        <sz val="10"/>
        <rFont val="Consolas"/>
        <family val="3"/>
      </rPr>
      <t>G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副产</t>
    </r>
    <r>
      <rPr>
        <sz val="10"/>
        <rFont val="Consolas"/>
        <family val="3"/>
      </rPr>
      <t>)'@zh ; :processSection 'S08' .</t>
    </r>
  </si>
  <si>
    <r>
      <rPr>
        <sz val="10"/>
        <rFont val="Consolas"/>
        <family val="3"/>
      </rPr>
      <t>:MS_SoftWater a :UtilityMedium ; rdfs:label '</t>
    </r>
    <r>
      <rPr>
        <sz val="10"/>
        <rFont val="Noto Sans CJK SC"/>
        <family val="2"/>
      </rPr>
      <t>软水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</si>
  <si>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:MS_Brine a :UtilityMedium ; rdfs:label '</t>
    </r>
    <r>
      <rPr>
        <sz val="10"/>
        <rFont val="Noto Sans CJK SC"/>
        <family val="2"/>
      </rPr>
      <t>冷盐水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冰盐水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</si>
  <si>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:MS_ChilledWater7 a :UtilityMedium ; rdfs:label '7℃</t>
    </r>
    <r>
      <rPr>
        <sz val="10"/>
        <rFont val="Noto Sans CJK SC"/>
        <family val="2"/>
      </rPr>
      <t>水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</si>
  <si>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:MS_Steam a :UtilityMedium ; rdfs:label '</t>
    </r>
    <r>
      <rPr>
        <sz val="10"/>
        <rFont val="Noto Sans CJK SC"/>
        <family val="2"/>
      </rPr>
      <t>蒸汽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</si>
  <si>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:MS_HotWater a :UtilityMedium ; rdfs:label '</t>
    </r>
    <r>
      <rPr>
        <sz val="10"/>
        <rFont val="Noto Sans CJK SC"/>
        <family val="2"/>
      </rPr>
      <t>热水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</si>
  <si>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:MS_CompAir a :UtilityMedium ; rdfs:label '</t>
    </r>
    <r>
      <rPr>
        <sz val="10"/>
        <rFont val="Noto Sans CJK SC"/>
        <family val="2"/>
      </rPr>
      <t>压缩空气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仪表气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</si>
  <si>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:MS_Vacuum a :UtilityMedium ; rdfs:label '</t>
    </r>
    <r>
      <rPr>
        <sz val="10"/>
        <rFont val="Noto Sans CJK SC"/>
        <family val="2"/>
      </rPr>
      <t>真空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</si>
  <si>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:Attr_001 a :ProcessAttribute ; rdfs:label '</t>
    </r>
    <r>
      <rPr>
        <sz val="10"/>
        <rFont val="Noto Sans CJK SC"/>
        <family val="2"/>
      </rPr>
      <t>滤液罐液位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</si>
  <si>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:Attr_002 a :ProcessAttribute ; rdfs:label '</t>
    </r>
    <r>
      <rPr>
        <sz val="10"/>
        <rFont val="Noto Sans CJK SC"/>
        <family val="2"/>
      </rPr>
      <t>滤液温度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</si>
  <si>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:Attr_003 a :ProcessAttribute ; rdfs:label '</t>
    </r>
    <r>
      <rPr>
        <sz val="10"/>
        <rFont val="Noto Sans CJK SC"/>
        <family val="2"/>
      </rPr>
      <t>滤液罐进料流量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</si>
  <si>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:Attr_004 a :ProcessAttribute ; rdfs:label '</t>
    </r>
    <r>
      <rPr>
        <sz val="10"/>
        <rFont val="Noto Sans CJK SC"/>
        <family val="2"/>
      </rPr>
      <t>滤液进料流量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</si>
  <si>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:Attr_005 a :ProcessAttribute ; rdfs:label 'BA</t>
    </r>
    <r>
      <rPr>
        <sz val="10"/>
        <rFont val="Noto Sans CJK SC"/>
        <family val="2"/>
      </rPr>
      <t>进料流量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</si>
  <si>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:Attr_006 a :ProcessAttribute ; rdfs:label '</t>
    </r>
    <r>
      <rPr>
        <sz val="10"/>
        <rFont val="Noto Sans CJK SC"/>
        <family val="2"/>
      </rPr>
      <t>破乳剂进料流量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</si>
  <si>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:Attr_007 a :ProcessAttribute ; rdfs:label '</t>
    </r>
    <r>
      <rPr>
        <sz val="10"/>
        <rFont val="Noto Sans CJK SC"/>
        <family val="2"/>
      </rPr>
      <t>一阶段酸化</t>
    </r>
    <r>
      <rPr>
        <sz val="10"/>
        <rFont val="Consolas"/>
        <family val="3"/>
      </rPr>
      <t>pH'@zh ; :processSection 'S01' .</t>
    </r>
  </si>
  <si>
    <r>
      <rPr>
        <sz val="10"/>
        <rFont val="Consolas"/>
        <family val="3"/>
      </rPr>
      <t>:Attr_008 a :ProcessAttribute ; rdfs:label '</t>
    </r>
    <r>
      <rPr>
        <sz val="10"/>
        <rFont val="Noto Sans CJK SC"/>
        <family val="2"/>
      </rPr>
      <t>二阶段酸化</t>
    </r>
    <r>
      <rPr>
        <sz val="10"/>
        <rFont val="Consolas"/>
        <family val="3"/>
      </rPr>
      <t>pH'@zh ; :processSection 'S01' .</t>
    </r>
  </si>
  <si>
    <r>
      <rPr>
        <sz val="10"/>
        <rFont val="Consolas"/>
        <family val="3"/>
      </rPr>
      <t>:Attr_009 a :ProcessAttribute ; rdfs:label '</t>
    </r>
    <r>
      <rPr>
        <sz val="10"/>
        <rFont val="Noto Sans CJK SC"/>
        <family val="2"/>
      </rPr>
      <t>重相出口压力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</si>
  <si>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:Attr_010 a :ProcessAttribute ; rdfs:label '</t>
    </r>
    <r>
      <rPr>
        <sz val="10"/>
        <rFont val="Noto Sans CJK SC"/>
        <family val="2"/>
      </rPr>
      <t>轻相出口压力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</si>
  <si>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:Attr_011 a :ProcessAttribute ; rdfs:label '</t>
    </r>
    <r>
      <rPr>
        <sz val="10"/>
        <rFont val="Noto Sans CJK SC"/>
        <family val="2"/>
      </rPr>
      <t>主电机电流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</si>
  <si>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:Attr_012 a :ProcessAttribute ; rdfs:label '</t>
    </r>
    <r>
      <rPr>
        <sz val="10"/>
        <rFont val="Noto Sans CJK SC"/>
        <family val="2"/>
      </rPr>
      <t>稀硫酸注入流量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</si>
  <si>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:Attr_013 a :ProcessAttribute ; rdfs:label '</t>
    </r>
    <r>
      <rPr>
        <sz val="10"/>
        <rFont val="Noto Sans CJK SC"/>
        <family val="2"/>
      </rPr>
      <t>废酸水中和</t>
    </r>
    <r>
      <rPr>
        <sz val="10"/>
        <rFont val="Consolas"/>
        <family val="3"/>
      </rPr>
      <t>pH'@zh ; :processSection 'S01' .</t>
    </r>
  </si>
  <si>
    <r>
      <rPr>
        <sz val="10"/>
        <rFont val="Consolas"/>
        <family val="3"/>
      </rPr>
      <t>:Attr_014 a :ProcessAttribute ; rdfs:label '</t>
    </r>
    <r>
      <rPr>
        <sz val="10"/>
        <rFont val="Noto Sans CJK SC"/>
        <family val="2"/>
      </rPr>
      <t>废酸水罐液位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</si>
  <si>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:Attr_015 a :ProcessAttribute ; rdfs:label '</t>
    </r>
    <r>
      <rPr>
        <sz val="10"/>
        <rFont val="Noto Sans CJK SC"/>
        <family val="2"/>
      </rPr>
      <t>废酸水外送流量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</si>
  <si>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:Attr_016 a :ProcessAttribute ; rdfs:label '</t>
    </r>
    <r>
      <rPr>
        <sz val="10"/>
        <rFont val="Noto Sans CJK SC"/>
        <family val="2"/>
      </rPr>
      <t>破乳剂温度</t>
    </r>
    <r>
      <rPr>
        <sz val="10"/>
        <rFont val="Consolas"/>
        <family val="3"/>
      </rPr>
      <t>'@zh ; :processSection 'S04' .</t>
    </r>
  </si>
  <si>
    <r>
      <rPr>
        <sz val="10"/>
        <rFont val="Consolas"/>
        <family val="3"/>
      </rPr>
      <t>:Attr_017 a :ProcessAttribute ; rdfs:label '</t>
    </r>
    <r>
      <rPr>
        <sz val="10"/>
        <rFont val="Noto Sans CJK SC"/>
        <family val="2"/>
      </rPr>
      <t>滤液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酸水进料流量</t>
    </r>
    <r>
      <rPr>
        <sz val="10"/>
        <rFont val="Consolas"/>
        <family val="3"/>
      </rPr>
      <t>'@zh ; :processSection 'S02' .</t>
    </r>
  </si>
  <si>
    <r>
      <rPr>
        <sz val="10"/>
        <rFont val="Consolas"/>
        <family val="3"/>
      </rPr>
      <t>:Attr_018 a :ProcessAttribute ; rdfs:label '</t>
    </r>
    <r>
      <rPr>
        <sz val="10"/>
        <rFont val="Noto Sans CJK SC"/>
        <family val="2"/>
      </rPr>
      <t>三萃丁酯进料流量</t>
    </r>
    <r>
      <rPr>
        <sz val="10"/>
        <rFont val="Consolas"/>
        <family val="3"/>
      </rPr>
      <t>'@zh ; :processSection 'S02' .</t>
    </r>
  </si>
  <si>
    <r>
      <rPr>
        <sz val="10"/>
        <rFont val="Consolas"/>
        <family val="3"/>
      </rPr>
      <t>:Attr_019 a :ProcessAttribute ; rdfs:label '</t>
    </r>
    <r>
      <rPr>
        <sz val="10"/>
        <rFont val="Noto Sans CJK SC"/>
        <family val="2"/>
      </rPr>
      <t>破乳剂进料流量</t>
    </r>
    <r>
      <rPr>
        <sz val="10"/>
        <rFont val="Consolas"/>
        <family val="3"/>
      </rPr>
      <t>(RSE200)'@zh ; :processSection 'S02' .</t>
    </r>
  </si>
  <si>
    <r>
      <rPr>
        <sz val="10"/>
        <rFont val="Consolas"/>
        <family val="3"/>
      </rPr>
      <t>:Attr_020 a :ProcessAttribute ; rdfs:label 'RSE200</t>
    </r>
    <r>
      <rPr>
        <sz val="10"/>
        <rFont val="Noto Sans CJK SC"/>
        <family val="2"/>
      </rPr>
      <t>萃取</t>
    </r>
    <r>
      <rPr>
        <sz val="10"/>
        <rFont val="Consolas"/>
        <family val="3"/>
      </rPr>
      <t>pH'@zh ; :processSection 'S02' .</t>
    </r>
  </si>
  <si>
    <r>
      <rPr>
        <sz val="10"/>
        <rFont val="Consolas"/>
        <family val="3"/>
      </rPr>
      <t>:Attr_021 a :ProcessAttribute ; rdfs:label 'RSE200</t>
    </r>
    <r>
      <rPr>
        <sz val="10"/>
        <rFont val="Noto Sans CJK SC"/>
        <family val="2"/>
      </rPr>
      <t>主电机电流</t>
    </r>
    <r>
      <rPr>
        <sz val="10"/>
        <rFont val="Consolas"/>
        <family val="3"/>
      </rPr>
      <t>'@zh ; :processSection 'S02' .</t>
    </r>
  </si>
  <si>
    <r>
      <rPr>
        <sz val="10"/>
        <rFont val="Consolas"/>
        <family val="3"/>
      </rPr>
      <t>:Attr_022 a :ProcessAttribute ; rdfs:label '</t>
    </r>
    <r>
      <rPr>
        <sz val="10"/>
        <rFont val="Noto Sans CJK SC"/>
        <family val="2"/>
      </rPr>
      <t>丁酯罐液位</t>
    </r>
    <r>
      <rPr>
        <sz val="10"/>
        <rFont val="Consolas"/>
        <family val="3"/>
      </rPr>
      <t>'@zh ; :processSection 'S02' .</t>
    </r>
  </si>
  <si>
    <r>
      <rPr>
        <sz val="10"/>
        <rFont val="Consolas"/>
        <family val="3"/>
      </rPr>
      <t>:Attr_023 a :ProcessAttribute ; rdfs:label '</t>
    </r>
    <r>
      <rPr>
        <sz val="10"/>
        <rFont val="Noto Sans CJK SC"/>
        <family val="2"/>
      </rPr>
      <t>丁酯温度</t>
    </r>
    <r>
      <rPr>
        <sz val="10"/>
        <rFont val="Consolas"/>
        <family val="3"/>
      </rPr>
      <t>'@zh ; :processSection 'S02' .</t>
    </r>
  </si>
  <si>
    <r>
      <rPr>
        <sz val="10"/>
        <rFont val="Consolas"/>
        <family val="3"/>
      </rPr>
      <t>:Attr_024 a :ProcessAttribute ; rdfs:label '</t>
    </r>
    <r>
      <rPr>
        <sz val="10"/>
        <rFont val="Noto Sans CJK SC"/>
        <family val="2"/>
      </rPr>
      <t>丁酯罐压力</t>
    </r>
    <r>
      <rPr>
        <sz val="10"/>
        <rFont val="Consolas"/>
        <family val="3"/>
      </rPr>
      <t>'@zh ; :processSection 'S02' .</t>
    </r>
  </si>
  <si>
    <r>
      <rPr>
        <sz val="10"/>
        <rFont val="Consolas"/>
        <family val="3"/>
      </rPr>
      <t>:Attr_025 a :ProcessAttribute ; rdfs:label '</t>
    </r>
    <r>
      <rPr>
        <sz val="10"/>
        <rFont val="Noto Sans CJK SC"/>
        <family val="2"/>
      </rPr>
      <t>钾盐退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流量</t>
    </r>
    <r>
      <rPr>
        <sz val="10"/>
        <rFont val="Consolas"/>
        <family val="3"/>
      </rPr>
      <t>'@zh ; :processSection 'S02' .</t>
    </r>
  </si>
  <si>
    <r>
      <rPr>
        <sz val="10"/>
        <rFont val="Consolas"/>
        <family val="3"/>
      </rPr>
      <t>:Attr_026 a :ProcessAttribute ; rdfs:label '6A</t>
    </r>
    <r>
      <rPr>
        <sz val="10"/>
        <rFont val="Noto Sans CJK SC"/>
        <family val="2"/>
      </rPr>
      <t>退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流量</t>
    </r>
    <r>
      <rPr>
        <sz val="10"/>
        <rFont val="Consolas"/>
        <family val="3"/>
      </rPr>
      <t>'@zh ; :processSection 'S02' .</t>
    </r>
  </si>
  <si>
    <r>
      <rPr>
        <sz val="10"/>
        <rFont val="Consolas"/>
        <family val="3"/>
      </rPr>
      <t>:Attr_027 a :ProcessAttribute ; rdfs:label '</t>
    </r>
    <r>
      <rPr>
        <sz val="10"/>
        <rFont val="Noto Sans CJK SC"/>
        <family val="2"/>
      </rPr>
      <t>丁酯冷却回水温度</t>
    </r>
    <r>
      <rPr>
        <sz val="10"/>
        <rFont val="Consolas"/>
        <family val="3"/>
      </rPr>
      <t>'@zh ; :processSection 'S02' .</t>
    </r>
  </si>
  <si>
    <r>
      <rPr>
        <sz val="10"/>
        <rFont val="Consolas"/>
        <family val="3"/>
      </rPr>
      <t>:Attr_028 a :ProcessAttribute ; rdfs:label '</t>
    </r>
    <r>
      <rPr>
        <sz val="10"/>
        <rFont val="Noto Sans CJK SC"/>
        <family val="2"/>
      </rPr>
      <t>一次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罐液位</t>
    </r>
    <r>
      <rPr>
        <sz val="10"/>
        <rFont val="Consolas"/>
        <family val="3"/>
      </rPr>
      <t>'@zh ; :processSection 'S02' .</t>
    </r>
  </si>
  <si>
    <r>
      <rPr>
        <sz val="10"/>
        <rFont val="Consolas"/>
        <family val="3"/>
      </rPr>
      <t>:Attr_029 a :ProcessAttribute ; rdfs:label '</t>
    </r>
    <r>
      <rPr>
        <sz val="10"/>
        <rFont val="Noto Sans CJK SC"/>
        <family val="2"/>
      </rPr>
      <t>工作水罐液位</t>
    </r>
    <r>
      <rPr>
        <sz val="10"/>
        <rFont val="Consolas"/>
        <family val="3"/>
      </rPr>
      <t>'@zh ; :processSection 'S02' .</t>
    </r>
  </si>
  <si>
    <r>
      <rPr>
        <sz val="10"/>
        <rFont val="Consolas"/>
        <family val="3"/>
      </rPr>
      <t>:Attr_030 a :ProcessAttribute ; rdfs:label '</t>
    </r>
    <r>
      <rPr>
        <sz val="10"/>
        <rFont val="Noto Sans CJK SC"/>
        <family val="2"/>
      </rPr>
      <t>浓硫酸罐液位</t>
    </r>
    <r>
      <rPr>
        <sz val="10"/>
        <rFont val="Consolas"/>
        <family val="3"/>
      </rPr>
      <t>'@zh ; :processSection 'S03' .</t>
    </r>
  </si>
  <si>
    <r>
      <rPr>
        <sz val="10"/>
        <rFont val="Consolas"/>
        <family val="3"/>
      </rPr>
      <t>:Attr_031 a :ProcessAttribute ; rdfs:label '</t>
    </r>
    <r>
      <rPr>
        <sz val="10"/>
        <rFont val="Noto Sans CJK SC"/>
        <family val="2"/>
      </rPr>
      <t>浓硫酸加入流量</t>
    </r>
    <r>
      <rPr>
        <sz val="10"/>
        <rFont val="Consolas"/>
        <family val="3"/>
      </rPr>
      <t>'@zh ; :processSection 'S03' .</t>
    </r>
  </si>
  <si>
    <r>
      <rPr>
        <sz val="10"/>
        <rFont val="Consolas"/>
        <family val="3"/>
      </rPr>
      <t>:Attr_032 a :ProcessAttribute ; rdfs:label '</t>
    </r>
    <r>
      <rPr>
        <sz val="10"/>
        <rFont val="Noto Sans CJK SC"/>
        <family val="2"/>
      </rPr>
      <t>配酸一次水流量</t>
    </r>
    <r>
      <rPr>
        <sz val="10"/>
        <rFont val="Consolas"/>
        <family val="3"/>
      </rPr>
      <t>'@zh ; :processSection 'S03' .</t>
    </r>
  </si>
  <si>
    <r>
      <rPr>
        <sz val="10"/>
        <rFont val="Consolas"/>
        <family val="3"/>
      </rPr>
      <t>:Attr_033 a :ProcessAttribute ; rdfs:label '</t>
    </r>
    <r>
      <rPr>
        <sz val="10"/>
        <rFont val="Noto Sans CJK SC"/>
        <family val="2"/>
      </rPr>
      <t>稀硫酸浓度</t>
    </r>
    <r>
      <rPr>
        <sz val="10"/>
        <rFont val="Consolas"/>
        <family val="3"/>
      </rPr>
      <t>'@zh ; :processSection 'S03' .</t>
    </r>
  </si>
  <si>
    <r>
      <rPr>
        <sz val="10"/>
        <rFont val="Consolas"/>
        <family val="3"/>
      </rPr>
      <t>:Attr_034 a :ProcessAttribute ; rdfs:label '</t>
    </r>
    <r>
      <rPr>
        <sz val="10"/>
        <rFont val="Noto Sans CJK SC"/>
        <family val="2"/>
      </rPr>
      <t>稀硫酸配置罐液位</t>
    </r>
    <r>
      <rPr>
        <sz val="10"/>
        <rFont val="Consolas"/>
        <family val="3"/>
      </rPr>
      <t>'@zh ; :processSection 'S03' .</t>
    </r>
  </si>
  <si>
    <r>
      <rPr>
        <sz val="10"/>
        <rFont val="Consolas"/>
        <family val="3"/>
      </rPr>
      <t>:Attr_035 a :ProcessAttribute ; rdfs:label '</t>
    </r>
    <r>
      <rPr>
        <sz val="10"/>
        <rFont val="Noto Sans CJK SC"/>
        <family val="2"/>
      </rPr>
      <t>稀硫酸缓冲罐液位</t>
    </r>
    <r>
      <rPr>
        <sz val="10"/>
        <rFont val="Consolas"/>
        <family val="3"/>
      </rPr>
      <t>'@zh ; :processSection 'S03' .</t>
    </r>
  </si>
  <si>
    <r>
      <rPr>
        <sz val="10"/>
        <rFont val="Consolas"/>
        <family val="3"/>
      </rPr>
      <t>:Attr_036 a :ProcessAttribute ; rdfs:label '</t>
    </r>
    <r>
      <rPr>
        <sz val="10"/>
        <rFont val="Noto Sans CJK SC"/>
        <family val="2"/>
      </rPr>
      <t>稀硫酸输送母管压力</t>
    </r>
    <r>
      <rPr>
        <sz val="10"/>
        <rFont val="Consolas"/>
        <family val="3"/>
      </rPr>
      <t>'@zh ; :processSection 'S03' .</t>
    </r>
  </si>
  <si>
    <r>
      <rPr>
        <sz val="10"/>
        <rFont val="Consolas"/>
        <family val="3"/>
      </rPr>
      <t>:Attr_037 a :ProcessAttribute ; rdfs:label '</t>
    </r>
    <r>
      <rPr>
        <sz val="10"/>
        <rFont val="Noto Sans CJK SC"/>
        <family val="2"/>
      </rPr>
      <t>稀硫酸泵频率</t>
    </r>
    <r>
      <rPr>
        <sz val="10"/>
        <rFont val="Consolas"/>
        <family val="3"/>
      </rPr>
      <t>'@zh ; :processSection 'S03' .</t>
    </r>
  </si>
  <si>
    <r>
      <rPr>
        <sz val="10"/>
        <rFont val="Consolas"/>
        <family val="3"/>
      </rPr>
      <t>:Attr_038 a :ProcessAttribute ; rdfs:label '</t>
    </r>
    <r>
      <rPr>
        <sz val="10"/>
        <rFont val="Noto Sans CJK SC"/>
        <family val="2"/>
      </rPr>
      <t>破乳剂配制罐液位</t>
    </r>
    <r>
      <rPr>
        <sz val="10"/>
        <rFont val="Consolas"/>
        <family val="3"/>
      </rPr>
      <t>'@zh ; :processSection 'S04' .</t>
    </r>
  </si>
  <si>
    <r>
      <rPr>
        <sz val="10"/>
        <rFont val="Consolas"/>
        <family val="3"/>
      </rPr>
      <t>:Attr_039 a :ProcessAttribute ; rdfs:label '</t>
    </r>
    <r>
      <rPr>
        <sz val="10"/>
        <rFont val="Noto Sans CJK SC"/>
        <family val="2"/>
      </rPr>
      <t>破乳剂配制搅拌频率</t>
    </r>
    <r>
      <rPr>
        <sz val="10"/>
        <rFont val="Consolas"/>
        <family val="3"/>
      </rPr>
      <t>'@zh ; :processSection 'S04' .</t>
    </r>
  </si>
  <si>
    <r>
      <rPr>
        <sz val="10"/>
        <rFont val="Consolas"/>
        <family val="3"/>
      </rPr>
      <t>:Attr_040 a :ProcessAttribute ; rdfs:label '</t>
    </r>
    <r>
      <rPr>
        <sz val="10"/>
        <rFont val="Noto Sans CJK SC"/>
        <family val="2"/>
      </rPr>
      <t>破乳剂配制温度</t>
    </r>
    <r>
      <rPr>
        <sz val="10"/>
        <rFont val="Consolas"/>
        <family val="3"/>
      </rPr>
      <t>'@zh ; :processSection 'S04' .</t>
    </r>
  </si>
  <si>
    <r>
      <rPr>
        <sz val="10"/>
        <rFont val="Consolas"/>
        <family val="3"/>
      </rPr>
      <t>:Attr_041 a :ProcessAttribute ; rdfs:label '</t>
    </r>
    <r>
      <rPr>
        <sz val="10"/>
        <rFont val="Noto Sans CJK SC"/>
        <family val="2"/>
      </rPr>
      <t>破乳剂缓冲罐液位</t>
    </r>
    <r>
      <rPr>
        <sz val="10"/>
        <rFont val="Consolas"/>
        <family val="3"/>
      </rPr>
      <t>'@zh ; :processSection 'S04' .</t>
    </r>
  </si>
  <si>
    <r>
      <rPr>
        <sz val="10"/>
        <rFont val="Consolas"/>
        <family val="3"/>
      </rPr>
      <t>:Attr_042 a :ProcessAttribute ; rdfs:label '</t>
    </r>
    <r>
      <rPr>
        <sz val="10"/>
        <rFont val="Noto Sans CJK SC"/>
        <family val="2"/>
      </rPr>
      <t>水洗进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流量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</si>
  <si>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:Attr_043 a :ProcessAttribute ; rdfs:label '</t>
    </r>
    <r>
      <rPr>
        <sz val="10"/>
        <rFont val="Noto Sans CJK SC"/>
        <family val="2"/>
      </rPr>
      <t>水洗进水流量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</si>
  <si>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:Attr_044 a :ProcessAttribute ; rdfs:label '</t>
    </r>
    <r>
      <rPr>
        <sz val="10"/>
        <rFont val="Noto Sans CJK SC"/>
        <family val="2"/>
      </rPr>
      <t>水洗离心机电流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</si>
  <si>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:Attr_045 a :ProcessAttribute ; rdfs:label '</t>
    </r>
    <r>
      <rPr>
        <sz val="10"/>
        <rFont val="Noto Sans CJK SC"/>
        <family val="2"/>
      </rPr>
      <t>水洗重相</t>
    </r>
    <r>
      <rPr>
        <sz val="10"/>
        <rFont val="Consolas"/>
        <family val="3"/>
      </rPr>
      <t>pH'@zh ; :processSection 'S05' .</t>
    </r>
  </si>
  <si>
    <r>
      <rPr>
        <sz val="10"/>
        <rFont val="Consolas"/>
        <family val="3"/>
      </rPr>
      <t>:Attr_046 a :ProcessAttribute ; rdfs:label '</t>
    </r>
    <r>
      <rPr>
        <sz val="10"/>
        <rFont val="Noto Sans CJK SC"/>
        <family val="2"/>
      </rPr>
      <t>水洗重相罐液位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</si>
  <si>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:Attr_047 a :ProcessAttribute ; rdfs:label '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罐液位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</si>
  <si>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:Attr_048 a :ProcessAttribute ; rdfs:label '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外送流量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</si>
  <si>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:Attr_049 a :ProcessAttribute ; rdfs:label '</t>
    </r>
    <r>
      <rPr>
        <sz val="10"/>
        <rFont val="Noto Sans CJK SC"/>
        <family val="2"/>
      </rPr>
      <t>稀碱罐液位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</si>
  <si>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:Attr_050 a :ProcessAttribute ; rdfs:label '</t>
    </r>
    <r>
      <rPr>
        <sz val="10"/>
        <rFont val="Noto Sans CJK SC"/>
        <family val="2"/>
      </rPr>
      <t>稀碱温度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</si>
  <si>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:Attr_051 a :ProcessAttribute ; rdfs:label '</t>
    </r>
    <r>
      <rPr>
        <sz val="10"/>
        <rFont val="Noto Sans CJK SC"/>
        <family val="2"/>
      </rPr>
      <t>浓碱进碱流量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</si>
  <si>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:Attr_052 a :ProcessAttribute ; rdfs:label '</t>
    </r>
    <r>
      <rPr>
        <sz val="10"/>
        <rFont val="Noto Sans CJK SC"/>
        <family val="2"/>
      </rPr>
      <t>一次水罐液位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</si>
  <si>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:Attr_053 a :ProcessAttribute ; rdfs:label '</t>
    </r>
    <r>
      <rPr>
        <sz val="10"/>
        <rFont val="Noto Sans CJK SC"/>
        <family val="2"/>
      </rPr>
      <t>脱色罐液位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</si>
  <si>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:Attr_054 a :ProcessAttribute ; rdfs:label '</t>
    </r>
    <r>
      <rPr>
        <sz val="10"/>
        <rFont val="Noto Sans CJK SC"/>
        <family val="2"/>
      </rPr>
      <t>芬特罐压力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</si>
  <si>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:Attr_055 a :ProcessAttribute ; rdfs:label '</t>
    </r>
    <r>
      <rPr>
        <sz val="10"/>
        <rFont val="Noto Sans CJK SC"/>
        <family val="2"/>
      </rPr>
      <t>滤液浊度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</si>
  <si>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:Attr_056 a :ProcessAttribute ; rdfs:label '</t>
    </r>
    <r>
      <rPr>
        <sz val="10"/>
        <rFont val="Noto Sans CJK SC"/>
        <family val="2"/>
      </rPr>
      <t>芬特出料流量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</si>
  <si>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:Attr_057 a :ProcessAttribute ; rdfs:label '</t>
    </r>
    <r>
      <rPr>
        <sz val="10"/>
        <rFont val="Noto Sans CJK SC"/>
        <family val="2"/>
      </rPr>
      <t>芬特倒料泵压力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</si>
  <si>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:Attr_058 a :ProcessAttribute ; rdfs:label '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缓冲罐液位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</si>
  <si>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:Attr_059 a :ProcessAttribute ; rdfs:label '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储罐液位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</si>
  <si>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:Attr_060 a :ProcessAttribute ; rdfs:label '</t>
    </r>
    <r>
      <rPr>
        <sz val="10"/>
        <rFont val="Noto Sans CJK SC"/>
        <family val="2"/>
      </rPr>
      <t>去</t>
    </r>
    <r>
      <rPr>
        <sz val="10"/>
        <rFont val="Consolas"/>
        <family val="3"/>
      </rPr>
      <t>6A</t>
    </r>
    <r>
      <rPr>
        <sz val="10"/>
        <rFont val="Noto Sans CJK SC"/>
        <family val="2"/>
      </rPr>
      <t>流量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</si>
  <si>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:Attr_061 a :ProcessAttribute ; rdfs:label '</t>
    </r>
    <r>
      <rPr>
        <sz val="10"/>
        <rFont val="Noto Sans CJK SC"/>
        <family val="2"/>
      </rPr>
      <t>去钾盐流量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</si>
  <si>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:Attr_062 a :ProcessAttribute ; rdfs:label '</t>
    </r>
    <r>
      <rPr>
        <sz val="10"/>
        <rFont val="Noto Sans CJK SC"/>
        <family val="2"/>
      </rPr>
      <t>甩碳罐压力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</si>
  <si>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:Attr_063 a :ProcessAttribute ; rdfs:label '</t>
    </r>
    <r>
      <rPr>
        <sz val="10"/>
        <rFont val="Noto Sans CJK SC"/>
        <family val="2"/>
      </rPr>
      <t>甩碳储罐液位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</si>
  <si>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:Attr_064 a :ProcessAttribute ; rdfs:label '</t>
    </r>
    <r>
      <rPr>
        <sz val="10"/>
        <rFont val="Noto Sans CJK SC"/>
        <family val="2"/>
      </rPr>
      <t>碳酸钾配制罐压力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</si>
  <si>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:Attr_065 a :ProcessAttribute ; rdfs:label '</t>
    </r>
    <r>
      <rPr>
        <sz val="10"/>
        <rFont val="Noto Sans CJK SC"/>
        <family val="2"/>
      </rPr>
      <t>碳酸钾配制软水流量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</si>
  <si>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:Attr_066 a :ProcessAttribute ; rdfs:label '</t>
    </r>
    <r>
      <rPr>
        <sz val="10"/>
        <rFont val="Noto Sans CJK SC"/>
        <family val="2"/>
      </rPr>
      <t>碳酸钾缓冲罐液位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</si>
  <si>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:Attr_067 a :ProcessAttribute ; rdfs:label '</t>
    </r>
    <r>
      <rPr>
        <sz val="10"/>
        <rFont val="Noto Sans CJK SC"/>
        <family val="2"/>
      </rPr>
      <t>碳酸钾罐出口</t>
    </r>
    <r>
      <rPr>
        <sz val="10"/>
        <rFont val="Consolas"/>
        <family val="3"/>
      </rPr>
      <t>pH'@zh ; :processSection 'S07' .</t>
    </r>
  </si>
  <si>
    <r>
      <rPr>
        <sz val="10"/>
        <rFont val="Consolas"/>
        <family val="3"/>
      </rPr>
      <t>:Attr_068 a :ProcessAttribute ; rdfs:label '</t>
    </r>
    <r>
      <rPr>
        <sz val="10"/>
        <rFont val="Noto Sans CJK SC"/>
        <family val="2"/>
      </rPr>
      <t>一级混合</t>
    </r>
    <r>
      <rPr>
        <sz val="10"/>
        <rFont val="Consolas"/>
        <family val="3"/>
      </rPr>
      <t>pH'@zh ; :processSection 'S07' .</t>
    </r>
  </si>
  <si>
    <r>
      <rPr>
        <sz val="10"/>
        <rFont val="Consolas"/>
        <family val="3"/>
      </rPr>
      <t>:Attr_069 a :ProcessAttribute ; rdfs:label '</t>
    </r>
    <r>
      <rPr>
        <sz val="10"/>
        <rFont val="Noto Sans CJK SC"/>
        <family val="2"/>
      </rPr>
      <t>一级混合液位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</si>
  <si>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:Attr_070 a :ProcessAttribute ; rdfs:label '</t>
    </r>
    <r>
      <rPr>
        <sz val="10"/>
        <rFont val="Noto Sans CJK SC"/>
        <family val="2"/>
      </rPr>
      <t>一级混合温度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</si>
  <si>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:Attr_071 a :ProcessAttribute ; rdfs:label '</t>
    </r>
    <r>
      <rPr>
        <sz val="10"/>
        <rFont val="Noto Sans CJK SC"/>
        <family val="2"/>
      </rPr>
      <t>一离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总管流量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</si>
  <si>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:Attr_072 a :ProcessAttribute ; rdfs:label '</t>
    </r>
    <r>
      <rPr>
        <sz val="10"/>
        <rFont val="Noto Sans CJK SC"/>
        <family val="2"/>
      </rPr>
      <t>一离碳酸钾流量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</si>
  <si>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:Attr_073 a :ProcessAttribute ; rdfs:label '</t>
    </r>
    <r>
      <rPr>
        <sz val="10"/>
        <rFont val="Noto Sans CJK SC"/>
        <family val="2"/>
      </rPr>
      <t>二级混合</t>
    </r>
    <r>
      <rPr>
        <sz val="10"/>
        <rFont val="Consolas"/>
        <family val="3"/>
      </rPr>
      <t>pH'@zh ; :processSection 'S07' .</t>
    </r>
  </si>
  <si>
    <r>
      <rPr>
        <sz val="10"/>
        <rFont val="Consolas"/>
        <family val="3"/>
      </rPr>
      <t>:Attr_074 a :ProcessAttribute ; rdfs:label '</t>
    </r>
    <r>
      <rPr>
        <sz val="10"/>
        <rFont val="Noto Sans CJK SC"/>
        <family val="2"/>
      </rPr>
      <t>二级混合液位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</si>
  <si>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:Attr_075 a :ProcessAttribute ; rdfs:label '</t>
    </r>
    <r>
      <rPr>
        <sz val="10"/>
        <rFont val="Noto Sans CJK SC"/>
        <family val="2"/>
      </rPr>
      <t>二级混合温度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</si>
  <si>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:Attr_076 a :ProcessAttribute ; rdfs:label '</t>
    </r>
    <r>
      <rPr>
        <sz val="10"/>
        <rFont val="Noto Sans CJK SC"/>
        <family val="2"/>
      </rPr>
      <t>二离入料流量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</si>
  <si>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:Attr_077 a :ProcessAttribute ; rdfs:label '</t>
    </r>
    <r>
      <rPr>
        <sz val="10"/>
        <rFont val="Noto Sans CJK SC"/>
        <family val="2"/>
      </rPr>
      <t>二离碳酸钾流量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</si>
  <si>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:Attr_078 a :ProcessAttribute ; rdfs:label '</t>
    </r>
    <r>
      <rPr>
        <sz val="10"/>
        <rFont val="Noto Sans CJK SC"/>
        <family val="2"/>
      </rPr>
      <t>一级离心机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进口流量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</si>
  <si>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:Attr_079 a :ProcessAttribute ; rdfs:label '</t>
    </r>
    <r>
      <rPr>
        <sz val="10"/>
        <rFont val="Noto Sans CJK SC"/>
        <family val="2"/>
      </rPr>
      <t>一离出口</t>
    </r>
    <r>
      <rPr>
        <sz val="10"/>
        <rFont val="Consolas"/>
        <family val="3"/>
      </rPr>
      <t>pH(RB</t>
    </r>
    <r>
      <rPr>
        <sz val="10"/>
        <rFont val="Noto Sans CJK SC"/>
        <family val="2"/>
      </rPr>
      <t>液</t>
    </r>
    <r>
      <rPr>
        <sz val="10"/>
        <rFont val="Consolas"/>
        <family val="3"/>
      </rPr>
      <t>pH)'@zh ; :processSection 'S07' .</t>
    </r>
  </si>
  <si>
    <r>
      <rPr>
        <sz val="10"/>
        <rFont val="Consolas"/>
        <family val="3"/>
      </rPr>
      <t>:Attr_080 a :ProcessAttribute ; rdfs:label 'RB</t>
    </r>
    <r>
      <rPr>
        <sz val="10"/>
        <rFont val="Noto Sans CJK SC"/>
        <family val="2"/>
      </rPr>
      <t>去薄膜流量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</si>
  <si>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:Attr_081 a :ProcessAttribute ; rdfs:label '</t>
    </r>
    <r>
      <rPr>
        <sz val="10"/>
        <rFont val="Noto Sans CJK SC"/>
        <family val="2"/>
      </rPr>
      <t>一级离心机轻相流量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</si>
  <si>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:Attr_082 a :ProcessAttribute ; rdfs:label '</t>
    </r>
    <r>
      <rPr>
        <sz val="10"/>
        <rFont val="Noto Sans CJK SC"/>
        <family val="2"/>
      </rPr>
      <t>抽提一级离心机电流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</si>
  <si>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:Attr_083 a :ProcessAttribute ; rdfs:label '</t>
    </r>
    <r>
      <rPr>
        <sz val="10"/>
        <rFont val="Noto Sans CJK SC"/>
        <family val="2"/>
      </rPr>
      <t>二级离心机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进口流量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</si>
  <si>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:Attr_084 a :ProcessAttribute ; rdfs:label '</t>
    </r>
    <r>
      <rPr>
        <sz val="10"/>
        <rFont val="Noto Sans CJK SC"/>
        <family val="2"/>
      </rPr>
      <t>二离出口</t>
    </r>
    <r>
      <rPr>
        <sz val="10"/>
        <rFont val="Consolas"/>
        <family val="3"/>
      </rPr>
      <t>pH'@zh ; :processSection 'S07' .</t>
    </r>
  </si>
  <si>
    <r>
      <rPr>
        <sz val="10"/>
        <rFont val="Consolas"/>
        <family val="3"/>
      </rPr>
      <t>:Attr_085 a :ProcessAttribute ; rdfs:label '</t>
    </r>
    <r>
      <rPr>
        <sz val="10"/>
        <rFont val="Noto Sans CJK SC"/>
        <family val="2"/>
      </rPr>
      <t>二级离心机轻相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退</t>
    </r>
    <r>
      <rPr>
        <sz val="10"/>
        <rFont val="Consolas"/>
        <family val="3"/>
      </rPr>
      <t>BA)</t>
    </r>
    <r>
      <rPr>
        <sz val="10"/>
        <rFont val="Noto Sans CJK SC"/>
        <family val="2"/>
      </rPr>
      <t>流量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</si>
  <si>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:Attr_086 a :ProcessAttribute ; rdfs:label '</t>
    </r>
    <r>
      <rPr>
        <sz val="10"/>
        <rFont val="Noto Sans CJK SC"/>
        <family val="2"/>
      </rPr>
      <t>抽提二级离心机电流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</si>
  <si>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:Attr_087 a :ProcessAttribute ; rdfs:label '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缓冲罐温度</t>
    </r>
    <r>
      <rPr>
        <sz val="10"/>
        <rFont val="Consolas"/>
        <family val="3"/>
      </rPr>
      <t>'@zh ; :processSection 'S08' .</t>
    </r>
  </si>
  <si>
    <r>
      <rPr>
        <sz val="10"/>
        <rFont val="Consolas"/>
        <family val="3"/>
      </rPr>
      <t>:Attr_088 a :ProcessAttribute ; rdfs:label '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罐液位</t>
    </r>
    <r>
      <rPr>
        <sz val="10"/>
        <rFont val="Consolas"/>
        <family val="3"/>
      </rPr>
      <t>'@zh ; :processSection 'S08' .</t>
    </r>
  </si>
  <si>
    <r>
      <rPr>
        <sz val="10"/>
        <rFont val="Consolas"/>
        <family val="3"/>
      </rPr>
      <t>:Attr_089 a :ProcessAttribute ; rdfs:label '</t>
    </r>
    <r>
      <rPr>
        <sz val="10"/>
        <rFont val="Noto Sans CJK SC"/>
        <family val="2"/>
      </rPr>
      <t>钾盐结晶罐液体温度</t>
    </r>
    <r>
      <rPr>
        <sz val="10"/>
        <rFont val="Consolas"/>
        <family val="3"/>
      </rPr>
      <t>'@zh ; :processSection 'S08' .</t>
    </r>
  </si>
  <si>
    <r>
      <rPr>
        <sz val="10"/>
        <rFont val="Consolas"/>
        <family val="3"/>
      </rPr>
      <t>:Attr_090 a :ProcessAttribute ; rdfs:label '</t>
    </r>
    <r>
      <rPr>
        <sz val="10"/>
        <rFont val="Noto Sans CJK SC"/>
        <family val="2"/>
      </rPr>
      <t>钾盐结晶真空度</t>
    </r>
    <r>
      <rPr>
        <sz val="10"/>
        <rFont val="Consolas"/>
        <family val="3"/>
      </rPr>
      <t>'@zh ; :processSection 'S08' .</t>
    </r>
  </si>
  <si>
    <r>
      <rPr>
        <sz val="10"/>
        <rFont val="Consolas"/>
        <family val="3"/>
      </rPr>
      <t>:Attr_091 a :ProcessAttribute ; rdfs:label '</t>
    </r>
    <r>
      <rPr>
        <sz val="10"/>
        <rFont val="Noto Sans CJK SC"/>
        <family val="2"/>
      </rPr>
      <t>钾盐结晶补丁醇流量</t>
    </r>
    <r>
      <rPr>
        <sz val="10"/>
        <rFont val="Consolas"/>
        <family val="3"/>
      </rPr>
      <t>'@zh ; :processSection 'S08' .</t>
    </r>
  </si>
  <si>
    <r>
      <rPr>
        <sz val="10"/>
        <rFont val="Consolas"/>
        <family val="3"/>
      </rPr>
      <t>:Attr_092 a :ProcessAttribute ; rdfs:label '</t>
    </r>
    <r>
      <rPr>
        <sz val="10"/>
        <rFont val="Noto Sans CJK SC"/>
        <family val="2"/>
      </rPr>
      <t>钾盐结晶罐液位</t>
    </r>
    <r>
      <rPr>
        <sz val="10"/>
        <rFont val="Consolas"/>
        <family val="3"/>
      </rPr>
      <t>'@zh ; :processSection 'S08' .</t>
    </r>
  </si>
  <si>
    <r>
      <rPr>
        <sz val="10"/>
        <rFont val="Consolas"/>
        <family val="3"/>
      </rPr>
      <t>:Attr_093 a :ProcessAttribute ; rdfs:label '</t>
    </r>
    <r>
      <rPr>
        <sz val="10"/>
        <rFont val="Noto Sans CJK SC"/>
        <family val="2"/>
      </rPr>
      <t>薄膜进料流量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</si>
  <si>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:Attr_094 a :ProcessAttribute ; rdfs:label '</t>
    </r>
    <r>
      <rPr>
        <sz val="10"/>
        <rFont val="Noto Sans CJK SC"/>
        <family val="2"/>
      </rPr>
      <t>蒸发器出口温度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</si>
  <si>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:Attr_095 a :ProcessAttribute ; rdfs:label '</t>
    </r>
    <r>
      <rPr>
        <sz val="10"/>
        <rFont val="Noto Sans CJK SC"/>
        <family val="2"/>
      </rPr>
      <t>蒸发器真空压力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</si>
  <si>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:Attr_096 a :ProcessAttribute ; rdfs:label '</t>
    </r>
    <r>
      <rPr>
        <sz val="10"/>
        <rFont val="Noto Sans CJK SC"/>
        <family val="2"/>
      </rPr>
      <t>刮板转子频率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</si>
  <si>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:Attr_097 a :ProcessAttribute ; rdfs:label '</t>
    </r>
    <r>
      <rPr>
        <sz val="10"/>
        <rFont val="Noto Sans CJK SC"/>
        <family val="2"/>
      </rPr>
      <t>冷凝器出口温度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</si>
  <si>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:Attr_098 a :ProcessAttribute ; rdfs:label '</t>
    </r>
    <r>
      <rPr>
        <sz val="10"/>
        <rFont val="Noto Sans CJK SC"/>
        <family val="2"/>
      </rPr>
      <t>薄膜重相罐液位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</si>
  <si>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:Attr_099 a :ProcessAttribute ; rdfs:label '</t>
    </r>
    <r>
      <rPr>
        <sz val="10"/>
        <rFont val="Noto Sans CJK SC"/>
        <family val="2"/>
      </rPr>
      <t>薄膜轻相罐液位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</si>
  <si>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:Attr_100 a :ProcessAttribute ; rdfs:label '</t>
    </r>
    <r>
      <rPr>
        <sz val="10"/>
        <rFont val="Noto Sans CJK SC"/>
        <family val="2"/>
      </rPr>
      <t>分水罐液位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</si>
  <si>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:Attr_101 a :ProcessAttribute ; rdfs:label 'RB</t>
    </r>
    <r>
      <rPr>
        <sz val="10"/>
        <rFont val="Noto Sans CJK SC"/>
        <family val="2"/>
      </rPr>
      <t>缓冲罐液位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</si>
  <si>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:Attr_102 a :ProcessAttribute ; rdfs:label 'RB</t>
    </r>
    <r>
      <rPr>
        <sz val="10"/>
        <rFont val="Noto Sans CJK SC"/>
        <family val="2"/>
      </rPr>
      <t>储罐温度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</si>
  <si>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:Attr_103 a :ProcessAttribute ; rdfs:label 'RB</t>
    </r>
    <r>
      <rPr>
        <sz val="10"/>
        <rFont val="Noto Sans CJK SC"/>
        <family val="2"/>
      </rPr>
      <t>效价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</si>
  <si>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:Attr_104 a :ProcessAttribute ; rdfs:label 'RB</t>
    </r>
    <r>
      <rPr>
        <sz val="10"/>
        <rFont val="Noto Sans CJK SC"/>
        <family val="2"/>
      </rPr>
      <t>透光率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</si>
  <si>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:Attr_105 a :ProcessAttribute ; rdfs:label '</t>
    </r>
    <r>
      <rPr>
        <sz val="10"/>
        <rFont val="Noto Sans CJK SC"/>
        <family val="2"/>
      </rPr>
      <t>薄膜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去水解流量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</si>
  <si>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:Attr_106 a :ProcessAttribute ; rdfs:label '</t>
    </r>
    <r>
      <rPr>
        <sz val="10"/>
        <rFont val="Noto Sans CJK SC"/>
        <family val="2"/>
      </rPr>
      <t>热水罐出水温度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</si>
  <si>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:Attr_107 a :ProcessAttribute ; rdfs:label '</t>
    </r>
    <r>
      <rPr>
        <sz val="10"/>
        <rFont val="Noto Sans CJK SC"/>
        <family val="2"/>
      </rPr>
      <t>热水罐液位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</si>
  <si>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:Attr_108 a :ProcessAttribute ; rdfs:label '</t>
    </r>
    <r>
      <rPr>
        <sz val="10"/>
        <rFont val="Noto Sans CJK SC"/>
        <family val="2"/>
      </rPr>
      <t>薄膜脱脂温度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</si>
  <si>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:Attr_109 a :ProcessAttribute ; rdfs:label '</t>
    </r>
    <r>
      <rPr>
        <sz val="10"/>
        <rFont val="Noto Sans CJK SC"/>
        <family val="2"/>
      </rPr>
      <t>水解软水罐液位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</si>
  <si>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:Attr_110 a :ProcessAttribute ; rdfs:label '</t>
    </r>
    <r>
      <rPr>
        <sz val="10"/>
        <rFont val="Noto Sans CJK SC"/>
        <family val="2"/>
      </rPr>
      <t>液碱配制罐液位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</si>
  <si>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:Attr_111 a :ProcessAttribute ; rdfs:label '</t>
    </r>
    <r>
      <rPr>
        <sz val="10"/>
        <rFont val="Noto Sans CJK SC"/>
        <family val="2"/>
      </rPr>
      <t>浓碱去萃取浓碱罐流量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</si>
  <si>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:Attr_112 a :ProcessAttribute ; rdfs:label '</t>
    </r>
    <r>
      <rPr>
        <sz val="10"/>
        <rFont val="Noto Sans CJK SC"/>
        <family val="2"/>
      </rPr>
      <t>浓氨计量罐液位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</si>
  <si>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:Attr_113 a :ProcessAttribute ; rdfs:label '</t>
    </r>
    <r>
      <rPr>
        <sz val="10"/>
        <rFont val="Noto Sans CJK SC"/>
        <family val="2"/>
      </rPr>
      <t>氨水配制罐液位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</si>
  <si>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:Attr_114 a :ProcessAttribute ; rdfs:label '</t>
    </r>
    <r>
      <rPr>
        <sz val="10"/>
        <rFont val="Noto Sans CJK SC"/>
        <family val="2"/>
      </rPr>
      <t>氨水配制软水流量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</si>
  <si>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:Attr_115 a :ProcessAttribute ; rdfs:label '</t>
    </r>
    <r>
      <rPr>
        <sz val="10"/>
        <rFont val="Noto Sans CJK SC"/>
        <family val="2"/>
      </rPr>
      <t>氨水缓冲罐液位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</si>
  <si>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:Attr_116 a :ProcessAttribute ; rdfs:label '</t>
    </r>
    <r>
      <rPr>
        <sz val="10"/>
        <rFont val="Noto Sans CJK SC"/>
        <family val="2"/>
      </rPr>
      <t>氨水溢流罐液位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</si>
  <si>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:Attr_117 a :ProcessAttribute ; rdfs:label '</t>
    </r>
    <r>
      <rPr>
        <sz val="10"/>
        <rFont val="Noto Sans CJK SC"/>
        <family val="2"/>
      </rPr>
      <t>硼酸配制出料温度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</si>
  <si>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:Attr_118 a :ProcessAttribute ; rdfs:label '</t>
    </r>
    <r>
      <rPr>
        <sz val="10"/>
        <rFont val="Noto Sans CJK SC"/>
        <family val="2"/>
      </rPr>
      <t>硼酸罐液位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</si>
  <si>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:Attr_119 a :ProcessAttribute ; rdfs:label '</t>
    </r>
    <r>
      <rPr>
        <sz val="10"/>
        <rFont val="Noto Sans CJK SC"/>
        <family val="2"/>
      </rPr>
      <t>硼酸溶液温度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</si>
  <si>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:Attr_120 a :ProcessAttribute ; rdfs:label '</t>
    </r>
    <r>
      <rPr>
        <sz val="10"/>
        <rFont val="Noto Sans CJK SC"/>
        <family val="2"/>
      </rPr>
      <t>水解热水罐温度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</si>
  <si>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:Attr_121 a :ProcessAttribute ; rdfs:label 'RB</t>
    </r>
    <r>
      <rPr>
        <sz val="10"/>
        <rFont val="Noto Sans CJK SC"/>
        <family val="2"/>
      </rPr>
      <t>储罐液位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</si>
  <si>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:Attr_122 a :ProcessAttribute ; rdfs:label 'RB</t>
    </r>
    <r>
      <rPr>
        <sz val="10"/>
        <rFont val="Noto Sans CJK SC"/>
        <family val="2"/>
      </rPr>
      <t>进料温度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</si>
  <si>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:Attr_123 a :ProcessAttribute ; rdfs:label 'RB</t>
    </r>
    <r>
      <rPr>
        <sz val="10"/>
        <rFont val="Noto Sans CJK SC"/>
        <family val="2"/>
      </rPr>
      <t>进料流量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</si>
  <si>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:Attr_124 a :ProcessAttribute ; rdfs:label '</t>
    </r>
    <r>
      <rPr>
        <sz val="10"/>
        <rFont val="Noto Sans CJK SC"/>
        <family val="2"/>
      </rPr>
      <t>硼酸进料流量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</si>
  <si>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:Attr_125 a :ProcessAttribute ; rdfs:label '</t>
    </r>
    <r>
      <rPr>
        <sz val="10"/>
        <rFont val="Noto Sans CJK SC"/>
        <family val="2"/>
      </rPr>
      <t>釜内反应温度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</si>
  <si>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:Attr_126 a :ProcessAttribute ; rdfs:label '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pH'@zh ; :processSection 'S11' .</t>
    </r>
  </si>
  <si>
    <r>
      <rPr>
        <sz val="10"/>
        <rFont val="Consolas"/>
        <family val="3"/>
      </rPr>
      <t>:Attr_127 a :ProcessAttribute ; rdfs:label '</t>
    </r>
    <r>
      <rPr>
        <sz val="10"/>
        <rFont val="Noto Sans CJK SC"/>
        <family val="2"/>
      </rPr>
      <t>釜内反应液位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</si>
  <si>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:Attr_128 a :ProcessAttribute ; rdfs:label '</t>
    </r>
    <r>
      <rPr>
        <sz val="10"/>
        <rFont val="Noto Sans CJK SC"/>
        <family val="2"/>
      </rPr>
      <t>搅拌运行状态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</si>
  <si>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:Attr_129 a :ProcessAttribute ; rdfs:label '</t>
    </r>
    <r>
      <rPr>
        <sz val="10"/>
        <rFont val="Noto Sans CJK SC"/>
        <family val="2"/>
      </rPr>
      <t>氨水计量罐液位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</si>
  <si>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:Attr_130 a :ProcessAttribute ; rdfs:label '</t>
    </r>
    <r>
      <rPr>
        <sz val="10"/>
        <rFont val="Noto Sans CJK SC"/>
        <family val="2"/>
      </rPr>
      <t>压缩空气总管压力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</si>
  <si>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:Attr_131 a :ProcessAttribute ; rdfs:label '</t>
    </r>
    <r>
      <rPr>
        <sz val="10"/>
        <rFont val="Noto Sans CJK SC"/>
        <family val="2"/>
      </rPr>
      <t>水解液缓冲罐液位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</si>
  <si>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:Attr_132 a :ProcessAttribute ; rdfs:label '</t>
    </r>
    <r>
      <rPr>
        <sz val="10"/>
        <rFont val="Noto Sans CJK SC"/>
        <family val="2"/>
      </rPr>
      <t>水解液泵出口压力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</si>
  <si>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:Attr_133 a :ProcessAttribute ; rdfs:label '</t>
    </r>
    <r>
      <rPr>
        <sz val="10"/>
        <rFont val="Noto Sans CJK SC"/>
        <family val="2"/>
      </rPr>
      <t>水解进料换热温度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</si>
  <si>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:Attr_134 a :ProcessAttribute ; rdfs:label '</t>
    </r>
    <r>
      <rPr>
        <sz val="10"/>
        <rFont val="Noto Sans CJK SC"/>
        <family val="2"/>
      </rPr>
      <t>回流换热器出口温度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</si>
  <si>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:Attr_135 a :ProcessAttribute ; rdfs:label '</t>
    </r>
    <r>
      <rPr>
        <sz val="10"/>
        <rFont val="Noto Sans CJK SC"/>
        <family val="2"/>
      </rPr>
      <t>酸化体系</t>
    </r>
    <r>
      <rPr>
        <sz val="10"/>
        <rFont val="Consolas"/>
        <family val="3"/>
      </rPr>
      <t>pH'@zh ; :processSection 'S12' .</t>
    </r>
  </si>
  <si>
    <r>
      <rPr>
        <sz val="10"/>
        <rFont val="Consolas"/>
        <family val="3"/>
      </rPr>
      <t>:Attr_136 a :ProcessAttribute ; rdfs:label '</t>
    </r>
    <r>
      <rPr>
        <sz val="10"/>
        <rFont val="Noto Sans CJK SC"/>
        <family val="2"/>
      </rPr>
      <t>萃取混合液温度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</si>
  <si>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:Attr_137 a :ProcessAttribute ; rdfs:label '</t>
    </r>
    <r>
      <rPr>
        <sz val="10"/>
        <rFont val="Noto Sans CJK SC"/>
        <family val="2"/>
      </rPr>
      <t>水解液进料流量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</si>
  <si>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:Attr_138 a :ProcessAttribute ; rdfs:label '</t>
    </r>
    <r>
      <rPr>
        <sz val="10"/>
        <rFont val="Noto Sans CJK SC"/>
        <family val="2"/>
      </rPr>
      <t>盐酸进料流量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</si>
  <si>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:Attr_139 a :ProcessAttribute ; rdfs:label '</t>
    </r>
    <r>
      <rPr>
        <sz val="10"/>
        <rFont val="Noto Sans CJK SC"/>
        <family val="2"/>
      </rPr>
      <t>混合溶媒进料流量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</si>
  <si>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:Attr_140 a :ProcessAttribute ; rdfs:label '</t>
    </r>
    <r>
      <rPr>
        <sz val="10"/>
        <rFont val="Noto Sans CJK SC"/>
        <family val="2"/>
      </rPr>
      <t>回流混合溶媒流量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</si>
  <si>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:Attr_141 a :ProcessAttribute ; rdfs:label '</t>
    </r>
    <r>
      <rPr>
        <sz val="10"/>
        <rFont val="Noto Sans CJK SC"/>
        <family val="2"/>
      </rPr>
      <t>一萃重液流量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</si>
  <si>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:Attr_142 a :ProcessAttribute ; rdfs:label '</t>
    </r>
    <r>
      <rPr>
        <sz val="10"/>
        <rFont val="Noto Sans CJK SC"/>
        <family val="2"/>
      </rPr>
      <t>二萃溶媒流量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</si>
  <si>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:Attr_143 a :ProcessAttribute ; rdfs:label '</t>
    </r>
    <r>
      <rPr>
        <sz val="10"/>
        <rFont val="Noto Sans CJK SC"/>
        <family val="2"/>
      </rPr>
      <t>萃取出料</t>
    </r>
    <r>
      <rPr>
        <sz val="10"/>
        <rFont val="Consolas"/>
        <family val="3"/>
      </rPr>
      <t>pH'@zh ; :processSection 'S12' .</t>
    </r>
  </si>
  <si>
    <r>
      <rPr>
        <sz val="10"/>
        <rFont val="Consolas"/>
        <family val="3"/>
      </rPr>
      <t>:Attr_144 a :ProcessAttribute ; rdfs:label '</t>
    </r>
    <r>
      <rPr>
        <sz val="10"/>
        <rFont val="Noto Sans CJK SC"/>
        <family val="2"/>
      </rPr>
      <t>反萃液碱流量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</si>
  <si>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:Attr_145 a :ProcessAttribute ; rdfs:label '</t>
    </r>
    <r>
      <rPr>
        <sz val="10"/>
        <rFont val="Noto Sans CJK SC"/>
        <family val="2"/>
      </rPr>
      <t>反萃混合流量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</si>
  <si>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:Attr_146 a :ProcessAttribute ; rdfs:label '</t>
    </r>
    <r>
      <rPr>
        <sz val="10"/>
        <rFont val="Noto Sans CJK SC"/>
        <family val="2"/>
      </rPr>
      <t>反萃</t>
    </r>
    <r>
      <rPr>
        <sz val="10"/>
        <rFont val="Consolas"/>
        <family val="3"/>
      </rPr>
      <t>pH'@zh ; :processSection 'S12' .</t>
    </r>
  </si>
  <si>
    <r>
      <rPr>
        <sz val="10"/>
        <rFont val="Consolas"/>
        <family val="3"/>
      </rPr>
      <t>:Attr_147 a :ProcessAttribute ; rdfs:label '</t>
    </r>
    <r>
      <rPr>
        <sz val="10"/>
        <rFont val="Noto Sans CJK SC"/>
        <family val="2"/>
      </rPr>
      <t>分相罐液位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</si>
  <si>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:Attr_148 a :ProcessAttribute ; rdfs:label '</t>
    </r>
    <r>
      <rPr>
        <sz val="10"/>
        <rFont val="Noto Sans CJK SC"/>
        <family val="2"/>
      </rPr>
      <t>分相罐温度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</si>
  <si>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:Attr_149 a :ProcessAttribute ; rdfs:label '</t>
    </r>
    <r>
      <rPr>
        <sz val="10"/>
        <rFont val="Noto Sans CJK SC"/>
        <family val="2"/>
      </rPr>
      <t>分相罐重相流量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</si>
  <si>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:Attr_150 a :ProcessAttribute ; rdfs:label '</t>
    </r>
    <r>
      <rPr>
        <sz val="10"/>
        <rFont val="Noto Sans CJK SC"/>
        <family val="2"/>
      </rPr>
      <t>重液缓冲罐液位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</si>
  <si>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:Attr_151 a :ProcessAttribute ; rdfs:label '</t>
    </r>
    <r>
      <rPr>
        <sz val="10"/>
        <rFont val="Noto Sans CJK SC"/>
        <family val="2"/>
      </rPr>
      <t>重液去结晶温度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</si>
  <si>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:Attr_152 a :ProcessAttribute ; rdfs:label '</t>
    </r>
    <r>
      <rPr>
        <sz val="10"/>
        <rFont val="Noto Sans CJK SC"/>
        <family val="2"/>
      </rPr>
      <t>重液去结晶流量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</si>
  <si>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:Attr_153 a :ProcessAttribute ; rdfs:label '</t>
    </r>
    <r>
      <rPr>
        <sz val="10"/>
        <rFont val="Noto Sans CJK SC"/>
        <family val="2"/>
      </rPr>
      <t>萃取轻相罐液位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</si>
  <si>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:Attr_154 a :ProcessAttribute ; rdfs:label '</t>
    </r>
    <r>
      <rPr>
        <sz val="10"/>
        <rFont val="Noto Sans CJK SC"/>
        <family val="2"/>
      </rPr>
      <t>反萃轻相罐液位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</si>
  <si>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:Attr_155 a :ProcessAttribute ; rdfs:label '</t>
    </r>
    <r>
      <rPr>
        <sz val="10"/>
        <rFont val="Noto Sans CJK SC"/>
        <family val="2"/>
      </rPr>
      <t>反萃轻相密度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</si>
  <si>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:Attr_156 a :ProcessAttribute ; rdfs:label '</t>
    </r>
    <r>
      <rPr>
        <sz val="10"/>
        <rFont val="Noto Sans CJK SC"/>
        <family val="2"/>
      </rPr>
      <t>混合溶媒罐液位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</si>
  <si>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:Attr_157 a :ProcessAttribute ; rdfs:label '</t>
    </r>
    <r>
      <rPr>
        <sz val="10"/>
        <rFont val="Noto Sans CJK SC"/>
        <family val="2"/>
      </rPr>
      <t>混合溶媒温度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</si>
  <si>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:Attr_158 a :ProcessAttribute ; rdfs:label '</t>
    </r>
    <r>
      <rPr>
        <sz val="10"/>
        <rFont val="Noto Sans CJK SC"/>
        <family val="2"/>
      </rPr>
      <t>来自回收溶媒流量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</si>
  <si>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:Attr_159 a :ProcessAttribute ; rdfs:label '</t>
    </r>
    <r>
      <rPr>
        <sz val="10"/>
        <rFont val="Noto Sans CJK SC"/>
        <family val="2"/>
      </rPr>
      <t>结晶罐温度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</si>
  <si>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:Attr_160 a :ProcessAttribute ; rdfs:label '</t>
    </r>
    <r>
      <rPr>
        <sz val="10"/>
        <rFont val="Noto Sans CJK SC"/>
        <family val="2"/>
      </rPr>
      <t>结晶终点</t>
    </r>
    <r>
      <rPr>
        <sz val="10"/>
        <rFont val="Consolas"/>
        <family val="3"/>
      </rPr>
      <t>pH'@zh ; :processSection 'S13' .</t>
    </r>
  </si>
  <si>
    <r>
      <rPr>
        <sz val="10"/>
        <rFont val="Consolas"/>
        <family val="3"/>
      </rPr>
      <t>:Attr_161 a :ProcessAttribute ; rdfs:label '</t>
    </r>
    <r>
      <rPr>
        <sz val="10"/>
        <rFont val="Noto Sans CJK SC"/>
        <family val="2"/>
      </rPr>
      <t>结晶罐液位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</si>
  <si>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:Attr_162 a :ProcessAttribute ; rdfs:label '</t>
    </r>
    <r>
      <rPr>
        <sz val="10"/>
        <rFont val="Noto Sans CJK SC"/>
        <family val="2"/>
      </rPr>
      <t>重液进料流量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</si>
  <si>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:Attr_163 a :ProcessAttribute ; rdfs:label '</t>
    </r>
    <r>
      <rPr>
        <sz val="10"/>
        <rFont val="Noto Sans CJK SC"/>
        <family val="2"/>
      </rPr>
      <t>结晶氨水进料流量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</si>
  <si>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:Attr_164 a :ProcessAttribute ; rdfs:label '</t>
    </r>
    <r>
      <rPr>
        <sz val="10"/>
        <rFont val="Noto Sans CJK SC"/>
        <family val="2"/>
      </rPr>
      <t>结晶搅拌频率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</si>
  <si>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:Attr_165 a :ProcessAttribute ; rdfs:label '</t>
    </r>
    <r>
      <rPr>
        <sz val="10"/>
        <rFont val="Noto Sans CJK SC"/>
        <family val="2"/>
      </rPr>
      <t>结晶盐酸流量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</si>
  <si>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:Attr_166 a :ProcessAttribute ; rdfs:label '</t>
    </r>
    <r>
      <rPr>
        <sz val="10"/>
        <rFont val="Noto Sans CJK SC"/>
        <family val="2"/>
      </rPr>
      <t>结晶软水流量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</si>
  <si>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:Attr_167 a :ProcessAttribute ; rdfs:label '</t>
    </r>
    <r>
      <rPr>
        <sz val="10"/>
        <rFont val="Noto Sans CJK SC"/>
        <family val="2"/>
      </rPr>
      <t>离心机频率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</si>
  <si>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:Attr_168 a :ProcessAttribute ; rdfs:label '</t>
    </r>
    <r>
      <rPr>
        <sz val="10"/>
        <rFont val="Noto Sans CJK SC"/>
        <family val="2"/>
      </rPr>
      <t>离心洗涤水流量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</si>
  <si>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:Attr_169 a :ProcessAttribute ; rdfs:label '</t>
    </r>
    <r>
      <rPr>
        <sz val="10"/>
        <rFont val="Noto Sans CJK SC"/>
        <family val="2"/>
      </rPr>
      <t>离心软水温度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</si>
  <si>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:Attr_170 a :ProcessAttribute ; rdfs:label '</t>
    </r>
    <r>
      <rPr>
        <sz val="10"/>
        <rFont val="Noto Sans CJK SC"/>
        <family val="2"/>
      </rPr>
      <t>离心软水</t>
    </r>
    <r>
      <rPr>
        <sz val="10"/>
        <rFont val="Consolas"/>
        <family val="3"/>
      </rPr>
      <t>pH'@zh ; :processSection 'S13' .</t>
    </r>
  </si>
  <si>
    <r>
      <rPr>
        <sz val="10"/>
        <rFont val="Consolas"/>
        <family val="3"/>
      </rPr>
      <t>:Attr_171 a :ProcessAttribute ; rdfs:label '</t>
    </r>
    <r>
      <rPr>
        <sz val="10"/>
        <rFont val="Noto Sans CJK SC"/>
        <family val="2"/>
      </rPr>
      <t>母液去回收流量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</si>
  <si>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:Attr_172 a :ProcessAttribute ; rdfs:label '</t>
    </r>
    <r>
      <rPr>
        <sz val="10"/>
        <rFont val="Noto Sans CJK SC"/>
        <family val="2"/>
      </rPr>
      <t>重液出料温度</t>
    </r>
    <r>
      <rPr>
        <sz val="10"/>
        <rFont val="Consolas"/>
        <family val="3"/>
      </rPr>
      <t>'@zh ; :processSection 'S14' .</t>
    </r>
  </si>
  <si>
    <r>
      <rPr>
        <sz val="10"/>
        <rFont val="Consolas"/>
        <family val="3"/>
      </rPr>
      <t>:Attr_173 a :ProcessAttribute ; rdfs:label '</t>
    </r>
    <r>
      <rPr>
        <sz val="10"/>
        <rFont val="Noto Sans CJK SC"/>
        <family val="2"/>
      </rPr>
      <t>一级结晶</t>
    </r>
    <r>
      <rPr>
        <sz val="10"/>
        <rFont val="Consolas"/>
        <family val="3"/>
      </rPr>
      <t>pH'@zh ; :processSection 'S14' .</t>
    </r>
  </si>
  <si>
    <r>
      <rPr>
        <sz val="10"/>
        <rFont val="Consolas"/>
        <family val="3"/>
      </rPr>
      <t>:Attr_174 a :ProcessAttribute ; rdfs:label '</t>
    </r>
    <r>
      <rPr>
        <sz val="10"/>
        <rFont val="Noto Sans CJK SC"/>
        <family val="2"/>
      </rPr>
      <t>一级结晶罐温度</t>
    </r>
    <r>
      <rPr>
        <sz val="10"/>
        <rFont val="Consolas"/>
        <family val="3"/>
      </rPr>
      <t>'@zh ; :processSection 'S14' .</t>
    </r>
  </si>
  <si>
    <r>
      <rPr>
        <sz val="10"/>
        <rFont val="Consolas"/>
        <family val="3"/>
      </rPr>
      <t>:Attr_175 a :ProcessAttribute ; rdfs:label '</t>
    </r>
    <r>
      <rPr>
        <sz val="10"/>
        <rFont val="Noto Sans CJK SC"/>
        <family val="2"/>
      </rPr>
      <t>一级结晶罐液位</t>
    </r>
    <r>
      <rPr>
        <sz val="10"/>
        <rFont val="Consolas"/>
        <family val="3"/>
      </rPr>
      <t>'@zh ; :processSection 'S14' .</t>
    </r>
  </si>
  <si>
    <r>
      <rPr>
        <sz val="10"/>
        <rFont val="Consolas"/>
        <family val="3"/>
      </rPr>
      <t>:Attr_176 a :ProcessAttribute ; rdfs:label '</t>
    </r>
    <r>
      <rPr>
        <sz val="10"/>
        <rFont val="Noto Sans CJK SC"/>
        <family val="2"/>
      </rPr>
      <t>一级搅拌频率</t>
    </r>
    <r>
      <rPr>
        <sz val="10"/>
        <rFont val="Consolas"/>
        <family val="3"/>
      </rPr>
      <t>'@zh ; :processSection 'S14' .</t>
    </r>
  </si>
  <si>
    <r>
      <rPr>
        <sz val="10"/>
        <rFont val="Consolas"/>
        <family val="3"/>
      </rPr>
      <t>:Attr_177 a :ProcessAttribute ; rdfs:label '</t>
    </r>
    <r>
      <rPr>
        <sz val="10"/>
        <rFont val="Noto Sans CJK SC"/>
        <family val="2"/>
      </rPr>
      <t>二级结晶</t>
    </r>
    <r>
      <rPr>
        <sz val="10"/>
        <rFont val="Consolas"/>
        <family val="3"/>
      </rPr>
      <t>pH'@zh ; :processSection 'S14' .</t>
    </r>
  </si>
  <si>
    <r>
      <rPr>
        <sz val="10"/>
        <rFont val="Consolas"/>
        <family val="3"/>
      </rPr>
      <t>:Attr_178 a :ProcessAttribute ; rdfs:label '</t>
    </r>
    <r>
      <rPr>
        <sz val="10"/>
        <rFont val="Noto Sans CJK SC"/>
        <family val="2"/>
      </rPr>
      <t>二级结晶罐温度</t>
    </r>
    <r>
      <rPr>
        <sz val="10"/>
        <rFont val="Consolas"/>
        <family val="3"/>
      </rPr>
      <t>'@zh ; :processSection 'S14' .</t>
    </r>
  </si>
  <si>
    <r>
      <rPr>
        <sz val="10"/>
        <rFont val="Consolas"/>
        <family val="3"/>
      </rPr>
      <t>:Attr_179 a :ProcessAttribute ; rdfs:label '</t>
    </r>
    <r>
      <rPr>
        <sz val="10"/>
        <rFont val="Noto Sans CJK SC"/>
        <family val="2"/>
      </rPr>
      <t>二级结晶罐液位</t>
    </r>
    <r>
      <rPr>
        <sz val="10"/>
        <rFont val="Consolas"/>
        <family val="3"/>
      </rPr>
      <t>'@zh ; :processSection 'S14' .</t>
    </r>
  </si>
  <si>
    <r>
      <rPr>
        <sz val="10"/>
        <rFont val="Consolas"/>
        <family val="3"/>
      </rPr>
      <t>:Attr_180 a :ProcessAttribute ; rdfs:label '</t>
    </r>
    <r>
      <rPr>
        <sz val="10"/>
        <rFont val="Noto Sans CJK SC"/>
        <family val="2"/>
      </rPr>
      <t>二级搅拌频率</t>
    </r>
    <r>
      <rPr>
        <sz val="10"/>
        <rFont val="Consolas"/>
        <family val="3"/>
      </rPr>
      <t>'@zh ; :processSection 'S14' .</t>
    </r>
  </si>
  <si>
    <r>
      <rPr>
        <sz val="10"/>
        <rFont val="Consolas"/>
        <family val="3"/>
      </rPr>
      <t>:Attr_181 a :ProcessAttribute ; rdfs:label '</t>
    </r>
    <r>
      <rPr>
        <sz val="10"/>
        <rFont val="Noto Sans CJK SC"/>
        <family val="2"/>
      </rPr>
      <t>连续结晶重液流量</t>
    </r>
    <r>
      <rPr>
        <sz val="10"/>
        <rFont val="Consolas"/>
        <family val="3"/>
      </rPr>
      <t>'@zh ; :processSection 'S14' .</t>
    </r>
  </si>
  <si>
    <r>
      <rPr>
        <sz val="10"/>
        <rFont val="Consolas"/>
        <family val="3"/>
      </rPr>
      <t>:Attr_182 a :ProcessAttribute ; rdfs:label '</t>
    </r>
    <r>
      <rPr>
        <sz val="10"/>
        <rFont val="Noto Sans CJK SC"/>
        <family val="2"/>
      </rPr>
      <t>连续结晶氨水流量</t>
    </r>
    <r>
      <rPr>
        <sz val="10"/>
        <rFont val="Consolas"/>
        <family val="3"/>
      </rPr>
      <t>'@zh ; :processSection 'S14' .</t>
    </r>
  </si>
  <si>
    <r>
      <rPr>
        <sz val="10"/>
        <rFont val="Consolas"/>
        <family val="3"/>
      </rPr>
      <t>:Attr_183 a :ProcessAttribute ; rdfs:label '</t>
    </r>
    <r>
      <rPr>
        <sz val="10"/>
        <rFont val="Noto Sans CJK SC"/>
        <family val="2"/>
      </rPr>
      <t>室外氨水罐液位</t>
    </r>
    <r>
      <rPr>
        <sz val="10"/>
        <rFont val="Consolas"/>
        <family val="3"/>
      </rPr>
      <t>'@zh ; :processSection 'S15' .</t>
    </r>
  </si>
  <si>
    <r>
      <rPr>
        <sz val="10"/>
        <rFont val="Consolas"/>
        <family val="3"/>
      </rPr>
      <t>:Attr_184 a :ProcessAttribute ; rdfs:label '</t>
    </r>
    <r>
      <rPr>
        <sz val="10"/>
        <rFont val="Noto Sans CJK SC"/>
        <family val="2"/>
      </rPr>
      <t>氨水去结晶泵压力</t>
    </r>
    <r>
      <rPr>
        <sz val="10"/>
        <rFont val="Consolas"/>
        <family val="3"/>
      </rPr>
      <t>'@zh ; :processSection 'S15' .</t>
    </r>
  </si>
  <si>
    <r>
      <rPr>
        <sz val="10"/>
        <rFont val="Consolas"/>
        <family val="3"/>
      </rPr>
      <t>:Attr_185 a :ProcessAttribute ; rdfs:label '</t>
    </r>
    <r>
      <rPr>
        <sz val="10"/>
        <rFont val="Noto Sans CJK SC"/>
        <family val="2"/>
      </rPr>
      <t>氨水去水解泵压力</t>
    </r>
    <r>
      <rPr>
        <sz val="10"/>
        <rFont val="Consolas"/>
        <family val="3"/>
      </rPr>
      <t>'@zh ; :processSection 'S15' .</t>
    </r>
  </si>
  <si>
    <r>
      <rPr>
        <sz val="10"/>
        <rFont val="Consolas"/>
        <family val="3"/>
      </rPr>
      <t>:Attr_186 a :ProcessAttribute ; rdfs:label '</t>
    </r>
    <r>
      <rPr>
        <sz val="10"/>
        <rFont val="Noto Sans CJK SC"/>
        <family val="2"/>
      </rPr>
      <t>盐酸储罐液位</t>
    </r>
    <r>
      <rPr>
        <sz val="10"/>
        <rFont val="Consolas"/>
        <family val="3"/>
      </rPr>
      <t>'@zh ; :processSection 'S15' .</t>
    </r>
  </si>
  <si>
    <r>
      <rPr>
        <sz val="10"/>
        <rFont val="Consolas"/>
        <family val="3"/>
      </rPr>
      <t>:Attr_187 a :ProcessAttribute ; rdfs:label '</t>
    </r>
    <r>
      <rPr>
        <sz val="10"/>
        <rFont val="Noto Sans CJK SC"/>
        <family val="2"/>
      </rPr>
      <t>盐酸输送泵压力</t>
    </r>
    <r>
      <rPr>
        <sz val="10"/>
        <rFont val="Consolas"/>
        <family val="3"/>
      </rPr>
      <t>'@zh ; :processSection 'S15' .</t>
    </r>
  </si>
  <si>
    <r>
      <rPr>
        <sz val="10"/>
        <rFont val="Consolas"/>
        <family val="3"/>
      </rPr>
      <t>:Attr_188 a :ProcessAttribute ; rdfs:label '</t>
    </r>
    <r>
      <rPr>
        <sz val="10"/>
        <rFont val="Noto Sans CJK SC"/>
        <family val="2"/>
      </rPr>
      <t>吸收塔出料</t>
    </r>
    <r>
      <rPr>
        <sz val="10"/>
        <rFont val="Consolas"/>
        <family val="3"/>
      </rPr>
      <t>pH'@zh ; :processSection 'S15' .</t>
    </r>
  </si>
  <si>
    <r>
      <rPr>
        <sz val="10"/>
        <rFont val="Consolas"/>
        <family val="3"/>
      </rPr>
      <t>:Attr_189 a :ProcessAttribute ; rdfs:label '</t>
    </r>
    <r>
      <rPr>
        <sz val="10"/>
        <rFont val="Noto Sans CJK SC"/>
        <family val="2"/>
      </rPr>
      <t>吸收罐液位</t>
    </r>
    <r>
      <rPr>
        <sz val="10"/>
        <rFont val="Consolas"/>
        <family val="3"/>
      </rPr>
      <t>'@zh ; :processSection 'S15' .</t>
    </r>
  </si>
  <si>
    <r>
      <rPr>
        <sz val="10"/>
        <rFont val="Consolas"/>
        <family val="3"/>
      </rPr>
      <t>:Attr_190 a :ProcessAttribute ; rdfs:label '</t>
    </r>
    <r>
      <rPr>
        <sz val="10"/>
        <rFont val="Noto Sans CJK SC"/>
        <family val="2"/>
      </rPr>
      <t>结晶软水罐液位</t>
    </r>
    <r>
      <rPr>
        <sz val="10"/>
        <rFont val="Consolas"/>
        <family val="3"/>
      </rPr>
      <t>'@zh ; :processSection 'S15' .</t>
    </r>
  </si>
  <si>
    <r>
      <rPr>
        <sz val="10"/>
        <rFont val="Consolas"/>
        <family val="3"/>
      </rPr>
      <t>:Attr_191 a :ProcessAttribute ; rdfs:label '</t>
    </r>
    <r>
      <rPr>
        <sz val="10"/>
        <rFont val="Noto Sans CJK SC"/>
        <family val="2"/>
      </rPr>
      <t>结晶软水泵压力</t>
    </r>
    <r>
      <rPr>
        <sz val="10"/>
        <rFont val="Consolas"/>
        <family val="3"/>
      </rPr>
      <t>'@zh ; :processSection 'S15' .</t>
    </r>
  </si>
  <si>
    <r>
      <rPr>
        <sz val="10"/>
        <rFont val="Consolas"/>
        <family val="3"/>
      </rPr>
      <t>:Attr_192 a :ProcessAttribute ; rdfs:label '</t>
    </r>
    <r>
      <rPr>
        <sz val="10"/>
        <rFont val="Noto Sans CJK SC"/>
        <family val="2"/>
      </rPr>
      <t>双锥干燥温度</t>
    </r>
    <r>
      <rPr>
        <sz val="10"/>
        <rFont val="Consolas"/>
        <family val="3"/>
      </rPr>
      <t>'@zh ; :processSection 'S16' .</t>
    </r>
  </si>
  <si>
    <r>
      <rPr>
        <sz val="10"/>
        <rFont val="Consolas"/>
        <family val="3"/>
      </rPr>
      <t>:Attr_193 a :ProcessAttribute ; rdfs:label '</t>
    </r>
    <r>
      <rPr>
        <sz val="10"/>
        <rFont val="Noto Sans CJK SC"/>
        <family val="2"/>
      </rPr>
      <t>二合一蒸汽流量</t>
    </r>
    <r>
      <rPr>
        <sz val="10"/>
        <rFont val="Consolas"/>
        <family val="3"/>
      </rPr>
      <t>'@zh ; :processSection 'S16' .</t>
    </r>
  </si>
  <si>
    <r>
      <rPr>
        <sz val="10"/>
        <rFont val="Consolas"/>
        <family val="3"/>
      </rPr>
      <t>:Attr_194 a :ProcessAttribute ; rdfs:label '</t>
    </r>
    <r>
      <rPr>
        <sz val="10"/>
        <rFont val="Noto Sans CJK SC"/>
        <family val="2"/>
      </rPr>
      <t>干燥循环水温度</t>
    </r>
    <r>
      <rPr>
        <sz val="10"/>
        <rFont val="Consolas"/>
        <family val="3"/>
      </rPr>
      <t>'@zh ; :processSection 'S16' .</t>
    </r>
  </si>
  <si>
    <r>
      <rPr>
        <sz val="10"/>
        <rFont val="Consolas"/>
        <family val="3"/>
      </rPr>
      <t>:Attr_195 a :ProcessAttribute ; rdfs:label '</t>
    </r>
    <r>
      <rPr>
        <sz val="10"/>
        <rFont val="Noto Sans CJK SC"/>
        <family val="2"/>
      </rPr>
      <t>母液罐液位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</si>
  <si>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:Attr_196 a :ProcessAttribute ; rdfs:label '</t>
    </r>
    <r>
      <rPr>
        <sz val="10"/>
        <rFont val="Noto Sans CJK SC"/>
        <family val="2"/>
      </rPr>
      <t>母液</t>
    </r>
    <r>
      <rPr>
        <sz val="10"/>
        <rFont val="Consolas"/>
        <family val="3"/>
      </rPr>
      <t>pH'@zh ; :processSection 'S17' .</t>
    </r>
  </si>
  <si>
    <r>
      <rPr>
        <sz val="10"/>
        <rFont val="Consolas"/>
        <family val="3"/>
      </rPr>
      <t>:Attr_197 a :ProcessAttribute ; rdfs:label '</t>
    </r>
    <r>
      <rPr>
        <sz val="10"/>
        <rFont val="Noto Sans CJK SC"/>
        <family val="2"/>
      </rPr>
      <t>母液结晶罐液位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</si>
  <si>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:Attr_198 a :ProcessAttribute ; rdfs:label '</t>
    </r>
    <r>
      <rPr>
        <sz val="10"/>
        <rFont val="Noto Sans CJK SC"/>
        <family val="2"/>
      </rPr>
      <t>母液结晶温度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</si>
  <si>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:Attr_199 a :ProcessAttribute ; rdfs:label '</t>
    </r>
    <r>
      <rPr>
        <sz val="10"/>
        <rFont val="Noto Sans CJK SC"/>
        <family val="2"/>
      </rPr>
      <t>母液结晶</t>
    </r>
    <r>
      <rPr>
        <sz val="10"/>
        <rFont val="Consolas"/>
        <family val="3"/>
      </rPr>
      <t>pH'@zh ; :processSection 'S17' .</t>
    </r>
  </si>
  <si>
    <r>
      <rPr>
        <sz val="10"/>
        <rFont val="Consolas"/>
        <family val="3"/>
      </rPr>
      <t>:Attr_200 a :ProcessAttribute ; rdfs:label '</t>
    </r>
    <r>
      <rPr>
        <sz val="10"/>
        <rFont val="Noto Sans CJK SC"/>
        <family val="2"/>
      </rPr>
      <t>母液返工料去水解流量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</si>
  <si>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:Attr_201 a :ProcessAttribute ; rdfs:label '</t>
    </r>
    <r>
      <rPr>
        <sz val="10"/>
        <rFont val="Noto Sans CJK SC"/>
        <family val="2"/>
      </rPr>
      <t>脱醇脱酯塔釜温度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</si>
  <si>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:Attr_202 a :ProcessAttribute ; rdfs:label '</t>
    </r>
    <r>
      <rPr>
        <sz val="10"/>
        <rFont val="Noto Sans CJK SC"/>
        <family val="2"/>
      </rPr>
      <t>脱醇脱酯塔进料流量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</si>
  <si>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:Attr_203 a :ProcessAttribute ; rdfs:label '</t>
    </r>
    <r>
      <rPr>
        <sz val="10"/>
        <rFont val="Noto Sans CJK SC"/>
        <family val="2"/>
      </rPr>
      <t>脱醇脱酯塔进料</t>
    </r>
    <r>
      <rPr>
        <sz val="10"/>
        <rFont val="Consolas"/>
        <family val="3"/>
      </rPr>
      <t>pH'@zh ; :processSection 'S17' .</t>
    </r>
  </si>
  <si>
    <r>
      <rPr>
        <sz val="10"/>
        <rFont val="Consolas"/>
        <family val="3"/>
      </rPr>
      <t>:Attr_204 a :ProcessAttribute ; rdfs:label '</t>
    </r>
    <r>
      <rPr>
        <sz val="10"/>
        <rFont val="Noto Sans CJK SC"/>
        <family val="2"/>
      </rPr>
      <t>母液塔蒸汽流量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</si>
  <si>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:Attr_205 a :ProcessAttribute ; rdfs:label '</t>
    </r>
    <r>
      <rPr>
        <sz val="10"/>
        <rFont val="Noto Sans CJK SC"/>
        <family val="2"/>
      </rPr>
      <t>母液塔釜温度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</si>
  <si>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:Attr_206 a :ProcessAttribute ; rdfs:label '</t>
    </r>
    <r>
      <rPr>
        <sz val="10"/>
        <rFont val="Noto Sans CJK SC"/>
        <family val="2"/>
      </rPr>
      <t>丁醇精馏塔釜温度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</si>
  <si>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:Attr_207 a :ProcessAttribute ; rdfs:label '</t>
    </r>
    <r>
      <rPr>
        <sz val="10"/>
        <rFont val="Noto Sans CJK SC"/>
        <family val="2"/>
      </rPr>
      <t>丁醇精馏塔顶温度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</si>
  <si>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:Attr_208 a :ProcessAttribute ; rdfs:label '</t>
    </r>
    <r>
      <rPr>
        <sz val="10"/>
        <rFont val="Noto Sans CJK SC"/>
        <family val="2"/>
      </rPr>
      <t>丁醇精馏蒸汽流量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</si>
  <si>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:Attr_209 a :ProcessAttribute ; rdfs:label '</t>
    </r>
    <r>
      <rPr>
        <sz val="10"/>
        <rFont val="Noto Sans CJK SC"/>
        <family val="2"/>
      </rPr>
      <t>丁醇脱色塔釜温度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</si>
  <si>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:Attr_210 a :ProcessAttribute ; rdfs:label '</t>
    </r>
    <r>
      <rPr>
        <sz val="10"/>
        <rFont val="Noto Sans CJK SC"/>
        <family val="2"/>
      </rPr>
      <t>丁醇采出澄清度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</si>
  <si>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:Attr_211 a :ProcessAttribute ; rdfs:label '</t>
    </r>
    <r>
      <rPr>
        <sz val="10"/>
        <rFont val="Noto Sans CJK SC"/>
        <family val="2"/>
      </rPr>
      <t>丁酯精馏塔釜温度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</si>
  <si>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:Attr_212 a :ProcessAttribute ; rdfs:label '</t>
    </r>
    <r>
      <rPr>
        <sz val="10"/>
        <rFont val="Noto Sans CJK SC"/>
        <family val="2"/>
      </rPr>
      <t>丁酯精馏塔顶温度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</si>
  <si>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:Attr_213 a :ProcessAttribute ; rdfs:label '</t>
    </r>
    <r>
      <rPr>
        <sz val="10"/>
        <rFont val="Noto Sans CJK SC"/>
        <family val="2"/>
      </rPr>
      <t>丁酯精馏蒸汽流量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</si>
  <si>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:Attr_214 a :ProcessAttribute ; rdfs:label '</t>
    </r>
    <r>
      <rPr>
        <sz val="10"/>
        <rFont val="Noto Sans CJK SC"/>
        <family val="2"/>
      </rPr>
      <t>丁醇待检密度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</si>
  <si>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:Attr_215 a :ProcessAttribute ; rdfs:label '</t>
    </r>
    <r>
      <rPr>
        <sz val="10"/>
        <rFont val="Noto Sans CJK SC"/>
        <family val="2"/>
      </rPr>
      <t>丁酯待检密度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</si>
  <si>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:Attr_216 a :ProcessAttribute ; rdfs:label '</t>
    </r>
    <r>
      <rPr>
        <sz val="10"/>
        <rFont val="Noto Sans CJK SC"/>
        <family val="2"/>
      </rPr>
      <t>苯乙酸塔釜温度</t>
    </r>
    <r>
      <rPr>
        <sz val="10"/>
        <rFont val="Consolas"/>
        <family val="3"/>
      </rPr>
      <t>'@zh ; :processSection 'S19' .</t>
    </r>
  </si>
  <si>
    <r>
      <rPr>
        <sz val="10"/>
        <rFont val="Consolas"/>
        <family val="3"/>
      </rPr>
      <t>:Attr_217 a :ProcessAttribute ; rdfs:label '</t>
    </r>
    <r>
      <rPr>
        <sz val="10"/>
        <rFont val="Noto Sans CJK SC"/>
        <family val="2"/>
      </rPr>
      <t>苯乙酸塔顶温度</t>
    </r>
    <r>
      <rPr>
        <sz val="10"/>
        <rFont val="Consolas"/>
        <family val="3"/>
      </rPr>
      <t>'@zh ; :processSection 'S19' .</t>
    </r>
  </si>
  <si>
    <r>
      <rPr>
        <sz val="10"/>
        <rFont val="Consolas"/>
        <family val="3"/>
      </rPr>
      <t>:Attr_218 a :ProcessAttribute ; rdfs:label '</t>
    </r>
    <r>
      <rPr>
        <sz val="10"/>
        <rFont val="Noto Sans CJK SC"/>
        <family val="2"/>
      </rPr>
      <t>苯乙酸塔压力</t>
    </r>
    <r>
      <rPr>
        <sz val="10"/>
        <rFont val="Consolas"/>
        <family val="3"/>
      </rPr>
      <t>'@zh ; :processSection 'S19' .</t>
    </r>
  </si>
  <si>
    <r>
      <rPr>
        <sz val="10"/>
        <rFont val="Consolas"/>
        <family val="3"/>
      </rPr>
      <t>:Attr_219 a :ProcessAttribute ; rdfs:label '</t>
    </r>
    <r>
      <rPr>
        <sz val="10"/>
        <rFont val="Noto Sans CJK SC"/>
        <family val="2"/>
      </rPr>
      <t>苯乙酸塔进料流量</t>
    </r>
    <r>
      <rPr>
        <sz val="10"/>
        <rFont val="Consolas"/>
        <family val="3"/>
      </rPr>
      <t>'@zh ; :processSection 'S19' .</t>
    </r>
  </si>
  <si>
    <r>
      <rPr>
        <sz val="10"/>
        <rFont val="Consolas"/>
        <family val="3"/>
      </rPr>
      <t>:Attr_220 a :ProcessAttribute ; rdfs:label '</t>
    </r>
    <r>
      <rPr>
        <sz val="10"/>
        <rFont val="Noto Sans CJK SC"/>
        <family val="2"/>
      </rPr>
      <t>苯乙酸塔蒸汽流量</t>
    </r>
    <r>
      <rPr>
        <sz val="10"/>
        <rFont val="Consolas"/>
        <family val="3"/>
      </rPr>
      <t>'@zh ; :processSection 'S19' .</t>
    </r>
  </si>
  <si>
    <r>
      <rPr>
        <sz val="10"/>
        <rFont val="Consolas"/>
        <family val="3"/>
      </rPr>
      <t>:Attr_221 a :ProcessAttribute ; rdfs:label '</t>
    </r>
    <r>
      <rPr>
        <sz val="10"/>
        <rFont val="Noto Sans CJK SC"/>
        <family val="2"/>
      </rPr>
      <t>苯乙酸成品罐液位</t>
    </r>
    <r>
      <rPr>
        <sz val="10"/>
        <rFont val="Consolas"/>
        <family val="3"/>
      </rPr>
      <t>'@zh ; :processSection 'S19' .</t>
    </r>
  </si>
  <si>
    <r>
      <rPr>
        <sz val="10"/>
        <rFont val="Consolas"/>
        <family val="3"/>
      </rPr>
      <t>:Attr_222 a :ProcessAttribute ; rdfs:label '</t>
    </r>
    <r>
      <rPr>
        <sz val="10"/>
        <rFont val="Noto Sans CJK SC"/>
        <family val="2"/>
      </rPr>
      <t>混合溶媒丁酯含量</t>
    </r>
    <r>
      <rPr>
        <sz val="10"/>
        <rFont val="Consolas"/>
        <family val="3"/>
      </rPr>
      <t>'@zh ; :processSection 'S19' .</t>
    </r>
  </si>
  <si>
    <r>
      <rPr>
        <sz val="10"/>
        <rFont val="Consolas"/>
        <family val="3"/>
      </rPr>
      <t>:Attr_223 a :ProcessAttribute ; rdfs:label '</t>
    </r>
    <r>
      <rPr>
        <sz val="10"/>
        <rFont val="Noto Sans CJK SC"/>
        <family val="2"/>
      </rPr>
      <t>混合溶媒水分含量</t>
    </r>
    <r>
      <rPr>
        <sz val="10"/>
        <rFont val="Consolas"/>
        <family val="3"/>
      </rPr>
      <t>'@zh ; :processSection 'S19' .</t>
    </r>
  </si>
  <si>
    <r>
      <rPr>
        <sz val="10"/>
        <rFont val="Consolas"/>
        <family val="3"/>
      </rPr>
      <t>:Attr_224 a :ProcessAttribute ; rdfs:label '</t>
    </r>
    <r>
      <rPr>
        <sz val="10"/>
        <rFont val="Noto Sans CJK SC"/>
        <family val="2"/>
      </rPr>
      <t>混合溶媒丁醇含量</t>
    </r>
    <r>
      <rPr>
        <sz val="10"/>
        <rFont val="Consolas"/>
        <family val="3"/>
      </rPr>
      <t>'@zh ; :processSection 'S19' .</t>
    </r>
  </si>
  <si>
    <r>
      <rPr>
        <sz val="10"/>
        <rFont val="Consolas"/>
        <family val="3"/>
      </rPr>
      <t>:Attr_225 a :ProcessAttribute ; rdfs:label '</t>
    </r>
    <r>
      <rPr>
        <sz val="10"/>
        <rFont val="Noto Sans CJK SC"/>
        <family val="2"/>
      </rPr>
      <t>碱洗罐</t>
    </r>
    <r>
      <rPr>
        <sz val="10"/>
        <rFont val="Consolas"/>
        <family val="3"/>
      </rPr>
      <t>pH'@zh ; :processSection 'S19' .</t>
    </r>
  </si>
  <si>
    <r>
      <rPr>
        <sz val="10"/>
        <rFont val="Consolas"/>
        <family val="3"/>
      </rPr>
      <t>:Attr_226 a :ProcessAttribute ; rdfs:label '</t>
    </r>
    <r>
      <rPr>
        <sz val="10"/>
        <rFont val="Noto Sans CJK SC"/>
        <family val="2"/>
      </rPr>
      <t>废酸水塔进料流量</t>
    </r>
    <r>
      <rPr>
        <sz val="10"/>
        <rFont val="Consolas"/>
        <family val="3"/>
      </rPr>
      <t>'@zh ; :processSection 'S20' .</t>
    </r>
  </si>
  <si>
    <r>
      <rPr>
        <sz val="10"/>
        <rFont val="Consolas"/>
        <family val="3"/>
      </rPr>
      <t>:Attr_227 a :ProcessAttribute ; rdfs:label '</t>
    </r>
    <r>
      <rPr>
        <sz val="10"/>
        <rFont val="Noto Sans CJK SC"/>
        <family val="2"/>
      </rPr>
      <t>废酸水塔蒸汽流量</t>
    </r>
    <r>
      <rPr>
        <sz val="10"/>
        <rFont val="Consolas"/>
        <family val="3"/>
      </rPr>
      <t>'@zh ; :processSection 'S20' .</t>
    </r>
  </si>
  <si>
    <r>
      <rPr>
        <sz val="10"/>
        <rFont val="Consolas"/>
        <family val="3"/>
      </rPr>
      <t>:Attr_228 a :ProcessAttribute ; rdfs:label '</t>
    </r>
    <r>
      <rPr>
        <sz val="10"/>
        <rFont val="Noto Sans CJK SC"/>
        <family val="2"/>
      </rPr>
      <t>废酸水</t>
    </r>
    <r>
      <rPr>
        <sz val="10"/>
        <rFont val="Consolas"/>
        <family val="3"/>
      </rPr>
      <t>C</t>
    </r>
    <r>
      <rPr>
        <sz val="10"/>
        <rFont val="Noto Sans CJK SC"/>
        <family val="2"/>
      </rPr>
      <t>塔顶温度</t>
    </r>
    <r>
      <rPr>
        <sz val="10"/>
        <rFont val="Consolas"/>
        <family val="3"/>
      </rPr>
      <t>'@zh ; :processSection 'S20' .</t>
    </r>
  </si>
  <si>
    <r>
      <rPr>
        <sz val="10"/>
        <rFont val="Consolas"/>
        <family val="3"/>
      </rPr>
      <t>:Attr_229 a :ProcessAttribute ; rdfs:label '</t>
    </r>
    <r>
      <rPr>
        <sz val="10"/>
        <rFont val="Noto Sans CJK SC"/>
        <family val="2"/>
      </rPr>
      <t>废酸水进料密度</t>
    </r>
    <r>
      <rPr>
        <sz val="10"/>
        <rFont val="Consolas"/>
        <family val="3"/>
      </rPr>
      <t>'@zh ; :processSection 'S20' .</t>
    </r>
  </si>
  <si>
    <r>
      <rPr>
        <sz val="10"/>
        <rFont val="Consolas"/>
        <family val="3"/>
      </rPr>
      <t>:Attr_230 a :ProcessAttribute ; rdfs:label '</t>
    </r>
    <r>
      <rPr>
        <sz val="10"/>
        <rFont val="Noto Sans CJK SC"/>
        <family val="2"/>
      </rPr>
      <t>蒸氨塔进料流量</t>
    </r>
    <r>
      <rPr>
        <sz val="10"/>
        <rFont val="Consolas"/>
        <family val="3"/>
      </rPr>
      <t>'@zh ; :processSection 'S20' .</t>
    </r>
  </si>
  <si>
    <r>
      <rPr>
        <sz val="10"/>
        <rFont val="Consolas"/>
        <family val="3"/>
      </rPr>
      <t>:Attr_231 a :ProcessAttribute ; rdfs:label '</t>
    </r>
    <r>
      <rPr>
        <sz val="10"/>
        <rFont val="Noto Sans CJK SC"/>
        <family val="2"/>
      </rPr>
      <t>蒸氨塔进料</t>
    </r>
    <r>
      <rPr>
        <sz val="10"/>
        <rFont val="Consolas"/>
        <family val="3"/>
      </rPr>
      <t>pH'@zh ; :processSection 'S20' .</t>
    </r>
  </si>
  <si>
    <r>
      <rPr>
        <sz val="10"/>
        <rFont val="Consolas"/>
        <family val="3"/>
      </rPr>
      <t>:Attr_232 a :ProcessAttribute ; rdfs:label '</t>
    </r>
    <r>
      <rPr>
        <sz val="10"/>
        <rFont val="Noto Sans CJK SC"/>
        <family val="2"/>
      </rPr>
      <t>蒸氨塔温度</t>
    </r>
    <r>
      <rPr>
        <sz val="10"/>
        <rFont val="Consolas"/>
        <family val="3"/>
      </rPr>
      <t>'@zh ; :processSection 'S20' .</t>
    </r>
  </si>
  <si>
    <r>
      <rPr>
        <sz val="10"/>
        <rFont val="Consolas"/>
        <family val="3"/>
      </rPr>
      <t>:Attr_233 a :ProcessAttribute ; rdfs:label '</t>
    </r>
    <r>
      <rPr>
        <sz val="10"/>
        <rFont val="Noto Sans CJK SC"/>
        <family val="2"/>
      </rPr>
      <t>氨吸收塔采出流量</t>
    </r>
    <r>
      <rPr>
        <sz val="10"/>
        <rFont val="Consolas"/>
        <family val="3"/>
      </rPr>
      <t>'@zh ; :processSection 'S20' .</t>
    </r>
  </si>
  <si>
    <r>
      <rPr>
        <sz val="10"/>
        <rFont val="Consolas"/>
        <family val="3"/>
      </rPr>
      <t>:Attr_234 a :ProcessAttribute ; rdfs:label '</t>
    </r>
    <r>
      <rPr>
        <sz val="10"/>
        <rFont val="Noto Sans CJK SC"/>
        <family val="2"/>
      </rPr>
      <t>高效换热器温度</t>
    </r>
    <r>
      <rPr>
        <sz val="10"/>
        <rFont val="Consolas"/>
        <family val="3"/>
      </rPr>
      <t>'@zh ; :processSection 'S20' .</t>
    </r>
  </si>
  <si>
    <r>
      <rPr>
        <sz val="10"/>
        <rFont val="Consolas"/>
        <family val="3"/>
      </rPr>
      <t>:Attr_235 a :ProcessAttribute ; rdfs:label '</t>
    </r>
    <r>
      <rPr>
        <sz val="10"/>
        <rFont val="Noto Sans CJK SC"/>
        <family val="2"/>
      </rPr>
      <t>吸附柱进料流量</t>
    </r>
    <r>
      <rPr>
        <sz val="10"/>
        <rFont val="Consolas"/>
        <family val="3"/>
      </rPr>
      <t>'@zh ; :processSection 'S21' .</t>
    </r>
  </si>
  <si>
    <r>
      <rPr>
        <sz val="10"/>
        <rFont val="Consolas"/>
        <family val="3"/>
      </rPr>
      <t>:Attr_236 a :ProcessAttribute ; rdfs:label '</t>
    </r>
    <r>
      <rPr>
        <sz val="10"/>
        <rFont val="Noto Sans CJK SC"/>
        <family val="2"/>
      </rPr>
      <t>吸附柱进甲醇流量</t>
    </r>
    <r>
      <rPr>
        <sz val="10"/>
        <rFont val="Consolas"/>
        <family val="3"/>
      </rPr>
      <t>'@zh ; :processSection 'S21' .</t>
    </r>
  </si>
  <si>
    <r>
      <rPr>
        <sz val="10"/>
        <rFont val="Consolas"/>
        <family val="3"/>
      </rPr>
      <t>:Attr_237 a :ProcessAttribute ; rdfs:label '</t>
    </r>
    <r>
      <rPr>
        <sz val="10"/>
        <rFont val="Noto Sans CJK SC"/>
        <family val="2"/>
      </rPr>
      <t>粗品结晶罐</t>
    </r>
    <r>
      <rPr>
        <sz val="10"/>
        <rFont val="Consolas"/>
        <family val="3"/>
      </rPr>
      <t>pH'@zh ; :processSection 'S21' .</t>
    </r>
  </si>
  <si>
    <r>
      <rPr>
        <sz val="10"/>
        <rFont val="Consolas"/>
        <family val="3"/>
      </rPr>
      <t>:Attr_238 a :ProcessAttribute ; rdfs:label '</t>
    </r>
    <r>
      <rPr>
        <sz val="10"/>
        <rFont val="Noto Sans CJK SC"/>
        <family val="2"/>
      </rPr>
      <t>丙酮计量流量</t>
    </r>
    <r>
      <rPr>
        <sz val="10"/>
        <rFont val="Consolas"/>
        <family val="3"/>
      </rPr>
      <t>'@zh ; :processSection 'S21' .</t>
    </r>
  </si>
  <si>
    <r>
      <rPr>
        <sz val="10"/>
        <rFont val="Consolas"/>
        <family val="3"/>
      </rPr>
      <t>:Attr_239 a :ProcessAttribute ; rdfs:label '</t>
    </r>
    <r>
      <rPr>
        <sz val="10"/>
        <rFont val="Noto Sans CJK SC"/>
        <family val="2"/>
      </rPr>
      <t>冰盐水流量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</si>
  <si>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:Attr_240 a :ProcessAttribute ; rdfs:label '7℃</t>
    </r>
    <r>
      <rPr>
        <sz val="10"/>
        <rFont val="Noto Sans CJK SC"/>
        <family val="2"/>
      </rPr>
      <t>水流量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</si>
  <si>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:Attr_241 a :ProcessAttribute ; rdfs:label '7℃</t>
    </r>
    <r>
      <rPr>
        <sz val="10"/>
        <rFont val="Noto Sans CJK SC"/>
        <family val="2"/>
      </rPr>
      <t>水压力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</si>
  <si>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:Attr_242 a :ProcessAttribute ; rdfs:label '</t>
    </r>
    <r>
      <rPr>
        <sz val="10"/>
        <rFont val="Noto Sans CJK SC"/>
        <family val="2"/>
      </rPr>
      <t>锅炉去冷凝水流量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</si>
  <si>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:Attr_243 a :ProcessAttribute ; rdfs:label '</t>
    </r>
    <r>
      <rPr>
        <sz val="10"/>
        <rFont val="Noto Sans CJK SC"/>
        <family val="2"/>
      </rPr>
      <t>工艺水流量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</si>
  <si>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:Attr_244 a :ProcessAttribute ; rdfs:label '</t>
    </r>
    <r>
      <rPr>
        <sz val="10"/>
        <rFont val="Noto Sans CJK SC"/>
        <family val="2"/>
      </rPr>
      <t>送风管温度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</si>
  <si>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:Attr_245 a :ProcessAttribute ; rdfs:label '</t>
    </r>
    <r>
      <rPr>
        <sz val="10"/>
        <rFont val="Noto Sans CJK SC"/>
        <family val="2"/>
      </rPr>
      <t>送风管湿度</t>
    </r>
    <r>
      <rPr>
        <sz val="10"/>
        <rFont val="Consolas"/>
        <family val="3"/>
      </rPr>
      <t>'@zh ; :processSection 'S22' .</t>
    </r>
  </si>
  <si>
    <r>
      <rPr>
        <sz val="10"/>
        <rFont val="Consolas"/>
        <family val="3"/>
      </rPr>
      <t>:Attr_246 a :ProcessAttribute ; rdfs:label '</t>
    </r>
    <r>
      <rPr>
        <sz val="10"/>
        <rFont val="Noto Sans CJK SC"/>
        <family val="2"/>
      </rPr>
      <t>尾气压缩机频率</t>
    </r>
    <r>
      <rPr>
        <sz val="10"/>
        <rFont val="Consolas"/>
        <family val="3"/>
      </rPr>
      <t>'@zh ; :processSection 'S23' .</t>
    </r>
  </si>
  <si>
    <r>
      <rPr>
        <sz val="10"/>
        <rFont val="Consolas"/>
        <family val="3"/>
      </rPr>
      <t>:Attr_247 a :ProcessAttribute ; rdfs:label '</t>
    </r>
    <r>
      <rPr>
        <sz val="10"/>
        <rFont val="Noto Sans CJK SC"/>
        <family val="2"/>
      </rPr>
      <t>尾气压缩机电流</t>
    </r>
    <r>
      <rPr>
        <sz val="10"/>
        <rFont val="Consolas"/>
        <family val="3"/>
      </rPr>
      <t>'@zh ; :processSection 'S23' .</t>
    </r>
  </si>
  <si>
    <r>
      <rPr>
        <sz val="10"/>
        <rFont val="Consolas"/>
        <family val="3"/>
      </rPr>
      <t>:Attr_248 a :ProcessAttribute ; rdfs:label '</t>
    </r>
    <r>
      <rPr>
        <sz val="10"/>
        <rFont val="Noto Sans CJK SC"/>
        <family val="2"/>
      </rPr>
      <t>萃取分配系数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青霉素</t>
    </r>
    <r>
      <rPr>
        <sz val="10"/>
        <rFont val="Consolas"/>
        <family val="3"/>
      </rPr>
      <t>G)'@zh ; :processSection 'S01' .</t>
    </r>
  </si>
  <si>
    <r>
      <rPr>
        <sz val="10"/>
        <rFont val="Consolas"/>
        <family val="3"/>
      </rPr>
      <t>:Attr_249 a :ProcessAttribute ; rdfs:label '</t>
    </r>
    <r>
      <rPr>
        <sz val="10"/>
        <rFont val="Noto Sans CJK SC"/>
        <family val="2"/>
      </rPr>
      <t>青霉素酸降解速率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</si>
  <si>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:Attr_250 a :ProcessAttribute ; rdfs:label '</t>
    </r>
    <r>
      <rPr>
        <sz val="10"/>
        <rFont val="Noto Sans CJK SC"/>
        <family val="2"/>
      </rPr>
      <t>相界面乳化层厚度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</si>
  <si>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:Attr_251 a :ProcessAttribute ; rdfs:label '</t>
    </r>
    <r>
      <rPr>
        <sz val="10"/>
        <rFont val="Noto Sans CJK SC"/>
        <family val="2"/>
      </rPr>
      <t>离心机分相交界面位置</t>
    </r>
    <r>
      <rPr>
        <sz val="10"/>
        <rFont val="Consolas"/>
        <family val="3"/>
      </rPr>
      <t>'@zh ; :processSection 'S99' .</t>
    </r>
  </si>
  <si>
    <r>
      <rPr>
        <sz val="10"/>
        <rFont val="Consolas"/>
        <family val="3"/>
      </rPr>
      <t>:QKPI_252 a :QualityKPI ; rdfs:label '</t>
    </r>
    <r>
      <rPr>
        <sz val="10"/>
        <rFont val="Noto Sans CJK SC"/>
        <family val="2"/>
      </rPr>
      <t>一次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青霉素效价</t>
    </r>
    <r>
      <rPr>
        <sz val="10"/>
        <rFont val="Consolas"/>
        <family val="3"/>
      </rPr>
      <t>'@zh ; :processSection 'S02' .</t>
    </r>
  </si>
  <si>
    <r>
      <rPr>
        <sz val="10"/>
        <rFont val="Consolas"/>
        <family val="3"/>
      </rPr>
      <t>:QKPI_253 a :QualityKPI ; rdfs:label '</t>
    </r>
    <r>
      <rPr>
        <sz val="10"/>
        <rFont val="Noto Sans CJK SC"/>
        <family val="2"/>
      </rPr>
      <t>提取废酸水残效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</si>
  <si>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:BKPI_254 a :BusinessKPI ; rdfs:label '</t>
    </r>
    <r>
      <rPr>
        <sz val="10"/>
        <rFont val="Noto Sans CJK SC"/>
        <family val="2"/>
      </rPr>
      <t>提取收率</t>
    </r>
    <r>
      <rPr>
        <sz val="10"/>
        <rFont val="Consolas"/>
        <family val="3"/>
      </rPr>
      <t>'@zh ; :processSection 'S99' .</t>
    </r>
  </si>
  <si>
    <r>
      <rPr>
        <sz val="10"/>
        <rFont val="Consolas"/>
        <family val="3"/>
      </rPr>
      <t>:QKPI_255 a :QualityKPI ; rdfs:label '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含水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杂质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</si>
  <si>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:QKPI_256 a :QualityKPI ; rdfs:label '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透光率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色级</t>
    </r>
    <r>
      <rPr>
        <sz val="10"/>
        <rFont val="Consolas"/>
        <family val="3"/>
      </rPr>
      <t>)'@zh ; :processSection 'S06' .</t>
    </r>
  </si>
  <si>
    <r>
      <rPr>
        <sz val="10"/>
        <rFont val="Consolas"/>
        <family val="3"/>
      </rPr>
      <t>:QKPI_257 a :QualityKPI ; rdfs:label '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效价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</si>
  <si>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:Attr_258 a :ProcessAttribute ; rdfs:label '</t>
    </r>
    <r>
      <rPr>
        <sz val="10"/>
        <rFont val="Noto Sans CJK SC"/>
        <family val="2"/>
      </rPr>
      <t>活性炭加入量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</si>
  <si>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:Attr_259 a :ProcessAttribute ; rdfs:label '</t>
    </r>
    <r>
      <rPr>
        <sz val="10"/>
        <rFont val="Noto Sans CJK SC"/>
        <family val="2"/>
      </rPr>
      <t>脱色时间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</si>
  <si>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:QKPI_260 a :QualityKPI ; rdfs:label '</t>
    </r>
    <r>
      <rPr>
        <sz val="10"/>
        <rFont val="Noto Sans CJK SC"/>
        <family val="2"/>
      </rPr>
      <t>炭吸附青霉素损失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</si>
  <si>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:Attr_261 a :ProcessAttribute ; rdfs:label 'BA</t>
    </r>
    <r>
      <rPr>
        <sz val="10"/>
        <rFont val="Noto Sans CJK SC"/>
        <family val="2"/>
      </rPr>
      <t>与碳酸钾比例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</si>
  <si>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:Attr_262 a :ProcessAttribute ; rdfs:label '</t>
    </r>
    <r>
      <rPr>
        <sz val="10"/>
        <rFont val="Noto Sans CJK SC"/>
        <family val="2"/>
      </rPr>
      <t>反萃分配平衡度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</si>
  <si>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:QKPI_263 a :QualityKPI ; rdfs:label '</t>
    </r>
    <r>
      <rPr>
        <sz val="10"/>
        <rFont val="Noto Sans CJK SC"/>
        <family val="2"/>
      </rPr>
      <t>退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青霉素残效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</si>
  <si>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:QKPI_264 a :QualityKPI ; rdfs:label 'RB</t>
    </r>
    <r>
      <rPr>
        <sz val="10"/>
        <rFont val="Noto Sans CJK SC"/>
        <family val="2"/>
      </rPr>
      <t>液残留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含量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</si>
  <si>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:QKPI_265 a :QualityKPI ; rdfs:label 'RB</t>
    </r>
    <r>
      <rPr>
        <sz val="10"/>
        <rFont val="Noto Sans CJK SC"/>
        <family val="2"/>
      </rPr>
      <t>液热降解率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</si>
  <si>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:Attr_266 a :ProcessAttribute ; rdfs:label '</t>
    </r>
    <r>
      <rPr>
        <sz val="10"/>
        <rFont val="Noto Sans CJK SC"/>
        <family val="2"/>
      </rPr>
      <t>物料蒸发器停留时间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</si>
  <si>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:Attr_267 a :ProcessAttribute ; rdfs:label '</t>
    </r>
    <r>
      <rPr>
        <sz val="10"/>
        <rFont val="Noto Sans CJK SC"/>
        <family val="2"/>
      </rPr>
      <t>硼酸缓冲容量</t>
    </r>
    <r>
      <rPr>
        <sz val="10"/>
        <rFont val="Consolas"/>
        <family val="3"/>
      </rPr>
      <t>'@zh ; :processSection 'S10' .</t>
    </r>
  </si>
  <si>
    <r>
      <rPr>
        <sz val="10"/>
        <rFont val="Consolas"/>
        <family val="3"/>
      </rPr>
      <t>:Attr_268 a :ProcessAttribute ; rdfs:label '</t>
    </r>
    <r>
      <rPr>
        <sz val="10"/>
        <rFont val="Noto Sans CJK SC"/>
        <family val="2"/>
      </rPr>
      <t>固定化酶活力稳定性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</si>
  <si>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:Attr_269 a :ProcessAttribute ; rdfs:label '</t>
    </r>
    <r>
      <rPr>
        <sz val="10"/>
        <rFont val="Noto Sans CJK SC"/>
        <family val="2"/>
      </rPr>
      <t>酶催化水解反应速率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</si>
  <si>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:Attr_270 a :ProcessAttribute ; rdfs:label '</t>
    </r>
    <r>
      <rPr>
        <sz val="10"/>
        <rFont val="Noto Sans CJK SC"/>
        <family val="2"/>
      </rPr>
      <t>固液传质速率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</si>
  <si>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:Attr_271 a :ProcessAttribute ; rdfs:label '</t>
    </r>
    <r>
      <rPr>
        <sz val="10"/>
        <rFont val="Noto Sans CJK SC"/>
        <family val="2"/>
      </rPr>
      <t>固定化酶载体寿命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</si>
  <si>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:Attr_272 a :ProcessAttribute ; rdfs:label '</t>
    </r>
    <r>
      <rPr>
        <sz val="10"/>
        <rFont val="Noto Sans CJK SC"/>
        <family val="2"/>
      </rPr>
      <t>氨水累计加量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</si>
  <si>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:Attr_273 a :ProcessAttribute ; rdfs:label '</t>
    </r>
    <r>
      <rPr>
        <sz val="10"/>
        <rFont val="Noto Sans CJK SC"/>
        <family val="2"/>
      </rPr>
      <t>水解终点判定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</si>
  <si>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:QKPI_274 a :QualityKPI ; rdfs:label '</t>
    </r>
    <r>
      <rPr>
        <sz val="10"/>
        <rFont val="Noto Sans CJK SC"/>
        <family val="2"/>
      </rPr>
      <t>水解酶解转化率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</si>
  <si>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:QKPI_275 a :QualityKPI ; rdfs:label '6-APA</t>
    </r>
    <r>
      <rPr>
        <sz val="10"/>
        <rFont val="Noto Sans CJK SC"/>
        <family val="2"/>
      </rPr>
      <t>热降解损失率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</si>
  <si>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:Attr_276 a :ProcessAttribute ; rdfs:label '</t>
    </r>
    <r>
      <rPr>
        <sz val="10"/>
        <rFont val="Noto Sans CJK SC"/>
        <family val="2"/>
      </rPr>
      <t>苯乙酸两相分配系数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</si>
  <si>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:Attr_277 a :ProcessAttribute ; rdfs:label '</t>
    </r>
    <r>
      <rPr>
        <sz val="10"/>
        <rFont val="Noto Sans CJK SC"/>
        <family val="2"/>
      </rPr>
      <t>有机水相相比</t>
    </r>
    <r>
      <rPr>
        <sz val="10"/>
        <rFont val="Consolas"/>
        <family val="3"/>
      </rPr>
      <t>(O/A</t>
    </r>
    <r>
      <rPr>
        <sz val="10"/>
        <rFont val="Noto Sans CJK SC"/>
        <family val="2"/>
      </rPr>
      <t>比</t>
    </r>
    <r>
      <rPr>
        <sz val="10"/>
        <rFont val="Consolas"/>
        <family val="3"/>
      </rPr>
      <t>)'@zh ; :processSection 'S12' .</t>
    </r>
  </si>
  <si>
    <r>
      <rPr>
        <sz val="10"/>
        <rFont val="Consolas"/>
        <family val="3"/>
      </rPr>
      <t>:Attr_278 a :ProcessAttribute ; rdfs:label '</t>
    </r>
    <r>
      <rPr>
        <sz val="10"/>
        <rFont val="Noto Sans CJK SC"/>
        <family val="2"/>
      </rPr>
      <t>萃取分配平衡度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</si>
  <si>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:Attr_279 a :ProcessAttribute ; rdfs:label '</t>
    </r>
    <r>
      <rPr>
        <sz val="10"/>
        <rFont val="Noto Sans CJK SC"/>
        <family val="2"/>
      </rPr>
      <t>相界面热乳化程度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</si>
  <si>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:QKPI_280 a :QualityKPI ; rdfs:label '</t>
    </r>
    <r>
      <rPr>
        <sz val="10"/>
        <rFont val="Noto Sans CJK SC"/>
        <family val="2"/>
      </rPr>
      <t>离心分相澄清度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</si>
  <si>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:Attr_281 a :ProcessAttribute ; rdfs:label '6APA</t>
    </r>
    <r>
      <rPr>
        <sz val="10"/>
        <rFont val="Noto Sans CJK SC"/>
        <family val="2"/>
      </rPr>
      <t>酸性降解速率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</si>
  <si>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:QKPI_282 a :QualityKPI ; rdfs:label '</t>
    </r>
    <r>
      <rPr>
        <sz val="10"/>
        <rFont val="Noto Sans CJK SC"/>
        <family val="2"/>
      </rPr>
      <t>重液苯乙酸残留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</si>
  <si>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:QKPI_283 a :QualityKPI ; rdfs:label '</t>
    </r>
    <r>
      <rPr>
        <sz val="10"/>
        <rFont val="Noto Sans CJK SC"/>
        <family val="2"/>
      </rPr>
      <t>废有机相</t>
    </r>
    <r>
      <rPr>
        <sz val="10"/>
        <rFont val="Consolas"/>
        <family val="3"/>
      </rPr>
      <t>6-APA</t>
    </r>
    <r>
      <rPr>
        <sz val="10"/>
        <rFont val="Noto Sans CJK SC"/>
        <family val="2"/>
      </rPr>
      <t>夹带残效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</si>
  <si>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:QKPI_284 a :QualityKPI ; rdfs:label '</t>
    </r>
    <r>
      <rPr>
        <sz val="10"/>
        <rFont val="Noto Sans CJK SC"/>
        <family val="2"/>
      </rPr>
      <t>溶媒再生率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</si>
  <si>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:Attr_285 a :ProcessAttribute ; rdfs:label '</t>
    </r>
    <r>
      <rPr>
        <sz val="10"/>
        <rFont val="Noto Sans CJK SC"/>
        <family val="2"/>
      </rPr>
      <t>结晶过饱和度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</si>
  <si>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:QKPI_286 a :QualityKPI ; rdfs:label '</t>
    </r>
    <r>
      <rPr>
        <sz val="10"/>
        <rFont val="Noto Sans CJK SC"/>
        <family val="2"/>
      </rPr>
      <t>晶体粒度分布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</si>
  <si>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:Attr_287 a :ProcessAttribute ; rdfs:label '</t>
    </r>
    <r>
      <rPr>
        <sz val="10"/>
        <rFont val="Noto Sans CJK SC"/>
        <family val="2"/>
      </rPr>
      <t>养晶时间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</si>
  <si>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:Attr_288 a :ProcessAttribute ; rdfs:label '</t>
    </r>
    <r>
      <rPr>
        <sz val="10"/>
        <rFont val="Noto Sans CJK SC"/>
        <family val="2"/>
      </rPr>
      <t>加氨速率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</si>
  <si>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:Attr_289 a :ProcessAttribute ; rdfs:label '6APA</t>
    </r>
    <r>
      <rPr>
        <sz val="10"/>
        <rFont val="Noto Sans CJK SC"/>
        <family val="2"/>
      </rPr>
      <t>溶解度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</si>
  <si>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:QKPI_290 a :QualityKPI ; rdfs:label '</t>
    </r>
    <r>
      <rPr>
        <sz val="10"/>
        <rFont val="Noto Sans CJK SC"/>
        <family val="2"/>
      </rPr>
      <t>结晶收率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</si>
  <si>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:QKPI_291 a :QualityKPI ; rdfs:label '</t>
    </r>
    <r>
      <rPr>
        <sz val="10"/>
        <rFont val="Noto Sans CJK SC"/>
        <family val="2"/>
      </rPr>
      <t>离心滤饼含湿量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</si>
  <si>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:QKPI_292 a :QualityKPI ; rdfs:label '6APA</t>
    </r>
    <r>
      <rPr>
        <sz val="10"/>
        <rFont val="Noto Sans CJK SC"/>
        <family val="2"/>
      </rPr>
      <t>湿品灰分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氯化铵残留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</si>
  <si>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:QKPI_293 a :QualityKPI ; rdfs:label '</t>
    </r>
    <r>
      <rPr>
        <sz val="10"/>
        <rFont val="Noto Sans CJK SC"/>
        <family val="2"/>
      </rPr>
      <t>母液</t>
    </r>
    <r>
      <rPr>
        <sz val="10"/>
        <rFont val="Consolas"/>
        <family val="3"/>
      </rPr>
      <t>6APA</t>
    </r>
    <r>
      <rPr>
        <sz val="10"/>
        <rFont val="Noto Sans CJK SC"/>
        <family val="2"/>
      </rPr>
      <t>残留浓度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</si>
  <si>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:Attr_294 a :ProcessAttribute ; rdfs:label '</t>
    </r>
    <r>
      <rPr>
        <sz val="10"/>
        <rFont val="Noto Sans CJK SC"/>
        <family val="2"/>
      </rPr>
      <t>连续结晶停留时间</t>
    </r>
    <r>
      <rPr>
        <sz val="10"/>
        <rFont val="Consolas"/>
        <family val="3"/>
      </rPr>
      <t>'@zh ; :processSection 'S14' .</t>
    </r>
  </si>
  <si>
    <r>
      <rPr>
        <sz val="10"/>
        <rFont val="Consolas"/>
        <family val="3"/>
      </rPr>
      <t>:QKPI_295 a :QualityKPI ; rdfs:label '6-APA</t>
    </r>
    <r>
      <rPr>
        <sz val="10"/>
        <rFont val="Noto Sans CJK SC"/>
        <family val="2"/>
      </rPr>
      <t>成品水分</t>
    </r>
    <r>
      <rPr>
        <sz val="10"/>
        <rFont val="Consolas"/>
        <family val="3"/>
      </rPr>
      <t>'@zh ; :processSection 'S16' .</t>
    </r>
  </si>
  <si>
    <r>
      <rPr>
        <sz val="10"/>
        <rFont val="Consolas"/>
        <family val="3"/>
      </rPr>
      <t>:QKPI_296 a :QualityKPI ; rdfs:label '6-APA</t>
    </r>
    <r>
      <rPr>
        <sz val="10"/>
        <rFont val="Noto Sans CJK SC"/>
        <family val="2"/>
      </rPr>
      <t>成品含量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色级</t>
    </r>
    <r>
      <rPr>
        <sz val="10"/>
        <rFont val="Consolas"/>
        <family val="3"/>
      </rPr>
      <t>'@zh ; :processSection 'S16' .</t>
    </r>
  </si>
  <si>
    <r>
      <rPr>
        <sz val="10"/>
        <rFont val="Consolas"/>
        <family val="3"/>
      </rPr>
      <t>:QKPI_297 a :QualityKPI ; rdfs:label '</t>
    </r>
    <r>
      <rPr>
        <sz val="10"/>
        <rFont val="Noto Sans CJK SC"/>
        <family val="2"/>
      </rPr>
      <t>干燥降解</t>
    </r>
    <r>
      <rPr>
        <sz val="10"/>
        <rFont val="Consolas"/>
        <family val="3"/>
      </rPr>
      <t>'@zh ; :processSection 'S16' .</t>
    </r>
  </si>
  <si>
    <r>
      <rPr>
        <sz val="10"/>
        <rFont val="Consolas"/>
        <family val="3"/>
      </rPr>
      <t>:QKPI_298 a :QualityKPI ; rdfs:label '</t>
    </r>
    <r>
      <rPr>
        <sz val="10"/>
        <rFont val="Noto Sans CJK SC"/>
        <family val="2"/>
      </rPr>
      <t>母液回收</t>
    </r>
    <r>
      <rPr>
        <sz val="10"/>
        <rFont val="Consolas"/>
        <family val="3"/>
      </rPr>
      <t>6APA</t>
    </r>
    <r>
      <rPr>
        <sz val="10"/>
        <rFont val="Noto Sans CJK SC"/>
        <family val="2"/>
      </rPr>
      <t>量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</si>
  <si>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:QKPI_299 a :QualityKPI ; rdfs:label '</t>
    </r>
    <r>
      <rPr>
        <sz val="10"/>
        <rFont val="Noto Sans CJK SC"/>
        <family val="2"/>
      </rPr>
      <t>回收溶媒纯度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</si>
  <si>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:QKPI_300 a :QualityKPI ; rdfs:label '</t>
    </r>
    <r>
      <rPr>
        <sz val="10"/>
        <rFont val="Noto Sans CJK SC"/>
        <family val="2"/>
      </rPr>
      <t>苯乙酸回收率</t>
    </r>
    <r>
      <rPr>
        <sz val="10"/>
        <rFont val="Consolas"/>
        <family val="3"/>
      </rPr>
      <t>'@zh ; :processSection 'S19' .</t>
    </r>
  </si>
  <si>
    <r>
      <rPr>
        <sz val="10"/>
        <rFont val="Consolas"/>
        <family val="3"/>
      </rPr>
      <t>:QKPI_301 a :QualityKPI ; rdfs:label '</t>
    </r>
    <r>
      <rPr>
        <sz val="10"/>
        <rFont val="Noto Sans CJK SC"/>
        <family val="2"/>
      </rPr>
      <t>废酸水溶媒残留</t>
    </r>
    <r>
      <rPr>
        <sz val="10"/>
        <rFont val="Consolas"/>
        <family val="3"/>
      </rPr>
      <t>(COD)'@zh ; :processSection 'S20' .</t>
    </r>
  </si>
  <si>
    <r>
      <rPr>
        <sz val="10"/>
        <rFont val="Consolas"/>
        <family val="3"/>
      </rPr>
      <t>:BKPI_302 a :BusinessKPI ; rdfs:label '</t>
    </r>
    <r>
      <rPr>
        <sz val="10"/>
        <rFont val="Noto Sans CJK SC"/>
        <family val="2"/>
      </rPr>
      <t>溶媒单耗</t>
    </r>
    <r>
      <rPr>
        <sz val="10"/>
        <rFont val="Consolas"/>
        <family val="3"/>
      </rPr>
      <t>'@zh ; :processSection 'S99' .</t>
    </r>
  </si>
  <si>
    <r>
      <rPr>
        <sz val="10"/>
        <rFont val="Consolas"/>
        <family val="3"/>
      </rPr>
      <t>:BKPI_303 a :BusinessKPI ; rdfs:label '</t>
    </r>
    <r>
      <rPr>
        <sz val="10"/>
        <rFont val="Noto Sans CJK SC"/>
        <family val="2"/>
      </rPr>
      <t>产品批次提取收率</t>
    </r>
    <r>
      <rPr>
        <sz val="10"/>
        <rFont val="Consolas"/>
        <family val="3"/>
      </rPr>
      <t>'@zh ; :processSection 'S99' .</t>
    </r>
  </si>
  <si>
    <r>
      <rPr>
        <sz val="10"/>
        <rFont val="Consolas"/>
        <family val="3"/>
      </rPr>
      <t>:BKPI_304 a :BusinessKPI ; rdfs:label '</t>
    </r>
    <r>
      <rPr>
        <sz val="10"/>
        <rFont val="Noto Sans CJK SC"/>
        <family val="2"/>
      </rPr>
      <t>全厂批次最终提取收率</t>
    </r>
    <r>
      <rPr>
        <sz val="10"/>
        <rFont val="Consolas"/>
        <family val="3"/>
      </rPr>
      <t>'@zh ; :processSection 'S99' .</t>
    </r>
  </si>
  <si>
    <r>
      <rPr>
        <sz val="10"/>
        <rFont val="Consolas"/>
        <family val="3"/>
      </rPr>
      <t>:BKPI_305 a :BusinessKPI ; rdfs:label '6-APA</t>
    </r>
    <r>
      <rPr>
        <sz val="10"/>
        <rFont val="Noto Sans CJK SC"/>
        <family val="2"/>
      </rPr>
      <t>单位能耗</t>
    </r>
    <r>
      <rPr>
        <sz val="10"/>
        <rFont val="Consolas"/>
        <family val="3"/>
      </rPr>
      <t>'@zh ; :processSection 'S99' .</t>
    </r>
  </si>
  <si>
    <r>
      <rPr>
        <sz val="10"/>
        <rFont val="Consolas"/>
        <family val="3"/>
      </rPr>
      <t>:Attr_306 a :ProcessAttribute ; rdfs:label '</t>
    </r>
    <r>
      <rPr>
        <sz val="10"/>
        <rFont val="Noto Sans CJK SC"/>
        <family val="2"/>
      </rPr>
      <t>萃取离心机转速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</si>
  <si>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:Attr_307 a :ProcessAttribute ; rdfs:label '</t>
    </r>
    <r>
      <rPr>
        <sz val="10"/>
        <rFont val="Noto Sans CJK SC"/>
        <family val="2"/>
      </rPr>
      <t>萃取离心机轻相背压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</si>
  <si>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:Attr_308 a :ProcessAttribute ; rdfs:label '</t>
    </r>
    <r>
      <rPr>
        <sz val="10"/>
        <rFont val="Noto Sans CJK SC"/>
        <family val="2"/>
      </rPr>
      <t>萃取离心机重相背压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</si>
  <si>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:Attr_309 a :ProcessAttribute ; rdfs:label '</t>
    </r>
    <r>
      <rPr>
        <sz val="10"/>
        <rFont val="Noto Sans CJK SC"/>
        <family val="2"/>
      </rPr>
      <t>萃取离心机轻重相背压差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</si>
  <si>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:Attr_310 a :ProcessAttribute ; rdfs:label '</t>
    </r>
    <r>
      <rPr>
        <sz val="10"/>
        <rFont val="Noto Sans CJK SC"/>
        <family val="2"/>
      </rPr>
      <t>冷盐水流量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水解液换热器</t>
    </r>
    <r>
      <rPr>
        <sz val="10"/>
        <rFont val="Consolas"/>
        <family val="3"/>
      </rPr>
      <t>)'@zh ; :processSection 'S12' .</t>
    </r>
  </si>
  <si>
    <r>
      <rPr>
        <sz val="10"/>
        <rFont val="Consolas"/>
        <family val="3"/>
      </rPr>
      <t>:Attr_311 a :ProcessAttribute ; rdfs:label '</t>
    </r>
    <r>
      <rPr>
        <sz val="10"/>
        <rFont val="Noto Sans CJK SC"/>
        <family val="2"/>
      </rPr>
      <t>夹套热水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蒸汽加热量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</si>
  <si>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:Ctrl_001 a :Controller ; rdfs:label '</t>
    </r>
    <r>
      <rPr>
        <sz val="10"/>
        <rFont val="Noto Sans CJK SC"/>
        <family val="2"/>
      </rPr>
      <t>滤液进料流量控制器</t>
    </r>
    <r>
      <rPr>
        <sz val="10"/>
        <rFont val="Consolas"/>
        <family val="3"/>
      </rPr>
      <t>(FIC-1104)'@zh ; :processSection 'S01' .</t>
    </r>
  </si>
  <si>
    <r>
      <rPr>
        <sz val="10"/>
        <rFont val="Consolas"/>
        <family val="3"/>
      </rPr>
      <t>:Act_001 a :Actuator ; rdfs:label '</t>
    </r>
    <r>
      <rPr>
        <sz val="10"/>
        <rFont val="Noto Sans CJK SC"/>
        <family val="2"/>
      </rPr>
      <t>离心机滤液进口调节阀</t>
    </r>
    <r>
      <rPr>
        <sz val="10"/>
        <rFont val="Consolas"/>
        <family val="3"/>
      </rPr>
      <t>HV_1003A–E'@zh ; :processSection 'S01' .</t>
    </r>
  </si>
  <si>
    <r>
      <rPr>
        <sz val="10"/>
        <rFont val="Consolas"/>
        <family val="3"/>
      </rPr>
      <t>:Ctrl_002 a :Controller ; rdfs:label '</t>
    </r>
    <r>
      <rPr>
        <sz val="10"/>
        <rFont val="Noto Sans CJK SC"/>
        <family val="2"/>
      </rPr>
      <t>破乳剂流量控制器</t>
    </r>
    <r>
      <rPr>
        <sz val="10"/>
        <rFont val="Consolas"/>
        <family val="3"/>
      </rPr>
      <t>(FIC-1101)'@zh ; :processSection 'S01' .</t>
    </r>
  </si>
  <si>
    <r>
      <rPr>
        <sz val="10"/>
        <rFont val="Consolas"/>
        <family val="3"/>
      </rPr>
      <t>:Act_002 a :Actuator ; rdfs:label '</t>
    </r>
    <r>
      <rPr>
        <sz val="10"/>
        <rFont val="Noto Sans CJK SC"/>
        <family val="2"/>
      </rPr>
      <t>破乳剂流量调节阀</t>
    </r>
    <r>
      <rPr>
        <sz val="10"/>
        <rFont val="Consolas"/>
        <family val="3"/>
      </rPr>
      <t>HV_1002A–F'@zh ; :processSection 'S01' .</t>
    </r>
  </si>
  <si>
    <r>
      <rPr>
        <sz val="10"/>
        <rFont val="Consolas"/>
        <family val="3"/>
      </rPr>
      <t>:Ctrl_003 a :Controller ; rdfs:label '</t>
    </r>
    <r>
      <rPr>
        <sz val="10"/>
        <rFont val="Noto Sans CJK SC"/>
        <family val="2"/>
      </rPr>
      <t>提取酸化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控制器</t>
    </r>
    <r>
      <rPr>
        <sz val="10"/>
        <rFont val="Consolas"/>
        <family val="3"/>
      </rPr>
      <t>(AIC-1105)'@zh ; :processSection 'S01' .</t>
    </r>
  </si>
  <si>
    <r>
      <rPr>
        <sz val="10"/>
        <rFont val="Consolas"/>
        <family val="3"/>
      </rPr>
      <t>:Act_003 a :Actuator ; rdfs:label '</t>
    </r>
    <r>
      <rPr>
        <sz val="10"/>
        <rFont val="Noto Sans CJK SC"/>
        <family val="2"/>
      </rPr>
      <t>稀硫酸泵变频器</t>
    </r>
    <r>
      <rPr>
        <sz val="10"/>
        <rFont val="Consolas"/>
        <family val="3"/>
      </rPr>
      <t>PB_1015A–F'@zh ; :processSection 'S01' .</t>
    </r>
  </si>
  <si>
    <r>
      <rPr>
        <sz val="10"/>
        <rFont val="Consolas"/>
        <family val="3"/>
      </rPr>
      <t>:Ctrl_004 a :Controller ; rdfs:label 'BA</t>
    </r>
    <r>
      <rPr>
        <sz val="10"/>
        <rFont val="Noto Sans CJK SC"/>
        <family val="2"/>
      </rPr>
      <t>进料流量控制器</t>
    </r>
    <r>
      <rPr>
        <sz val="10"/>
        <rFont val="Consolas"/>
        <family val="3"/>
      </rPr>
      <t>(FIC-1105)'@zh ; :processSection 'S01' .</t>
    </r>
  </si>
  <si>
    <r>
      <rPr>
        <sz val="10"/>
        <rFont val="Consolas"/>
        <family val="3"/>
      </rPr>
      <t>:Act_004 a :Actuator ; rdfs:label '</t>
    </r>
    <r>
      <rPr>
        <sz val="10"/>
        <rFont val="Noto Sans CJK SC"/>
        <family val="2"/>
      </rPr>
      <t>离心机</t>
    </r>
    <r>
      <rPr>
        <sz val="10"/>
        <rFont val="Consolas"/>
        <family val="3"/>
      </rPr>
      <t>BA/</t>
    </r>
    <r>
      <rPr>
        <sz val="10"/>
        <rFont val="Noto Sans CJK SC"/>
        <family val="2"/>
      </rPr>
      <t>丁酯进口调节阀</t>
    </r>
    <r>
      <rPr>
        <sz val="10"/>
        <rFont val="Consolas"/>
        <family val="3"/>
      </rPr>
      <t>HV_1004/HV_1005'@zh ; :processSection 'S01' .</t>
    </r>
  </si>
  <si>
    <r>
      <rPr>
        <sz val="10"/>
        <rFont val="Consolas"/>
        <family val="3"/>
      </rPr>
      <t>:Ctrl_005 a :Controller ; rdfs:label '</t>
    </r>
    <r>
      <rPr>
        <sz val="10"/>
        <rFont val="Noto Sans CJK SC"/>
        <family val="2"/>
      </rPr>
      <t>废酸水中和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控制器</t>
    </r>
    <r>
      <rPr>
        <sz val="10"/>
        <rFont val="Consolas"/>
        <family val="3"/>
      </rPr>
      <t>(AIC-1111)'@zh ; :processSection 'S01' .</t>
    </r>
  </si>
  <si>
    <r>
      <rPr>
        <sz val="10"/>
        <rFont val="Consolas"/>
        <family val="3"/>
      </rPr>
      <t>:Act_005 a :Actuator ; rdfs:label '</t>
    </r>
    <r>
      <rPr>
        <sz val="10"/>
        <rFont val="Noto Sans CJK SC"/>
        <family val="2"/>
      </rPr>
      <t>废酸水中和罐液碱调节阀</t>
    </r>
    <r>
      <rPr>
        <sz val="10"/>
        <rFont val="Consolas"/>
        <family val="3"/>
      </rPr>
      <t>HV_1101'@zh ; :processSection 'S01' .</t>
    </r>
  </si>
  <si>
    <r>
      <rPr>
        <sz val="10"/>
        <rFont val="Consolas"/>
        <family val="3"/>
      </rPr>
      <t>:Ctrl_006 a :Controller ; rdfs:label '</t>
    </r>
    <r>
      <rPr>
        <sz val="10"/>
        <rFont val="Noto Sans CJK SC"/>
        <family val="2"/>
      </rPr>
      <t>三萃丁酯流量控制器</t>
    </r>
    <r>
      <rPr>
        <sz val="10"/>
        <rFont val="Consolas"/>
        <family val="3"/>
      </rPr>
      <t>(FIC-DZ)'@zh ; :processSection 'S02' .</t>
    </r>
  </si>
  <si>
    <r>
      <rPr>
        <sz val="10"/>
        <rFont val="Consolas"/>
        <family val="3"/>
      </rPr>
      <t>:Act_006 a :Actuator ; rdfs:label '</t>
    </r>
    <r>
      <rPr>
        <sz val="10"/>
        <rFont val="Noto Sans CJK SC"/>
        <family val="2"/>
      </rPr>
      <t>丁酯进料调节阀</t>
    </r>
    <r>
      <rPr>
        <sz val="10"/>
        <rFont val="Consolas"/>
        <family val="3"/>
      </rPr>
      <t>HV_1008A/B'@zh ; :processSection 'S02' .</t>
    </r>
  </si>
  <si>
    <r>
      <rPr>
        <sz val="10"/>
        <rFont val="Consolas"/>
        <family val="3"/>
      </rPr>
      <t>:Ctrl_007 a :Controller ; rdfs:label '</t>
    </r>
    <r>
      <rPr>
        <sz val="10"/>
        <rFont val="Noto Sans CJK SC"/>
        <family val="2"/>
      </rPr>
      <t>丁酯温度控制器</t>
    </r>
    <r>
      <rPr>
        <sz val="10"/>
        <rFont val="Consolas"/>
        <family val="3"/>
      </rPr>
      <t>(TIC-1002)'@zh ; :processSection 'S02' .</t>
    </r>
  </si>
  <si>
    <r>
      <rPr>
        <sz val="10"/>
        <rFont val="Consolas"/>
        <family val="3"/>
      </rPr>
      <t>:Act_007 a :Actuator ; rdfs:label '</t>
    </r>
    <r>
      <rPr>
        <sz val="10"/>
        <rFont val="Noto Sans CJK SC"/>
        <family val="2"/>
      </rPr>
      <t>丁酯换热器冷盐水调节阀</t>
    </r>
    <r>
      <rPr>
        <sz val="10"/>
        <rFont val="Consolas"/>
        <family val="3"/>
      </rPr>
      <t>HV_1001'@zh ; :processSection 'S02' .</t>
    </r>
  </si>
  <si>
    <r>
      <rPr>
        <sz val="10"/>
        <rFont val="Consolas"/>
        <family val="3"/>
      </rPr>
      <t>:Ctrl_008 a :Controller ; rdfs:label '</t>
    </r>
    <r>
      <rPr>
        <sz val="10"/>
        <rFont val="Noto Sans CJK SC"/>
        <family val="2"/>
      </rPr>
      <t>水洗重相外送控制器</t>
    </r>
    <r>
      <rPr>
        <sz val="10"/>
        <rFont val="Consolas"/>
        <family val="3"/>
      </rPr>
      <t>(LIC-SXZ)'@zh ; :processSection 'S05' .</t>
    </r>
  </si>
  <si>
    <r>
      <rPr>
        <sz val="10"/>
        <rFont val="Consolas"/>
        <family val="3"/>
      </rPr>
      <t>:Act_008 a :Actuator ; rdfs:label '</t>
    </r>
    <r>
      <rPr>
        <sz val="10"/>
        <rFont val="Noto Sans CJK SC"/>
        <family val="2"/>
      </rPr>
      <t>水洗重相罐泵后调节阀</t>
    </r>
    <r>
      <rPr>
        <sz val="10"/>
        <rFont val="Consolas"/>
        <family val="3"/>
      </rPr>
      <t>HV_1007'@zh ; :processSection 'S05' .</t>
    </r>
  </si>
  <si>
    <r>
      <rPr>
        <sz val="10"/>
        <rFont val="Consolas"/>
        <family val="3"/>
      </rPr>
      <t>:Ctrl_009 a :Controller ; rdfs:label '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泵转速控制器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</si>
  <si>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:Act_009 a :Actuator ; rdfs:label '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泵变频器</t>
    </r>
    <r>
      <rPr>
        <sz val="10"/>
        <rFont val="Consolas"/>
        <family val="3"/>
      </rPr>
      <t>PB_1026'@zh ; :processSection 'S05' .</t>
    </r>
  </si>
  <si>
    <r>
      <rPr>
        <sz val="10"/>
        <rFont val="Consolas"/>
        <family val="3"/>
      </rPr>
      <t>:Ctrl_010 a :Controller ; rdfs:label '</t>
    </r>
    <r>
      <rPr>
        <sz val="10"/>
        <rFont val="Noto Sans CJK SC"/>
        <family val="2"/>
      </rPr>
      <t>脱色调节阀控制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</si>
  <si>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:Act_010 a :Actuator ; rdfs:label '</t>
    </r>
    <r>
      <rPr>
        <sz val="10"/>
        <rFont val="Noto Sans CJK SC"/>
        <family val="2"/>
      </rPr>
      <t>脱色调节阀</t>
    </r>
    <r>
      <rPr>
        <sz val="10"/>
        <rFont val="Consolas"/>
        <family val="3"/>
      </rPr>
      <t>A/B'@zh ; :processSection 'S06' .</t>
    </r>
  </si>
  <si>
    <r>
      <rPr>
        <sz val="10"/>
        <rFont val="Consolas"/>
        <family val="3"/>
      </rPr>
      <t>:Ctrl_011 a :Controller ; rdfs:label '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分配控制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</si>
  <si>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:Act_011 a :Actuator ; rdfs:label '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进</t>
    </r>
    <r>
      <rPr>
        <sz val="10"/>
        <rFont val="Consolas"/>
        <family val="3"/>
      </rPr>
      <t>6A1</t>
    </r>
    <r>
      <rPr>
        <sz val="10"/>
        <rFont val="Noto Sans CJK SC"/>
        <family val="2"/>
      </rPr>
      <t>混罐阀</t>
    </r>
    <r>
      <rPr>
        <sz val="10"/>
        <rFont val="Consolas"/>
        <family val="3"/>
      </rPr>
      <t>HV_2001/</t>
    </r>
    <r>
      <rPr>
        <sz val="10"/>
        <rFont val="Noto Sans CJK SC"/>
        <family val="2"/>
      </rPr>
      <t>进钾盐混罐阀</t>
    </r>
    <r>
      <rPr>
        <sz val="10"/>
        <rFont val="Consolas"/>
        <family val="3"/>
      </rPr>
      <t>HV_2002'@zh ; :processSection 'S06' .</t>
    </r>
  </si>
  <si>
    <r>
      <rPr>
        <sz val="10"/>
        <rFont val="Consolas"/>
        <family val="3"/>
      </rPr>
      <t>:Ctrl_012 a :Controller ; rdfs:label '</t>
    </r>
    <r>
      <rPr>
        <sz val="10"/>
        <rFont val="Noto Sans CJK SC"/>
        <family val="2"/>
      </rPr>
      <t>一级碳酸钾比值控制器</t>
    </r>
    <r>
      <rPr>
        <sz val="10"/>
        <rFont val="Consolas"/>
        <family val="3"/>
      </rPr>
      <t>(FFC-1211)'@zh ; :processSection 'S07' .</t>
    </r>
  </si>
  <si>
    <r>
      <rPr>
        <sz val="10"/>
        <rFont val="Consolas"/>
        <family val="3"/>
      </rPr>
      <t>:Act_012 a :Actuator ; rdfs:label '</t>
    </r>
    <r>
      <rPr>
        <sz val="10"/>
        <rFont val="Noto Sans CJK SC"/>
        <family val="2"/>
      </rPr>
      <t>碳酸钾进一级混合器调节阀</t>
    </r>
    <r>
      <rPr>
        <sz val="10"/>
        <rFont val="Consolas"/>
        <family val="3"/>
      </rPr>
      <t>HV_2003/HV_2007'@zh ; :processSection 'S07' .</t>
    </r>
  </si>
  <si>
    <r>
      <rPr>
        <sz val="10"/>
        <rFont val="Consolas"/>
        <family val="3"/>
      </rPr>
      <t>:Ctrl_013 a :Controller ; rdfs:label '</t>
    </r>
    <r>
      <rPr>
        <sz val="10"/>
        <rFont val="Noto Sans CJK SC"/>
        <family val="2"/>
      </rPr>
      <t>二级碳酸钾比值控制器</t>
    </r>
    <r>
      <rPr>
        <sz val="10"/>
        <rFont val="Consolas"/>
        <family val="3"/>
      </rPr>
      <t>(FFC-1213)'@zh ; :processSection 'S07' .</t>
    </r>
  </si>
  <si>
    <r>
      <rPr>
        <sz val="10"/>
        <rFont val="Consolas"/>
        <family val="3"/>
      </rPr>
      <t>:Act_013 a :Actuator ; rdfs:label '</t>
    </r>
    <r>
      <rPr>
        <sz val="10"/>
        <rFont val="Noto Sans CJK SC"/>
        <family val="2"/>
      </rPr>
      <t>碳酸钾进二级混合器调节阀</t>
    </r>
    <r>
      <rPr>
        <sz val="10"/>
        <rFont val="Consolas"/>
        <family val="3"/>
      </rPr>
      <t>HV_2005/HV_2010'@zh ; :processSection 'S07' .</t>
    </r>
  </si>
  <si>
    <r>
      <rPr>
        <sz val="10"/>
        <rFont val="Consolas"/>
        <family val="3"/>
      </rPr>
      <t>:Ctrl_014 a :Controller ; rdfs:label '</t>
    </r>
    <r>
      <rPr>
        <sz val="10"/>
        <rFont val="Noto Sans CJK SC"/>
        <family val="2"/>
      </rPr>
      <t>一次离心机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控制器</t>
    </r>
    <r>
      <rPr>
        <sz val="10"/>
        <rFont val="Consolas"/>
        <family val="3"/>
      </rPr>
      <t>(AIC-1206)'@zh ; :processSection 'S07' .</t>
    </r>
  </si>
  <si>
    <r>
      <rPr>
        <sz val="10"/>
        <rFont val="Consolas"/>
        <family val="3"/>
      </rPr>
      <t>:Act_014 a :Actuator ; rdfs:label '</t>
    </r>
    <r>
      <rPr>
        <sz val="10"/>
        <rFont val="Noto Sans CJK SC"/>
        <family val="2"/>
      </rPr>
      <t>一次离心机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控制输出</t>
    </r>
    <r>
      <rPr>
        <sz val="10"/>
        <rFont val="Consolas"/>
        <family val="3"/>
      </rPr>
      <t>HV_1202'@zh ; :processSection 'S07' .</t>
    </r>
  </si>
  <si>
    <r>
      <rPr>
        <sz val="10"/>
        <rFont val="Consolas"/>
        <family val="3"/>
      </rPr>
      <t>:Ctrl_015 a :Controller ; rdfs:label '</t>
    </r>
    <r>
      <rPr>
        <sz val="10"/>
        <rFont val="Noto Sans CJK SC"/>
        <family val="2"/>
      </rPr>
      <t>二次离心机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控制器</t>
    </r>
    <r>
      <rPr>
        <sz val="10"/>
        <rFont val="Consolas"/>
        <family val="3"/>
      </rPr>
      <t>(AIC-1207)'@zh ; :processSection 'S07' .</t>
    </r>
  </si>
  <si>
    <r>
      <rPr>
        <sz val="10"/>
        <rFont val="Consolas"/>
        <family val="3"/>
      </rPr>
      <t>:Act_015 a :Actuator ; rdfs:label '</t>
    </r>
    <r>
      <rPr>
        <sz val="10"/>
        <rFont val="Noto Sans CJK SC"/>
        <family val="2"/>
      </rPr>
      <t>二次离心机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控制输出</t>
    </r>
    <r>
      <rPr>
        <sz val="10"/>
        <rFont val="Consolas"/>
        <family val="3"/>
      </rPr>
      <t>HV_1203'@zh ; :processSection 'S07' .</t>
    </r>
  </si>
  <si>
    <r>
      <rPr>
        <sz val="10"/>
        <rFont val="Consolas"/>
        <family val="3"/>
      </rPr>
      <t>:Ctrl_016 a :Controller ; rdfs:label '</t>
    </r>
    <r>
      <rPr>
        <sz val="10"/>
        <rFont val="Noto Sans CJK SC"/>
        <family val="2"/>
      </rPr>
      <t>高浓度碳酸钾罐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控制器</t>
    </r>
    <r>
      <rPr>
        <sz val="10"/>
        <rFont val="Consolas"/>
        <family val="3"/>
      </rPr>
      <t>(AIC-1203)'@zh ; :processSection 'S07' .</t>
    </r>
  </si>
  <si>
    <r>
      <rPr>
        <sz val="10"/>
        <rFont val="Consolas"/>
        <family val="3"/>
      </rPr>
      <t>:Act_016 a :Actuator ; rdfs:label '</t>
    </r>
    <r>
      <rPr>
        <sz val="10"/>
        <rFont val="Noto Sans CJK SC"/>
        <family val="2"/>
      </rPr>
      <t>高浓度碳酸钾罐</t>
    </r>
    <r>
      <rPr>
        <sz val="10"/>
        <rFont val="Consolas"/>
        <family val="3"/>
      </rPr>
      <t>V2168 pH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>HV_1201'@zh ; :processSection 'S07' .</t>
    </r>
  </si>
  <si>
    <r>
      <rPr>
        <sz val="10"/>
        <rFont val="Consolas"/>
        <family val="3"/>
      </rPr>
      <t>:Ctrl_017 a :Controller ; rdfs:label '</t>
    </r>
    <r>
      <rPr>
        <sz val="10"/>
        <rFont val="Noto Sans CJK SC"/>
        <family val="2"/>
      </rPr>
      <t>抽提一级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进口流量控制器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</si>
  <si>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:Act_017 a :Actuator ; rdfs:label '</t>
    </r>
    <r>
      <rPr>
        <sz val="10"/>
        <rFont val="Noto Sans CJK SC"/>
        <family val="2"/>
      </rPr>
      <t>一级离心机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进口调节阀</t>
    </r>
    <r>
      <rPr>
        <sz val="10"/>
        <rFont val="Consolas"/>
        <family val="3"/>
      </rPr>
      <t>HV_2004A–F'@zh ; :processSection 'S07' .</t>
    </r>
  </si>
  <si>
    <r>
      <rPr>
        <sz val="10"/>
        <rFont val="Consolas"/>
        <family val="3"/>
      </rPr>
      <t>:Ctrl_018 a :Controller ; rdfs:label '</t>
    </r>
    <r>
      <rPr>
        <sz val="10"/>
        <rFont val="Noto Sans CJK SC"/>
        <family val="2"/>
      </rPr>
      <t>抽提二级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进口流量控制器</t>
    </r>
    <r>
      <rPr>
        <sz val="10"/>
        <rFont val="Consolas"/>
        <family val="3"/>
      </rPr>
      <t>'@zh ; :processSection 'S07' .</t>
    </r>
  </si>
  <si>
    <r>
      <rPr>
        <sz val="10"/>
        <rFont val="Consolas"/>
        <family val="3"/>
      </rPr>
      <t>:Act_018 a :Actuator ; rdfs:label '</t>
    </r>
    <r>
      <rPr>
        <sz val="10"/>
        <rFont val="Noto Sans CJK SC"/>
        <family val="2"/>
      </rPr>
      <t>二级离心机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进口调节阀</t>
    </r>
    <r>
      <rPr>
        <sz val="10"/>
        <rFont val="Consolas"/>
        <family val="3"/>
      </rPr>
      <t>HV_2006A–D'@zh ; :processSection 'S07' .</t>
    </r>
  </si>
  <si>
    <r>
      <rPr>
        <sz val="10"/>
        <rFont val="Consolas"/>
        <family val="3"/>
      </rPr>
      <t>:Ctrl_019 a :Controller ; rdfs:label '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温度控制器</t>
    </r>
    <r>
      <rPr>
        <sz val="10"/>
        <rFont val="Consolas"/>
        <family val="3"/>
      </rPr>
      <t>(TIC-2001)'@zh ; :processSection 'S08' .</t>
    </r>
  </si>
  <si>
    <r>
      <rPr>
        <sz val="10"/>
        <rFont val="Consolas"/>
        <family val="3"/>
      </rPr>
      <t>:Act_019 a :Actuator ; rdfs:label '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缓冲罐温度控制阀</t>
    </r>
    <r>
      <rPr>
        <sz val="10"/>
        <rFont val="Consolas"/>
        <family val="3"/>
      </rPr>
      <t>HV_2009'@zh ; :processSection 'S08' .</t>
    </r>
  </si>
  <si>
    <r>
      <rPr>
        <sz val="10"/>
        <rFont val="Consolas"/>
        <family val="3"/>
      </rPr>
      <t>:Ctrl_020 a :Controller ; rdfs:label '</t>
    </r>
    <r>
      <rPr>
        <sz val="10"/>
        <rFont val="Noto Sans CJK SC"/>
        <family val="2"/>
      </rPr>
      <t>钾盐结晶补丁醇控制</t>
    </r>
    <r>
      <rPr>
        <sz val="10"/>
        <rFont val="Consolas"/>
        <family val="3"/>
      </rPr>
      <t>'@zh ; :processSection 'S08' .</t>
    </r>
  </si>
  <si>
    <r>
      <rPr>
        <sz val="10"/>
        <rFont val="Consolas"/>
        <family val="3"/>
      </rPr>
      <t>:Act_020 a :Actuator ; rdfs:label '</t>
    </r>
    <r>
      <rPr>
        <sz val="10"/>
        <rFont val="Noto Sans CJK SC"/>
        <family val="2"/>
      </rPr>
      <t>补丁醇调节阀</t>
    </r>
    <r>
      <rPr>
        <sz val="10"/>
        <rFont val="Consolas"/>
        <family val="3"/>
      </rPr>
      <t>JY_6_1–6'@zh ; :processSection 'S08' .</t>
    </r>
  </si>
  <si>
    <r>
      <rPr>
        <sz val="10"/>
        <rFont val="Consolas"/>
        <family val="3"/>
      </rPr>
      <t>:Ctrl_021 a :Controller ; rdfs:label '</t>
    </r>
    <r>
      <rPr>
        <sz val="10"/>
        <rFont val="Noto Sans CJK SC"/>
        <family val="2"/>
      </rPr>
      <t>钾盐结晶夹套温控</t>
    </r>
    <r>
      <rPr>
        <sz val="10"/>
        <rFont val="Consolas"/>
        <family val="3"/>
      </rPr>
      <t>'@zh ; :processSection 'S08' .</t>
    </r>
  </si>
  <si>
    <r>
      <rPr>
        <sz val="10"/>
        <rFont val="Consolas"/>
        <family val="3"/>
      </rPr>
      <t>:Act_021 a :Actuator ; rdfs:label '</t>
    </r>
    <r>
      <rPr>
        <sz val="10"/>
        <rFont val="Noto Sans CJK SC"/>
        <family val="2"/>
      </rPr>
      <t>夹套蒸汽控制阀</t>
    </r>
    <r>
      <rPr>
        <sz val="10"/>
        <rFont val="Consolas"/>
        <family val="3"/>
      </rPr>
      <t>JY_9_1–6'@zh ; :processSection 'S08' .</t>
    </r>
  </si>
  <si>
    <r>
      <rPr>
        <sz val="10"/>
        <rFont val="Consolas"/>
        <family val="3"/>
      </rPr>
      <t>:Ctrl_022 a :Controller ; rdfs:label '</t>
    </r>
    <r>
      <rPr>
        <sz val="10"/>
        <rFont val="Noto Sans CJK SC"/>
        <family val="2"/>
      </rPr>
      <t>薄膜进料流量控制器</t>
    </r>
    <r>
      <rPr>
        <sz val="10"/>
        <rFont val="Consolas"/>
        <family val="3"/>
      </rPr>
      <t>(FIC-1001)'@zh ; :processSection 'S09' .</t>
    </r>
  </si>
  <si>
    <r>
      <rPr>
        <sz val="10"/>
        <rFont val="Consolas"/>
        <family val="3"/>
      </rPr>
      <t>:Act_022 a :Actuator ; rdfs:label '</t>
    </r>
    <r>
      <rPr>
        <sz val="10"/>
        <rFont val="Noto Sans CJK SC"/>
        <family val="2"/>
      </rPr>
      <t>薄膜蒸发器进口流量调节阀</t>
    </r>
    <r>
      <rPr>
        <sz val="10"/>
        <rFont val="Consolas"/>
        <family val="3"/>
      </rPr>
      <t>HV_1011A–D'@zh ; :processSection 'S09' .</t>
    </r>
  </si>
  <si>
    <r>
      <rPr>
        <sz val="10"/>
        <rFont val="Consolas"/>
        <family val="3"/>
      </rPr>
      <t>:Ctrl_023 a :Controller ; rdfs:label '</t>
    </r>
    <r>
      <rPr>
        <sz val="10"/>
        <rFont val="Noto Sans CJK SC"/>
        <family val="2"/>
      </rPr>
      <t>薄膜重相出料控制器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</si>
  <si>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:Act_023 a :Actuator ; rdfs:label '</t>
    </r>
    <r>
      <rPr>
        <sz val="10"/>
        <rFont val="Noto Sans CJK SC"/>
        <family val="2"/>
      </rPr>
      <t>薄膜蒸发器泵后调节阀</t>
    </r>
    <r>
      <rPr>
        <sz val="10"/>
        <rFont val="Consolas"/>
        <family val="3"/>
      </rPr>
      <t>HV_1012A–D'@zh ; :processSection 'S09' .</t>
    </r>
  </si>
  <si>
    <r>
      <rPr>
        <sz val="10"/>
        <rFont val="Consolas"/>
        <family val="3"/>
      </rPr>
      <t>:Ctrl_024 a :Controller ; rdfs:label '</t>
    </r>
    <r>
      <rPr>
        <sz val="10"/>
        <rFont val="Noto Sans CJK SC"/>
        <family val="2"/>
      </rPr>
      <t>冷凝器温度控制器</t>
    </r>
    <r>
      <rPr>
        <sz val="10"/>
        <rFont val="Consolas"/>
        <family val="3"/>
      </rPr>
      <t>(TIC-1003)'@zh ; :processSection 'S09' .</t>
    </r>
  </si>
  <si>
    <r>
      <rPr>
        <sz val="10"/>
        <rFont val="Consolas"/>
        <family val="3"/>
      </rPr>
      <t>:Act_024 a :Actuator ; rdfs:label '</t>
    </r>
    <r>
      <rPr>
        <sz val="10"/>
        <rFont val="Noto Sans CJK SC"/>
        <family val="2"/>
      </rPr>
      <t>冷凝器冷盐水总阀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分阀</t>
    </r>
    <r>
      <rPr>
        <sz val="10"/>
        <rFont val="Consolas"/>
        <family val="3"/>
      </rPr>
      <t>HV_1013</t>
    </r>
    <r>
      <rPr>
        <sz val="10"/>
        <rFont val="Noto Sans CJK SC"/>
        <family val="2"/>
      </rPr>
      <t>、</t>
    </r>
    <r>
      <rPr>
        <sz val="10"/>
        <rFont val="Consolas"/>
        <family val="3"/>
      </rPr>
      <t>HV_1014A–I'@zh ; :processSection 'S09' .</t>
    </r>
  </si>
  <si>
    <r>
      <rPr>
        <sz val="10"/>
        <rFont val="Consolas"/>
        <family val="3"/>
      </rPr>
      <t>:Ctrl_025 a :Controller ; rdfs:label '</t>
    </r>
    <r>
      <rPr>
        <sz val="10"/>
        <rFont val="Noto Sans CJK SC"/>
        <family val="2"/>
      </rPr>
      <t>水解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指示控制器</t>
    </r>
    <r>
      <rPr>
        <sz val="10"/>
        <rFont val="Consolas"/>
        <family val="3"/>
      </rPr>
      <t>(AIC-1301)'@zh ; :processSection 'S11' .</t>
    </r>
  </si>
  <si>
    <r>
      <rPr>
        <sz val="10"/>
        <rFont val="Consolas"/>
        <family val="3"/>
      </rPr>
      <t>:Act_025 a :Actuator ; rdfs:label '</t>
    </r>
    <r>
      <rPr>
        <sz val="10"/>
        <rFont val="Noto Sans CJK SC"/>
        <family val="2"/>
      </rPr>
      <t>氨水调节阀</t>
    </r>
    <r>
      <rPr>
        <sz val="10"/>
        <rFont val="Consolas"/>
        <family val="3"/>
      </rPr>
      <t>HV_1302'@zh ; :processSection 'S11' .</t>
    </r>
  </si>
  <si>
    <r>
      <rPr>
        <sz val="10"/>
        <rFont val="Consolas"/>
        <family val="3"/>
      </rPr>
      <t>:Ctrl_026 a :Controller ; rdfs:label '</t>
    </r>
    <r>
      <rPr>
        <sz val="10"/>
        <rFont val="Noto Sans CJK SC"/>
        <family val="2"/>
      </rPr>
      <t>水解温度指示控制器</t>
    </r>
    <r>
      <rPr>
        <sz val="10"/>
        <rFont val="Consolas"/>
        <family val="3"/>
      </rPr>
      <t>(TIC-1301)'@zh ; :processSection 'S11' .</t>
    </r>
  </si>
  <si>
    <r>
      <rPr>
        <sz val="10"/>
        <rFont val="Consolas"/>
        <family val="3"/>
      </rPr>
      <t>:Act_026 a :Actuator ; rdfs:label '</t>
    </r>
    <r>
      <rPr>
        <sz val="10"/>
        <rFont val="Noto Sans CJK SC"/>
        <family val="2"/>
      </rPr>
      <t>热水阀</t>
    </r>
    <r>
      <rPr>
        <sz val="10"/>
        <rFont val="Consolas"/>
        <family val="3"/>
      </rPr>
      <t>HV_1301'@zh ; :processSection 'S11' .</t>
    </r>
  </si>
  <si>
    <r>
      <rPr>
        <sz val="10"/>
        <rFont val="Consolas"/>
        <family val="3"/>
      </rPr>
      <t>:Ctrl_027 a :Controller ; rdfs:label '</t>
    </r>
    <r>
      <rPr>
        <sz val="10"/>
        <rFont val="Noto Sans CJK SC"/>
        <family val="2"/>
      </rPr>
      <t>北排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进料控制器</t>
    </r>
    <r>
      <rPr>
        <sz val="10"/>
        <rFont val="Consolas"/>
        <family val="3"/>
      </rPr>
      <t>(FIC-1302A)'@zh ; :processSection 'S11' .</t>
    </r>
  </si>
  <si>
    <r>
      <rPr>
        <sz val="10"/>
        <rFont val="Consolas"/>
        <family val="3"/>
      </rPr>
      <t>:Act_027 a :Actuator ; rdfs:label '</t>
    </r>
    <r>
      <rPr>
        <sz val="10"/>
        <rFont val="Noto Sans CJK SC"/>
        <family val="2"/>
      </rPr>
      <t>北排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调节阀</t>
    </r>
    <r>
      <rPr>
        <sz val="10"/>
        <rFont val="Consolas"/>
        <family val="3"/>
      </rPr>
      <t>HV_1308'@zh ; :processSection 'S11' .</t>
    </r>
  </si>
  <si>
    <r>
      <rPr>
        <sz val="10"/>
        <rFont val="Consolas"/>
        <family val="3"/>
      </rPr>
      <t>:Ctrl_028 a :Controller ; rdfs:label '</t>
    </r>
    <r>
      <rPr>
        <sz val="10"/>
        <rFont val="Noto Sans CJK SC"/>
        <family val="2"/>
      </rPr>
      <t>南排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进料控制器</t>
    </r>
    <r>
      <rPr>
        <sz val="10"/>
        <rFont val="Consolas"/>
        <family val="3"/>
      </rPr>
      <t>(FIC-1302B)'@zh ; :processSection 'S11' .</t>
    </r>
  </si>
  <si>
    <r>
      <rPr>
        <sz val="10"/>
        <rFont val="Consolas"/>
        <family val="3"/>
      </rPr>
      <t>:Act_028 a :Actuator ; rdfs:label '</t>
    </r>
    <r>
      <rPr>
        <sz val="10"/>
        <rFont val="Noto Sans CJK SC"/>
        <family val="2"/>
      </rPr>
      <t>南排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调节阀</t>
    </r>
    <r>
      <rPr>
        <sz val="10"/>
        <rFont val="Consolas"/>
        <family val="3"/>
      </rPr>
      <t>HV_1309'@zh ; :processSection 'S11' .</t>
    </r>
  </si>
  <si>
    <r>
      <rPr>
        <sz val="10"/>
        <rFont val="Consolas"/>
        <family val="3"/>
      </rPr>
      <t>:Ctrl_029 a :Controller ; rdfs:label '</t>
    </r>
    <r>
      <rPr>
        <sz val="10"/>
        <rFont val="Noto Sans CJK SC"/>
        <family val="2"/>
      </rPr>
      <t>北排硼酸进料控制器</t>
    </r>
    <r>
      <rPr>
        <sz val="10"/>
        <rFont val="Consolas"/>
        <family val="3"/>
      </rPr>
      <t>(FIC-1301A)'@zh ; :processSection 'S11' .</t>
    </r>
  </si>
  <si>
    <r>
      <rPr>
        <sz val="10"/>
        <rFont val="Consolas"/>
        <family val="3"/>
      </rPr>
      <t>:Act_029 a :Actuator ; rdfs:label '</t>
    </r>
    <r>
      <rPr>
        <sz val="10"/>
        <rFont val="Noto Sans CJK SC"/>
        <family val="2"/>
      </rPr>
      <t>北排硼酸调节阀</t>
    </r>
    <r>
      <rPr>
        <sz val="10"/>
        <rFont val="Consolas"/>
        <family val="3"/>
      </rPr>
      <t>HV_1310'@zh ; :processSection 'S11' .</t>
    </r>
  </si>
  <si>
    <r>
      <rPr>
        <sz val="10"/>
        <rFont val="Consolas"/>
        <family val="3"/>
      </rPr>
      <t>:Ctrl_030 a :Controller ; rdfs:label '</t>
    </r>
    <r>
      <rPr>
        <sz val="10"/>
        <rFont val="Noto Sans CJK SC"/>
        <family val="2"/>
      </rPr>
      <t>南排硼酸进料控制器</t>
    </r>
    <r>
      <rPr>
        <sz val="10"/>
        <rFont val="Consolas"/>
        <family val="3"/>
      </rPr>
      <t>(FIC-1301B)'@zh ; :processSection 'S11' .</t>
    </r>
  </si>
  <si>
    <r>
      <rPr>
        <sz val="10"/>
        <rFont val="Consolas"/>
        <family val="3"/>
      </rPr>
      <t>:Act_030 a :Actuator ; rdfs:label '</t>
    </r>
    <r>
      <rPr>
        <sz val="10"/>
        <rFont val="Noto Sans CJK SC"/>
        <family val="2"/>
      </rPr>
      <t>南排硼酸调节阀</t>
    </r>
    <r>
      <rPr>
        <sz val="10"/>
        <rFont val="Consolas"/>
        <family val="3"/>
      </rPr>
      <t>HV_1311'@zh ; :processSection 'S11' .</t>
    </r>
  </si>
  <si>
    <r>
      <rPr>
        <sz val="10"/>
        <rFont val="Consolas"/>
        <family val="3"/>
      </rPr>
      <t>:Ctrl_031 a :Controller ; rdfs:label '</t>
    </r>
    <r>
      <rPr>
        <sz val="10"/>
        <rFont val="Noto Sans CJK SC"/>
        <family val="2"/>
      </rPr>
      <t>水解液出料控制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</si>
  <si>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:Act_031 a :Actuator ; rdfs:label '</t>
    </r>
    <r>
      <rPr>
        <sz val="10"/>
        <rFont val="Noto Sans CJK SC"/>
        <family val="2"/>
      </rPr>
      <t>水解液泵调节阀</t>
    </r>
    <r>
      <rPr>
        <sz val="10"/>
        <rFont val="Consolas"/>
        <family val="3"/>
      </rPr>
      <t>SJGAB/SJGCD/SJGEF'@zh ; :processSection 'S11' .</t>
    </r>
  </si>
  <si>
    <r>
      <rPr>
        <sz val="10"/>
        <rFont val="Consolas"/>
        <family val="3"/>
      </rPr>
      <t>:Ctrl_032 a :Controller ; rdfs:label '</t>
    </r>
    <r>
      <rPr>
        <sz val="10"/>
        <rFont val="Noto Sans CJK SC"/>
        <family val="2"/>
      </rPr>
      <t>水解液去萃取温度控制器</t>
    </r>
    <r>
      <rPr>
        <sz val="10"/>
        <rFont val="Consolas"/>
        <family val="3"/>
      </rPr>
      <t>(TIC-1006)'@zh ; :processSection 'S12' .</t>
    </r>
  </si>
  <si>
    <r>
      <rPr>
        <sz val="10"/>
        <rFont val="Consolas"/>
        <family val="3"/>
      </rPr>
      <t>:Act_032 a :Actuator ; rdfs:label '</t>
    </r>
    <r>
      <rPr>
        <sz val="10"/>
        <rFont val="Noto Sans CJK SC"/>
        <family val="2"/>
      </rPr>
      <t>去萃取换热器冷盐水调节阀</t>
    </r>
    <r>
      <rPr>
        <sz val="10"/>
        <rFont val="Consolas"/>
        <family val="3"/>
      </rPr>
      <t>HV_1016A/B/HV_1018'@zh ; :processSection 'S12' .</t>
    </r>
  </si>
  <si>
    <r>
      <rPr>
        <sz val="10"/>
        <rFont val="Consolas"/>
        <family val="3"/>
      </rPr>
      <t>:Ctrl_033 a :Controller ; rdfs:label '</t>
    </r>
    <r>
      <rPr>
        <sz val="10"/>
        <rFont val="Noto Sans CJK SC"/>
        <family val="2"/>
      </rPr>
      <t>水解液回流温度控制器</t>
    </r>
    <r>
      <rPr>
        <sz val="10"/>
        <rFont val="Consolas"/>
        <family val="3"/>
      </rPr>
      <t>(TIC-1005)'@zh ; :processSection 'S12' .</t>
    </r>
  </si>
  <si>
    <r>
      <rPr>
        <sz val="10"/>
        <rFont val="Consolas"/>
        <family val="3"/>
      </rPr>
      <t>:Act_033 a :Actuator ; rdfs:label '</t>
    </r>
    <r>
      <rPr>
        <sz val="10"/>
        <rFont val="Noto Sans CJK SC"/>
        <family val="2"/>
      </rPr>
      <t>回流换热器冷盐水调节阀</t>
    </r>
    <r>
      <rPr>
        <sz val="10"/>
        <rFont val="Consolas"/>
        <family val="3"/>
      </rPr>
      <t>HV_1017'@zh ; :processSection 'S12' .</t>
    </r>
  </si>
  <si>
    <r>
      <rPr>
        <sz val="10"/>
        <rFont val="Consolas"/>
        <family val="3"/>
      </rPr>
      <t>:Ctrl_034 a :Controller ; rdfs:label '</t>
    </r>
    <r>
      <rPr>
        <sz val="10"/>
        <rFont val="Noto Sans CJK SC"/>
        <family val="2"/>
      </rPr>
      <t>水解液进料流量控制器</t>
    </r>
    <r>
      <rPr>
        <sz val="10"/>
        <rFont val="Consolas"/>
        <family val="3"/>
      </rPr>
      <t>(FIC-1304)'@zh ; :processSection 'S12' .</t>
    </r>
  </si>
  <si>
    <r>
      <rPr>
        <sz val="10"/>
        <rFont val="Consolas"/>
        <family val="3"/>
      </rPr>
      <t>:Act_034 a :Actuator ; rdfs:label '</t>
    </r>
    <r>
      <rPr>
        <sz val="10"/>
        <rFont val="Noto Sans CJK SC"/>
        <family val="2"/>
      </rPr>
      <t>水解液流量调节阀</t>
    </r>
    <r>
      <rPr>
        <sz val="10"/>
        <rFont val="Consolas"/>
        <family val="3"/>
      </rPr>
      <t>HV_1304'@zh ; :processSection 'S12' .</t>
    </r>
  </si>
  <si>
    <r>
      <rPr>
        <sz val="10"/>
        <rFont val="Consolas"/>
        <family val="3"/>
      </rPr>
      <t>:Ctrl_035 a :Controller ; rdfs:label '</t>
    </r>
    <r>
      <rPr>
        <sz val="10"/>
        <rFont val="Noto Sans CJK SC"/>
        <family val="2"/>
      </rPr>
      <t>萃取酸化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控制器</t>
    </r>
    <r>
      <rPr>
        <sz val="10"/>
        <rFont val="Consolas"/>
        <family val="3"/>
      </rPr>
      <t>(AIC-1302)'@zh ; :processSection 'S12' .</t>
    </r>
  </si>
  <si>
    <r>
      <rPr>
        <sz val="10"/>
        <rFont val="Consolas"/>
        <family val="3"/>
      </rPr>
      <t>:Act_035 a :Actuator ; rdfs:label '</t>
    </r>
    <r>
      <rPr>
        <sz val="10"/>
        <rFont val="Noto Sans CJK SC"/>
        <family val="2"/>
      </rPr>
      <t>盐酸流量调节阀</t>
    </r>
    <r>
      <rPr>
        <sz val="10"/>
        <rFont val="Consolas"/>
        <family val="3"/>
      </rPr>
      <t>HV_1305'@zh ; :processSection 'S12' .</t>
    </r>
  </si>
  <si>
    <r>
      <rPr>
        <sz val="10"/>
        <rFont val="Consolas"/>
        <family val="3"/>
      </rPr>
      <t>:Ctrl_036 a :Controller ; rdfs:label '</t>
    </r>
    <r>
      <rPr>
        <sz val="10"/>
        <rFont val="Noto Sans CJK SC"/>
        <family val="2"/>
      </rPr>
      <t>混合溶媒比值控制器</t>
    </r>
    <r>
      <rPr>
        <sz val="10"/>
        <rFont val="Consolas"/>
        <family val="3"/>
      </rPr>
      <t>(FFC-1303)'@zh ; :processSection 'S12' .</t>
    </r>
  </si>
  <si>
    <r>
      <rPr>
        <sz val="10"/>
        <rFont val="Consolas"/>
        <family val="3"/>
      </rPr>
      <t>:Act_036 a :Actuator ; rdfs:label '</t>
    </r>
    <r>
      <rPr>
        <sz val="10"/>
        <rFont val="Noto Sans CJK SC"/>
        <family val="2"/>
      </rPr>
      <t>溶媒流量调节阀</t>
    </r>
    <r>
      <rPr>
        <sz val="10"/>
        <rFont val="Consolas"/>
        <family val="3"/>
      </rPr>
      <t>HV_1303'@zh ; :processSection 'S12' .</t>
    </r>
  </si>
  <si>
    <r>
      <rPr>
        <sz val="10"/>
        <rFont val="Consolas"/>
        <family val="3"/>
      </rPr>
      <t>:Ctrl_037 a :Controller ; rdfs:label '</t>
    </r>
    <r>
      <rPr>
        <sz val="10"/>
        <rFont val="Noto Sans CJK SC"/>
        <family val="2"/>
      </rPr>
      <t>回流混合溶媒流量控制器</t>
    </r>
    <r>
      <rPr>
        <sz val="10"/>
        <rFont val="Consolas"/>
        <family val="3"/>
      </rPr>
      <t>(FIC-1003)'@zh ; :processSection 'S12' .</t>
    </r>
  </si>
  <si>
    <r>
      <rPr>
        <sz val="10"/>
        <rFont val="Consolas"/>
        <family val="3"/>
      </rPr>
      <t>:Act_037 a :Actuator ; rdfs:label '</t>
    </r>
    <r>
      <rPr>
        <sz val="10"/>
        <rFont val="Noto Sans CJK SC"/>
        <family val="2"/>
      </rPr>
      <t>回流混合溶媒调节阀</t>
    </r>
    <r>
      <rPr>
        <sz val="10"/>
        <rFont val="Consolas"/>
        <family val="3"/>
      </rPr>
      <t>HV_1020'@zh ; :processSection 'S12' .</t>
    </r>
  </si>
  <si>
    <r>
      <rPr>
        <sz val="10"/>
        <rFont val="Consolas"/>
        <family val="3"/>
      </rPr>
      <t>:Ctrl_038 a :Controller ; rdfs:label '</t>
    </r>
    <r>
      <rPr>
        <sz val="10"/>
        <rFont val="Noto Sans CJK SC"/>
        <family val="2"/>
      </rPr>
      <t>反萃液碱流量控制器</t>
    </r>
    <r>
      <rPr>
        <sz val="10"/>
        <rFont val="Consolas"/>
        <family val="3"/>
      </rPr>
      <t>(FIC-1309)'@zh ; :processSection 'S12' .</t>
    </r>
  </si>
  <si>
    <r>
      <rPr>
        <sz val="10"/>
        <rFont val="Consolas"/>
        <family val="3"/>
      </rPr>
      <t>:Act_038 a :Actuator ; rdfs:label '</t>
    </r>
    <r>
      <rPr>
        <sz val="10"/>
        <rFont val="Noto Sans CJK SC"/>
        <family val="2"/>
      </rPr>
      <t>反萃取液碱流量调节阀</t>
    </r>
    <r>
      <rPr>
        <sz val="10"/>
        <rFont val="Consolas"/>
        <family val="3"/>
      </rPr>
      <t>HV_1307'@zh ; :processSection 'S12' .</t>
    </r>
  </si>
  <si>
    <r>
      <rPr>
        <sz val="10"/>
        <rFont val="Consolas"/>
        <family val="3"/>
      </rPr>
      <t>:Ctrl_039 a :Controller ; rdfs:label '</t>
    </r>
    <r>
      <rPr>
        <sz val="10"/>
        <rFont val="Noto Sans CJK SC"/>
        <family val="2"/>
      </rPr>
      <t>反萃溶媒流量控制器</t>
    </r>
    <r>
      <rPr>
        <sz val="10"/>
        <rFont val="Consolas"/>
        <family val="3"/>
      </rPr>
      <t>(FIC-1308)'@zh ; :processSection 'S12' .</t>
    </r>
  </si>
  <si>
    <r>
      <rPr>
        <sz val="10"/>
        <rFont val="Consolas"/>
        <family val="3"/>
      </rPr>
      <t>:Act_039 a :Actuator ; rdfs:label '</t>
    </r>
    <r>
      <rPr>
        <sz val="10"/>
        <rFont val="Noto Sans CJK SC"/>
        <family val="2"/>
      </rPr>
      <t>反萃取混合溶媒调节阀</t>
    </r>
    <r>
      <rPr>
        <sz val="10"/>
        <rFont val="Consolas"/>
        <family val="3"/>
      </rPr>
      <t>HV_1306'@zh ; :processSection 'S12' .</t>
    </r>
  </si>
  <si>
    <r>
      <rPr>
        <sz val="10"/>
        <rFont val="Consolas"/>
        <family val="3"/>
      </rPr>
      <t>:Ctrl_040 a :Controller ; rdfs:label '</t>
    </r>
    <r>
      <rPr>
        <sz val="10"/>
        <rFont val="Noto Sans CJK SC"/>
        <family val="2"/>
      </rPr>
      <t>反萃轻相去回收控制器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</si>
  <si>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:Act_040 a :Actuator ; rdfs:label '</t>
    </r>
    <r>
      <rPr>
        <sz val="10"/>
        <rFont val="Noto Sans CJK SC"/>
        <family val="2"/>
      </rPr>
      <t>反萃轻相缓冲罐去回收调节阀</t>
    </r>
    <r>
      <rPr>
        <sz val="10"/>
        <rFont val="Consolas"/>
        <family val="3"/>
      </rPr>
      <t>HV_1026'@zh ; :processSection 'S12' .</t>
    </r>
  </si>
  <si>
    <r>
      <rPr>
        <sz val="10"/>
        <rFont val="Consolas"/>
        <family val="3"/>
      </rPr>
      <t>:Ctrl_041 a :Controller ; rdfs:label '</t>
    </r>
    <r>
      <rPr>
        <sz val="10"/>
        <rFont val="Noto Sans CJK SC"/>
        <family val="2"/>
      </rPr>
      <t>重液去结晶温度控制器</t>
    </r>
    <r>
      <rPr>
        <sz val="10"/>
        <rFont val="Consolas"/>
        <family val="3"/>
      </rPr>
      <t>(TIC-1010)'@zh ; :processSection 'S12' .</t>
    </r>
  </si>
  <si>
    <r>
      <rPr>
        <sz val="10"/>
        <rFont val="Consolas"/>
        <family val="3"/>
      </rPr>
      <t>:Act_041 a :Actuator ; rdfs:label '</t>
    </r>
    <r>
      <rPr>
        <sz val="10"/>
        <rFont val="Noto Sans CJK SC"/>
        <family val="2"/>
      </rPr>
      <t>去结晶换热器冷盐水调节阀</t>
    </r>
    <r>
      <rPr>
        <sz val="10"/>
        <rFont val="Consolas"/>
        <family val="3"/>
      </rPr>
      <t>HV_1025A/B'@zh ; :processSection 'S12' .</t>
    </r>
  </si>
  <si>
    <r>
      <rPr>
        <sz val="10"/>
        <rFont val="Consolas"/>
        <family val="3"/>
      </rPr>
      <t>:Ctrl_042 a :Controller ; rdfs:label '</t>
    </r>
    <r>
      <rPr>
        <sz val="10"/>
        <rFont val="Noto Sans CJK SC"/>
        <family val="2"/>
      </rPr>
      <t>重相缓冲罐回流控制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</si>
  <si>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:Act_042 a :Actuator ; rdfs:label '</t>
    </r>
    <r>
      <rPr>
        <sz val="10"/>
        <rFont val="Noto Sans CJK SC"/>
        <family val="2"/>
      </rPr>
      <t>重相缓冲罐回流调节阀</t>
    </r>
    <r>
      <rPr>
        <sz val="10"/>
        <rFont val="Consolas"/>
        <family val="3"/>
      </rPr>
      <t>HV_1023</t>
    </r>
    <r>
      <rPr>
        <sz val="10"/>
        <rFont val="Noto Sans CJK SC"/>
        <family val="2"/>
      </rPr>
      <t>、回流换热器</t>
    </r>
    <r>
      <rPr>
        <sz val="10"/>
        <rFont val="Consolas"/>
        <family val="3"/>
      </rPr>
      <t>HV_1022A/B'@zh ; :processSection 'S12' .</t>
    </r>
  </si>
  <si>
    <r>
      <rPr>
        <sz val="10"/>
        <rFont val="Consolas"/>
        <family val="3"/>
      </rPr>
      <t>:Ctrl_043 a :Controller ; rdfs:label '</t>
    </r>
    <r>
      <rPr>
        <sz val="10"/>
        <rFont val="Noto Sans CJK SC"/>
        <family val="2"/>
      </rPr>
      <t>分相罐出料控制器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</si>
  <si>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:Act_043 a :Actuator ; rdfs:label '</t>
    </r>
    <r>
      <rPr>
        <sz val="10"/>
        <rFont val="Noto Sans CJK SC"/>
        <family val="2"/>
      </rPr>
      <t>分相罐出料调节阀</t>
    </r>
    <r>
      <rPr>
        <sz val="10"/>
        <rFont val="Consolas"/>
        <family val="3"/>
      </rPr>
      <t>FXG_CL'@zh ; :processSection 'S12' .</t>
    </r>
  </si>
  <si>
    <r>
      <rPr>
        <sz val="10"/>
        <rFont val="Consolas"/>
        <family val="3"/>
      </rPr>
      <t>:Ctrl_044 a :Controller ; rdfs:label '</t>
    </r>
    <r>
      <rPr>
        <sz val="10"/>
        <rFont val="Noto Sans CJK SC"/>
        <family val="2"/>
      </rPr>
      <t>结晶重液进料流量控制器</t>
    </r>
    <r>
      <rPr>
        <sz val="10"/>
        <rFont val="Consolas"/>
        <family val="3"/>
      </rPr>
      <t>(FIC-1005)'@zh ; :processSection 'S13' .</t>
    </r>
  </si>
  <si>
    <r>
      <rPr>
        <sz val="10"/>
        <rFont val="Consolas"/>
        <family val="3"/>
      </rPr>
      <t>:Act_044 a :Actuator ; rdfs:label '</t>
    </r>
    <r>
      <rPr>
        <sz val="10"/>
        <rFont val="Noto Sans CJK SC"/>
        <family val="2"/>
      </rPr>
      <t>结晶罐结晶液进口调节阀</t>
    </r>
    <r>
      <rPr>
        <sz val="10"/>
        <rFont val="Consolas"/>
        <family val="3"/>
      </rPr>
      <t>HV_1027'@zh ; :processSection 'S13' .</t>
    </r>
  </si>
  <si>
    <r>
      <rPr>
        <sz val="10"/>
        <rFont val="Consolas"/>
        <family val="3"/>
      </rPr>
      <t>:Ctrl_045 a :Controller ; rdfs:label '</t>
    </r>
    <r>
      <rPr>
        <sz val="10"/>
        <rFont val="Noto Sans CJK SC"/>
        <family val="2"/>
      </rPr>
      <t>结晶加氨控制器</t>
    </r>
    <r>
      <rPr>
        <sz val="10"/>
        <rFont val="Consolas"/>
        <family val="3"/>
      </rPr>
      <t>(FIC-1006/AIC-1401)'@zh ; :processSection 'S13' .</t>
    </r>
  </si>
  <si>
    <r>
      <rPr>
        <sz val="10"/>
        <rFont val="Consolas"/>
        <family val="3"/>
      </rPr>
      <t>:Act_045 a :Actuator ; rdfs:label '</t>
    </r>
    <r>
      <rPr>
        <sz val="10"/>
        <rFont val="Noto Sans CJK SC"/>
        <family val="2"/>
      </rPr>
      <t>结晶罐氨水进口调节阀</t>
    </r>
    <r>
      <rPr>
        <sz val="10"/>
        <rFont val="Consolas"/>
        <family val="3"/>
      </rPr>
      <t>HV_1028'@zh ; :processSection 'S13' .</t>
    </r>
  </si>
  <si>
    <r>
      <rPr>
        <sz val="10"/>
        <rFont val="Consolas"/>
        <family val="3"/>
      </rPr>
      <t>:Ctrl_046 a :Controller ; rdfs:label '</t>
    </r>
    <r>
      <rPr>
        <sz val="10"/>
        <rFont val="Noto Sans CJK SC"/>
        <family val="2"/>
      </rPr>
      <t>结晶温度控制器</t>
    </r>
    <r>
      <rPr>
        <sz val="10"/>
        <rFont val="Consolas"/>
        <family val="3"/>
      </rPr>
      <t>(TIC-1407)'@zh ; :processSection 'S13' .</t>
    </r>
  </si>
  <si>
    <r>
      <rPr>
        <sz val="10"/>
        <rFont val="Consolas"/>
        <family val="3"/>
      </rPr>
      <t>:Act_046 a :Actuator ; rdfs:label '</t>
    </r>
    <r>
      <rPr>
        <sz val="10"/>
        <rFont val="Noto Sans CJK SC"/>
        <family val="2"/>
      </rPr>
      <t>结晶罐温度控制调节阀</t>
    </r>
    <r>
      <rPr>
        <sz val="10"/>
        <rFont val="Consolas"/>
        <family val="3"/>
      </rPr>
      <t>HV_1029A–L'@zh ; :processSection 'S13' .</t>
    </r>
  </si>
  <si>
    <r>
      <rPr>
        <sz val="10"/>
        <rFont val="Consolas"/>
        <family val="3"/>
      </rPr>
      <t>:Ctrl_047 a :Controller ; rdfs:label '</t>
    </r>
    <r>
      <rPr>
        <sz val="10"/>
        <rFont val="Noto Sans CJK SC"/>
        <family val="2"/>
      </rPr>
      <t>结晶罐盐酸调节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</si>
  <si>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:Act_047 a :Actuator ; rdfs:label '</t>
    </r>
    <r>
      <rPr>
        <sz val="10"/>
        <rFont val="Noto Sans CJK SC"/>
        <family val="2"/>
      </rPr>
      <t>结晶罐盐酸调节阀</t>
    </r>
    <r>
      <rPr>
        <sz val="10"/>
        <rFont val="Consolas"/>
        <family val="3"/>
      </rPr>
      <t>JJG112–125_HCL'@zh ; :processSection 'S13' .</t>
    </r>
  </si>
  <si>
    <r>
      <rPr>
        <sz val="10"/>
        <rFont val="Consolas"/>
        <family val="3"/>
      </rPr>
      <t>:Ctrl_048 a :Controller ; rdfs:label '1600</t>
    </r>
    <r>
      <rPr>
        <sz val="10"/>
        <rFont val="Noto Sans CJK SC"/>
        <family val="2"/>
      </rPr>
      <t>离心机进料控制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</si>
  <si>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:Act_048 a :Actuator ; rdfs:label '</t>
    </r>
    <r>
      <rPr>
        <sz val="10"/>
        <rFont val="Noto Sans CJK SC"/>
        <family val="2"/>
      </rPr>
      <t>离心机进料调节阀</t>
    </r>
    <r>
      <rPr>
        <sz val="10"/>
        <rFont val="Consolas"/>
        <family val="3"/>
      </rPr>
      <t>HV_2014A–J'@zh ; :processSection 'S13' .</t>
    </r>
  </si>
  <si>
    <r>
      <rPr>
        <sz val="10"/>
        <rFont val="Consolas"/>
        <family val="3"/>
      </rPr>
      <t>:Ctrl_049 a :Controller ; rdfs:label '</t>
    </r>
    <r>
      <rPr>
        <sz val="10"/>
        <rFont val="Noto Sans CJK SC"/>
        <family val="2"/>
      </rPr>
      <t>离心软水温度控制器</t>
    </r>
    <r>
      <rPr>
        <sz val="10"/>
        <rFont val="Consolas"/>
        <family val="3"/>
      </rPr>
      <t>(TIC-1338)'@zh ; :processSection 'S13' .</t>
    </r>
  </si>
  <si>
    <r>
      <rPr>
        <sz val="10"/>
        <rFont val="Consolas"/>
        <family val="3"/>
      </rPr>
      <t>:Act_049 a :Actuator ; rdfs:label '1600</t>
    </r>
    <r>
      <rPr>
        <sz val="10"/>
        <rFont val="Noto Sans CJK SC"/>
        <family val="2"/>
      </rPr>
      <t>离心机软水罐降温调节阀</t>
    </r>
    <r>
      <rPr>
        <sz val="10"/>
        <rFont val="Consolas"/>
        <family val="3"/>
      </rPr>
      <t>HV_1338'@zh ; :processSection 'S13' .</t>
    </r>
  </si>
  <si>
    <r>
      <rPr>
        <sz val="10"/>
        <rFont val="Consolas"/>
        <family val="3"/>
      </rPr>
      <t>:Ctrl_050 a :Controller ; rdfs:label '</t>
    </r>
    <r>
      <rPr>
        <sz val="10"/>
        <rFont val="Noto Sans CJK SC"/>
        <family val="2"/>
      </rPr>
      <t>连续结晶重液流量控制器</t>
    </r>
    <r>
      <rPr>
        <sz val="10"/>
        <rFont val="Consolas"/>
        <family val="3"/>
      </rPr>
      <t>'@zh ; :processSection 'S14' .</t>
    </r>
  </si>
  <si>
    <r>
      <rPr>
        <sz val="10"/>
        <rFont val="Consolas"/>
        <family val="3"/>
      </rPr>
      <t>:Act_050 a :Actuator ; rdfs:label '</t>
    </r>
    <r>
      <rPr>
        <sz val="10"/>
        <rFont val="Noto Sans CJK SC"/>
        <family val="2"/>
      </rPr>
      <t>重液调节阀</t>
    </r>
    <r>
      <rPr>
        <sz val="10"/>
        <rFont val="Consolas"/>
        <family val="3"/>
      </rPr>
      <t>JJG_ZY'@zh ; :processSection 'S14' .</t>
    </r>
  </si>
  <si>
    <r>
      <rPr>
        <sz val="10"/>
        <rFont val="Consolas"/>
        <family val="3"/>
      </rPr>
      <t>:Ctrl_051 a :Controller ; rdfs:label '</t>
    </r>
    <r>
      <rPr>
        <sz val="10"/>
        <rFont val="Noto Sans CJK SC"/>
        <family val="2"/>
      </rPr>
      <t>一级结晶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控制器</t>
    </r>
    <r>
      <rPr>
        <sz val="10"/>
        <rFont val="Consolas"/>
        <family val="3"/>
      </rPr>
      <t>'@zh ; :processSection 'S14' .</t>
    </r>
  </si>
  <si>
    <r>
      <rPr>
        <sz val="10"/>
        <rFont val="Consolas"/>
        <family val="3"/>
      </rPr>
      <t>:Act_051 a :Actuator ; rdfs:label '</t>
    </r>
    <r>
      <rPr>
        <sz val="10"/>
        <rFont val="Noto Sans CJK SC"/>
        <family val="2"/>
      </rPr>
      <t>氨水调节阀</t>
    </r>
    <r>
      <rPr>
        <sz val="10"/>
        <rFont val="Consolas"/>
        <family val="3"/>
      </rPr>
      <t>1#JJG_ASA'@zh ; :processSection 'S14' .</t>
    </r>
  </si>
  <si>
    <r>
      <rPr>
        <sz val="10"/>
        <rFont val="Consolas"/>
        <family val="3"/>
      </rPr>
      <t>:Ctrl_052 a :Controller ; rdfs:label '</t>
    </r>
    <r>
      <rPr>
        <sz val="10"/>
        <rFont val="Noto Sans CJK SC"/>
        <family val="2"/>
      </rPr>
      <t>二级结晶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控制器</t>
    </r>
    <r>
      <rPr>
        <sz val="10"/>
        <rFont val="Consolas"/>
        <family val="3"/>
      </rPr>
      <t>'@zh ; :processSection 'S14' .</t>
    </r>
  </si>
  <si>
    <r>
      <rPr>
        <sz val="10"/>
        <rFont val="Consolas"/>
        <family val="3"/>
      </rPr>
      <t>:Act_052 a :Actuator ; rdfs:label '</t>
    </r>
    <r>
      <rPr>
        <sz val="10"/>
        <rFont val="Noto Sans CJK SC"/>
        <family val="2"/>
      </rPr>
      <t>氨水调节阀</t>
    </r>
    <r>
      <rPr>
        <sz val="10"/>
        <rFont val="Consolas"/>
        <family val="3"/>
      </rPr>
      <t>2#JJG_ASB'@zh ; :processSection 'S14' .</t>
    </r>
  </si>
  <si>
    <r>
      <rPr>
        <sz val="10"/>
        <rFont val="Consolas"/>
        <family val="3"/>
      </rPr>
      <t>:Ctrl_053 a :Controller ; rdfs:label '</t>
    </r>
    <r>
      <rPr>
        <sz val="10"/>
        <rFont val="Noto Sans CJK SC"/>
        <family val="2"/>
      </rPr>
      <t>连续结晶温度控制器</t>
    </r>
    <r>
      <rPr>
        <sz val="10"/>
        <rFont val="Consolas"/>
        <family val="3"/>
      </rPr>
      <t>'@zh ; :processSection 'S14' .</t>
    </r>
  </si>
  <si>
    <r>
      <rPr>
        <sz val="10"/>
        <rFont val="Consolas"/>
        <family val="3"/>
      </rPr>
      <t>:Act_053 a :Actuator ; rdfs:label '</t>
    </r>
    <r>
      <rPr>
        <sz val="10"/>
        <rFont val="Noto Sans CJK SC"/>
        <family val="2"/>
      </rPr>
      <t>热水调节阀</t>
    </r>
    <r>
      <rPr>
        <sz val="10"/>
        <rFont val="Consolas"/>
        <family val="3"/>
      </rPr>
      <t>1#/2# JJG_RSA/RSB'@zh ; :processSection 'S14' .</t>
    </r>
  </si>
  <si>
    <r>
      <rPr>
        <sz val="10"/>
        <rFont val="Consolas"/>
        <family val="3"/>
      </rPr>
      <t>:Ctrl_054 a :Controller ; rdfs:label '</t>
    </r>
    <r>
      <rPr>
        <sz val="10"/>
        <rFont val="Noto Sans CJK SC"/>
        <family val="2"/>
      </rPr>
      <t>养晶罐冷却控制</t>
    </r>
    <r>
      <rPr>
        <sz val="10"/>
        <rFont val="Consolas"/>
        <family val="3"/>
      </rPr>
      <t>'@zh ; :processSection 'S14' .</t>
    </r>
  </si>
  <si>
    <r>
      <rPr>
        <sz val="10"/>
        <rFont val="Consolas"/>
        <family val="3"/>
      </rPr>
      <t>:Act_054 a :Actuator ; rdfs:label '</t>
    </r>
    <r>
      <rPr>
        <sz val="10"/>
        <rFont val="Noto Sans CJK SC"/>
        <family val="2"/>
      </rPr>
      <t>结晶罐</t>
    </r>
    <r>
      <rPr>
        <sz val="10"/>
        <rFont val="Consolas"/>
        <family val="3"/>
      </rPr>
      <t>118/119</t>
    </r>
    <r>
      <rPr>
        <sz val="10"/>
        <rFont val="Noto Sans CJK SC"/>
        <family val="2"/>
      </rPr>
      <t>冰盐水调节阀</t>
    </r>
    <r>
      <rPr>
        <sz val="10"/>
        <rFont val="Consolas"/>
        <family val="3"/>
      </rPr>
      <t>'@zh ; :processSection 'S14' .</t>
    </r>
  </si>
  <si>
    <r>
      <rPr>
        <sz val="10"/>
        <rFont val="Consolas"/>
        <family val="3"/>
      </rPr>
      <t>:Ctrl_055 a :Controller ; rdfs:label '</t>
    </r>
    <r>
      <rPr>
        <sz val="10"/>
        <rFont val="Noto Sans CJK SC"/>
        <family val="2"/>
      </rPr>
      <t>母液结晶温度控制器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</si>
  <si>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:Act_055 a :Actuator ; rdfs:label '</t>
    </r>
    <r>
      <rPr>
        <sz val="10"/>
        <rFont val="Noto Sans CJK SC"/>
        <family val="2"/>
      </rPr>
      <t>结晶罐温度调节阀</t>
    </r>
    <r>
      <rPr>
        <sz val="10"/>
        <rFont val="Consolas"/>
        <family val="3"/>
      </rPr>
      <t>HV_3078A–D'@zh ; :processSection 'S17' .</t>
    </r>
  </si>
  <si>
    <r>
      <rPr>
        <sz val="10"/>
        <rFont val="Consolas"/>
        <family val="3"/>
      </rPr>
      <t>:Ctrl_056 a :Controller ; rdfs:label '</t>
    </r>
    <r>
      <rPr>
        <sz val="10"/>
        <rFont val="Noto Sans CJK SC"/>
        <family val="2"/>
      </rPr>
      <t>脱醇脱酯塔釜温度控制器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</si>
  <si>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:Act_056 a :Actuator ; rdfs:label '</t>
    </r>
    <r>
      <rPr>
        <sz val="10"/>
        <rFont val="Noto Sans CJK SC"/>
        <family val="2"/>
      </rPr>
      <t>脱醇脱酯</t>
    </r>
    <r>
      <rPr>
        <sz val="10"/>
        <rFont val="Consolas"/>
        <family val="3"/>
      </rPr>
      <t>A</t>
    </r>
    <r>
      <rPr>
        <sz val="10"/>
        <rFont val="Noto Sans CJK SC"/>
        <family val="2"/>
      </rPr>
      <t>塔釜温度调节</t>
    </r>
    <r>
      <rPr>
        <sz val="10"/>
        <rFont val="Consolas"/>
        <family val="3"/>
      </rPr>
      <t>TIETFAO'@zh ; :processSection 'S17' .</t>
    </r>
  </si>
  <si>
    <r>
      <rPr>
        <sz val="10"/>
        <rFont val="Consolas"/>
        <family val="3"/>
      </rPr>
      <t>:Ctrl_057 a :Controller ; rdfs:label '</t>
    </r>
    <r>
      <rPr>
        <sz val="10"/>
        <rFont val="Noto Sans CJK SC"/>
        <family val="2"/>
      </rPr>
      <t>母液返工料流量控制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</si>
  <si>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:Act_057 a :Actuator ; rdfs:label '</t>
    </r>
    <r>
      <rPr>
        <sz val="10"/>
        <rFont val="Noto Sans CJK SC"/>
        <family val="2"/>
      </rPr>
      <t>母液返工料去水解调节阀</t>
    </r>
    <r>
      <rPr>
        <sz val="10"/>
        <rFont val="Consolas"/>
        <family val="3"/>
      </rPr>
      <t>'@zh ; :processSection 'S17' .</t>
    </r>
  </si>
  <si>
    <r>
      <rPr>
        <sz val="10"/>
        <rFont val="Consolas"/>
        <family val="3"/>
      </rPr>
      <t>:Ctrl_058 a :Controller ; rdfs:label '</t>
    </r>
    <r>
      <rPr>
        <sz val="10"/>
        <rFont val="Noto Sans CJK SC"/>
        <family val="2"/>
      </rPr>
      <t>丁醇精馏塔温度控制器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</si>
  <si>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:Act_058 a :Actuator ; rdfs:label '</t>
    </r>
    <r>
      <rPr>
        <sz val="10"/>
        <rFont val="Noto Sans CJK SC"/>
        <family val="2"/>
      </rPr>
      <t>丁醇精馏塔温度调节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</si>
  <si>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:Ctrl_059 a :Controller ; rdfs:label '</t>
    </r>
    <r>
      <rPr>
        <sz val="10"/>
        <rFont val="Noto Sans CJK SC"/>
        <family val="2"/>
      </rPr>
      <t>丁醇精馏进料控制器</t>
    </r>
    <r>
      <rPr>
        <sz val="10"/>
        <rFont val="Consolas"/>
        <family val="3"/>
      </rPr>
      <t>'@zh ; :processSection 'S18' .</t>
    </r>
  </si>
  <si>
    <r>
      <rPr>
        <sz val="10"/>
        <rFont val="Consolas"/>
        <family val="3"/>
      </rPr>
      <t>:Act_059 a :Actuator ; rdfs:label '</t>
    </r>
    <r>
      <rPr>
        <sz val="10"/>
        <rFont val="Noto Sans CJK SC"/>
        <family val="2"/>
      </rPr>
      <t>丁醇精馏塔进料流量调节阀</t>
    </r>
    <r>
      <rPr>
        <sz val="10"/>
        <rFont val="Consolas"/>
        <family val="3"/>
      </rPr>
      <t>HV_3052'@zh ; :processSection 'S18' .</t>
    </r>
  </si>
  <si>
    <r>
      <rPr>
        <sz val="10"/>
        <rFont val="Consolas"/>
        <family val="3"/>
      </rPr>
      <t>:Seq_01 a :ControlSystem ; rdfs:label '</t>
    </r>
    <r>
      <rPr>
        <sz val="10"/>
        <rFont val="Noto Sans CJK SC"/>
        <family val="2"/>
      </rPr>
      <t>提取离心机顺控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全部启动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自动起停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急停</t>
    </r>
    <r>
      <rPr>
        <sz val="10"/>
        <rFont val="Consolas"/>
        <family val="3"/>
      </rPr>
      <t>)'@zh ; :processSection 'S01' .</t>
    </r>
  </si>
  <si>
    <r>
      <rPr>
        <sz val="10"/>
        <rFont val="Consolas"/>
        <family val="3"/>
      </rPr>
      <t>:Seq_02 a :ControlSystem ; rdfs:label '</t>
    </r>
    <r>
      <rPr>
        <sz val="10"/>
        <rFont val="Noto Sans CJK SC"/>
        <family val="2"/>
      </rPr>
      <t>三萃总进料开关顺控</t>
    </r>
    <r>
      <rPr>
        <sz val="10"/>
        <rFont val="Consolas"/>
        <family val="3"/>
      </rPr>
      <t>'@zh ; :processSection 'S02' .</t>
    </r>
  </si>
  <si>
    <r>
      <rPr>
        <sz val="10"/>
        <rFont val="Consolas"/>
        <family val="3"/>
      </rPr>
      <t>:Act_S02_1152 a :Actuator ; rdfs:label '</t>
    </r>
    <r>
      <rPr>
        <sz val="10"/>
        <rFont val="Noto Sans CJK SC"/>
        <family val="2"/>
      </rPr>
      <t>三萃总进料开关阀</t>
    </r>
    <r>
      <rPr>
        <sz val="10"/>
        <rFont val="Consolas"/>
        <family val="3"/>
      </rPr>
      <t>HV_1009A–D'@zh ; :processSection 'S02' .</t>
    </r>
  </si>
  <si>
    <r>
      <rPr>
        <sz val="10"/>
        <rFont val="Consolas"/>
        <family val="3"/>
      </rPr>
      <t>:Seq_03 a :ControlSystem ; rdfs:label '</t>
    </r>
    <r>
      <rPr>
        <sz val="10"/>
        <rFont val="Noto Sans CJK SC"/>
        <family val="2"/>
      </rPr>
      <t>破乳剂配制程序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流量模式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液位模式</t>
    </r>
    <r>
      <rPr>
        <sz val="10"/>
        <rFont val="Consolas"/>
        <family val="3"/>
      </rPr>
      <t>)'@zh ; :processSection 'S04' .</t>
    </r>
  </si>
  <si>
    <r>
      <rPr>
        <sz val="10"/>
        <rFont val="Consolas"/>
        <family val="3"/>
      </rPr>
      <t>:Seq_04 a :ControlSystem ; rdfs:label '</t>
    </r>
    <r>
      <rPr>
        <sz val="10"/>
        <rFont val="Noto Sans CJK SC"/>
        <family val="2"/>
      </rPr>
      <t>脱色批次顺控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进料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真空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进炭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出料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吹扫</t>
    </r>
    <r>
      <rPr>
        <sz val="10"/>
        <rFont val="Consolas"/>
        <family val="3"/>
      </rPr>
      <t>)'@zh ; :processSection 'S06' .</t>
    </r>
  </si>
  <si>
    <r>
      <rPr>
        <sz val="10"/>
        <rFont val="Consolas"/>
        <family val="3"/>
      </rPr>
      <t>:Seq_05 a :ControlSystem ; rdfs:label '</t>
    </r>
    <r>
      <rPr>
        <sz val="10"/>
        <rFont val="Noto Sans CJK SC"/>
        <family val="2"/>
      </rPr>
      <t>薄膜自动起停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一脱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二脱模式</t>
    </r>
    <r>
      <rPr>
        <sz val="10"/>
        <rFont val="Consolas"/>
        <family val="3"/>
      </rPr>
      <t>)'@zh ; :processSection 'S09' .</t>
    </r>
  </si>
  <si>
    <r>
      <rPr>
        <sz val="10"/>
        <rFont val="Consolas"/>
        <family val="3"/>
      </rPr>
      <t>:Seq_06 a :ControlSystem ; rdfs:label '</t>
    </r>
    <r>
      <rPr>
        <sz val="10"/>
        <rFont val="Noto Sans CJK SC"/>
        <family val="2"/>
      </rPr>
      <t>连续水解批次调度程序</t>
    </r>
    <r>
      <rPr>
        <sz val="10"/>
        <rFont val="Consolas"/>
        <family val="3"/>
      </rPr>
      <t>(SFC)'@zh ; :processSection 'S11' .</t>
    </r>
  </si>
  <si>
    <r>
      <rPr>
        <sz val="10"/>
        <rFont val="Consolas"/>
        <family val="3"/>
      </rPr>
      <t>:Act_S06_1157 a :Actuator ; rdfs:label '</t>
    </r>
    <r>
      <rPr>
        <sz val="10"/>
        <rFont val="Noto Sans CJK SC"/>
        <family val="2"/>
      </rPr>
      <t>水解罐进出料气动切断阀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</si>
  <si>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:Seq_07 a :ControlSystem ; rdfs:label '</t>
    </r>
    <r>
      <rPr>
        <sz val="10"/>
        <rFont val="Noto Sans CJK SC"/>
        <family val="2"/>
      </rPr>
      <t>萃取模式顺控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一萃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二萃、离心机启动、急停</t>
    </r>
    <r>
      <rPr>
        <sz val="10"/>
        <rFont val="Consolas"/>
        <family val="3"/>
      </rPr>
      <t>)'@zh ; :processSection 'S12' .</t>
    </r>
  </si>
  <si>
    <r>
      <rPr>
        <sz val="10"/>
        <rFont val="Consolas"/>
        <family val="3"/>
      </rPr>
      <t>:Seq_08 a :ControlSystem ; rdfs:label '</t>
    </r>
    <r>
      <rPr>
        <sz val="10"/>
        <rFont val="Noto Sans CJK SC"/>
        <family val="2"/>
      </rPr>
      <t>结晶连续控制面板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停泵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切换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流量复位</t>
    </r>
    <r>
      <rPr>
        <sz val="10"/>
        <rFont val="Consolas"/>
        <family val="3"/>
      </rPr>
      <t>)'@zh ; :processSection 'S13' .</t>
    </r>
  </si>
  <si>
    <r>
      <rPr>
        <sz val="10"/>
        <rFont val="Consolas"/>
        <family val="3"/>
      </rPr>
      <t>:Alarm_01 a :AlarmEvent ; rdfs:label '</t>
    </r>
    <r>
      <rPr>
        <sz val="10"/>
        <rFont val="Noto Sans CJK SC"/>
        <family val="2"/>
      </rPr>
      <t>一次水流量报警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</si>
  <si>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:Alarm_02 a :AlarmEvent ; rdfs:label '</t>
    </r>
    <r>
      <rPr>
        <sz val="10"/>
        <rFont val="Noto Sans CJK SC"/>
        <family val="2"/>
      </rPr>
      <t>浓碱泵停报警</t>
    </r>
    <r>
      <rPr>
        <sz val="10"/>
        <rFont val="Consolas"/>
        <family val="3"/>
      </rPr>
      <t>'@zh ; :processSection 'S01' .</t>
    </r>
  </si>
  <si>
    <r>
      <rPr>
        <sz val="10"/>
        <rFont val="Consolas"/>
        <family val="3"/>
      </rPr>
      <t>:Alarm_03 a :AlarmEvent ; rdfs:label '</t>
    </r>
    <r>
      <rPr>
        <sz val="10"/>
        <rFont val="Noto Sans CJK SC"/>
        <family val="2"/>
      </rPr>
      <t>破乳剂低位报警</t>
    </r>
    <r>
      <rPr>
        <sz val="10"/>
        <rFont val="Consolas"/>
        <family val="3"/>
      </rPr>
      <t>'@zh ; :processSection 'S04' .</t>
    </r>
  </si>
  <si>
    <r>
      <rPr>
        <sz val="10"/>
        <rFont val="Consolas"/>
        <family val="3"/>
      </rPr>
      <t>:Alarm_04 a :AlarmEvent ; rdfs:label '</t>
    </r>
    <r>
      <rPr>
        <sz val="10"/>
        <rFont val="Noto Sans CJK SC"/>
        <family val="2"/>
      </rPr>
      <t>浓硫酸罐高位报警</t>
    </r>
    <r>
      <rPr>
        <sz val="10"/>
        <rFont val="Consolas"/>
        <family val="3"/>
      </rPr>
      <t>'@zh ; :processSection 'S03' .</t>
    </r>
  </si>
  <si>
    <r>
      <rPr>
        <sz val="10"/>
        <rFont val="Consolas"/>
        <family val="3"/>
      </rPr>
      <t>:Alarm_05 a :AlarmEvent ; rdfs:label '</t>
    </r>
    <r>
      <rPr>
        <sz val="10"/>
        <rFont val="Noto Sans CJK SC"/>
        <family val="2"/>
      </rPr>
      <t>水洗重相罐高位报警</t>
    </r>
    <r>
      <rPr>
        <sz val="10"/>
        <rFont val="Consolas"/>
        <family val="3"/>
      </rPr>
      <t>'@zh ; :processSection 'S05' .</t>
    </r>
  </si>
  <si>
    <r>
      <rPr>
        <sz val="10"/>
        <rFont val="Consolas"/>
        <family val="3"/>
      </rPr>
      <t>:Alarm_06 a :AlarmEvent ; rdfs:label '</t>
    </r>
    <r>
      <rPr>
        <sz val="10"/>
        <rFont val="Noto Sans CJK SC"/>
        <family val="2"/>
      </rPr>
      <t>仪表气压力低于</t>
    </r>
    <r>
      <rPr>
        <sz val="10"/>
        <rFont val="Consolas"/>
        <family val="3"/>
      </rPr>
      <t>0.45</t>
    </r>
    <r>
      <rPr>
        <sz val="10"/>
        <rFont val="Noto Sans CJK SC"/>
        <family val="2"/>
      </rPr>
      <t>报警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</si>
  <si>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:Alarm_07 a :AlarmEvent ; rdfs:label '</t>
    </r>
    <r>
      <rPr>
        <sz val="10"/>
        <rFont val="Noto Sans CJK SC"/>
        <family val="2"/>
      </rPr>
      <t>芬特高压报警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</si>
  <si>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:Alarm_08 a :AlarmEvent ; rdfs:label '</t>
    </r>
    <r>
      <rPr>
        <sz val="10"/>
        <rFont val="Noto Sans CJK SC"/>
        <family val="2"/>
      </rPr>
      <t>芬特滤液浊度高</t>
    </r>
    <r>
      <rPr>
        <sz val="10"/>
        <rFont val="Consolas"/>
        <family val="3"/>
      </rPr>
      <t>'@zh ; :processSection 'S06' .</t>
    </r>
  </si>
  <si>
    <r>
      <rPr>
        <sz val="10"/>
        <rFont val="Consolas"/>
        <family val="3"/>
      </rPr>
      <t>:Alarm_09 a :AlarmEvent ; rdfs:label '</t>
    </r>
    <r>
      <rPr>
        <sz val="10"/>
        <rFont val="Noto Sans CJK SC"/>
        <family val="2"/>
      </rPr>
      <t>水解液缓冲罐高位报警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</si>
  <si>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:Alarm_10 a :AlarmEvent ; rdfs:label '</t>
    </r>
    <r>
      <rPr>
        <sz val="10"/>
        <rFont val="Noto Sans CJK SC"/>
        <family val="2"/>
      </rPr>
      <t>压缩空气压力低出料注意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</si>
  <si>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:Alarm_11 a :AlarmEvent ; rdfs:label '</t>
    </r>
    <r>
      <rPr>
        <sz val="10"/>
        <rFont val="Noto Sans CJK SC"/>
        <family val="2"/>
      </rPr>
      <t>水解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不合格</t>
    </r>
    <r>
      <rPr>
        <sz val="10"/>
        <rFont val="Consolas"/>
        <family val="3"/>
      </rPr>
      <t>'@zh ; :processSection 'S11' .</t>
    </r>
  </si>
  <si>
    <r>
      <rPr>
        <sz val="10"/>
        <rFont val="Consolas"/>
        <family val="3"/>
      </rPr>
      <t>:Alarm_12 a :AlarmEvent ; rdfs:label 'RB</t>
    </r>
    <r>
      <rPr>
        <sz val="10"/>
        <rFont val="Noto Sans CJK SC"/>
        <family val="2"/>
      </rPr>
      <t>高液位回流提示</t>
    </r>
    <r>
      <rPr>
        <sz val="10"/>
        <rFont val="Consolas"/>
        <family val="3"/>
      </rPr>
      <t>'@zh ; :processSection 'S09' .</t>
    </r>
  </si>
  <si>
    <r>
      <rPr>
        <sz val="10"/>
        <rFont val="Consolas"/>
        <family val="3"/>
      </rPr>
      <t>:Alarm_13 a :AlarmEvent ; rdfs:label '</t>
    </r>
    <r>
      <rPr>
        <sz val="10"/>
        <rFont val="Noto Sans CJK SC"/>
        <family val="2"/>
      </rPr>
      <t>重液阀全关报警</t>
    </r>
    <r>
      <rPr>
        <sz val="10"/>
        <rFont val="Consolas"/>
        <family val="3"/>
      </rPr>
      <t>'@zh ; :processSection 'S13' .</t>
    </r>
  </si>
  <si>
    <r>
      <rPr>
        <sz val="10"/>
        <rFont val="Consolas"/>
        <family val="3"/>
      </rPr>
      <t>:Alarm_14 a :AlarmEvent ; rdfs:label '</t>
    </r>
    <r>
      <rPr>
        <sz val="10"/>
        <rFont val="Noto Sans CJK SC"/>
        <family val="2"/>
      </rPr>
      <t>盐酸储罐低液位报警</t>
    </r>
    <r>
      <rPr>
        <sz val="10"/>
        <rFont val="Consolas"/>
        <family val="3"/>
      </rPr>
      <t>'@zh ; :processSection 'S15' .</t>
    </r>
  </si>
  <si>
    <r>
      <rPr>
        <sz val="10"/>
        <rFont val="Consolas"/>
        <family val="3"/>
      </rPr>
      <t>:Alarm_15 a :AlarmEvent ; rdfs:label '</t>
    </r>
    <r>
      <rPr>
        <sz val="10"/>
        <rFont val="Noto Sans CJK SC"/>
        <family val="2"/>
      </rPr>
      <t>萃取离心机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保护</t>
    </r>
    <r>
      <rPr>
        <sz val="10"/>
        <rFont val="Consolas"/>
        <family val="3"/>
      </rPr>
      <t>'@zh ; :processSection 'S12' .</t>
    </r>
  </si>
  <si>
    <r>
      <rPr>
        <sz val="10"/>
        <rFont val="Consolas"/>
        <family val="3"/>
      </rPr>
      <t>:Attr_312 a :ProcessAttribute ; rdfs:label '</t>
    </r>
    <r>
      <rPr>
        <sz val="10"/>
        <rFont val="Noto Sans CJK SC"/>
        <family val="2"/>
      </rPr>
      <t>破乳剂溶解均匀度</t>
    </r>
    <r>
      <rPr>
        <sz val="10"/>
        <rFont val="Consolas"/>
        <family val="3"/>
      </rPr>
      <t>'@zh ; :processSection 'S04' .</t>
    </r>
  </si>
  <si>
    <r>
      <rPr>
        <sz val="10"/>
        <rFont val="Consolas"/>
        <family val="3"/>
      </rPr>
      <t>:Attr_313 a :ProcessAttribute ; rdfs:label '</t>
    </r>
    <r>
      <rPr>
        <sz val="10"/>
        <rFont val="Noto Sans CJK SC"/>
        <family val="2"/>
      </rPr>
      <t>钾盐结晶收率</t>
    </r>
    <r>
      <rPr>
        <sz val="10"/>
        <rFont val="Consolas"/>
        <family val="3"/>
      </rPr>
      <t>'@zh ; :processSection 'S08' .</t>
    </r>
  </si>
  <si>
    <t>:Tag_APHIR4608B a :DcsTag ; rdfs:label 'APHIR4608B' .</t>
  </si>
  <si>
    <t>:Tag_APHIR4608C a :DcsTag ; rdfs:label 'APHIR4608C' .</t>
  </si>
  <si>
    <t>:Tag_APHIR542120A a :DcsTag ; rdfs:label 'APHIR542120A' .</t>
  </si>
  <si>
    <t>:Tag_APHIR542120B a :DcsTag ; rdfs:label 'APHIR542120B' .</t>
  </si>
  <si>
    <t>:Tag_APHIR542120C a :DcsTag ; rdfs:label 'APHIR542120C' .</t>
  </si>
  <si>
    <t>:Tag_APHIR542120D a :DcsTag ; rdfs:label 'APHIR542120D' .</t>
  </si>
  <si>
    <t>:Tag_APHIR542120E a :DcsTag ; rdfs:label 'APHIR542120E' .</t>
  </si>
  <si>
    <t>:Tag_AT540107A a :DcsTag ; rdfs:label 'AT540107A' .</t>
  </si>
  <si>
    <t>:Tag_AT_1101 a :DcsTag ; rdfs:label 'AT_1101' .</t>
  </si>
  <si>
    <t>:Tag_AT_1102 a :DcsTag ; rdfs:label 'AT_1102' .</t>
  </si>
  <si>
    <t>:Tag_AT_1103 a :DcsTag ; rdfs:label 'AT_1103' .</t>
  </si>
  <si>
    <t>:Tag_AT_1104 a :DcsTag ; rdfs:label 'AT_1104' .</t>
  </si>
  <si>
    <t>:Tag_AT_1105 a :DcsTag ; rdfs:label 'AT_1105' .</t>
  </si>
  <si>
    <t>:Tag_AT_1106 a :DcsTag ; rdfs:label 'AT_1106' .</t>
  </si>
  <si>
    <t>:Tag_AT_1107 a :DcsTag ; rdfs:label 'AT_1107' .</t>
  </si>
  <si>
    <t>:Tag_AT_1108 a :DcsTag ; rdfs:label 'AT_1108' .</t>
  </si>
  <si>
    <t>:Tag_AT_1109 a :DcsTag ; rdfs:label 'AT_1109' .</t>
  </si>
  <si>
    <t>:Tag_AT_1110 a :DcsTag ; rdfs:label 'AT_1110' .</t>
  </si>
  <si>
    <t>:Tag_AT_1111 a :DcsTag ; rdfs:label 'AT_1111' .</t>
  </si>
  <si>
    <t>:Tag_AT_1112 a :DcsTag ; rdfs:label 'AT_1112' .</t>
  </si>
  <si>
    <t>:Tag_AT_1201 a :DcsTag ; rdfs:label 'AT_1201' .</t>
  </si>
  <si>
    <t>:Tag_AT_1202 a :DcsTag ; rdfs:label 'AT_1202' .</t>
  </si>
  <si>
    <t>:Tag_AT_1203 a :DcsTag ; rdfs:label 'AT_1203' .</t>
  </si>
  <si>
    <t>:Tag_AT_1204 a :DcsTag ; rdfs:label 'AT_1204' .</t>
  </si>
  <si>
    <t>:Tag_AT_1205A a :DcsTag ; rdfs:label 'AT_1205A' .</t>
  </si>
  <si>
    <t>:Tag_AT_1205B a :DcsTag ; rdfs:label 'AT_1205B' .</t>
  </si>
  <si>
    <t>:Tag_AT_1206 a :DcsTag ; rdfs:label 'AT_1206' .</t>
  </si>
  <si>
    <t>:Tag_AT_1207 a :DcsTag ; rdfs:label 'AT_1207' .</t>
  </si>
  <si>
    <t>:Tag_AT_1301A1 a :DcsTag ; rdfs:label 'AT_1301A1' .</t>
  </si>
  <si>
    <t>:Tag_AT_1301A2 a :DcsTag ; rdfs:label 'AT_1301A2' .</t>
  </si>
  <si>
    <t>:Tag_AT_1301B1 a :DcsTag ; rdfs:label 'AT_1301B1' .</t>
  </si>
  <si>
    <t>:Tag_AT_1301B2 a :DcsTag ; rdfs:label 'AT_1301B2' .</t>
  </si>
  <si>
    <t>:Tag_AT_1301C1 a :DcsTag ; rdfs:label 'AT_1301C1' .</t>
  </si>
  <si>
    <t>:Tag_AT_1301C2 a :DcsTag ; rdfs:label 'AT_1301C2' .</t>
  </si>
  <si>
    <t>:Tag_AT_1301D1 a :DcsTag ; rdfs:label 'AT_1301D1' .</t>
  </si>
  <si>
    <t>:Tag_AT_1301D2 a :DcsTag ; rdfs:label 'AT_1301D2' .</t>
  </si>
  <si>
    <t>:Tag_AT_1301E1 a :DcsTag ; rdfs:label 'AT_1301E1' .</t>
  </si>
  <si>
    <t>:Tag_AT_1301E2 a :DcsTag ; rdfs:label 'AT_1301E2' .</t>
  </si>
  <si>
    <t>:Tag_AT_1301F1 a :DcsTag ; rdfs:label 'AT_1301F1' .</t>
  </si>
  <si>
    <t>:Tag_AT_1301F2 a :DcsTag ; rdfs:label 'AT_1301F2' .</t>
  </si>
  <si>
    <t>:Tag_AT_1301G1 a :DcsTag ; rdfs:label 'AT_1301G1' .</t>
  </si>
  <si>
    <t>:Tag_AT_1301G2 a :DcsTag ; rdfs:label 'AT_1301G2' .</t>
  </si>
  <si>
    <t>:Tag_AT_1301H1 a :DcsTag ; rdfs:label 'AT_1301H1' .</t>
  </si>
  <si>
    <t>:Tag_AT_1301H2 a :DcsTag ; rdfs:label 'AT_1301H2' .</t>
  </si>
  <si>
    <t>:Tag_AT_1301J1 a :DcsTag ; rdfs:label 'AT_1301J1' .</t>
  </si>
  <si>
    <t>:Tag_AT_1301J2 a :DcsTag ; rdfs:label 'AT_1301J2' .</t>
  </si>
  <si>
    <t>:Tag_AT_1301K1 a :DcsTag ; rdfs:label 'AT_1301K1' .</t>
  </si>
  <si>
    <t>:Tag_AT_1301K2 a :DcsTag ; rdfs:label 'AT_1301K2' .</t>
  </si>
  <si>
    <t>:Tag_AT_1301L1 a :DcsTag ; rdfs:label 'AT_1301L1' .</t>
  </si>
  <si>
    <t>:Tag_AT_1301L2 a :DcsTag ; rdfs:label 'AT_1301L2' .</t>
  </si>
  <si>
    <t>:Tag_AT_1302 a :DcsTag ; rdfs:label 'AT_1302' .</t>
  </si>
  <si>
    <t>:Tag_AT_1303 a :DcsTag ; rdfs:label 'AT_1303' .</t>
  </si>
  <si>
    <t>:Tag_AT_1304 a :DcsTag ; rdfs:label 'AT_1304' .</t>
  </si>
  <si>
    <t>:Tag_AT_1401A1 a :DcsTag ; rdfs:label 'AT_1401A1' .</t>
  </si>
  <si>
    <t>:Tag_AT_1401A10 a :DcsTag ; rdfs:label 'AT_1401A10' .</t>
  </si>
  <si>
    <t>:Tag_AT_1401A11 a :DcsTag ; rdfs:label 'AT_1401A11' .</t>
  </si>
  <si>
    <t>:Tag_AT_1401A12 a :DcsTag ; rdfs:label 'AT_1401A12' .</t>
  </si>
  <si>
    <t>:Tag_AT_1401A13 a :DcsTag ; rdfs:label 'AT_1401A13' .</t>
  </si>
  <si>
    <t>:Tag_AT_1401A14 a :DcsTag ; rdfs:label 'AT_1401A14' .</t>
  </si>
  <si>
    <t>:Tag_AT_1401A2 a :DcsTag ; rdfs:label 'AT_1401A2' .</t>
  </si>
  <si>
    <t>:Tag_AT_1401A3 a :DcsTag ; rdfs:label 'AT_1401A3' .</t>
  </si>
  <si>
    <t>:Tag_AT_1401A4 a :DcsTag ; rdfs:label 'AT_1401A4' .</t>
  </si>
  <si>
    <t>:Tag_AT_1401A5 a :DcsTag ; rdfs:label 'AT_1401A5' .</t>
  </si>
  <si>
    <t>:Tag_AT_1401A6 a :DcsTag ; rdfs:label 'AT_1401A6' .</t>
  </si>
  <si>
    <t>:Tag_AT_1401A7 a :DcsTag ; rdfs:label 'AT_1401A7' .</t>
  </si>
  <si>
    <t>:Tag_AT_1401A8 a :DcsTag ; rdfs:label 'AT_1401A8' .</t>
  </si>
  <si>
    <t>:Tag_AT_1401A9 a :DcsTag ; rdfs:label 'AT_1401A9' .</t>
  </si>
  <si>
    <t>:Tag_AT_1501 a :DcsTag ; rdfs:label 'AT_1501' .</t>
  </si>
  <si>
    <t>:Tag_DI_2001 a :DcsTag ; rdfs:label 'DI_2001' .</t>
  </si>
  <si>
    <t>:Tag_DT_9002 a :DcsTag ; rdfs:label 'DT_9002' .</t>
  </si>
  <si>
    <t>:Tag_FE_FXG_ZX a :DcsTag ; rdfs:label 'FE_FXG_ZX' .</t>
  </si>
  <si>
    <t>:Tag_FE_FXG_ZX0 a :DcsTag ; rdfs:label 'FE_FXG_ZX0' .</t>
  </si>
  <si>
    <t>:Tag_FE_NH3_DJ a :DcsTag ; rdfs:label 'FE_NH3_DJ' .</t>
  </si>
  <si>
    <t>:Tag_FI7AI a :DcsTag ; rdfs:label 'FI7AI' .</t>
  </si>
  <si>
    <t>:Tag_FIBYJAI a :DcsTag ; rdfs:label 'FIBYJAI' .</t>
  </si>
  <si>
    <t>:Tag_FIBYSAI a :DcsTag ; rdfs:label 'FIBYSAI' .</t>
  </si>
  <si>
    <t>:Tag_FICZCRSAI a :DcsTag ; rdfs:label 'FICZCRSAI' .</t>
  </si>
  <si>
    <t>:Tag_FICZZRSAI a :DcsTag ; rdfs:label 'FICZZRSAI' .</t>
  </si>
  <si>
    <t>:Tag_FIDCBJAI a :DcsTag ; rdfs:label 'FIDCBJAI' .</t>
  </si>
  <si>
    <t>:Tag_FIDCSBAI a :DcsTag ; rdfs:label 'FIDCSBAI' .</t>
  </si>
  <si>
    <t>:Tag_FIETJAI a :DcsTag ; rdfs:label 'FIETJAI' .</t>
  </si>
  <si>
    <t>:Tag_FIFSAAI a :DcsTag ; rdfs:label 'FIFSAAI' .</t>
  </si>
  <si>
    <t>:Tag_FIFSASAI a :DcsTag ; rdfs:label 'FIFSASAI' .</t>
  </si>
  <si>
    <t>:Tag_FIFSBAI a :DcsTag ; rdfs:label 'FIFSBAI' .</t>
  </si>
  <si>
    <t>:Tag_FIFSBSAI a :DcsTag ; rdfs:label 'FIFSBSAI' .</t>
  </si>
  <si>
    <t>:Tag_FIFSCAI a :DcsTag ; rdfs:label 'FIFSCAI' .</t>
  </si>
  <si>
    <t>:Tag_FIFSCSAI a :DcsTag ; rdfs:label 'FIFSCSAI' .</t>
  </si>
  <si>
    <t>:Tag_FIMYASAI a :DcsTag ; rdfs:label 'FIMYASAI' .</t>
  </si>
  <si>
    <t>:Tag_FIMYBSAI a :DcsTag ; rdfs:label 'FIMYBSAI' .</t>
  </si>
  <si>
    <t>:Tag_FIR542127A a :DcsTag ; rdfs:label 'FIR542127A' .</t>
  </si>
  <si>
    <t>:Tag_FIR542128A a :DcsTag ; rdfs:label 'FIR542128A' .</t>
  </si>
  <si>
    <t>:Tag_FIR542129A a :DcsTag ; rdfs:label 'FIR542129A' .</t>
  </si>
  <si>
    <t>:Tag_FIR542133A a :DcsTag ; rdfs:label 'FIR542133A' .</t>
  </si>
  <si>
    <t>:Tag_FIR542134A a :DcsTag ; rdfs:label 'FIR542134A' .</t>
  </si>
  <si>
    <t>:Tag_FIR542135A a :DcsTag ; rdfs:label 'FIR542135A' .</t>
  </si>
  <si>
    <t>:Tag_FIR542136A a :DcsTag ; rdfs:label 'FIR542136A' .</t>
  </si>
  <si>
    <t>:Tag_FIR542136B a :DcsTag ; rdfs:label 'FIR542136B' .</t>
  </si>
  <si>
    <t>:Tag_FIT3105 a :DcsTag ; rdfs:label 'FIT3105' .</t>
  </si>
  <si>
    <t>:Tag_FIT3108 a :DcsTag ; rdfs:label 'FIT3108' .</t>
  </si>
  <si>
    <t>:Tag_FIT3118 a :DcsTag ; rdfs:label 'FIT3118' .</t>
  </si>
  <si>
    <t>:Tag_FITJCRASAI a :DcsTag ; rdfs:label 'FITJCRASAI' .</t>
  </si>
  <si>
    <t>:Tag_FITJCRBSAI a :DcsTag ; rdfs:label 'FITJCRBSAI' .</t>
  </si>
  <si>
    <t>:Tag_FI_1001 a :DcsTag ; rdfs:label 'FI_1001' .</t>
  </si>
  <si>
    <t>:Tag_FQIT540107_1 a :DcsTag ; rdfs:label 'FQIT540107_1' .</t>
  </si>
  <si>
    <t>:Tag_FQIT540107_2 a :DcsTag ; rdfs:label 'FQIT540107_2' .</t>
  </si>
  <si>
    <t>:Tag_FSSGX_TI01 a :DcsTag ; rdfs:label 'FSSGX_TI01' .</t>
  </si>
  <si>
    <t>:Tag_FSSGX_TI02 a :DcsTag ; rdfs:label 'FSSGX_TI02' .</t>
  </si>
  <si>
    <t>:Tag_FSSGX_TI03 a :DcsTag ; rdfs:label 'FSSGX_TI03' .</t>
  </si>
  <si>
    <t>:Tag_FSSGX_TI04 a :DcsTag ; rdfs:label 'FSSGX_TI04' .</t>
  </si>
  <si>
    <t>:Tag_FSSGX_TI05 a :DcsTag ; rdfs:label 'FSSGX_TI05' .</t>
  </si>
  <si>
    <t>:Tag_FSSGX_TI06 a :DcsTag ; rdfs:label 'FSSGX_TI06' .</t>
  </si>
  <si>
    <t>:Tag_FT_1001A a :DcsTag ; rdfs:label 'FT_1001A' .</t>
  </si>
  <si>
    <t>:Tag_FT_1001B a :DcsTag ; rdfs:label 'FT_1001B' .</t>
  </si>
  <si>
    <t>:Tag_FT_1001C a :DcsTag ; rdfs:label 'FT_1001C' .</t>
  </si>
  <si>
    <t>:Tag_FT_1001D a :DcsTag ; rdfs:label 'FT_1001D' .</t>
  </si>
  <si>
    <t>:Tag_FT_1002 a :DcsTag ; rdfs:label 'FT_1002' .</t>
  </si>
  <si>
    <t>:Tag_FT_1003 a :DcsTag ; rdfs:label 'FT_1003' .</t>
  </si>
  <si>
    <t>:Tag_FT_1004 a :DcsTag ; rdfs:label 'FT_1004' .</t>
  </si>
  <si>
    <t>:Tag_FT_1005 a :DcsTag ; rdfs:label 'FT_1005' .</t>
  </si>
  <si>
    <t>:Tag_FT_1006 a :DcsTag ; rdfs:label 'FT_1006' .</t>
  </si>
  <si>
    <t>:Tag_FT_1101A a :DcsTag ; rdfs:label 'FT_1101A' .</t>
  </si>
  <si>
    <t>:Tag_FT_1101B a :DcsTag ; rdfs:label 'FT_1101B' .</t>
  </si>
  <si>
    <t>:Tag_FT_1101C a :DcsTag ; rdfs:label 'FT_1101C' .</t>
  </si>
  <si>
    <t>:Tag_FT_1101D a :DcsTag ; rdfs:label 'FT_1101D' .</t>
  </si>
  <si>
    <t>:Tag_FT_1101E a :DcsTag ; rdfs:label 'FT_1101E' .</t>
  </si>
  <si>
    <t>:Tag_FT_1103 a :DcsTag ; rdfs:label 'FT_1103' .</t>
  </si>
  <si>
    <t>:Tag_FT_1104A a :DcsTag ; rdfs:label 'FT_1104A' .</t>
  </si>
  <si>
    <t>:Tag_FT_1104B a :DcsTag ; rdfs:label 'FT_1104B' .</t>
  </si>
  <si>
    <t>:Tag_FT_1104C a :DcsTag ; rdfs:label 'FT_1104C' .</t>
  </si>
  <si>
    <t>:Tag_FT_1104D a :DcsTag ; rdfs:label 'FT_1104D' .</t>
  </si>
  <si>
    <t>:Tag_FT_1104E a :DcsTag ; rdfs:label 'FT_1104E' .</t>
  </si>
  <si>
    <t>:Tag_FT_1105A a :DcsTag ; rdfs:label 'FT_1105A' .</t>
  </si>
  <si>
    <t>:Tag_FT_1105B a :DcsTag ; rdfs:label 'FT_1105B' .</t>
  </si>
  <si>
    <t>:Tag_FT_1105C a :DcsTag ; rdfs:label 'FT_1105C' .</t>
  </si>
  <si>
    <t>:Tag_FT_1105D a :DcsTag ; rdfs:label 'FT_1105D' .</t>
  </si>
  <si>
    <t>:Tag_FT_1105E a :DcsTag ; rdfs:label 'FT_1105E' .</t>
  </si>
  <si>
    <t>:Tag_FT_1106A a :DcsTag ; rdfs:label 'FT_1106A' .</t>
  </si>
  <si>
    <t>:Tag_FT_1106B a :DcsTag ; rdfs:label 'FT_1106B' .</t>
  </si>
  <si>
    <t>:Tag_FT_1106C a :DcsTag ; rdfs:label 'FT_1106C' .</t>
  </si>
  <si>
    <t>:Tag_FT_1106D a :DcsTag ; rdfs:label 'FT_1106D' .</t>
  </si>
  <si>
    <t>:Tag_FT_1106E a :DcsTag ; rdfs:label 'FT_1106E' .</t>
  </si>
  <si>
    <t>:Tag_FT_1107A a :DcsTag ; rdfs:label 'FT_1107A' .</t>
  </si>
  <si>
    <t>:Tag_FT_1107B a :DcsTag ; rdfs:label 'FT_1107B' .</t>
  </si>
  <si>
    <t>:Tag_FT_1107C a :DcsTag ; rdfs:label 'FT_1107C' .</t>
  </si>
  <si>
    <t>:Tag_FT_1107D a :DcsTag ; rdfs:label 'FT_1107D' .</t>
  </si>
  <si>
    <t>:Tag_FT_1107E a :DcsTag ; rdfs:label 'FT_1107E' .</t>
  </si>
  <si>
    <t>:Tag_FT_1107F a :DcsTag ; rdfs:label 'FT_1107F' .</t>
  </si>
  <si>
    <t>:Tag_FT_1108A a :DcsTag ; rdfs:label 'FT_1108A' .</t>
  </si>
  <si>
    <t>:Tag_FT_1108B a :DcsTag ; rdfs:label 'FT_1108B' .</t>
  </si>
  <si>
    <t>:Tag_FT_1108C a :DcsTag ; rdfs:label 'FT_1108C' .</t>
  </si>
  <si>
    <t>:Tag_FT_1108D a :DcsTag ; rdfs:label 'FT_1108D' .</t>
  </si>
  <si>
    <t>:Tag_FT_1108E a :DcsTag ; rdfs:label 'FT_1108E' .</t>
  </si>
  <si>
    <t>:Tag_FT_1108F a :DcsTag ; rdfs:label 'FT_1108F' .</t>
  </si>
  <si>
    <t>:Tag_FT_1110A a :DcsTag ; rdfs:label 'FT_1110A' .</t>
  </si>
  <si>
    <t>:Tag_FT_1110B a :DcsTag ; rdfs:label 'FT_1110B' .</t>
  </si>
  <si>
    <t>:Tag_FT_1206 a :DcsTag ; rdfs:label 'FT_1206' .</t>
  </si>
  <si>
    <t>:Tag_FT_1209A a :DcsTag ; rdfs:label 'FT_1209A' .</t>
  </si>
  <si>
    <t>:Tag_FT_1209B a :DcsTag ; rdfs:label 'FT_1209B' .</t>
  </si>
  <si>
    <t>:Tag_FT_1210 a :DcsTag ; rdfs:label 'FT_1210' .</t>
  </si>
  <si>
    <t>:Tag_FT_1211 a :DcsTag ; rdfs:label 'FT_1211' .</t>
  </si>
  <si>
    <t>:Tag_FT_1212 a :DcsTag ; rdfs:label 'FT_1212' .</t>
  </si>
  <si>
    <t>:Tag_FT_1213 a :DcsTag ; rdfs:label 'FT_1213' .</t>
  </si>
  <si>
    <t>:Tag_FT_1214 a :DcsTag ; rdfs:label 'FT_1214' .</t>
  </si>
  <si>
    <t>:Tag_FT_1215 a :DcsTag ; rdfs:label 'FT_1215' .</t>
  </si>
  <si>
    <t>:Tag_FT_1301A a :DcsTag ; rdfs:label 'FT_1301A' .</t>
  </si>
  <si>
    <t>:Tag_FT_1301B a :DcsTag ; rdfs:label 'FT_1301B' .</t>
  </si>
  <si>
    <t>:Tag_FT_1302A a :DcsTag ; rdfs:label 'FT_1302A' .</t>
  </si>
  <si>
    <t>:Tag_FT_1302B a :DcsTag ; rdfs:label 'FT_1302B' .</t>
  </si>
  <si>
    <t>:Tag_FT_1303 a :DcsTag ; rdfs:label 'FT_1303' .</t>
  </si>
  <si>
    <t>:Tag_FT_1304 a :DcsTag ; rdfs:label 'FT_1304' .</t>
  </si>
  <si>
    <t>:Tag_FT_1305 a :DcsTag ; rdfs:label 'FT_1305' .</t>
  </si>
  <si>
    <t>:Tag_FT_1306 a :DcsTag ; rdfs:label 'FT_1306' .</t>
  </si>
  <si>
    <t>:Tag_FT_1307 a :DcsTag ; rdfs:label 'FT_1307' .</t>
  </si>
  <si>
    <t>:Tag_FT_1308 a :DcsTag ; rdfs:label 'FT_1308' .</t>
  </si>
  <si>
    <t>:Tag_FT_1309 a :DcsTag ; rdfs:label 'FT_1309' .</t>
  </si>
  <si>
    <t>:Tag_FT_1310A a :DcsTag ; rdfs:label 'FT_1310A' .</t>
  </si>
  <si>
    <t>:Tag_FT_1310B a :DcsTag ; rdfs:label 'FT_1310B' .</t>
  </si>
  <si>
    <t>:Tag_FT_1314 a :DcsTag ; rdfs:label 'FT_1314' .</t>
  </si>
  <si>
    <t>:Tag_FT_1316 a :DcsTag ; rdfs:label 'FT_1316' .</t>
  </si>
  <si>
    <t>:Tag_FT_1327 a :DcsTag ; rdfs:label 'FT_1327' .</t>
  </si>
  <si>
    <t>:Tag_FT_13NJ a :DcsTag ; rdfs:label 'FT_13NJ' .</t>
  </si>
  <si>
    <t>:Tag_FT_1401 a :DcsTag ; rdfs:label 'FT_1401' .</t>
  </si>
  <si>
    <t>:Tag_FT_1404 a :DcsTag ; rdfs:label 'FT_1404' .</t>
  </si>
  <si>
    <t>:Tag_FT_2001 a :DcsTag ; rdfs:label 'FT_2001' .</t>
  </si>
  <si>
    <t>:Tag_FT_2001A a :DcsTag ; rdfs:label 'FT_2001A' .</t>
  </si>
  <si>
    <t>:Tag_FT_2001B a :DcsTag ; rdfs:label 'FT_2001B' .</t>
  </si>
  <si>
    <t>:Tag_FT_2001C a :DcsTag ; rdfs:label 'FT_2001C' .</t>
  </si>
  <si>
    <t>:Tag_FT_2001D a :DcsTag ; rdfs:label 'FT_2001D' .</t>
  </si>
  <si>
    <t>:Tag_FT_2002 a :DcsTag ; rdfs:label 'FT_2002' .</t>
  </si>
  <si>
    <t>:Tag_FT_2003 a :DcsTag ; rdfs:label 'FT_2003' .</t>
  </si>
  <si>
    <t>:Tag_FT_2004A a :DcsTag ; rdfs:label 'FT_2004A' .</t>
  </si>
  <si>
    <t>:Tag_FT_2004B a :DcsTag ; rdfs:label 'FT_2004B' .</t>
  </si>
  <si>
    <t>:Tag_FT_2004C a :DcsTag ; rdfs:label 'FT_2004C' .</t>
  </si>
  <si>
    <t>:Tag_FT_2004D a :DcsTag ; rdfs:label 'FT_2004D' .</t>
  </si>
  <si>
    <t>:Tag_FT_2004E a :DcsTag ; rdfs:label 'FT_2004E' .</t>
  </si>
  <si>
    <t>:Tag_FT_2004F a :DcsTag ; rdfs:label 'FT_2004F' .</t>
  </si>
  <si>
    <t>:Tag_FT_2004G a :DcsTag ; rdfs:label 'FT_2004G' .</t>
  </si>
  <si>
    <t>:Tag_FT_2004H a :DcsTag ; rdfs:label 'FT_2004H' .</t>
  </si>
  <si>
    <t>:Tag_FT_2004I a :DcsTag ; rdfs:label 'FT_2004I' .</t>
  </si>
  <si>
    <t>:Tag_FT_2004J a :DcsTag ; rdfs:label 'FT_2004J' .</t>
  </si>
  <si>
    <t>:Tag_FT_2007A a :DcsTag ; rdfs:label 'FT_2007A' .</t>
  </si>
  <si>
    <t>:Tag_FT_2007B a :DcsTag ; rdfs:label 'FT_2007B' .</t>
  </si>
  <si>
    <t>:Tag_FT_2007C a :DcsTag ; rdfs:label 'FT_2007C' .</t>
  </si>
  <si>
    <t>:Tag_FT_2007D a :DcsTag ; rdfs:label 'FT_2007D' .</t>
  </si>
  <si>
    <t>:Tag_FT_2007E a :DcsTag ; rdfs:label 'FT_2007E' .</t>
  </si>
  <si>
    <t>:Tag_FT_2007F a :DcsTag ; rdfs:label 'FT_2007F' .</t>
  </si>
  <si>
    <t>:Tag_FT_2008A a :DcsTag ; rdfs:label 'FT_2008A' .</t>
  </si>
  <si>
    <t>:Tag_FT_2008B a :DcsTag ; rdfs:label 'FT_2008B' .</t>
  </si>
  <si>
    <t>:Tag_FT_2008C a :DcsTag ; rdfs:label 'FT_2008C' .</t>
  </si>
  <si>
    <t>:Tag_FT_2008D a :DcsTag ; rdfs:label 'FT_2008D' .</t>
  </si>
  <si>
    <t>:Tag_FT_3011 a :DcsTag ; rdfs:label 'FT_3011' .</t>
  </si>
  <si>
    <t>:Tag_FT_3027 a :DcsTag ; rdfs:label 'FT_3027' .</t>
  </si>
  <si>
    <t>:Tag_FT_3028 a :DcsTag ; rdfs:label 'FT_3028' .</t>
  </si>
  <si>
    <t>:Tag_FT_3030 a :DcsTag ; rdfs:label 'FT_3030' .</t>
  </si>
  <si>
    <t>:Tag_FT_3031 a :DcsTag ; rdfs:label 'FT_3031' .</t>
  </si>
  <si>
    <t>:Tag_FT_3032 a :DcsTag ; rdfs:label 'FT_3032' .</t>
  </si>
  <si>
    <t>:Tag_FT_6A001 a :DcsTag ; rdfs:label 'FT_6A001' .</t>
  </si>
  <si>
    <t>:Tag_FT_6AHCL a :DcsTag ; rdfs:label 'FT_6AHCL' .</t>
  </si>
  <si>
    <t>:Tag_FT_7DSC a :DcsTag ; rdfs:label 'FT_7DSC' .</t>
  </si>
  <si>
    <t>:Tag_FT_ASLL a :DcsTag ; rdfs:label 'FT_ASLL' .</t>
  </si>
  <si>
    <t>:Tag_FT_BYSC a :DcsTag ; rdfs:label 'FT_BYSC' .</t>
  </si>
  <si>
    <t>:Tag_FT_DZ_A a :DcsTag ; rdfs:label 'FT_DZ_A' .</t>
  </si>
  <si>
    <t>:Tag_FT_DZ_B a :DcsTag ; rdfs:label 'FT_DZ_B' .</t>
  </si>
  <si>
    <t>:Tag_FT_JY001 a :DcsTag ; rdfs:label 'FT_JY001' .</t>
  </si>
  <si>
    <t>:Tag_FT_NJ01 a :DcsTag ; rdfs:label 'FT_NJ01' .</t>
  </si>
  <si>
    <t>:Tag_FT_SS_A a :DcsTag ; rdfs:label 'FT_SS_A' .</t>
  </si>
  <si>
    <t>:Tag_FT_SS_B a :DcsTag ; rdfs:label 'FT_SS_B' .</t>
  </si>
  <si>
    <t>:Tag_FT_ZJ3118 a :DcsTag ; rdfs:label 'FT_ZJ3118' .</t>
  </si>
  <si>
    <t>:Tag_FT_ZYLL a :DcsTag ; rdfs:label 'FT_ZYLL' .</t>
  </si>
  <si>
    <t>:Tag_GLFIETZQAI a :DcsTag ; rdfs:label 'GLFIETZQAI' .</t>
  </si>
  <si>
    <t>:Tag_HV_1019_FB a :DcsTag ; rdfs:label 'HV_1019_FB' .</t>
  </si>
  <si>
    <t>:Tag_II_10CQA a :DcsTag ; rdfs:label 'II_10CQA' .</t>
  </si>
  <si>
    <t>:Tag_II_10CQB a :DcsTag ; rdfs:label 'II_10CQB' .</t>
  </si>
  <si>
    <t>:Tag_II_10CQC a :DcsTag ; rdfs:label 'II_10CQC' .</t>
  </si>
  <si>
    <t>:Tag_II_10CQD a :DcsTag ; rdfs:label 'II_10CQD' .</t>
  </si>
  <si>
    <t>:Tag_II_10CQE a :DcsTag ; rdfs:label 'II_10CQE' .</t>
  </si>
  <si>
    <t>:Tag_II_10CQF a :DcsTag ; rdfs:label 'II_10CQF' .</t>
  </si>
  <si>
    <t>:Tag_II_10SXA a :DcsTag ; rdfs:label 'II_10SXA' .</t>
  </si>
  <si>
    <t>:Tag_II_10SXB a :DcsTag ; rdfs:label 'II_10SXB' .</t>
  </si>
  <si>
    <t>:Tag_II_10SXC a :DcsTag ; rdfs:label 'II_10SXC' .</t>
  </si>
  <si>
    <t>:Tag_II_10SXD a :DcsTag ; rdfs:label 'II_10SXD' .</t>
  </si>
  <si>
    <t>:Tag_II_10SXE a :DcsTag ; rdfs:label 'II_10SXE' .</t>
  </si>
  <si>
    <t>:Tag_II_10SXF a :DcsTag ; rdfs:label 'II_10SXF' .</t>
  </si>
  <si>
    <t>:Tag_II_10SXG a :DcsTag ; rdfs:label 'II_10SXG' .</t>
  </si>
  <si>
    <t>:Tag_II_10TQA a :DcsTag ; rdfs:label 'II_10TQA' .</t>
  </si>
  <si>
    <t>:Tag_II_10TQB a :DcsTag ; rdfs:label 'II_10TQB' .</t>
  </si>
  <si>
    <t>:Tag_II_10TQC a :DcsTag ; rdfs:label 'II_10TQC' .</t>
  </si>
  <si>
    <t>:Tag_II_10TQD a :DcsTag ; rdfs:label 'II_10TQD' .</t>
  </si>
  <si>
    <t>:Tag_II_11CT1A a :DcsTag ; rdfs:label 'II_11CT1A' .</t>
  </si>
  <si>
    <t>:Tag_II_11CT1B a :DcsTag ; rdfs:label 'II_11CT1B' .</t>
  </si>
  <si>
    <t>:Tag_II_11CT1C a :DcsTag ; rdfs:label 'II_11CT1C' .</t>
  </si>
  <si>
    <t>:Tag_II_11CT1D a :DcsTag ; rdfs:label 'II_11CT1D' .</t>
  </si>
  <si>
    <t>:Tag_II_11CT1E a :DcsTag ; rdfs:label 'II_11CT1E' .</t>
  </si>
  <si>
    <t>:Tag_II_11CT1F a :DcsTag ; rdfs:label 'II_11CT1F' .</t>
  </si>
  <si>
    <t>:Tag_II_11CT2A a :DcsTag ; rdfs:label 'II_11CT2A' .</t>
  </si>
  <si>
    <t>:Tag_II_11CT2B a :DcsTag ; rdfs:label 'II_11CT2B' .</t>
  </si>
  <si>
    <t>:Tag_II_11CT2C a :DcsTag ; rdfs:label 'II_11CT2C' .</t>
  </si>
  <si>
    <t>:Tag_II_11CT2D a :DcsTag ; rdfs:label 'II_11CT2D' .</t>
  </si>
  <si>
    <t>:Tag_II_141600A a :DcsTag ; rdfs:label 'II_141600A' .</t>
  </si>
  <si>
    <t>:Tag_II_141600B a :DcsTag ; rdfs:label 'II_141600B' .</t>
  </si>
  <si>
    <t>:Tag_II_141600C a :DcsTag ; rdfs:label 'II_141600C' .</t>
  </si>
  <si>
    <t>:Tag_II_141600D a :DcsTag ; rdfs:label 'II_141600D' .</t>
  </si>
  <si>
    <t>:Tag_II_141600E a :DcsTag ; rdfs:label 'II_141600E' .</t>
  </si>
  <si>
    <t>:Tag_II_141600F a :DcsTag ; rdfs:label 'II_141600F' .</t>
  </si>
  <si>
    <t>:Tag_II_141600G a :DcsTag ; rdfs:label 'II_141600G' .</t>
  </si>
  <si>
    <t>:Tag_II_141600H a :DcsTag ; rdfs:label 'II_141600H' .</t>
  </si>
  <si>
    <t>:Tag_II_141600I a :DcsTag ; rdfs:label 'II_141600I' .</t>
  </si>
  <si>
    <t>:Tag_II_141600J a :DcsTag ; rdfs:label 'II_141600J' .</t>
  </si>
  <si>
    <t>:Tag_JJG_BJBJBPFK a :DcsTag ; rdfs:label 'JJG_BJBJBPFK' .</t>
  </si>
  <si>
    <t>:Tag_JJG_BPHJ a :DcsTag ; rdfs:label 'JJG_BPHJ' .</t>
  </si>
  <si>
    <t>:Tag_JJG_LXJPHJ a :DcsTag ; rdfs:label 'JJG_LXJPHJ' .</t>
  </si>
  <si>
    <t>:Tag_JJG_NJBJBPFK a :DcsTag ; rdfs:label 'JJG_NJBJBPFK' .</t>
  </si>
  <si>
    <t>:Tag_JJG_NPHJ a :DcsTag ; rdfs:label 'JJG_NPHJ' .</t>
  </si>
  <si>
    <t>:Tag_JYLX_12_AI a :DcsTag ; rdfs:label 'JYLX_12_AI' .</t>
  </si>
  <si>
    <t>:Tag_JY_11_1P a :DcsTag ; rdfs:label 'JY_11_1P' .</t>
  </si>
  <si>
    <t>:Tag_JY_11_2P a :DcsTag ; rdfs:label 'JY_11_2P' .</t>
  </si>
  <si>
    <t>:Tag_JY_11_3P a :DcsTag ; rdfs:label 'JY_11_3P' .</t>
  </si>
  <si>
    <t>:Tag_JY_11_4P a :DcsTag ; rdfs:label 'JY_11_4P' .</t>
  </si>
  <si>
    <t>:Tag_JY_11_5P a :DcsTag ; rdfs:label 'JY_11_5P' .</t>
  </si>
  <si>
    <t>:Tag_JY_11_6P a :DcsTag ; rdfs:label 'JY_11_6P' .</t>
  </si>
  <si>
    <t>:Tag_JY_12_1FI a :DcsTag ; rdfs:label 'JY_12_1FI' .</t>
  </si>
  <si>
    <t>:Tag_JY_12_2FI a :DcsTag ; rdfs:label 'JY_12_2FI' .</t>
  </si>
  <si>
    <t>:Tag_JY_12_3FI a :DcsTag ; rdfs:label 'JY_12_3FI' .</t>
  </si>
  <si>
    <t>:Tag_JY_12_4FI a :DcsTag ; rdfs:label 'JY_12_4FI' .</t>
  </si>
  <si>
    <t>:Tag_JY_12_5FI a :DcsTag ; rdfs:label 'JY_12_5FI' .</t>
  </si>
  <si>
    <t>:Tag_JY_12_6FI a :DcsTag ; rdfs:label 'JY_12_6FI' .</t>
  </si>
  <si>
    <t>:Tag_JY_13_1LT a :DcsTag ; rdfs:label 'JY_13_1LT' .</t>
  </si>
  <si>
    <t>:Tag_JY_13_2LT a :DcsTag ; rdfs:label 'JY_13_2LT' .</t>
  </si>
  <si>
    <t>:Tag_JY_13_3LT a :DcsTag ; rdfs:label 'JY_13_3LT' .</t>
  </si>
  <si>
    <t>:Tag_JY_13_4LT a :DcsTag ; rdfs:label 'JY_13_4LT' .</t>
  </si>
  <si>
    <t>:Tag_JY_13_5LT a :DcsTag ; rdfs:label 'JY_13_5LT' .</t>
  </si>
  <si>
    <t>:Tag_JY_13_6LT a :DcsTag ; rdfs:label 'JY_13_6LT' .</t>
  </si>
  <si>
    <t>:Tag_JY_16_2TI a :DcsTag ; rdfs:label 'JY_16_2TI' .</t>
  </si>
  <si>
    <t>:Tag_JY_17_2TI a :DcsTag ; rdfs:label 'JY_17_2TI' .</t>
  </si>
  <si>
    <t>:Tag_JY_18_2TI a :DcsTag ; rdfs:label 'JY_18_2TI' .</t>
  </si>
  <si>
    <t>:Tag_JY_19_2TI a :DcsTag ; rdfs:label 'JY_19_2TI' .</t>
  </si>
  <si>
    <t>:Tag_JY_20_2TI a :DcsTag ; rdfs:label 'JY_20_2TI' .</t>
  </si>
  <si>
    <t>:Tag_JY_21_2TI a :DcsTag ; rdfs:label 'JY_21_2TI' .</t>
  </si>
  <si>
    <t>:Tag_LE_FXG a :DcsTag ; rdfs:label 'LE_FXG' .</t>
  </si>
  <si>
    <t>:Tag_LE_FXG01 a :DcsTag ; rdfs:label 'LE_FXG01' .</t>
  </si>
  <si>
    <t>:Tag_LE_ZXHCG a :DcsTag ; rdfs:label 'LE_ZXHCG' .</t>
  </si>
  <si>
    <t>:Tag_LIC3120 a :DcsTag ; rdfs:label 'LIC3120' .</t>
  </si>
  <si>
    <t>:Tag_LIMYDZAAI a :DcsTag ; rdfs:label 'LIMYDZAAI' .</t>
  </si>
  <si>
    <t>:Tag_LIT540104A a :DcsTag ; rdfs:label 'LIT540104A' .</t>
  </si>
  <si>
    <t>:Tag_LIT540104B a :DcsTag ; rdfs:label 'LIT540104B' .</t>
  </si>
  <si>
    <t>:Tag_LIT540104C a :DcsTag ; rdfs:label 'LIT540104C' .</t>
  </si>
  <si>
    <t>:Tag_LIT540107A a :DcsTag ; rdfs:label 'LIT540107A' .</t>
  </si>
  <si>
    <t>:Tag_LIT540107B a :DcsTag ; rdfs:label 'LIT540107B' .</t>
  </si>
  <si>
    <t>:Tag_LIT540107C a :DcsTag ; rdfs:label 'LIT540107C' .</t>
  </si>
  <si>
    <t>:Tag_LT_1002 a :DcsTag ; rdfs:label 'LT_1002' .</t>
  </si>
  <si>
    <t>:Tag_LT_1003A a :DcsTag ; rdfs:label 'LT_1003A' .</t>
  </si>
  <si>
    <t>:Tag_LT_1003B a :DcsTag ; rdfs:label 'LT_1003B' .</t>
  </si>
  <si>
    <t>:Tag_LT_1003C a :DcsTag ; rdfs:label 'LT_1003C' .</t>
  </si>
  <si>
    <t>:Tag_LT_1003D a :DcsTag ; rdfs:label 'LT_1003D' .</t>
  </si>
  <si>
    <t>:Tag_LT_1003E a :DcsTag ; rdfs:label 'LT_1003E' .</t>
  </si>
  <si>
    <t>:Tag_LT_1003F a :DcsTag ; rdfs:label 'LT_1003F' .</t>
  </si>
  <si>
    <t>:Tag_LT_1003G a :DcsTag ; rdfs:label 'LT_1003G' .</t>
  </si>
  <si>
    <t>:Tag_LT_1003H a :DcsTag ; rdfs:label 'LT_1003H' .</t>
  </si>
  <si>
    <t>:Tag_LT_1003I a :DcsTag ; rdfs:label 'LT_1003I' .</t>
  </si>
  <si>
    <t>:Tag_LT_1003J a :DcsTag ; rdfs:label 'LT_1003J' .</t>
  </si>
  <si>
    <t>:Tag_LT_1003K a :DcsTag ; rdfs:label 'LT_1003K' .</t>
  </si>
  <si>
    <t>:Tag_LT_1003L a :DcsTag ; rdfs:label 'LT_1003L' .</t>
  </si>
  <si>
    <t>:Tag_LT_1101A a :DcsTag ; rdfs:label 'LT_1101A' .</t>
  </si>
  <si>
    <t>:Tag_LT_1101B a :DcsTag ; rdfs:label 'LT_1101B' .</t>
  </si>
  <si>
    <t>:Tag_LT_1101C a :DcsTag ; rdfs:label 'LT_1101C' .</t>
  </si>
  <si>
    <t>:Tag_LT_1101D a :DcsTag ; rdfs:label 'LT_1101D' .</t>
  </si>
  <si>
    <t>:Tag_LT_1102 a :DcsTag ; rdfs:label 'LT_1102' .</t>
  </si>
  <si>
    <t>:Tag_LT_1103A a :DcsTag ; rdfs:label 'LT_1103A' .</t>
  </si>
  <si>
    <t>:Tag_LT_1103B a :DcsTag ; rdfs:label 'LT_1103B' .</t>
  </si>
  <si>
    <t>:Tag_LT_1104A a :DcsTag ; rdfs:label 'LT_1104A' .</t>
  </si>
  <si>
    <t>:Tag_LT_1104B a :DcsTag ; rdfs:label 'LT_1104B' .</t>
  </si>
  <si>
    <t>:Tag_LT_1105 a :DcsTag ; rdfs:label 'LT_1105' .</t>
  </si>
  <si>
    <t>:Tag_LT_1106 a :DcsTag ; rdfs:label 'LT_1106' .</t>
  </si>
  <si>
    <t>:Tag_LT_1107A a :DcsTag ; rdfs:label 'LT_1107A' .</t>
  </si>
  <si>
    <t>:Tag_LT_1107B a :DcsTag ; rdfs:label 'LT_1107B' .</t>
  </si>
  <si>
    <t>:Tag_LT_1108 a :DcsTag ; rdfs:label 'LT_1108' .</t>
  </si>
  <si>
    <t>:Tag_LT_1201A a :DcsTag ; rdfs:label 'LT_1201A' .</t>
  </si>
  <si>
    <t>:Tag_LT_1201B a :DcsTag ; rdfs:label 'LT_1201B' .</t>
  </si>
  <si>
    <t>:Tag_LT_1201C a :DcsTag ; rdfs:label 'LT_1201C' .</t>
  </si>
  <si>
    <t>:Tag_LT_1201D a :DcsTag ; rdfs:label 'LT_1201D' .</t>
  </si>
  <si>
    <t>:Tag_LT_1202A a :DcsTag ; rdfs:label 'LT_1202A' .</t>
  </si>
  <si>
    <t>:Tag_LT_1202B a :DcsTag ; rdfs:label 'LT_1202B' .</t>
  </si>
  <si>
    <t>:Tag_LT_1202C a :DcsTag ; rdfs:label 'LT_1202C' .</t>
  </si>
  <si>
    <t>:Tag_LT_1202D a :DcsTag ; rdfs:label 'LT_1202D' .</t>
  </si>
  <si>
    <t>:Tag_LT_1202E a :DcsTag ; rdfs:label 'LT_1202E' .</t>
  </si>
  <si>
    <t>:Tag_LT_1202F a :DcsTag ; rdfs:label 'LT_1202F' .</t>
  </si>
  <si>
    <t>:Tag_LT_1203 a :DcsTag ; rdfs:label 'LT_1203' .</t>
  </si>
  <si>
    <t>:Tag_LT_1205 a :DcsTag ; rdfs:label 'LT_1205' .</t>
  </si>
  <si>
    <t>:Tag_LT_1206 a :DcsTag ; rdfs:label 'LT_1206' .</t>
  </si>
  <si>
    <t>:Tag_LT_1301A a :DcsTag ; rdfs:label 'LT_1301A' .</t>
  </si>
  <si>
    <t>:Tag_LT_1301B a :DcsTag ; rdfs:label 'LT_1301B' .</t>
  </si>
  <si>
    <t>:Tag_LT_1302A a :DcsTag ; rdfs:label 'LT_1302A' .</t>
  </si>
  <si>
    <t>:Tag_LT_1302B a :DcsTag ; rdfs:label 'LT_1302B' .</t>
  </si>
  <si>
    <t>:Tag_LT_1302C a :DcsTag ; rdfs:label 'LT_1302C' .</t>
  </si>
  <si>
    <t>:Tag_LT_1302D a :DcsTag ; rdfs:label 'LT_1302D' .</t>
  </si>
  <si>
    <t>:Tag_LT_1302E a :DcsTag ; rdfs:label 'LT_1302E' .</t>
  </si>
  <si>
    <t>:Tag_LT_1302F a :DcsTag ; rdfs:label 'LT_1302F' .</t>
  </si>
  <si>
    <t>:Tag_LT_1302G a :DcsTag ; rdfs:label 'LT_1302G' .</t>
  </si>
  <si>
    <t>:Tag_LT_1302H a :DcsTag ; rdfs:label 'LT_1302H' .</t>
  </si>
  <si>
    <t>:Tag_LT_1302J a :DcsTag ; rdfs:label 'LT_1302J' .</t>
  </si>
  <si>
    <t>:Tag_LT_1302K a :DcsTag ; rdfs:label 'LT_1302K' .</t>
  </si>
  <si>
    <t>:Tag_LT_1302L a :DcsTag ; rdfs:label 'LT_1302L' .</t>
  </si>
  <si>
    <t>:Tag_LT_1303 a :DcsTag ; rdfs:label 'LT_1303' .</t>
  </si>
  <si>
    <t>:Tag_LT_1304A a :DcsTag ; rdfs:label 'LT_1304A' .</t>
  </si>
  <si>
    <t>:Tag_LT_1304B a :DcsTag ; rdfs:label 'LT_1304B' .</t>
  </si>
  <si>
    <t>:Tag_LT_1307A a :DcsTag ; rdfs:label 'LT_1307A' .</t>
  </si>
  <si>
    <t>:Tag_LT_1307B a :DcsTag ; rdfs:label 'LT_1307B' .</t>
  </si>
  <si>
    <t>:Tag_LT_1308 a :DcsTag ; rdfs:label 'LT_1308' .</t>
  </si>
  <si>
    <t>:Tag_LT_1309 a :DcsTag ; rdfs:label 'LT_1309' .</t>
  </si>
  <si>
    <t>:Tag_LT_1310 a :DcsTag ; rdfs:label 'LT_1310' .</t>
  </si>
  <si>
    <t>:Tag_LT_1311 a :DcsTag ; rdfs:label 'LT_1311' .</t>
  </si>
  <si>
    <t>:Tag_LT_1312 a :DcsTag ; rdfs:label 'LT_1312' .</t>
  </si>
  <si>
    <t>:Tag_LT_1313 a :DcsTag ; rdfs:label 'LT_1313' .</t>
  </si>
  <si>
    <t>:Tag_LT_1314A a :DcsTag ; rdfs:label 'LT_1314A' .</t>
  </si>
  <si>
    <t>:Tag_LT_1314B a :DcsTag ; rdfs:label 'LT_1314B' .</t>
  </si>
  <si>
    <t>:Tag_LT_1315A a :DcsTag ; rdfs:label 'LT_1315A' .</t>
  </si>
  <si>
    <t>:Tag_LT_1315B a :DcsTag ; rdfs:label 'LT_1315B' .</t>
  </si>
  <si>
    <t>:Tag_LT_1316 a :DcsTag ; rdfs:label 'LT_1316' .</t>
  </si>
  <si>
    <t>:Tag_LT_1318 a :DcsTag ; rdfs:label 'LT_1318' .</t>
  </si>
  <si>
    <t>:Tag_LT_1319A a :DcsTag ; rdfs:label 'LT_1319A' .</t>
  </si>
  <si>
    <t>:Tag_LT_1319B a :DcsTag ; rdfs:label 'LT_1319B' .</t>
  </si>
  <si>
    <t>:Tag_LT_1320A a :DcsTag ; rdfs:label 'LT_1320A' .</t>
  </si>
  <si>
    <t>:Tag_LT_1320B a :DcsTag ; rdfs:label 'LT_1320B' .</t>
  </si>
  <si>
    <t>:Tag_LT_1320C a :DcsTag ; rdfs:label 'LT_1320C' .</t>
  </si>
  <si>
    <t>:Tag_LT_1320D a :DcsTag ; rdfs:label 'LT_1320D' .</t>
  </si>
  <si>
    <t>:Tag_LT_1321A a :DcsTag ; rdfs:label 'LT_1321A' .</t>
  </si>
  <si>
    <t>:Tag_LT_1321B a :DcsTag ; rdfs:label 'LT_1321B' .</t>
  </si>
  <si>
    <t>:Tag_LT_1321C a :DcsTag ; rdfs:label 'LT_1321C' .</t>
  </si>
  <si>
    <t>:Tag_LT_1321D a :DcsTag ; rdfs:label 'LT_1321D' .</t>
  </si>
  <si>
    <t>:Tag_LT_1501 a :DcsTag ; rdfs:label 'LT_1501' .</t>
  </si>
  <si>
    <t>:Tag_LT_2002 a :DcsTag ; rdfs:label 'LT_2002' .</t>
  </si>
  <si>
    <t>:Tag_LT_2003 a :DcsTag ; rdfs:label 'LT_2003' .</t>
  </si>
  <si>
    <t>:Tag_LT_2004 a :DcsTag ; rdfs:label 'LT_2004' .</t>
  </si>
  <si>
    <t>:Tag_LT_2005 a :DcsTag ; rdfs:label 'LT_2005' .</t>
  </si>
  <si>
    <t>:Tag_LT_2006 a :DcsTag ; rdfs:label 'LT_2006' .</t>
  </si>
  <si>
    <t>:Tag_LT_2008 a :DcsTag ; rdfs:label 'LT_2008' .</t>
  </si>
  <si>
    <t>:Tag_LT_2009 a :DcsTag ; rdfs:label 'LT_2009' .</t>
  </si>
  <si>
    <t>:Tag_LT_3005A a :DcsTag ; rdfs:label 'LT_3005A' .</t>
  </si>
  <si>
    <t>:Tag_LT_3005B a :DcsTag ; rdfs:label 'LT_3005B' .</t>
  </si>
  <si>
    <t>:Tag_LT_3005C a :DcsTag ; rdfs:label 'LT_3005C' .</t>
  </si>
  <si>
    <t>:Tag_LT_3005D a :DcsTag ; rdfs:label 'LT_3005D' .</t>
  </si>
  <si>
    <t>:Tag_LT_AS01 a :DcsTag ; rdfs:label 'LT_AS01' .</t>
  </si>
  <si>
    <t>:Tag_LT_BYW a :DcsTag ; rdfs:label 'LT_BYW' .</t>
  </si>
  <si>
    <t>:Tag_LT_HCL_SW01 a :DcsTag ; rdfs:label 'LT_HCL_SW01' .</t>
  </si>
  <si>
    <t>:Tag_LT_HCL_SW02 a :DcsTag ; rdfs:label 'LT_HCL_SW02' .</t>
  </si>
  <si>
    <t>:Tag_LT_HCL_SW03 a :DcsTag ; rdfs:label 'LT_HCL_SW03' .</t>
  </si>
  <si>
    <t>:Tag_LT_HCL_SW04 a :DcsTag ; rdfs:label 'LT_HCL_SW04' .</t>
  </si>
  <si>
    <t>:Tag_LT_NYW a :DcsTag ; rdfs:label 'LT_NYW' .</t>
  </si>
  <si>
    <t>:Tag_LT_PR a :DcsTag ; rdfs:label 'LT_PR' .</t>
  </si>
  <si>
    <t>:Tag_LT_RB01 a :DcsTag ; rdfs:label 'LT_RB01' .</t>
  </si>
  <si>
    <t>:Tag_LT_RB02 a :DcsTag ; rdfs:label 'LT_RB02' .</t>
  </si>
  <si>
    <t>:Tag_LT_RM01 a :DcsTag ; rdfs:label 'LT_RM01' .</t>
  </si>
  <si>
    <t>:Tag_LT_RS01 a :DcsTag ; rdfs:label 'LT_RS01' .</t>
  </si>
  <si>
    <t>:Tag_LT_SXZX a :DcsTag ; rdfs:label 'LT_SXZX' .</t>
  </si>
  <si>
    <t>:Tag_LT_XJ_A a :DcsTag ; rdfs:label 'LT_XJ_A' .</t>
  </si>
  <si>
    <t>:Tag_LT_XJ_B a :DcsTag ; rdfs:label 'LT_XJ_B' .</t>
  </si>
  <si>
    <t>:Tag_MYGCL_AI a :DcsTag ; rdfs:label 'MYGCL_AI' .</t>
  </si>
  <si>
    <t>:Tag_PB_1001B_FB a :DcsTag ; rdfs:label 'PB_1001B_FB' .</t>
  </si>
  <si>
    <t>:Tag_PB_1008A_FB a :DcsTag ; rdfs:label 'PB_1008A_FB' .</t>
  </si>
  <si>
    <t>:Tag_PB_1008B_FB a :DcsTag ; rdfs:label 'PB_1008B_FB' .</t>
  </si>
  <si>
    <t>:Tag_PB_1008C_FB a :DcsTag ; rdfs:label 'PB_1008C_FB' .</t>
  </si>
  <si>
    <t>:Tag_PB_1008D_FB a :DcsTag ; rdfs:label 'PB_1008D_FB' .</t>
  </si>
  <si>
    <t>:Tag_PB_1013A_FB a :DcsTag ; rdfs:label 'PB_1013A_FB' .</t>
  </si>
  <si>
    <t>:Tag_PB_1013B_FB a :DcsTag ; rdfs:label 'PB_1013B_FB' .</t>
  </si>
  <si>
    <t>:Tag_PB_1013C_FB a :DcsTag ; rdfs:label 'PB_1013C_FB' .</t>
  </si>
  <si>
    <t>:Tag_PB_1013D_FB a :DcsTag ; rdfs:label 'PB_1013D_FB' .</t>
  </si>
  <si>
    <t>:Tag_PB_1013E_FB a :DcsTag ; rdfs:label 'PB_1013E_FB' .</t>
  </si>
  <si>
    <t>:Tag_PB_1013F_FB a :DcsTag ; rdfs:label 'PB_1013F_FB' .</t>
  </si>
  <si>
    <t>:Tag_PB_1013G_FB a :DcsTag ; rdfs:label 'PB_1013G_FB' .</t>
  </si>
  <si>
    <t>:Tag_PB_1013H_FB a :DcsTag ; rdfs:label 'PB_1013H_FB' .</t>
  </si>
  <si>
    <t>:Tag_PB_1013I_FB a :DcsTag ; rdfs:label 'PB_1013I_FB' .</t>
  </si>
  <si>
    <t>:Tag_PB_1013J_FB a :DcsTag ; rdfs:label 'PB_1013J_FB' .</t>
  </si>
  <si>
    <t>:Tag_PB_1013K_FB a :DcsTag ; rdfs:label 'PB_1013K_FB' .</t>
  </si>
  <si>
    <t>:Tag_PB_1013L_FB a :DcsTag ; rdfs:label 'PB_1013L_FB' .</t>
  </si>
  <si>
    <t>:Tag_PB_1015A_FB a :DcsTag ; rdfs:label 'PB_1015A_FB' .</t>
  </si>
  <si>
    <t>:Tag_PB_1015B_FB a :DcsTag ; rdfs:label 'PB_1015B_FB' .</t>
  </si>
  <si>
    <t>:Tag_PB_1015C_FB a :DcsTag ; rdfs:label 'PB_1015C_FB' .</t>
  </si>
  <si>
    <t>:Tag_PB_1015D_FB a :DcsTag ; rdfs:label 'PB_1015D_FB' .</t>
  </si>
  <si>
    <t>:Tag_PB_1015E_FB a :DcsTag ; rdfs:label 'PB_1015E_FB' .</t>
  </si>
  <si>
    <t>:Tag_PB_1015F_FB a :DcsTag ; rdfs:label 'PB_1015F_FB' .</t>
  </si>
  <si>
    <t>:Tag_PH3105A a :DcsTag ; rdfs:label 'PH3105A' .</t>
  </si>
  <si>
    <t>:Tag_PHMYGAI a :DcsTag ; rdfs:label 'PHMYGAI' .</t>
  </si>
  <si>
    <t>:Tag_PHPSAAI a :DcsTag ; rdfs:label 'PHPSAAI' .</t>
  </si>
  <si>
    <t>:Tag_PHPSBAI a :DcsTag ; rdfs:label 'PHPSBAI' .</t>
  </si>
  <si>
    <t>:Tag_PHZJAI a :DcsTag ; rdfs:label 'PHZJAI' .</t>
  </si>
  <si>
    <t>:Tag_PH_LCYCGA a :DcsTag ; rdfs:label 'PH_LCYCGA' .</t>
  </si>
  <si>
    <t>:Tag_PH_LCYCGB a :DcsTag ; rdfs:label 'PH_LCYCGB' .</t>
  </si>
  <si>
    <t>:Tag_PI7AI a :DcsTag ; rdfs:label 'PI7AI' .</t>
  </si>
  <si>
    <t>:Tag_PIBYAI a :DcsTag ; rdfs:label 'PIBYAI' .</t>
  </si>
  <si>
    <t>:Tag_PIT540108 a :DcsTag ; rdfs:label 'PIT540108' .</t>
  </si>
  <si>
    <t>:Tag_PT_1001A a :DcsTag ; rdfs:label 'PT_1001A' .</t>
  </si>
  <si>
    <t>:Tag_PT_1001B a :DcsTag ; rdfs:label 'PT_1001B' .</t>
  </si>
  <si>
    <t>:Tag_PT_1001C a :DcsTag ; rdfs:label 'PT_1001C' .</t>
  </si>
  <si>
    <t>:Tag_PT_1001D a :DcsTag ; rdfs:label 'PT_1001D' .</t>
  </si>
  <si>
    <t>:Tag_PT_1001E a :DcsTag ; rdfs:label 'PT_1001E' .</t>
  </si>
  <si>
    <t>:Tag_PT_1002A a :DcsTag ; rdfs:label 'PT_1002A' .</t>
  </si>
  <si>
    <t>:Tag_PT_1002B a :DcsTag ; rdfs:label 'PT_1002B' .</t>
  </si>
  <si>
    <t>:Tag_PT_1002C a :DcsTag ; rdfs:label 'PT_1002C' .</t>
  </si>
  <si>
    <t>:Tag_PT_1002D a :DcsTag ; rdfs:label 'PT_1002D' .</t>
  </si>
  <si>
    <t>:Tag_PT_1002E a :DcsTag ; rdfs:label 'PT_1002E' .</t>
  </si>
  <si>
    <t>:Tag_PT_1020 a :DcsTag ; rdfs:label 'PT_1020' .</t>
  </si>
  <si>
    <t>:Tag_PT_1024 a :DcsTag ; rdfs:label 'PT_1024' .</t>
  </si>
  <si>
    <t>:Tag_PT_1025 a :DcsTag ; rdfs:label 'PT_1025' .</t>
  </si>
  <si>
    <t>:Tag_PT_1026A a :DcsTag ; rdfs:label 'PT_1026A' .</t>
  </si>
  <si>
    <t>:Tag_PT_1026B a :DcsTag ; rdfs:label 'PT_1026B' .</t>
  </si>
  <si>
    <t>:Tag_PT_1026C a :DcsTag ; rdfs:label 'PT_1026C' .</t>
  </si>
  <si>
    <t>:Tag_PT_1026D a :DcsTag ; rdfs:label 'PT_1026D' .</t>
  </si>
  <si>
    <t>:Tag_PT_1301 a :DcsTag ; rdfs:label 'PT_1301' .</t>
  </si>
  <si>
    <t>:Tag_PT_1501 a :DcsTag ; rdfs:label 'PT_1501' .</t>
  </si>
  <si>
    <t>:Tag_PT_2002A a :DcsTag ; rdfs:label 'PT_2002A' .</t>
  </si>
  <si>
    <t>:Tag_PT_2002B a :DcsTag ; rdfs:label 'PT_2002B' .</t>
  </si>
  <si>
    <t>:Tag_PT_2002C a :DcsTag ; rdfs:label 'PT_2002C' .</t>
  </si>
  <si>
    <t>:Tag_PT_2002D a :DcsTag ; rdfs:label 'PT_2002D' .</t>
  </si>
  <si>
    <t>:Tag_PT_2003A a :DcsTag ; rdfs:label 'PT_2003A' .</t>
  </si>
  <si>
    <t>:Tag_PT_2003B a :DcsTag ; rdfs:label 'PT_2003B' .</t>
  </si>
  <si>
    <t>:Tag_PT_2004A a :DcsTag ; rdfs:label 'PT_2004A' .</t>
  </si>
  <si>
    <t>:Tag_PT_2004B a :DcsTag ; rdfs:label 'PT_2004B' .</t>
  </si>
  <si>
    <t>:Tag_PT_2004C a :DcsTag ; rdfs:label 'PT_2004C' .</t>
  </si>
  <si>
    <t>:Tag_PT_2008 a :DcsTag ; rdfs:label 'PT_2008' .</t>
  </si>
  <si>
    <t>:Tag_PT_2015 a :DcsTag ; rdfs:label 'PT_2015' .</t>
  </si>
  <si>
    <t>:Tag_PT_3079 a :DcsTag ; rdfs:label 'PT_3079' .</t>
  </si>
  <si>
    <t>:Tag_PT_DZA a :DcsTag ; rdfs:label 'PT_DZA' .</t>
  </si>
  <si>
    <t>:Tag_PT_DZB a :DcsTag ; rdfs:label 'PT_DZB' .</t>
  </si>
  <si>
    <t>:Tag_P_1303A_RUN a :DcsTag ; rdfs:label 'P_1303A_RUN' .</t>
  </si>
  <si>
    <t>:Tag_P_1303B_RUN a :DcsTag ; rdfs:label 'P_1303B_RUN' .</t>
  </si>
  <si>
    <t>:Tag_P_1303C_RUN a :DcsTag ; rdfs:label 'P_1303C_RUN' .</t>
  </si>
  <si>
    <t>:Tag_P_1303D_RUN a :DcsTag ; rdfs:label 'P_1303D_RUN' .</t>
  </si>
  <si>
    <t>:Tag_P_1303E_RUN a :DcsTag ; rdfs:label 'P_1303E_RUN' .</t>
  </si>
  <si>
    <t>:Tag_P_1303F_RUN a :DcsTag ; rdfs:label 'P_1303F_RUN' .</t>
  </si>
  <si>
    <t>:Tag_RB_TG a :DcsTag ; rdfs:label 'RB_TG' .</t>
  </si>
  <si>
    <t>:Tag_RB_XJ a :DcsTag ; rdfs:label 'RB_XJ' .</t>
  </si>
  <si>
    <t>:Tag_SJGAB_PT a :DcsTag ; rdfs:label 'SJGAB_PT' .</t>
  </si>
  <si>
    <t>:Tag_SJGCD_PT a :DcsTag ; rdfs:label 'SJGCD_PT' .</t>
  </si>
  <si>
    <t>:Tag_SJGYW_A a :DcsTag ; rdfs:label 'SJGYW_A' .</t>
  </si>
  <si>
    <t>:Tag_SJGYW_B a :DcsTag ; rdfs:label 'SJGYW_B' .</t>
  </si>
  <si>
    <t>:Tag_SJGYW_C a :DcsTag ; rdfs:label 'SJGYW_C' .</t>
  </si>
  <si>
    <t>:Tag_SJGYW_D a :DcsTag ; rdfs:label 'SJGYW_D' .</t>
  </si>
  <si>
    <t>:Tag_SJGYW_E a :DcsTag ; rdfs:label 'SJGYW_E' .</t>
  </si>
  <si>
    <t>:Tag_SJGYW_F a :DcsTag ; rdfs:label 'SJGYW_F' .</t>
  </si>
  <si>
    <t>:Tag_SJ_NH3FLOW a :DcsTag ; rdfs:label 'SJ_NH3FLOW' .</t>
  </si>
  <si>
    <t>:Tag_TE3105A a :DcsTag ; rdfs:label 'TE3105A' .</t>
  </si>
  <si>
    <t>:Tag_TE3105B a :DcsTag ; rdfs:label 'TE3105B' .</t>
  </si>
  <si>
    <t>:Tag_TE3105C a :DcsTag ; rdfs:label 'TE3105C' .</t>
  </si>
  <si>
    <t>:Tag_TE3105D a :DcsTag ; rdfs:label 'TE3105D' .</t>
  </si>
  <si>
    <t>:Tag_TE_9001A a :DcsTag ; rdfs:label 'TE_9001A' .</t>
  </si>
  <si>
    <t>:Tag_TE_9001B a :DcsTag ; rdfs:label 'TE_9001B' .</t>
  </si>
  <si>
    <t>:Tag_TE_9001C a :DcsTag ; rdfs:label 'TE_9001C' .</t>
  </si>
  <si>
    <t>:Tag_TE_9004 a :DcsTag ; rdfs:label 'TE_9004' .</t>
  </si>
  <si>
    <t>:Tag_TE_BGWD a :DcsTag ; rdfs:label 'TE_BGWD' .</t>
  </si>
  <si>
    <t>:Tag_TE_CLWD a :DcsTag ; rdfs:label 'TE_CLWD' .</t>
  </si>
  <si>
    <t>:Tag_TE_FXG a :DcsTag ; rdfs:label 'TE_FXG' .</t>
  </si>
  <si>
    <t>:Tag_TE_NGWD a :DcsTag ; rdfs:label 'TE_NGWD' .</t>
  </si>
  <si>
    <t>:Tag_TIBY3AI a :DcsTag ; rdfs:label 'TIBY3AI' .</t>
  </si>
  <si>
    <t>:Tag_TIBYFAI a :DcsTag ; rdfs:label 'TIBYFAI' .</t>
  </si>
  <si>
    <t>:Tag_TIBYTAI a :DcsTag ; rdfs:label 'TIBYTAI' .</t>
  </si>
  <si>
    <t>:Tag_TICZCRFAI a :DcsTag ; rdfs:label 'TICZCRFAI' .</t>
  </si>
  <si>
    <t>:Tag_TICZCRTAI a :DcsTag ; rdfs:label 'TICZCRTAI' .</t>
  </si>
  <si>
    <t>:Tag_TICZZRFAI a :DcsTag ; rdfs:label 'TICZZRFAI' .</t>
  </si>
  <si>
    <t>:Tag_TICZZRTAI a :DcsTag ; rdfs:label 'TICZZRTAI' .</t>
  </si>
  <si>
    <t>:Tag_TIDCBFAI a :DcsTag ; rdfs:label 'TIDCBFAI' .</t>
  </si>
  <si>
    <t>:Tag_TIDCBTAI a :DcsTag ; rdfs:label 'TIDCBTAI' .</t>
  </si>
  <si>
    <t>:Tag_TIETFAI a :DcsTag ; rdfs:label 'TIETFAI' .</t>
  </si>
  <si>
    <t>:Tag_TIFSCTAI a :DcsTag ; rdfs:label 'TIFSCTAI' .</t>
  </si>
  <si>
    <t>:Tag_TIMYAFAI a :DcsTag ; rdfs:label 'TIMYAFAI' .</t>
  </si>
  <si>
    <t>:Tag_TIMYBFAI a :DcsTag ; rdfs:label 'TIMYBFAI' .</t>
  </si>
  <si>
    <t>:Tag_TIPSAAI a :DcsTag ; rdfs:label 'TIPSAAI' .</t>
  </si>
  <si>
    <t>:Tag_TIPSBAI a :DcsTag ; rdfs:label 'TIPSBAI' .</t>
  </si>
  <si>
    <t>:Tag_TIR_4608BC a :DcsTag ; rdfs:label 'TIR_4608BC' .</t>
  </si>
  <si>
    <t>:Tag_TISQYYWAI a :DcsTag ; rdfs:label 'TISQYYWAI' .</t>
  </si>
  <si>
    <t>:Tag_TITJCRAFAI a :DcsTag ; rdfs:label 'TITJCRAFAI' .</t>
  </si>
  <si>
    <t>:Tag_TITJCRATAI a :DcsTag ; rdfs:label 'TITJCRATAI' .</t>
  </si>
  <si>
    <t>:Tag_TITJCRBFAI a :DcsTag ; rdfs:label 'TITJCRBFAI' .</t>
  </si>
  <si>
    <t>:Tag_TITJCRBTAI a :DcsTag ; rdfs:label 'TITJCRBTAI' .</t>
  </si>
  <si>
    <t>:Tag_TITJCTAFAI a :DcsTag ; rdfs:label 'TITJCTAFAI' .</t>
  </si>
  <si>
    <t>:Tag_TITJCTBFAI a :DcsTag ; rdfs:label 'TITJCTBFAI' .</t>
  </si>
  <si>
    <t>:Tag_TI_1001 a :DcsTag ; rdfs:label 'TI_1001' .</t>
  </si>
  <si>
    <t>:Tag_TI_1002 a :DcsTag ; rdfs:label 'TI_1002' .</t>
  </si>
  <si>
    <t>:Tag_TI_1003A a :DcsTag ; rdfs:label 'TI_1003A' .</t>
  </si>
  <si>
    <t>:Tag_TI_1003B a :DcsTag ; rdfs:label 'TI_1003B' .</t>
  </si>
  <si>
    <t>:Tag_TI_1003C a :DcsTag ; rdfs:label 'TI_1003C' .</t>
  </si>
  <si>
    <t>:Tag_TI_1003D a :DcsTag ; rdfs:label 'TI_1003D' .</t>
  </si>
  <si>
    <t>:Tag_TI_1005A a :DcsTag ; rdfs:label 'TI_1005A' .</t>
  </si>
  <si>
    <t>:Tag_TI_1005B a :DcsTag ; rdfs:label 'TI_1005B' .</t>
  </si>
  <si>
    <t>:Tag_TI_1006A a :DcsTag ; rdfs:label 'TI_1006A' .</t>
  </si>
  <si>
    <t>:Tag_TI_1006B a :DcsTag ; rdfs:label 'TI_1006B' .</t>
  </si>
  <si>
    <t>:Tag_TI_1006C a :DcsTag ; rdfs:label 'TI_1006C' .</t>
  </si>
  <si>
    <t>:Tag_TI_1007 a :DcsTag ; rdfs:label 'TI_1007' .</t>
  </si>
  <si>
    <t>:Tag_TI_1009 a :DcsTag ; rdfs:label 'TI_1009' .</t>
  </si>
  <si>
    <t>:Tag_TI_1010A a :DcsTag ; rdfs:label 'TI_1010A' .</t>
  </si>
  <si>
    <t>:Tag_TI_1010B a :DcsTag ; rdfs:label 'TI_1010B' .</t>
  </si>
  <si>
    <t>:Tag_TI_1101 a :DcsTag ; rdfs:label 'TI_1101' .</t>
  </si>
  <si>
    <t>:Tag_TI_1201 a :DcsTag ; rdfs:label 'TI_1201' .</t>
  </si>
  <si>
    <t>:Tag_TI_1202 a :DcsTag ; rdfs:label 'TI_1202' .</t>
  </si>
  <si>
    <t>:Tag_TI_1203A a :DcsTag ; rdfs:label 'TI_1203A' .</t>
  </si>
  <si>
    <t>:Tag_TI_1203B a :DcsTag ; rdfs:label 'TI_1203B' .</t>
  </si>
  <si>
    <t>:Tag_TI_1301A a :DcsTag ; rdfs:label 'TI_1301A' .</t>
  </si>
  <si>
    <t>:Tag_TI_1301B a :DcsTag ; rdfs:label 'TI_1301B' .</t>
  </si>
  <si>
    <t>:Tag_TI_1301C a :DcsTag ; rdfs:label 'TI_1301C' .</t>
  </si>
  <si>
    <t>:Tag_TI_1301D a :DcsTag ; rdfs:label 'TI_1301D' .</t>
  </si>
  <si>
    <t>:Tag_TI_1301E a :DcsTag ; rdfs:label 'TI_1301E' .</t>
  </si>
  <si>
    <t>:Tag_TI_1301F a :DcsTag ; rdfs:label 'TI_1301F' .</t>
  </si>
  <si>
    <t>:Tag_TI_1301G a :DcsTag ; rdfs:label 'TI_1301G' .</t>
  </si>
  <si>
    <t>:Tag_TI_1301H a :DcsTag ; rdfs:label 'TI_1301H' .</t>
  </si>
  <si>
    <t>:Tag_TI_1301J a :DcsTag ; rdfs:label 'TI_1301J' .</t>
  </si>
  <si>
    <t>:Tag_TI_1301K a :DcsTag ; rdfs:label 'TI_1301K' .</t>
  </si>
  <si>
    <t>:Tag_TI_1301L a :DcsTag ; rdfs:label 'TI_1301L' .</t>
  </si>
  <si>
    <t>:Tag_TI_1302 a :DcsTag ; rdfs:label 'TI_1302' .</t>
  </si>
  <si>
    <t>:Tag_TI_1303 a :DcsTag ; rdfs:label 'TI_1303' .</t>
  </si>
  <si>
    <t>:Tag_TI_1304 a :DcsTag ; rdfs:label 'TI_1304' .</t>
  </si>
  <si>
    <t>:Tag_TI_1305A a :DcsTag ; rdfs:label 'TI_1305A' .</t>
  </si>
  <si>
    <t>:Tag_TI_1305B a :DcsTag ; rdfs:label 'TI_1305B' .</t>
  </si>
  <si>
    <t>:Tag_TI_1306 a :DcsTag ; rdfs:label 'TI_1306' .</t>
  </si>
  <si>
    <t>:Tag_TI_1307C a :DcsTag ; rdfs:label 'TI_1307C' .</t>
  </si>
  <si>
    <t>:Tag_TI_1307D a :DcsTag ; rdfs:label 'TI_1307D' .</t>
  </si>
  <si>
    <t>:Tag_TI_1308B a :DcsTag ; rdfs:label 'TI_1308B' .</t>
  </si>
  <si>
    <t>:Tag_TI_1310 a :DcsTag ; rdfs:label 'TI_1310' .</t>
  </si>
  <si>
    <t>:Tag_TI_1311A a :DcsTag ; rdfs:label 'TI_1311A' .</t>
  </si>
  <si>
    <t>:Tag_TI_1311B a :DcsTag ; rdfs:label 'TI_1311B' .</t>
  </si>
  <si>
    <t>:Tag_TI_1311C a :DcsTag ; rdfs:label 'TI_1311C' .</t>
  </si>
  <si>
    <t>:Tag_TI_1311D a :DcsTag ; rdfs:label 'TI_1311D' .</t>
  </si>
  <si>
    <t>:Tag_TI_1338 a :DcsTag ; rdfs:label 'TI_1338' .</t>
  </si>
  <si>
    <t>:Tag_TI_1404 a :DcsTag ; rdfs:label 'TI_1404' .</t>
  </si>
  <si>
    <t>:Tag_TI_1405 a :DcsTag ; rdfs:label 'TI_1405' .</t>
  </si>
  <si>
    <t>:Tag_TI_1407_A1 a :DcsTag ; rdfs:label 'TI_1407_A1' .</t>
  </si>
  <si>
    <t>:Tag_TI_1407_A10 a :DcsTag ; rdfs:label 'TI_1407_A10' .</t>
  </si>
  <si>
    <t>:Tag_TI_1407_A11 a :DcsTag ; rdfs:label 'TI_1407_A11' .</t>
  </si>
  <si>
    <t>:Tag_TI_1407_A12 a :DcsTag ; rdfs:label 'TI_1407_A12' .</t>
  </si>
  <si>
    <t>:Tag_TI_1407_A13 a :DcsTag ; rdfs:label 'TI_1407_A13' .</t>
  </si>
  <si>
    <t>:Tag_TI_1407_A14 a :DcsTag ; rdfs:label 'TI_1407_A14' .</t>
  </si>
  <si>
    <t>:Tag_TI_1407_A2 a :DcsTag ; rdfs:label 'TI_1407_A2' .</t>
  </si>
  <si>
    <t>:Tag_TI_1407_A3 a :DcsTag ; rdfs:label 'TI_1407_A3' .</t>
  </si>
  <si>
    <t>:Tag_TI_1407_A4 a :DcsTag ; rdfs:label 'TI_1407_A4' .</t>
  </si>
  <si>
    <t>:Tag_TI_1407_A5 a :DcsTag ; rdfs:label 'TI_1407_A5' .</t>
  </si>
  <si>
    <t>:Tag_TI_1407_A6 a :DcsTag ; rdfs:label 'TI_1407_A6' .</t>
  </si>
  <si>
    <t>:Tag_TI_1407_A7 a :DcsTag ; rdfs:label 'TI_1407_A7' .</t>
  </si>
  <si>
    <t>:Tag_TI_1407_A8 a :DcsTag ; rdfs:label 'TI_1407_A8' .</t>
  </si>
  <si>
    <t>:Tag_TI_1407_A9 a :DcsTag ; rdfs:label 'TI_1407_A9' .</t>
  </si>
  <si>
    <t>:Tag_TI_1501A a :DcsTag ; rdfs:label 'TI_1501A' .</t>
  </si>
  <si>
    <t>:Tag_TI_1501B a :DcsTag ; rdfs:label 'TI_1501B' .</t>
  </si>
  <si>
    <t>:Tag_TI_2001 a :DcsTag ; rdfs:label 'TI_2001' .</t>
  </si>
  <si>
    <t>:Tag_TI_CQ01 a :DcsTag ; rdfs:label 'TI_CQ01' .</t>
  </si>
  <si>
    <t>:Tag_TI_CQ02 a :DcsTag ; rdfs:label 'TI_CQ02' .</t>
  </si>
  <si>
    <t>:Tag_TI_DZA a :DcsTag ; rdfs:label 'TI_DZA' .</t>
  </si>
  <si>
    <t>:Tag_TI_DZB a :DcsTag ; rdfs:label 'TI_DZB' .</t>
  </si>
  <si>
    <t>:Tag_WQ101DL_FK a :DcsTag ; rdfs:label 'WQ101DL_FK' .</t>
  </si>
  <si>
    <t>:Tag_WQ101PL_FK a :DcsTag ; rdfs:label 'WQ101PL_FK' .</t>
  </si>
  <si>
    <t>:Tag_WQ102DL_FK a :DcsTag ; rdfs:label 'WQ102DL_FK' .</t>
  </si>
  <si>
    <t>:Tag_WQ102PL_FK a :DcsTag ; rdfs:label 'WQ102PL_FK' .</t>
  </si>
  <si>
    <t>:Tag_WQ103DL_FK a :DcsTag ; rdfs:label 'WQ103DL_FK' .</t>
  </si>
  <si>
    <t>:Tag_WQ103PL_FK a :DcsTag ; rdfs:label 'WQ103PL_FK' .</t>
  </si>
  <si>
    <t>:Tag_WS_101_01 a :DcsTag ; rdfs:label 'WS_101_01' .</t>
  </si>
  <si>
    <t>:Tag_WS_101_02 a :DcsTag ; rdfs:label 'WS_101_02' .</t>
  </si>
  <si>
    <t>:Tag_WS_102_01 a :DcsTag ; rdfs:label 'WS_102_01' .</t>
  </si>
  <si>
    <t>:Tag_WS_102_02 a :DcsTag ; rdfs:label 'WS_102_02' .</t>
  </si>
  <si>
    <t>:Tag_WS_103_01 a :DcsTag ; rdfs:label 'WS_103_01' .</t>
  </si>
  <si>
    <t>:Tag_WS_103_02 a :DcsTag ; rdfs:label 'WS_103_02' .</t>
  </si>
  <si>
    <t>:Tag_ZU_2001A a :DcsTag ; rdfs:label 'ZU_2001A' .</t>
  </si>
  <si>
    <t>:Tag_ZU_2001B a :DcsTag ; rdfs:label 'ZU_2001B' .</t>
  </si>
  <si>
    <t>:Tag_ZU_2001C a :DcsTag ; rdfs:label 'ZU_2001C' .</t>
  </si>
  <si>
    <t>:Tag_ZU_2001D a :DcsTag ; rdfs:label 'ZU_2001D' .</t>
  </si>
  <si>
    <t>:Tag_ZU_9001A a :DcsTag ; rdfs:label 'ZU_9001A' .</t>
  </si>
  <si>
    <t>:Tag_ZU_9001B a :DcsTag ; rdfs:label 'ZU_9001B' .</t>
  </si>
  <si>
    <r>
      <rPr>
        <sz val="10"/>
        <color rgb="FF1F4E79"/>
        <rFont val="Consolas"/>
        <family val="3"/>
      </rPr>
      <t xml:space="preserve"># === 4. </t>
    </r>
    <r>
      <rPr>
        <sz val="10"/>
        <color rgb="FF1F4E79"/>
        <rFont val="Noto Sans CJK SC"/>
        <family val="2"/>
      </rPr>
      <t xml:space="preserve">关系三元组 </t>
    </r>
    <r>
      <rPr>
        <sz val="10"/>
        <color rgb="FF1F4E79"/>
        <rFont val="Consolas"/>
        <family val="3"/>
      </rPr>
      <t>(</t>
    </r>
    <r>
      <rPr>
        <sz val="10"/>
        <color rgb="FF1F4E79"/>
        <rFont val="Noto Sans CJK SC"/>
        <family val="2"/>
      </rPr>
      <t>按工段</t>
    </r>
    <r>
      <rPr>
        <sz val="10"/>
        <color rgb="FF1F4E79"/>
        <rFont val="Consolas"/>
        <family val="3"/>
      </rPr>
      <t>) ===</t>
    </r>
  </si>
  <si>
    <r>
      <rPr>
        <sz val="10"/>
        <rFont val="Consolas"/>
        <family val="3"/>
      </rPr>
      <t xml:space="preserve">
# --- S01 </t>
    </r>
    <r>
      <rPr>
        <sz val="10"/>
        <rFont val="Noto Sans CJK SC"/>
        <family val="2"/>
      </rPr>
      <t>提取</t>
    </r>
    <r>
      <rPr>
        <sz val="10"/>
        <rFont val="Consolas"/>
        <family val="3"/>
      </rPr>
      <t>·RSE300</t>
    </r>
    <r>
      <rPr>
        <sz val="10"/>
        <rFont val="Noto Sans CJK SC"/>
        <family val="2"/>
      </rPr>
      <t>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二萃 </t>
    </r>
    <r>
      <rPr>
        <sz val="10"/>
        <rFont val="Consolas"/>
        <family val="3"/>
      </rPr>
      <t>---</t>
    </r>
  </si>
  <si>
    <r>
      <rPr>
        <sz val="10"/>
        <rFont val="Consolas"/>
        <family val="3"/>
      </rPr>
      <t xml:space="preserve">:Area_S01_Extraction_RSE300 :connectedToNext :Area_S02_Extraction_RSE200 .   # R0001 </t>
    </r>
    <r>
      <rPr>
        <sz val="10"/>
        <rFont val="Noto Sans CJK SC"/>
        <family val="2"/>
      </rPr>
      <t>提取</t>
    </r>
    <r>
      <rPr>
        <sz val="10"/>
        <rFont val="Consolas"/>
        <family val="3"/>
      </rPr>
      <t>·RSE300</t>
    </r>
    <r>
      <rPr>
        <sz val="10"/>
        <rFont val="Noto Sans CJK SC"/>
        <family val="2"/>
      </rPr>
      <t>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二萃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提取</t>
    </r>
    <r>
      <rPr>
        <sz val="10"/>
        <rFont val="Consolas"/>
        <family val="3"/>
      </rPr>
      <t>·RSE200</t>
    </r>
    <r>
      <rPr>
        <sz val="10"/>
        <rFont val="Noto Sans CJK SC"/>
        <family val="2"/>
      </rPr>
      <t>三萃及溶媒周转</t>
    </r>
  </si>
  <si>
    <r>
      <rPr>
        <sz val="10"/>
        <rFont val="Consolas"/>
        <family val="3"/>
      </rPr>
      <t xml:space="preserve">:Area_S01_Extraction_RSE300 :connectedToNext :Area_S05_BAWashing .   # R0002 </t>
    </r>
    <r>
      <rPr>
        <sz val="10"/>
        <rFont val="Noto Sans CJK SC"/>
        <family val="2"/>
      </rPr>
      <t>提取</t>
    </r>
    <r>
      <rPr>
        <sz val="10"/>
        <rFont val="Consolas"/>
        <family val="3"/>
      </rPr>
      <t>·RSE300</t>
    </r>
    <r>
      <rPr>
        <sz val="10"/>
        <rFont val="Noto Sans CJK SC"/>
        <family val="2"/>
      </rPr>
      <t>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二萃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>-&gt; BA</t>
    </r>
    <r>
      <rPr>
        <sz val="10"/>
        <rFont val="Noto Sans CJK SC"/>
        <family val="2"/>
      </rPr>
      <t>水洗</t>
    </r>
  </si>
  <si>
    <r>
      <rPr>
        <sz val="10"/>
        <rFont val="Consolas"/>
        <family val="3"/>
      </rPr>
      <t xml:space="preserve">:Area_S01_Extraction_RSE300 :hasEquipment :FiltrateTankGroup .   # R0003 </t>
    </r>
    <r>
      <rPr>
        <sz val="10"/>
        <rFont val="Noto Sans CJK SC"/>
        <family val="2"/>
      </rPr>
      <t>提取</t>
    </r>
    <r>
      <rPr>
        <sz val="10"/>
        <rFont val="Consolas"/>
        <family val="3"/>
      </rPr>
      <t>·RSE300</t>
    </r>
    <r>
      <rPr>
        <sz val="10"/>
        <rFont val="Noto Sans CJK SC"/>
        <family val="2"/>
      </rPr>
      <t>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二萃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发酵滤液储罐组</t>
    </r>
  </si>
  <si>
    <r>
      <rPr>
        <sz val="10"/>
        <rFont val="Consolas"/>
        <family val="3"/>
      </rPr>
      <t xml:space="preserve">:FiltrateTankGroup :hasMember :FiltrateTankGroup_M01 .   # R0004 </t>
    </r>
    <r>
      <rPr>
        <sz val="10"/>
        <rFont val="Noto Sans CJK SC"/>
        <family val="2"/>
      </rPr>
      <t xml:space="preserve">发酵滤液储罐组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滤液储罐</t>
    </r>
    <r>
      <rPr>
        <sz val="10"/>
        <rFont val="Consolas"/>
        <family val="3"/>
      </rPr>
      <t>T2101(</t>
    </r>
    <r>
      <rPr>
        <sz val="10"/>
        <rFont val="Noto Sans CJK SC"/>
        <family val="2"/>
      </rPr>
      <t>滤液罐</t>
    </r>
    <r>
      <rPr>
        <sz val="10"/>
        <rFont val="Consolas"/>
        <family val="3"/>
      </rPr>
      <t>A)</t>
    </r>
  </si>
  <si>
    <r>
      <rPr>
        <sz val="10"/>
        <rFont val="Consolas"/>
        <family val="3"/>
      </rPr>
      <t xml:space="preserve">:FiltrateTankGroup :hasMember :FiltrateTankGroup_M02 .   # R0005 </t>
    </r>
    <r>
      <rPr>
        <sz val="10"/>
        <rFont val="Noto Sans CJK SC"/>
        <family val="2"/>
      </rPr>
      <t xml:space="preserve">发酵滤液储罐组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滤液罐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</si>
  <si>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:FiltrateTankGroup :hasPart :FiltrateTankGroup_P01 .   # R0006 </t>
    </r>
    <r>
      <rPr>
        <sz val="10"/>
        <rFont val="Noto Sans CJK SC"/>
        <family val="2"/>
      </rPr>
      <t xml:space="preserve">发酵滤液储罐组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发酵滤液储罐组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</si>
  <si>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:FiltrateTankGroup :hasPart :FiltrateTankGroup_P02 .   # R0007 </t>
    </r>
    <r>
      <rPr>
        <sz val="10"/>
        <rFont val="Noto Sans CJK SC"/>
        <family val="2"/>
      </rPr>
      <t xml:space="preserve">发酵滤液储罐组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发酵滤液储罐组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温度计</t>
    </r>
  </si>
  <si>
    <r>
      <rPr>
        <sz val="10"/>
        <rFont val="Consolas"/>
        <family val="3"/>
      </rPr>
      <t xml:space="preserve">:Area_S01_Extraction_RSE300 :hasEquipment :FiltratePumpGroup .   # R0008 </t>
    </r>
    <r>
      <rPr>
        <sz val="10"/>
        <rFont val="Noto Sans CJK SC"/>
        <family val="2"/>
      </rPr>
      <t>提取</t>
    </r>
    <r>
      <rPr>
        <sz val="10"/>
        <rFont val="Consolas"/>
        <family val="3"/>
      </rPr>
      <t>·RSE300</t>
    </r>
    <r>
      <rPr>
        <sz val="10"/>
        <rFont val="Noto Sans CJK SC"/>
        <family val="2"/>
      </rPr>
      <t>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二萃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滤液泵组</t>
    </r>
  </si>
  <si>
    <r>
      <rPr>
        <sz val="10"/>
        <rFont val="Consolas"/>
        <family val="3"/>
      </rPr>
      <t xml:space="preserve">:FiltratePumpGroup :hasMember :FiltratePumpGroup_M01 .   # R0009 </t>
    </r>
    <r>
      <rPr>
        <sz val="10"/>
        <rFont val="Noto Sans CJK SC"/>
        <family val="2"/>
      </rPr>
      <t xml:space="preserve">滤液泵组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滤液泵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</si>
  <si>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:FiltratePumpGroup :hasMember :FiltratePumpGroup_M02 .   # R0010 </t>
    </r>
    <r>
      <rPr>
        <sz val="10"/>
        <rFont val="Noto Sans CJK SC"/>
        <family val="2"/>
      </rPr>
      <t xml:space="preserve">滤液泵组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滤液泵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</si>
  <si>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:FiltratePumpGroup :hasMember :FiltratePumpGroup_M03 .   # R0011 </t>
    </r>
    <r>
      <rPr>
        <sz val="10"/>
        <rFont val="Noto Sans CJK SC"/>
        <family val="2"/>
      </rPr>
      <t xml:space="preserve">滤液泵组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滤液泵</t>
    </r>
    <r>
      <rPr>
        <sz val="10"/>
        <rFont val="Consolas"/>
        <family val="3"/>
      </rPr>
      <t>C</t>
    </r>
  </si>
  <si>
    <r>
      <rPr>
        <sz val="10"/>
        <rFont val="Consolas"/>
        <family val="3"/>
      </rPr>
      <t xml:space="preserve">:FiltratePumpGroup :hasMember :FiltratePumpGroup_M04 .   # R0012 </t>
    </r>
    <r>
      <rPr>
        <sz val="10"/>
        <rFont val="Noto Sans CJK SC"/>
        <family val="2"/>
      </rPr>
      <t xml:space="preserve">滤液泵组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滤液泵</t>
    </r>
    <r>
      <rPr>
        <sz val="10"/>
        <rFont val="Consolas"/>
        <family val="3"/>
      </rPr>
      <t>D</t>
    </r>
  </si>
  <si>
    <r>
      <rPr>
        <sz val="10"/>
        <rFont val="Consolas"/>
        <family val="3"/>
      </rPr>
      <t xml:space="preserve">:FiltratePumpGroup :hasMember :FiltratePumpGroup_M05 .   # R0013 </t>
    </r>
    <r>
      <rPr>
        <sz val="10"/>
        <rFont val="Noto Sans CJK SC"/>
        <family val="2"/>
      </rPr>
      <t xml:space="preserve">滤液泵组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滤液泵</t>
    </r>
    <r>
      <rPr>
        <sz val="10"/>
        <rFont val="Consolas"/>
        <family val="3"/>
      </rPr>
      <t>E</t>
    </r>
  </si>
  <si>
    <r>
      <rPr>
        <sz val="10"/>
        <rFont val="Consolas"/>
        <family val="3"/>
      </rPr>
      <t xml:space="preserve">:FiltratePumpGroup :hasMember :FiltratePumpGroup_M06 .   # R0014 </t>
    </r>
    <r>
      <rPr>
        <sz val="10"/>
        <rFont val="Noto Sans CJK SC"/>
        <family val="2"/>
      </rPr>
      <t xml:space="preserve">滤液泵组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滤液泵</t>
    </r>
    <r>
      <rPr>
        <sz val="10"/>
        <rFont val="Consolas"/>
        <family val="3"/>
      </rPr>
      <t>F</t>
    </r>
  </si>
  <si>
    <r>
      <rPr>
        <sz val="10"/>
        <rFont val="Consolas"/>
        <family val="3"/>
      </rPr>
      <t xml:space="preserve">:FiltratePumpGroup :hasPart :FiltratePumpGroup_P01 .   # R0015 </t>
    </r>
    <r>
      <rPr>
        <sz val="10"/>
        <rFont val="Noto Sans CJK SC"/>
        <family val="2"/>
      </rPr>
      <t xml:space="preserve">滤液泵组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滤液泵组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电机</t>
    </r>
  </si>
  <si>
    <r>
      <rPr>
        <sz val="10"/>
        <rFont val="Consolas"/>
        <family val="3"/>
      </rPr>
      <t xml:space="preserve">:Area_S01_Extraction_RSE300 :hasEquipment :RSE300CentrifugeGroup .   # R0016 </t>
    </r>
    <r>
      <rPr>
        <sz val="10"/>
        <rFont val="Noto Sans CJK SC"/>
        <family val="2"/>
      </rPr>
      <t>提取</t>
    </r>
    <r>
      <rPr>
        <sz val="10"/>
        <rFont val="Consolas"/>
        <family val="3"/>
      </rPr>
      <t>·RSE300</t>
    </r>
    <r>
      <rPr>
        <sz val="10"/>
        <rFont val="Noto Sans CJK SC"/>
        <family val="2"/>
      </rPr>
      <t>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二萃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>-&gt; RSE300</t>
    </r>
    <r>
      <rPr>
        <sz val="10"/>
        <rFont val="Noto Sans CJK SC"/>
        <family val="2"/>
      </rPr>
      <t>提取离心机组</t>
    </r>
  </si>
  <si>
    <r>
      <rPr>
        <sz val="10"/>
        <rFont val="Consolas"/>
        <family val="3"/>
      </rPr>
      <t>:RSE300CentrifugeGroup :hasMember :RSE300CentrifugeGroup_M01 .   # R0017 RSE300</t>
    </r>
    <r>
      <rPr>
        <sz val="10"/>
        <rFont val="Noto Sans CJK SC"/>
        <family val="2"/>
      </rPr>
      <t xml:space="preserve">提取离心机组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提取离心机</t>
    </r>
    <r>
      <rPr>
        <sz val="10"/>
        <rFont val="Consolas"/>
        <family val="3"/>
      </rPr>
      <t>1(II_10CQA)</t>
    </r>
  </si>
  <si>
    <r>
      <rPr>
        <sz val="10"/>
        <rFont val="Consolas"/>
        <family val="3"/>
      </rPr>
      <t>:RSE300CentrifugeGroup :hasMember :RSE300CentrifugeGroup_M02 .   # R0018 RSE300</t>
    </r>
    <r>
      <rPr>
        <sz val="10"/>
        <rFont val="Noto Sans CJK SC"/>
        <family val="2"/>
      </rPr>
      <t xml:space="preserve">提取离心机组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提取离心机</t>
    </r>
    <r>
      <rPr>
        <sz val="10"/>
        <rFont val="Consolas"/>
        <family val="3"/>
      </rPr>
      <t>2(II_10CQB)</t>
    </r>
  </si>
  <si>
    <r>
      <rPr>
        <sz val="10"/>
        <rFont val="Consolas"/>
        <family val="3"/>
      </rPr>
      <t>:RSE300CentrifugeGroup :hasMember :RSE300CentrifugeGroup_M03 .   # R0019 RSE300</t>
    </r>
    <r>
      <rPr>
        <sz val="10"/>
        <rFont val="Noto Sans CJK SC"/>
        <family val="2"/>
      </rPr>
      <t xml:space="preserve">提取离心机组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提取离心机</t>
    </r>
    <r>
      <rPr>
        <sz val="10"/>
        <rFont val="Consolas"/>
        <family val="3"/>
      </rPr>
      <t>3(II_10CQC)</t>
    </r>
  </si>
  <si>
    <r>
      <rPr>
        <sz val="10"/>
        <rFont val="Consolas"/>
        <family val="3"/>
      </rPr>
      <t>:RSE300CentrifugeGroup :hasMember :RSE300CentrifugeGroup_M04 .   # R0020 RSE300</t>
    </r>
    <r>
      <rPr>
        <sz val="10"/>
        <rFont val="Noto Sans CJK SC"/>
        <family val="2"/>
      </rPr>
      <t xml:space="preserve">提取离心机组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提取离心机</t>
    </r>
    <r>
      <rPr>
        <sz val="10"/>
        <rFont val="Consolas"/>
        <family val="3"/>
      </rPr>
      <t>4(II_10CQD)</t>
    </r>
  </si>
  <si>
    <r>
      <rPr>
        <sz val="10"/>
        <rFont val="Consolas"/>
        <family val="3"/>
      </rPr>
      <t>:RSE300CentrifugeGroup :hasMember :RSE300CentrifugeGroup_M05 .   # R0021 RSE300</t>
    </r>
    <r>
      <rPr>
        <sz val="10"/>
        <rFont val="Noto Sans CJK SC"/>
        <family val="2"/>
      </rPr>
      <t xml:space="preserve">提取离心机组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提取离心机</t>
    </r>
    <r>
      <rPr>
        <sz val="10"/>
        <rFont val="Consolas"/>
        <family val="3"/>
      </rPr>
      <t>5(II_10CQE)</t>
    </r>
  </si>
  <si>
    <r>
      <rPr>
        <sz val="10"/>
        <rFont val="Consolas"/>
        <family val="3"/>
      </rPr>
      <t>:RSE300CentrifugeGroup :hasMember :RSE300CentrifugeGroup_M06 .   # R0022 RSE300</t>
    </r>
    <r>
      <rPr>
        <sz val="10"/>
        <rFont val="Noto Sans CJK SC"/>
        <family val="2"/>
      </rPr>
      <t xml:space="preserve">提取离心机组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提取离心机</t>
    </r>
    <r>
      <rPr>
        <sz val="10"/>
        <rFont val="Consolas"/>
        <family val="3"/>
      </rPr>
      <t>6(II_10CQF)</t>
    </r>
  </si>
  <si>
    <r>
      <rPr>
        <sz val="10"/>
        <rFont val="Consolas"/>
        <family val="3"/>
      </rPr>
      <t>:RSE300CentrifugeGroup :hasPart :RSE300CentrifugeGroup_P01 .   # R0023 RSE300</t>
    </r>
    <r>
      <rPr>
        <sz val="10"/>
        <rFont val="Noto Sans CJK SC"/>
        <family val="2"/>
      </rPr>
      <t xml:space="preserve">提取离心机组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-&gt; RSE300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碟片分离转鼓</t>
    </r>
  </si>
  <si>
    <r>
      <rPr>
        <sz val="10"/>
        <rFont val="Consolas"/>
        <family val="3"/>
      </rPr>
      <t>:RSE300CentrifugeGroup :hasPart :RSE300CentrifugeGroup_P02 .   # R0024 RSE300</t>
    </r>
    <r>
      <rPr>
        <sz val="10"/>
        <rFont val="Noto Sans CJK SC"/>
        <family val="2"/>
      </rPr>
      <t xml:space="preserve">提取离心机组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-&gt; RSE300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轻相向心泵</t>
    </r>
  </si>
  <si>
    <r>
      <rPr>
        <sz val="10"/>
        <rFont val="Consolas"/>
        <family val="3"/>
      </rPr>
      <t>:RSE300CentrifugeGroup :hasPart :RSE300CentrifugeGroup_P03 .   # R0025 RSE300</t>
    </r>
    <r>
      <rPr>
        <sz val="10"/>
        <rFont val="Noto Sans CJK SC"/>
        <family val="2"/>
      </rPr>
      <t xml:space="preserve">提取离心机组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-&gt; RSE300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重相向心泵</t>
    </r>
  </si>
  <si>
    <r>
      <rPr>
        <sz val="10"/>
        <rFont val="Consolas"/>
        <family val="3"/>
      </rPr>
      <t>:RSE300CentrifugeGroup :hasPart :RSE300CentrifugeGroup_P04 .   # R0026 RSE300</t>
    </r>
    <r>
      <rPr>
        <sz val="10"/>
        <rFont val="Noto Sans CJK SC"/>
        <family val="2"/>
      </rPr>
      <t xml:space="preserve">提取离心机组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-&gt; RSE300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主电机</t>
    </r>
  </si>
  <si>
    <r>
      <rPr>
        <sz val="10"/>
        <rFont val="Consolas"/>
        <family val="3"/>
      </rPr>
      <t>:RSE300CentrifugeGroup :hasPart :RSE300CentrifugeGroup_P05 .   # R0027 RSE300</t>
    </r>
    <r>
      <rPr>
        <sz val="10"/>
        <rFont val="Noto Sans CJK SC"/>
        <family val="2"/>
      </rPr>
      <t xml:space="preserve">提取离心机组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-&gt; RSE300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进料调节阀</t>
    </r>
  </si>
  <si>
    <r>
      <rPr>
        <sz val="10"/>
        <rFont val="Consolas"/>
        <family val="3"/>
      </rPr>
      <t xml:space="preserve">:Area_S01_Extraction_RSE300 :hasEquipment :AcidMixerM2123 .   # R0028 </t>
    </r>
    <r>
      <rPr>
        <sz val="10"/>
        <rFont val="Noto Sans CJK SC"/>
        <family val="2"/>
      </rPr>
      <t>提取</t>
    </r>
    <r>
      <rPr>
        <sz val="10"/>
        <rFont val="Consolas"/>
        <family val="3"/>
      </rPr>
      <t>·RSE300</t>
    </r>
    <r>
      <rPr>
        <sz val="10"/>
        <rFont val="Noto Sans CJK SC"/>
        <family val="2"/>
      </rPr>
      <t>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二萃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稀硫酸在线混合器</t>
    </r>
    <r>
      <rPr>
        <sz val="10"/>
        <rFont val="Consolas"/>
        <family val="3"/>
      </rPr>
      <t>M2123</t>
    </r>
  </si>
  <si>
    <r>
      <rPr>
        <sz val="10"/>
        <rFont val="Consolas"/>
        <family val="3"/>
      </rPr>
      <t xml:space="preserve">:AcidMixerM2123 :hasMember :AcidMixerM2123_M01 .   # R0029 </t>
    </r>
    <r>
      <rPr>
        <sz val="10"/>
        <rFont val="Noto Sans CJK SC"/>
        <family val="2"/>
      </rPr>
      <t>稀硫酸在线混合器</t>
    </r>
    <r>
      <rPr>
        <sz val="10"/>
        <rFont val="Consolas"/>
        <family val="3"/>
      </rPr>
      <t>M2123 -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M2123A</t>
    </r>
  </si>
  <si>
    <r>
      <rPr>
        <sz val="10"/>
        <rFont val="Consolas"/>
        <family val="3"/>
      </rPr>
      <t xml:space="preserve">:AcidMixerM2123 :hasMember :AcidMixerM2123_M02 .   # R0030 </t>
    </r>
    <r>
      <rPr>
        <sz val="10"/>
        <rFont val="Noto Sans CJK SC"/>
        <family val="2"/>
      </rPr>
      <t>稀硫酸在线混合器</t>
    </r>
    <r>
      <rPr>
        <sz val="10"/>
        <rFont val="Consolas"/>
        <family val="3"/>
      </rPr>
      <t>M2123 -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M2123B</t>
    </r>
  </si>
  <si>
    <r>
      <rPr>
        <sz val="10"/>
        <rFont val="Consolas"/>
        <family val="3"/>
      </rPr>
      <t xml:space="preserve">:AcidMixerM2123 :hasMember :AcidMixerM2123_M03 .   # R0031 </t>
    </r>
    <r>
      <rPr>
        <sz val="10"/>
        <rFont val="Noto Sans CJK SC"/>
        <family val="2"/>
      </rPr>
      <t>稀硫酸在线混合器</t>
    </r>
    <r>
      <rPr>
        <sz val="10"/>
        <rFont val="Consolas"/>
        <family val="3"/>
      </rPr>
      <t>M2123 -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M2123C</t>
    </r>
  </si>
  <si>
    <r>
      <rPr>
        <sz val="10"/>
        <rFont val="Consolas"/>
        <family val="3"/>
      </rPr>
      <t xml:space="preserve">:AcidMixerM2123 :hasMember :AcidMixerM2123_M04 .   # R0032 </t>
    </r>
    <r>
      <rPr>
        <sz val="10"/>
        <rFont val="Noto Sans CJK SC"/>
        <family val="2"/>
      </rPr>
      <t>稀硫酸在线混合器</t>
    </r>
    <r>
      <rPr>
        <sz val="10"/>
        <rFont val="Consolas"/>
        <family val="3"/>
      </rPr>
      <t>M2123 -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M2123D</t>
    </r>
  </si>
  <si>
    <r>
      <rPr>
        <sz val="10"/>
        <rFont val="Consolas"/>
        <family val="3"/>
      </rPr>
      <t xml:space="preserve">:AcidMixerM2123 :hasMember :AcidMixerM2123_M05 .   # R0033 </t>
    </r>
    <r>
      <rPr>
        <sz val="10"/>
        <rFont val="Noto Sans CJK SC"/>
        <family val="2"/>
      </rPr>
      <t>稀硫酸在线混合器</t>
    </r>
    <r>
      <rPr>
        <sz val="10"/>
        <rFont val="Consolas"/>
        <family val="3"/>
      </rPr>
      <t>M2123 -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M2123E</t>
    </r>
  </si>
  <si>
    <r>
      <rPr>
        <sz val="10"/>
        <rFont val="Consolas"/>
        <family val="3"/>
      </rPr>
      <t xml:space="preserve">:Area_S01_Extraction_RSE300 :hasEquipment :WasteAcidTank2 .   # R0034 </t>
    </r>
    <r>
      <rPr>
        <sz val="10"/>
        <rFont val="Noto Sans CJK SC"/>
        <family val="2"/>
      </rPr>
      <t>提取</t>
    </r>
    <r>
      <rPr>
        <sz val="10"/>
        <rFont val="Consolas"/>
        <family val="3"/>
      </rPr>
      <t>·RSE300</t>
    </r>
    <r>
      <rPr>
        <sz val="10"/>
        <rFont val="Noto Sans CJK SC"/>
        <family val="2"/>
      </rPr>
      <t>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二萃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二级废酸水罐</t>
    </r>
  </si>
  <si>
    <r>
      <rPr>
        <sz val="10"/>
        <rFont val="Consolas"/>
        <family val="3"/>
      </rPr>
      <t xml:space="preserve">:WasteAcidTank2 :hasPart :WasteAcidTank2_P01 .   # R0035 </t>
    </r>
    <r>
      <rPr>
        <sz val="10"/>
        <rFont val="Noto Sans CJK SC"/>
        <family val="2"/>
      </rPr>
      <t xml:space="preserve">二级废酸水罐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二级废酸水罐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</si>
  <si>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:Area_S01_Extraction_RSE300 :hasEquipment :WasteAcidNeutralizerV2124 .   # R0036 </t>
    </r>
    <r>
      <rPr>
        <sz val="10"/>
        <rFont val="Noto Sans CJK SC"/>
        <family val="2"/>
      </rPr>
      <t>提取</t>
    </r>
    <r>
      <rPr>
        <sz val="10"/>
        <rFont val="Consolas"/>
        <family val="3"/>
      </rPr>
      <t>·RSE300</t>
    </r>
    <r>
      <rPr>
        <sz val="10"/>
        <rFont val="Noto Sans CJK SC"/>
        <family val="2"/>
      </rPr>
      <t>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二萃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三级废酸水罐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废酸水中和罐</t>
    </r>
    <r>
      <rPr>
        <sz val="10"/>
        <rFont val="Consolas"/>
        <family val="3"/>
      </rPr>
      <t>V2124</t>
    </r>
  </si>
  <si>
    <r>
      <rPr>
        <sz val="10"/>
        <rFont val="Consolas"/>
        <family val="3"/>
      </rPr>
      <t xml:space="preserve">:WasteAcidNeutralizerV2124 :hasPart :WasteAcidNeutralizerV2124_P01 .   # R0037 </t>
    </r>
    <r>
      <rPr>
        <sz val="10"/>
        <rFont val="Noto Sans CJK SC"/>
        <family val="2"/>
      </rPr>
      <t>三级废酸水罐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废酸水中和罐</t>
    </r>
    <r>
      <rPr>
        <sz val="10"/>
        <rFont val="Consolas"/>
        <family val="3"/>
      </rPr>
      <t>V2124 -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三级废酸水罐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废酸水中和罐</t>
    </r>
    <r>
      <rPr>
        <sz val="10"/>
        <rFont val="Consolas"/>
        <family val="3"/>
      </rPr>
      <t>V2124·pH</t>
    </r>
    <r>
      <rPr>
        <sz val="10"/>
        <rFont val="Noto Sans CJK SC"/>
        <family val="2"/>
      </rPr>
      <t>计</t>
    </r>
  </si>
  <si>
    <r>
      <rPr>
        <sz val="10"/>
        <rFont val="Consolas"/>
        <family val="3"/>
      </rPr>
      <t xml:space="preserve">:WasteAcidNeutralizerV2124 :hasPart :WasteAcidNeutralizerV2124_P02 .   # R0038 </t>
    </r>
    <r>
      <rPr>
        <sz val="10"/>
        <rFont val="Noto Sans CJK SC"/>
        <family val="2"/>
      </rPr>
      <t>三级废酸水罐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废酸水中和罐</t>
    </r>
    <r>
      <rPr>
        <sz val="10"/>
        <rFont val="Consolas"/>
        <family val="3"/>
      </rPr>
      <t>V2124 -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三级废酸水罐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废酸水中和罐</t>
    </r>
    <r>
      <rPr>
        <sz val="10"/>
        <rFont val="Consolas"/>
        <family val="3"/>
      </rPr>
      <t>V2124·</t>
    </r>
    <r>
      <rPr>
        <sz val="10"/>
        <rFont val="Noto Sans CJK SC"/>
        <family val="2"/>
      </rPr>
      <t>液碱调节阀</t>
    </r>
  </si>
  <si>
    <r>
      <rPr>
        <sz val="10"/>
        <rFont val="Consolas"/>
        <family val="3"/>
      </rPr>
      <t xml:space="preserve">:FiltrateTankGroup :hasAttribute :Attr_001 .   # R0039 </t>
    </r>
    <r>
      <rPr>
        <sz val="10"/>
        <rFont val="Noto Sans CJK SC"/>
        <family val="2"/>
      </rPr>
      <t xml:space="preserve">发酵滤液储罐组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滤液罐液位</t>
    </r>
  </si>
  <si>
    <r>
      <rPr>
        <sz val="10"/>
        <rFont val="Consolas"/>
        <family val="3"/>
      </rPr>
      <t xml:space="preserve">:FiltrateTankGroup :hasAttribute :Attr_002 .   # R0040 </t>
    </r>
    <r>
      <rPr>
        <sz val="10"/>
        <rFont val="Noto Sans CJK SC"/>
        <family val="2"/>
      </rPr>
      <t xml:space="preserve">发酵滤液储罐组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滤液温度</t>
    </r>
  </si>
  <si>
    <r>
      <rPr>
        <sz val="10"/>
        <rFont val="Consolas"/>
        <family val="3"/>
      </rPr>
      <t xml:space="preserve">:FiltrateTankGroup :hasAttribute :Attr_003 .   # R0041 </t>
    </r>
    <r>
      <rPr>
        <sz val="10"/>
        <rFont val="Noto Sans CJK SC"/>
        <family val="2"/>
      </rPr>
      <t xml:space="preserve">发酵滤液储罐组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滤液罐进料流量</t>
    </r>
  </si>
  <si>
    <r>
      <rPr>
        <sz val="10"/>
        <rFont val="Consolas"/>
        <family val="3"/>
      </rPr>
      <t>:RSE300CentrifugeGroup :hasAttribute :Attr_004 .   # R0042 RSE300</t>
    </r>
    <r>
      <rPr>
        <sz val="10"/>
        <rFont val="Noto Sans CJK SC"/>
        <family val="2"/>
      </rPr>
      <t xml:space="preserve">提取离心机组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滤液进料流量</t>
    </r>
  </si>
  <si>
    <r>
      <rPr>
        <sz val="10"/>
        <rFont val="Consolas"/>
        <family val="3"/>
      </rPr>
      <t>:RSE300CentrifugeGroup :hasAttribute :Attr_005 .   # R0043 RSE300</t>
    </r>
    <r>
      <rPr>
        <sz val="10"/>
        <rFont val="Noto Sans CJK SC"/>
        <family val="2"/>
      </rPr>
      <t xml:space="preserve">提取离心机组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BA</t>
    </r>
    <r>
      <rPr>
        <sz val="10"/>
        <rFont val="Noto Sans CJK SC"/>
        <family val="2"/>
      </rPr>
      <t>进料流量</t>
    </r>
  </si>
  <si>
    <r>
      <rPr>
        <sz val="10"/>
        <rFont val="Consolas"/>
        <family val="3"/>
      </rPr>
      <t>:RSE300CentrifugeGroup :hasAttribute :Attr_006 .   # R0044 RSE300</t>
    </r>
    <r>
      <rPr>
        <sz val="10"/>
        <rFont val="Noto Sans CJK SC"/>
        <family val="2"/>
      </rPr>
      <t xml:space="preserve">提取离心机组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破乳剂进料流量</t>
    </r>
  </si>
  <si>
    <r>
      <rPr>
        <sz val="10"/>
        <rFont val="Consolas"/>
        <family val="3"/>
      </rPr>
      <t>:RSE300CentrifugeGroup :hasAttribute :Attr_007 .   # R0045 RSE300</t>
    </r>
    <r>
      <rPr>
        <sz val="10"/>
        <rFont val="Noto Sans CJK SC"/>
        <family val="2"/>
      </rPr>
      <t xml:space="preserve">提取离心机组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一阶段酸化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</si>
  <si>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>:RSE300CentrifugeGroup :hasAttribute :Attr_008 .   # R0046 RSE300</t>
    </r>
    <r>
      <rPr>
        <sz val="10"/>
        <rFont val="Noto Sans CJK SC"/>
        <family val="2"/>
      </rPr>
      <t xml:space="preserve">提取离心机组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二阶段酸化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</si>
  <si>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>:RSE300CentrifugeGroup :hasAttribute :Attr_009 .   # R0047 RSE300</t>
    </r>
    <r>
      <rPr>
        <sz val="10"/>
        <rFont val="Noto Sans CJK SC"/>
        <family val="2"/>
      </rPr>
      <t xml:space="preserve">提取离心机组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重相出口压力</t>
    </r>
  </si>
  <si>
    <r>
      <rPr>
        <sz val="10"/>
        <rFont val="Consolas"/>
        <family val="3"/>
      </rPr>
      <t>:RSE300CentrifugeGroup :hasAttribute :Attr_010 .   # R0048 RSE300</t>
    </r>
    <r>
      <rPr>
        <sz val="10"/>
        <rFont val="Noto Sans CJK SC"/>
        <family val="2"/>
      </rPr>
      <t xml:space="preserve">提取离心机组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轻相出口压力</t>
    </r>
  </si>
  <si>
    <r>
      <rPr>
        <sz val="10"/>
        <rFont val="Consolas"/>
        <family val="3"/>
      </rPr>
      <t>:RSE300CentrifugeGroup :hasAttribute :Attr_011 .   # R0049 RSE300</t>
    </r>
    <r>
      <rPr>
        <sz val="10"/>
        <rFont val="Noto Sans CJK SC"/>
        <family val="2"/>
      </rPr>
      <t xml:space="preserve">提取离心机组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主电机电流</t>
    </r>
  </si>
  <si>
    <r>
      <rPr>
        <sz val="10"/>
        <rFont val="Consolas"/>
        <family val="3"/>
      </rPr>
      <t xml:space="preserve">:AcidMixerM2123 :hasAttribute :Attr_012 .   # R0050 </t>
    </r>
    <r>
      <rPr>
        <sz val="10"/>
        <rFont val="Noto Sans CJK SC"/>
        <family val="2"/>
      </rPr>
      <t>稀硫酸在线混合器</t>
    </r>
    <r>
      <rPr>
        <sz val="10"/>
        <rFont val="Consolas"/>
        <family val="3"/>
      </rPr>
      <t>M2123 -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稀硫酸注入流量</t>
    </r>
  </si>
  <si>
    <r>
      <rPr>
        <sz val="10"/>
        <rFont val="Consolas"/>
        <family val="3"/>
      </rPr>
      <t xml:space="preserve">:WasteAcidNeutralizerV2124 :hasAttribute :Attr_013 .   # R0051 </t>
    </r>
    <r>
      <rPr>
        <sz val="10"/>
        <rFont val="Noto Sans CJK SC"/>
        <family val="2"/>
      </rPr>
      <t>三级废酸水罐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废酸水中和罐</t>
    </r>
    <r>
      <rPr>
        <sz val="10"/>
        <rFont val="Consolas"/>
        <family val="3"/>
      </rPr>
      <t>V2124 -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废酸水中和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</si>
  <si>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:WasteAcidNeutralizerV2124 :hasAttribute :Attr_014 .   # R0052 </t>
    </r>
    <r>
      <rPr>
        <sz val="10"/>
        <rFont val="Noto Sans CJK SC"/>
        <family val="2"/>
      </rPr>
      <t>三级废酸水罐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废酸水中和罐</t>
    </r>
    <r>
      <rPr>
        <sz val="10"/>
        <rFont val="Consolas"/>
        <family val="3"/>
      </rPr>
      <t>V2124 -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废酸水罐液位</t>
    </r>
  </si>
  <si>
    <r>
      <rPr>
        <sz val="10"/>
        <rFont val="Consolas"/>
        <family val="3"/>
      </rPr>
      <t xml:space="preserve">:WasteAcidNeutralizerV2124 :hasAttribute :Attr_015 .   # R0053 </t>
    </r>
    <r>
      <rPr>
        <sz val="10"/>
        <rFont val="Noto Sans CJK SC"/>
        <family val="2"/>
      </rPr>
      <t>三级废酸水罐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废酸水中和罐</t>
    </r>
    <r>
      <rPr>
        <sz val="10"/>
        <rFont val="Consolas"/>
        <family val="3"/>
      </rPr>
      <t>V2124 -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废酸水外送流量</t>
    </r>
  </si>
  <si>
    <r>
      <rPr>
        <sz val="10"/>
        <rFont val="Consolas"/>
        <family val="3"/>
      </rPr>
      <t>:RSE300CentrifugeGroup :hasAttribute :Attr_248 .   # R0054 RSE300</t>
    </r>
    <r>
      <rPr>
        <sz val="10"/>
        <rFont val="Noto Sans CJK SC"/>
        <family val="2"/>
      </rPr>
      <t xml:space="preserve">提取离心机组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萃取分配系数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青霉素</t>
    </r>
    <r>
      <rPr>
        <sz val="10"/>
        <rFont val="Consolas"/>
        <family val="3"/>
      </rPr>
      <t>G)</t>
    </r>
  </si>
  <si>
    <r>
      <rPr>
        <sz val="10"/>
        <rFont val="Consolas"/>
        <family val="3"/>
      </rPr>
      <t>:RSE300CentrifugeGroup :hasAttribute :Attr_249 .   # R0055 RSE300</t>
    </r>
    <r>
      <rPr>
        <sz val="10"/>
        <rFont val="Noto Sans CJK SC"/>
        <family val="2"/>
      </rPr>
      <t xml:space="preserve">提取离心机组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青霉素酸降解速率</t>
    </r>
  </si>
  <si>
    <r>
      <rPr>
        <sz val="10"/>
        <rFont val="Consolas"/>
        <family val="3"/>
      </rPr>
      <t>:RSE300CentrifugeGroup :hasAttribute :Attr_250 .   # R0056 RSE300</t>
    </r>
    <r>
      <rPr>
        <sz val="10"/>
        <rFont val="Noto Sans CJK SC"/>
        <family val="2"/>
      </rPr>
      <t xml:space="preserve">提取离心机组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相界面乳化层厚度</t>
    </r>
  </si>
  <si>
    <r>
      <rPr>
        <sz val="10"/>
        <rFont val="Consolas"/>
        <family val="3"/>
      </rPr>
      <t xml:space="preserve">:WasteAcidNeutralizerV2124 :hasAttribute :QKPI_253 .   # R0057 </t>
    </r>
    <r>
      <rPr>
        <sz val="10"/>
        <rFont val="Noto Sans CJK SC"/>
        <family val="2"/>
      </rPr>
      <t>三级废酸水罐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废酸水中和罐</t>
    </r>
    <r>
      <rPr>
        <sz val="10"/>
        <rFont val="Consolas"/>
        <family val="3"/>
      </rPr>
      <t>V2124 -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提取废酸水残效</t>
    </r>
  </si>
  <si>
    <r>
      <rPr>
        <sz val="10"/>
        <rFont val="Consolas"/>
        <family val="3"/>
      </rPr>
      <t xml:space="preserve">:MS_Filtrate :hasAttribute :Attr_002 .   # R0058 </t>
    </r>
    <r>
      <rPr>
        <sz val="10"/>
        <rFont val="Noto Sans CJK SC"/>
        <family val="2"/>
      </rPr>
      <t>青霉素</t>
    </r>
    <r>
      <rPr>
        <sz val="10"/>
        <rFont val="Consolas"/>
        <family val="3"/>
      </rPr>
      <t>G</t>
    </r>
    <r>
      <rPr>
        <sz val="10"/>
        <rFont val="Noto Sans CJK SC"/>
        <family val="2"/>
      </rPr>
      <t xml:space="preserve">发酵滤液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滤液温度</t>
    </r>
  </si>
  <si>
    <r>
      <rPr>
        <sz val="10"/>
        <rFont val="Consolas"/>
        <family val="3"/>
      </rPr>
      <t xml:space="preserve">:MS_PrimaryBA :hasAttribute :QKPI_252 .   # R0059 </t>
    </r>
    <r>
      <rPr>
        <sz val="10"/>
        <rFont val="Noto Sans CJK SC"/>
        <family val="2"/>
      </rPr>
      <t>一次</t>
    </r>
    <r>
      <rPr>
        <sz val="10"/>
        <rFont val="Consolas"/>
        <family val="3"/>
      </rPr>
      <t>BA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一次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青霉素效价</t>
    </r>
  </si>
  <si>
    <r>
      <rPr>
        <sz val="10"/>
        <rFont val="Consolas"/>
        <family val="3"/>
      </rPr>
      <t xml:space="preserve">:Attr_001 :boundToTag :Tag_LT_1102 .   # R0060 </t>
    </r>
    <r>
      <rPr>
        <sz val="10"/>
        <rFont val="Noto Sans CJK SC"/>
        <family val="2"/>
      </rPr>
      <t xml:space="preserve">滤液罐液位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LT_1102</t>
    </r>
  </si>
  <si>
    <r>
      <rPr>
        <sz val="10"/>
        <rFont val="Consolas"/>
        <family val="3"/>
      </rPr>
      <t xml:space="preserve">:Attr_002 :boundToTag :Tag_TI_1101 .   # R0061 </t>
    </r>
    <r>
      <rPr>
        <sz val="10"/>
        <rFont val="Noto Sans CJK SC"/>
        <family val="2"/>
      </rPr>
      <t xml:space="preserve">滤液温度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TI_1101</t>
    </r>
  </si>
  <si>
    <r>
      <rPr>
        <sz val="10"/>
        <rFont val="Consolas"/>
        <family val="3"/>
      </rPr>
      <t xml:space="preserve">:Attr_003 :boundToTag :Tag_FT_1103 .   # R0062 </t>
    </r>
    <r>
      <rPr>
        <sz val="10"/>
        <rFont val="Noto Sans CJK SC"/>
        <family val="2"/>
      </rPr>
      <t xml:space="preserve">滤液罐进料流量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FT_1103</t>
    </r>
  </si>
  <si>
    <r>
      <rPr>
        <sz val="10"/>
        <rFont val="Consolas"/>
        <family val="3"/>
      </rPr>
      <t xml:space="preserve">:Attr_003 :boundToTag :Tag_FT_1004 .   # R0063 </t>
    </r>
    <r>
      <rPr>
        <sz val="10"/>
        <rFont val="Noto Sans CJK SC"/>
        <family val="2"/>
      </rPr>
      <t xml:space="preserve">滤液罐进料流量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FT_1004</t>
    </r>
  </si>
  <si>
    <r>
      <rPr>
        <sz val="10"/>
        <rFont val="Consolas"/>
        <family val="3"/>
      </rPr>
      <t xml:space="preserve">:Attr_004 :boundToTag :Tag_FT_1104C .   # R0064 </t>
    </r>
    <r>
      <rPr>
        <sz val="10"/>
        <rFont val="Noto Sans CJK SC"/>
        <family val="2"/>
      </rPr>
      <t xml:space="preserve">滤液进料流量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FT_1104C</t>
    </r>
  </si>
  <si>
    <r>
      <rPr>
        <sz val="10"/>
        <rFont val="Consolas"/>
        <family val="3"/>
      </rPr>
      <t xml:space="preserve">:Attr_004 :boundToTag :Tag_FT_1104D .   # R0065 </t>
    </r>
    <r>
      <rPr>
        <sz val="10"/>
        <rFont val="Noto Sans CJK SC"/>
        <family val="2"/>
      </rPr>
      <t xml:space="preserve">滤液进料流量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FT_1104D</t>
    </r>
  </si>
  <si>
    <r>
      <rPr>
        <sz val="10"/>
        <rFont val="Consolas"/>
        <family val="3"/>
      </rPr>
      <t xml:space="preserve">:Attr_004 :boundToTag :Tag_FT_1104E .   # R0066 </t>
    </r>
    <r>
      <rPr>
        <sz val="10"/>
        <rFont val="Noto Sans CJK SC"/>
        <family val="2"/>
      </rPr>
      <t xml:space="preserve">滤液进料流量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FT_1104E</t>
    </r>
  </si>
  <si>
    <r>
      <rPr>
        <sz val="10"/>
        <rFont val="Consolas"/>
        <family val="3"/>
      </rPr>
      <t>:Attr_005 :boundToTag :Tag_FT_1105C .   # R0067 BA</t>
    </r>
    <r>
      <rPr>
        <sz val="10"/>
        <rFont val="Noto Sans CJK SC"/>
        <family val="2"/>
      </rPr>
      <t xml:space="preserve">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FT_1105C</t>
    </r>
  </si>
  <si>
    <r>
      <rPr>
        <sz val="10"/>
        <rFont val="Consolas"/>
        <family val="3"/>
      </rPr>
      <t>:Attr_005 :boundToTag :Tag_FT_1105D .   # R0068 BA</t>
    </r>
    <r>
      <rPr>
        <sz val="10"/>
        <rFont val="Noto Sans CJK SC"/>
        <family val="2"/>
      </rPr>
      <t xml:space="preserve">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FT_1105D</t>
    </r>
  </si>
  <si>
    <r>
      <rPr>
        <sz val="10"/>
        <rFont val="Consolas"/>
        <family val="3"/>
      </rPr>
      <t>:Attr_005 :boundToTag :Tag_FT_1105E .   # R0069 BA</t>
    </r>
    <r>
      <rPr>
        <sz val="10"/>
        <rFont val="Noto Sans CJK SC"/>
        <family val="2"/>
      </rPr>
      <t xml:space="preserve">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FT_1105E</t>
    </r>
  </si>
  <si>
    <r>
      <rPr>
        <sz val="10"/>
        <rFont val="Consolas"/>
        <family val="3"/>
      </rPr>
      <t xml:space="preserve">:Attr_006 :boundToTag :Tag_FT_1101C .   # R0070 </t>
    </r>
    <r>
      <rPr>
        <sz val="10"/>
        <rFont val="Noto Sans CJK SC"/>
        <family val="2"/>
      </rPr>
      <t xml:space="preserve">破乳剂进料流量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FT_1101C</t>
    </r>
  </si>
  <si>
    <r>
      <rPr>
        <sz val="10"/>
        <rFont val="Consolas"/>
        <family val="3"/>
      </rPr>
      <t xml:space="preserve">:Attr_006 :boundToTag :Tag_FT_1101D .   # R0071 </t>
    </r>
    <r>
      <rPr>
        <sz val="10"/>
        <rFont val="Noto Sans CJK SC"/>
        <family val="2"/>
      </rPr>
      <t xml:space="preserve">破乳剂进料流量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FT_1101D</t>
    </r>
  </si>
  <si>
    <r>
      <rPr>
        <sz val="10"/>
        <rFont val="Consolas"/>
        <family val="3"/>
      </rPr>
      <t xml:space="preserve">:Attr_006 :boundToTag :Tag_FT_1101E .   # R0072 </t>
    </r>
    <r>
      <rPr>
        <sz val="10"/>
        <rFont val="Noto Sans CJK SC"/>
        <family val="2"/>
      </rPr>
      <t xml:space="preserve">破乳剂进料流量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FT_1101E</t>
    </r>
  </si>
  <si>
    <r>
      <rPr>
        <sz val="10"/>
        <rFont val="Consolas"/>
        <family val="3"/>
      </rPr>
      <t xml:space="preserve">:Attr_007 :boundToTag :Tag_AT_1105 .   # R0073 </t>
    </r>
    <r>
      <rPr>
        <sz val="10"/>
        <rFont val="Noto Sans CJK SC"/>
        <family val="2"/>
      </rPr>
      <t>一阶段酸化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AT_1105</t>
    </r>
  </si>
  <si>
    <r>
      <rPr>
        <sz val="10"/>
        <rFont val="Consolas"/>
        <family val="3"/>
      </rPr>
      <t xml:space="preserve">:Attr_007 :boundToTag :Tag_AT_1107 .   # R0074 </t>
    </r>
    <r>
      <rPr>
        <sz val="10"/>
        <rFont val="Noto Sans CJK SC"/>
        <family val="2"/>
      </rPr>
      <t>一阶段酸化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AT_1107</t>
    </r>
  </si>
  <si>
    <r>
      <rPr>
        <sz val="10"/>
        <rFont val="Consolas"/>
        <family val="3"/>
      </rPr>
      <t xml:space="preserve">:Attr_007 :boundToTag :Tag_AT_1109 .   # R0075 </t>
    </r>
    <r>
      <rPr>
        <sz val="10"/>
        <rFont val="Noto Sans CJK SC"/>
        <family val="2"/>
      </rPr>
      <t>一阶段酸化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AT_1109</t>
    </r>
  </si>
  <si>
    <r>
      <rPr>
        <sz val="10"/>
        <rFont val="Consolas"/>
        <family val="3"/>
      </rPr>
      <t xml:space="preserve">:Attr_008 :boundToTag :Tag_AT_1106 .   # R0076 </t>
    </r>
    <r>
      <rPr>
        <sz val="10"/>
        <rFont val="Noto Sans CJK SC"/>
        <family val="2"/>
      </rPr>
      <t>二阶段酸化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AT_1106</t>
    </r>
  </si>
  <si>
    <r>
      <rPr>
        <sz val="10"/>
        <rFont val="Consolas"/>
        <family val="3"/>
      </rPr>
      <t xml:space="preserve">:Attr_008 :boundToTag :Tag_AT_1108 .   # R0077 </t>
    </r>
    <r>
      <rPr>
        <sz val="10"/>
        <rFont val="Noto Sans CJK SC"/>
        <family val="2"/>
      </rPr>
      <t>二阶段酸化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AT_1108</t>
    </r>
  </si>
  <si>
    <r>
      <rPr>
        <sz val="10"/>
        <rFont val="Consolas"/>
        <family val="3"/>
      </rPr>
      <t xml:space="preserve">:Attr_008 :boundToTag :Tag_AT_1110 .   # R0078 </t>
    </r>
    <r>
      <rPr>
        <sz val="10"/>
        <rFont val="Noto Sans CJK SC"/>
        <family val="2"/>
      </rPr>
      <t>二阶段酸化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AT_1110</t>
    </r>
  </si>
  <si>
    <r>
      <rPr>
        <sz val="10"/>
        <rFont val="Consolas"/>
        <family val="3"/>
      </rPr>
      <t xml:space="preserve">:Attr_009 :boundToTag :Tag_PT_1001A .   # R0079 </t>
    </r>
    <r>
      <rPr>
        <sz val="10"/>
        <rFont val="Noto Sans CJK SC"/>
        <family val="2"/>
      </rPr>
      <t xml:space="preserve">重相出口压力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PT_1001A</t>
    </r>
  </si>
  <si>
    <r>
      <rPr>
        <sz val="10"/>
        <rFont val="Consolas"/>
        <family val="3"/>
      </rPr>
      <t xml:space="preserve">:Attr_009 :boundToTag :Tag_PT_1001B .   # R0080 </t>
    </r>
    <r>
      <rPr>
        <sz val="10"/>
        <rFont val="Noto Sans CJK SC"/>
        <family val="2"/>
      </rPr>
      <t xml:space="preserve">重相出口压力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PT_1001B</t>
    </r>
  </si>
  <si>
    <r>
      <rPr>
        <sz val="10"/>
        <rFont val="Consolas"/>
        <family val="3"/>
      </rPr>
      <t xml:space="preserve">:Attr_009 :boundToTag :Tag_PT_1001C .   # R0081 </t>
    </r>
    <r>
      <rPr>
        <sz val="10"/>
        <rFont val="Noto Sans CJK SC"/>
        <family val="2"/>
      </rPr>
      <t xml:space="preserve">重相出口压力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PT_1001C</t>
    </r>
  </si>
  <si>
    <r>
      <rPr>
        <sz val="10"/>
        <rFont val="Consolas"/>
        <family val="3"/>
      </rPr>
      <t xml:space="preserve">:Attr_009 :boundToTag :Tag_PT_1001D .   # R0082 </t>
    </r>
    <r>
      <rPr>
        <sz val="10"/>
        <rFont val="Noto Sans CJK SC"/>
        <family val="2"/>
      </rPr>
      <t xml:space="preserve">重相出口压力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PT_1001D</t>
    </r>
  </si>
  <si>
    <r>
      <rPr>
        <sz val="10"/>
        <rFont val="Consolas"/>
        <family val="3"/>
      </rPr>
      <t xml:space="preserve">:Attr_009 :boundToTag :Tag_PT_1001E .   # R0083 </t>
    </r>
    <r>
      <rPr>
        <sz val="10"/>
        <rFont val="Noto Sans CJK SC"/>
        <family val="2"/>
      </rPr>
      <t xml:space="preserve">重相出口压力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PT_1001E</t>
    </r>
  </si>
  <si>
    <r>
      <rPr>
        <sz val="10"/>
        <rFont val="Consolas"/>
        <family val="3"/>
      </rPr>
      <t xml:space="preserve">:Attr_010 :boundToTag :Tag_PT_1002A .   # R0084 </t>
    </r>
    <r>
      <rPr>
        <sz val="10"/>
        <rFont val="Noto Sans CJK SC"/>
        <family val="2"/>
      </rPr>
      <t xml:space="preserve">轻相出口压力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PT_1002A</t>
    </r>
  </si>
  <si>
    <r>
      <rPr>
        <sz val="10"/>
        <rFont val="Consolas"/>
        <family val="3"/>
      </rPr>
      <t xml:space="preserve">:Attr_010 :boundToTag :Tag_PT_1002B .   # R0085 </t>
    </r>
    <r>
      <rPr>
        <sz val="10"/>
        <rFont val="Noto Sans CJK SC"/>
        <family val="2"/>
      </rPr>
      <t xml:space="preserve">轻相出口压力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PT_1002B</t>
    </r>
  </si>
  <si>
    <r>
      <rPr>
        <sz val="10"/>
        <rFont val="Consolas"/>
        <family val="3"/>
      </rPr>
      <t xml:space="preserve">:Attr_010 :boundToTag :Tag_PT_1002C .   # R0086 </t>
    </r>
    <r>
      <rPr>
        <sz val="10"/>
        <rFont val="Noto Sans CJK SC"/>
        <family val="2"/>
      </rPr>
      <t xml:space="preserve">轻相出口压力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PT_1002C</t>
    </r>
  </si>
  <si>
    <r>
      <rPr>
        <sz val="10"/>
        <rFont val="Consolas"/>
        <family val="3"/>
      </rPr>
      <t xml:space="preserve">:Attr_010 :boundToTag :Tag_PT_1002D .   # R0087 </t>
    </r>
    <r>
      <rPr>
        <sz val="10"/>
        <rFont val="Noto Sans CJK SC"/>
        <family val="2"/>
      </rPr>
      <t xml:space="preserve">轻相出口压力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PT_1002D</t>
    </r>
  </si>
  <si>
    <r>
      <rPr>
        <sz val="10"/>
        <rFont val="Consolas"/>
        <family val="3"/>
      </rPr>
      <t xml:space="preserve">:Attr_010 :boundToTag :Tag_PT_1002E .   # R0088 </t>
    </r>
    <r>
      <rPr>
        <sz val="10"/>
        <rFont val="Noto Sans CJK SC"/>
        <family val="2"/>
      </rPr>
      <t xml:space="preserve">轻相出口压力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PT_1002E</t>
    </r>
  </si>
  <si>
    <r>
      <rPr>
        <sz val="10"/>
        <rFont val="Consolas"/>
        <family val="3"/>
      </rPr>
      <t xml:space="preserve">:Attr_011 :boundToTag :Tag_II_10CQA .   # R0089 </t>
    </r>
    <r>
      <rPr>
        <sz val="10"/>
        <rFont val="Noto Sans CJK SC"/>
        <family val="2"/>
      </rPr>
      <t xml:space="preserve">主电机电流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II_10CQA</t>
    </r>
  </si>
  <si>
    <r>
      <rPr>
        <sz val="10"/>
        <rFont val="Consolas"/>
        <family val="3"/>
      </rPr>
      <t xml:space="preserve">:Attr_011 :boundToTag :Tag_II_10CQB .   # R0090 </t>
    </r>
    <r>
      <rPr>
        <sz val="10"/>
        <rFont val="Noto Sans CJK SC"/>
        <family val="2"/>
      </rPr>
      <t xml:space="preserve">主电机电流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II_10CQB</t>
    </r>
  </si>
  <si>
    <r>
      <rPr>
        <sz val="10"/>
        <rFont val="Consolas"/>
        <family val="3"/>
      </rPr>
      <t xml:space="preserve">:Attr_011 :boundToTag :Tag_II_10CQC .   # R0091 </t>
    </r>
    <r>
      <rPr>
        <sz val="10"/>
        <rFont val="Noto Sans CJK SC"/>
        <family val="2"/>
      </rPr>
      <t xml:space="preserve">主电机电流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II_10CQC</t>
    </r>
  </si>
  <si>
    <r>
      <rPr>
        <sz val="10"/>
        <rFont val="Consolas"/>
        <family val="3"/>
      </rPr>
      <t xml:space="preserve">:Attr_011 :boundToTag :Tag_II_10CQD .   # R0092 </t>
    </r>
    <r>
      <rPr>
        <sz val="10"/>
        <rFont val="Noto Sans CJK SC"/>
        <family val="2"/>
      </rPr>
      <t xml:space="preserve">主电机电流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II_10CQD</t>
    </r>
  </si>
  <si>
    <r>
      <rPr>
        <sz val="10"/>
        <rFont val="Consolas"/>
        <family val="3"/>
      </rPr>
      <t xml:space="preserve">:Attr_011 :boundToTag :Tag_II_10CQE .   # R0093 </t>
    </r>
    <r>
      <rPr>
        <sz val="10"/>
        <rFont val="Noto Sans CJK SC"/>
        <family val="2"/>
      </rPr>
      <t xml:space="preserve">主电机电流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II_10CQE</t>
    </r>
  </si>
  <si>
    <r>
      <rPr>
        <sz val="10"/>
        <rFont val="Consolas"/>
        <family val="3"/>
      </rPr>
      <t xml:space="preserve">:Attr_011 :boundToTag :Tag_II_10CQF .   # R0094 </t>
    </r>
    <r>
      <rPr>
        <sz val="10"/>
        <rFont val="Noto Sans CJK SC"/>
        <family val="2"/>
      </rPr>
      <t xml:space="preserve">主电机电流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II_10CQF</t>
    </r>
  </si>
  <si>
    <r>
      <rPr>
        <sz val="10"/>
        <rFont val="Consolas"/>
        <family val="3"/>
      </rPr>
      <t xml:space="preserve">:Attr_012 :boundToTag :Tag_FT_1106A .   # R0095 </t>
    </r>
    <r>
      <rPr>
        <sz val="10"/>
        <rFont val="Noto Sans CJK SC"/>
        <family val="2"/>
      </rPr>
      <t xml:space="preserve">稀硫酸注入流量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FT_1106A</t>
    </r>
  </si>
  <si>
    <r>
      <rPr>
        <sz val="10"/>
        <rFont val="Consolas"/>
        <family val="3"/>
      </rPr>
      <t xml:space="preserve">:Attr_012 :boundToTag :Tag_FT_1106B .   # R0096 </t>
    </r>
    <r>
      <rPr>
        <sz val="10"/>
        <rFont val="Noto Sans CJK SC"/>
        <family val="2"/>
      </rPr>
      <t xml:space="preserve">稀硫酸注入流量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FT_1106B</t>
    </r>
  </si>
  <si>
    <r>
      <rPr>
        <sz val="10"/>
        <rFont val="Consolas"/>
        <family val="3"/>
      </rPr>
      <t xml:space="preserve">:Attr_012 :boundToTag :Tag_FT_1106C .   # R0097 </t>
    </r>
    <r>
      <rPr>
        <sz val="10"/>
        <rFont val="Noto Sans CJK SC"/>
        <family val="2"/>
      </rPr>
      <t xml:space="preserve">稀硫酸注入流量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FT_1106C</t>
    </r>
  </si>
  <si>
    <r>
      <rPr>
        <sz val="10"/>
        <rFont val="Consolas"/>
        <family val="3"/>
      </rPr>
      <t xml:space="preserve">:Attr_012 :boundToTag :Tag_FT_1106D .   # R0098 </t>
    </r>
    <r>
      <rPr>
        <sz val="10"/>
        <rFont val="Noto Sans CJK SC"/>
        <family val="2"/>
      </rPr>
      <t xml:space="preserve">稀硫酸注入流量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FT_1106D</t>
    </r>
  </si>
  <si>
    <r>
      <rPr>
        <sz val="10"/>
        <rFont val="Consolas"/>
        <family val="3"/>
      </rPr>
      <t xml:space="preserve">:Attr_012 :boundToTag :Tag_FT_1106E .   # R0099 </t>
    </r>
    <r>
      <rPr>
        <sz val="10"/>
        <rFont val="Noto Sans CJK SC"/>
        <family val="2"/>
      </rPr>
      <t xml:space="preserve">稀硫酸注入流量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FT_1106E</t>
    </r>
  </si>
  <si>
    <r>
      <rPr>
        <sz val="10"/>
        <rFont val="Consolas"/>
        <family val="3"/>
      </rPr>
      <t xml:space="preserve">:Attr_013 :boundToTag :Tag_AT_1111 .   # R0100 </t>
    </r>
    <r>
      <rPr>
        <sz val="10"/>
        <rFont val="Noto Sans CJK SC"/>
        <family val="2"/>
      </rPr>
      <t>废酸水中和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AT_1111</t>
    </r>
  </si>
  <si>
    <r>
      <rPr>
        <sz val="10"/>
        <rFont val="Consolas"/>
        <family val="3"/>
      </rPr>
      <t xml:space="preserve">:Attr_014 :boundToTag :Tag_LT_1105 .   # R0101 </t>
    </r>
    <r>
      <rPr>
        <sz val="10"/>
        <rFont val="Noto Sans CJK SC"/>
        <family val="2"/>
      </rPr>
      <t xml:space="preserve">废酸水罐液位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LT_1105</t>
    </r>
  </si>
  <si>
    <r>
      <rPr>
        <sz val="10"/>
        <rFont val="Consolas"/>
        <family val="3"/>
      </rPr>
      <t xml:space="preserve">:Attr_015 :boundToTag :Tag_FT_2001 .   # R0102 </t>
    </r>
    <r>
      <rPr>
        <sz val="10"/>
        <rFont val="Noto Sans CJK SC"/>
        <family val="2"/>
      </rPr>
      <t xml:space="preserve">废酸水外送流量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FT_2001</t>
    </r>
  </si>
  <si>
    <r>
      <rPr>
        <sz val="10"/>
        <rFont val="Consolas"/>
        <family val="3"/>
      </rPr>
      <t xml:space="preserve">:Attr_015 :boundToTag :Tag_DI_2001 .   # R0103 </t>
    </r>
    <r>
      <rPr>
        <sz val="10"/>
        <rFont val="Noto Sans CJK SC"/>
        <family val="2"/>
      </rPr>
      <t xml:space="preserve">废酸水外送流量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DI_2001</t>
    </r>
  </si>
  <si>
    <r>
      <rPr>
        <sz val="10"/>
        <rFont val="Consolas"/>
        <family val="3"/>
      </rPr>
      <t xml:space="preserve">:Ctrl_001 :controls :Act_001 .   # R0104 </t>
    </r>
    <r>
      <rPr>
        <sz val="10"/>
        <rFont val="Noto Sans CJK SC"/>
        <family val="2"/>
      </rPr>
      <t>滤液进料流量控制器</t>
    </r>
    <r>
      <rPr>
        <sz val="10"/>
        <rFont val="Consolas"/>
        <family val="3"/>
      </rPr>
      <t>(FIC-1104)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离心机滤液进口调节阀</t>
    </r>
    <r>
      <rPr>
        <sz val="10"/>
        <rFont val="Consolas"/>
        <family val="3"/>
      </rPr>
      <t>HV_1003A–E</t>
    </r>
  </si>
  <si>
    <r>
      <rPr>
        <sz val="10"/>
        <rFont val="Consolas"/>
        <family val="3"/>
      </rPr>
      <t xml:space="preserve">:Attr_004 :feedbackTo :Ctrl_001 .   # R0105 </t>
    </r>
    <r>
      <rPr>
        <sz val="10"/>
        <rFont val="Noto Sans CJK SC"/>
        <family val="2"/>
      </rPr>
      <t xml:space="preserve">滤液进料流量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滤液进料流量控制器</t>
    </r>
    <r>
      <rPr>
        <sz val="10"/>
        <rFont val="Consolas"/>
        <family val="3"/>
      </rPr>
      <t>(FIC-1104)</t>
    </r>
  </si>
  <si>
    <r>
      <rPr>
        <sz val="10"/>
        <rFont val="Consolas"/>
        <family val="3"/>
      </rPr>
      <t xml:space="preserve">:Act_001 :affects :Attr_004 .   # R0106 </t>
    </r>
    <r>
      <rPr>
        <sz val="10"/>
        <rFont val="Noto Sans CJK SC"/>
        <family val="2"/>
      </rPr>
      <t>离心机滤液进口调节阀</t>
    </r>
    <r>
      <rPr>
        <sz val="10"/>
        <rFont val="Consolas"/>
        <family val="3"/>
      </rPr>
      <t>HV_1003A–E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滤液进料流量</t>
    </r>
  </si>
  <si>
    <r>
      <rPr>
        <sz val="10"/>
        <rFont val="Consolas"/>
        <family val="3"/>
      </rPr>
      <t xml:space="preserve">:Ctrl_002 :controls :Act_002 .   # R0107 </t>
    </r>
    <r>
      <rPr>
        <sz val="10"/>
        <rFont val="Noto Sans CJK SC"/>
        <family val="2"/>
      </rPr>
      <t>破乳剂流量控制器</t>
    </r>
    <r>
      <rPr>
        <sz val="10"/>
        <rFont val="Consolas"/>
        <family val="3"/>
      </rPr>
      <t>(FIC-1101)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破乳剂流量调节阀</t>
    </r>
    <r>
      <rPr>
        <sz val="10"/>
        <rFont val="Consolas"/>
        <family val="3"/>
      </rPr>
      <t>HV_1002A–F</t>
    </r>
  </si>
  <si>
    <r>
      <rPr>
        <sz val="10"/>
        <rFont val="Consolas"/>
        <family val="3"/>
      </rPr>
      <t xml:space="preserve">:Attr_006 :feedbackTo :Ctrl_002 .   # R0108 </t>
    </r>
    <r>
      <rPr>
        <sz val="10"/>
        <rFont val="Noto Sans CJK SC"/>
        <family val="2"/>
      </rPr>
      <t xml:space="preserve">破乳剂进料流量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破乳剂流量控制器</t>
    </r>
    <r>
      <rPr>
        <sz val="10"/>
        <rFont val="Consolas"/>
        <family val="3"/>
      </rPr>
      <t>(FIC-1101)</t>
    </r>
  </si>
  <si>
    <r>
      <rPr>
        <sz val="10"/>
        <rFont val="Consolas"/>
        <family val="3"/>
      </rPr>
      <t xml:space="preserve">:Act_002 :affects :Attr_006 .   # R0109 </t>
    </r>
    <r>
      <rPr>
        <sz val="10"/>
        <rFont val="Noto Sans CJK SC"/>
        <family val="2"/>
      </rPr>
      <t>破乳剂流量调节阀</t>
    </r>
    <r>
      <rPr>
        <sz val="10"/>
        <rFont val="Consolas"/>
        <family val="3"/>
      </rPr>
      <t>HV_1002A–F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破乳剂进料流量</t>
    </r>
  </si>
  <si>
    <r>
      <rPr>
        <sz val="10"/>
        <rFont val="Consolas"/>
        <family val="3"/>
      </rPr>
      <t xml:space="preserve">:Ctrl_003 :controls :Act_003 .   # R0110 </t>
    </r>
    <r>
      <rPr>
        <sz val="10"/>
        <rFont val="Noto Sans CJK SC"/>
        <family val="2"/>
      </rPr>
      <t>提取酸化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控制器</t>
    </r>
    <r>
      <rPr>
        <sz val="10"/>
        <rFont val="Consolas"/>
        <family val="3"/>
      </rPr>
      <t>(AIC-1105)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稀硫酸泵变频器</t>
    </r>
    <r>
      <rPr>
        <sz val="10"/>
        <rFont val="Consolas"/>
        <family val="3"/>
      </rPr>
      <t>PB_1015A–F</t>
    </r>
  </si>
  <si>
    <r>
      <rPr>
        <sz val="10"/>
        <rFont val="Consolas"/>
        <family val="3"/>
      </rPr>
      <t xml:space="preserve">:Attr_007 :feedbackTo :Ctrl_003 .   # R0111 </t>
    </r>
    <r>
      <rPr>
        <sz val="10"/>
        <rFont val="Noto Sans CJK SC"/>
        <family val="2"/>
      </rPr>
      <t>一阶段酸化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提取酸化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控制器</t>
    </r>
    <r>
      <rPr>
        <sz val="10"/>
        <rFont val="Consolas"/>
        <family val="3"/>
      </rPr>
      <t>(AIC-1105)</t>
    </r>
  </si>
  <si>
    <r>
      <rPr>
        <sz val="10"/>
        <rFont val="Consolas"/>
        <family val="3"/>
      </rPr>
      <t xml:space="preserve">:Act_003 :affects :Attr_007 .   # R0112 </t>
    </r>
    <r>
      <rPr>
        <sz val="10"/>
        <rFont val="Noto Sans CJK SC"/>
        <family val="2"/>
      </rPr>
      <t>稀硫酸泵变频器</t>
    </r>
    <r>
      <rPr>
        <sz val="10"/>
        <rFont val="Consolas"/>
        <family val="3"/>
      </rPr>
      <t>PB_1015A–F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一阶段酸化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</si>
  <si>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>:Ctrl_004 :controls :Act_004 .   # R0113 BA</t>
    </r>
    <r>
      <rPr>
        <sz val="10"/>
        <rFont val="Noto Sans CJK SC"/>
        <family val="2"/>
      </rPr>
      <t>进料流量控制器</t>
    </r>
    <r>
      <rPr>
        <sz val="10"/>
        <rFont val="Consolas"/>
        <family val="3"/>
      </rPr>
      <t>(FIC-1105)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离心机</t>
    </r>
    <r>
      <rPr>
        <sz val="10"/>
        <rFont val="Consolas"/>
        <family val="3"/>
      </rPr>
      <t>BA/</t>
    </r>
    <r>
      <rPr>
        <sz val="10"/>
        <rFont val="Noto Sans CJK SC"/>
        <family val="2"/>
      </rPr>
      <t>丁酯进口调节阀</t>
    </r>
    <r>
      <rPr>
        <sz val="10"/>
        <rFont val="Consolas"/>
        <family val="3"/>
      </rPr>
      <t>HV_1004/HV_1005</t>
    </r>
  </si>
  <si>
    <r>
      <rPr>
        <sz val="10"/>
        <rFont val="Consolas"/>
        <family val="3"/>
      </rPr>
      <t>:Attr_005 :feedbackTo :Ctrl_004 .   # R0114 BA</t>
    </r>
    <r>
      <rPr>
        <sz val="10"/>
        <rFont val="Noto Sans CJK SC"/>
        <family val="2"/>
      </rPr>
      <t xml:space="preserve">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>-&gt; BA</t>
    </r>
    <r>
      <rPr>
        <sz val="10"/>
        <rFont val="Noto Sans CJK SC"/>
        <family val="2"/>
      </rPr>
      <t>进料流量控制器</t>
    </r>
    <r>
      <rPr>
        <sz val="10"/>
        <rFont val="Consolas"/>
        <family val="3"/>
      </rPr>
      <t>(FIC-1105)</t>
    </r>
  </si>
  <si>
    <r>
      <rPr>
        <sz val="10"/>
        <rFont val="Consolas"/>
        <family val="3"/>
      </rPr>
      <t xml:space="preserve">:Act_004 :affects :Attr_005 .   # R0115 </t>
    </r>
    <r>
      <rPr>
        <sz val="10"/>
        <rFont val="Noto Sans CJK SC"/>
        <family val="2"/>
      </rPr>
      <t>离心机</t>
    </r>
    <r>
      <rPr>
        <sz val="10"/>
        <rFont val="Consolas"/>
        <family val="3"/>
      </rPr>
      <t>BA/</t>
    </r>
    <r>
      <rPr>
        <sz val="10"/>
        <rFont val="Noto Sans CJK SC"/>
        <family val="2"/>
      </rPr>
      <t>丁酯进口调节阀</t>
    </r>
    <r>
      <rPr>
        <sz val="10"/>
        <rFont val="Consolas"/>
        <family val="3"/>
      </rPr>
      <t>HV_1004/HV_1005 -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>-&gt; BA</t>
    </r>
    <r>
      <rPr>
        <sz val="10"/>
        <rFont val="Noto Sans CJK SC"/>
        <family val="2"/>
      </rPr>
      <t>进料流量</t>
    </r>
  </si>
  <si>
    <r>
      <rPr>
        <sz val="10"/>
        <rFont val="Consolas"/>
        <family val="3"/>
      </rPr>
      <t xml:space="preserve">:Ctrl_005 :controls :Act_005 .   # R0116 </t>
    </r>
    <r>
      <rPr>
        <sz val="10"/>
        <rFont val="Noto Sans CJK SC"/>
        <family val="2"/>
      </rPr>
      <t>废酸水中和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控制器</t>
    </r>
    <r>
      <rPr>
        <sz val="10"/>
        <rFont val="Consolas"/>
        <family val="3"/>
      </rPr>
      <t>(AIC-1111)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废酸水中和罐液碱调节阀</t>
    </r>
    <r>
      <rPr>
        <sz val="10"/>
        <rFont val="Consolas"/>
        <family val="3"/>
      </rPr>
      <t>HV_1101</t>
    </r>
  </si>
  <si>
    <r>
      <rPr>
        <sz val="10"/>
        <rFont val="Consolas"/>
        <family val="3"/>
      </rPr>
      <t xml:space="preserve">:Attr_013 :feedbackTo :Ctrl_005 .   # R0117 </t>
    </r>
    <r>
      <rPr>
        <sz val="10"/>
        <rFont val="Noto Sans CJK SC"/>
        <family val="2"/>
      </rPr>
      <t>废酸水中和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废酸水中和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控制器</t>
    </r>
    <r>
      <rPr>
        <sz val="10"/>
        <rFont val="Consolas"/>
        <family val="3"/>
      </rPr>
      <t>(AIC-1111)</t>
    </r>
  </si>
  <si>
    <r>
      <rPr>
        <sz val="10"/>
        <rFont val="Consolas"/>
        <family val="3"/>
      </rPr>
      <t xml:space="preserve">:Act_005 :affects :Attr_013 .   # R0118 </t>
    </r>
    <r>
      <rPr>
        <sz val="10"/>
        <rFont val="Noto Sans CJK SC"/>
        <family val="2"/>
      </rPr>
      <t>废酸水中和罐液碱调节阀</t>
    </r>
    <r>
      <rPr>
        <sz val="10"/>
        <rFont val="Consolas"/>
        <family val="3"/>
      </rPr>
      <t>HV_1101 -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废酸水中和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</si>
  <si>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:Act_001 :isControlledBy :Seq_01 .   # R0119 </t>
    </r>
    <r>
      <rPr>
        <sz val="10"/>
        <rFont val="Noto Sans CJK SC"/>
        <family val="2"/>
      </rPr>
      <t>离心机滤液进口调节阀</t>
    </r>
    <r>
      <rPr>
        <sz val="10"/>
        <rFont val="Consolas"/>
        <family val="3"/>
      </rPr>
      <t>HV_1003A–E -</t>
    </r>
    <r>
      <rPr>
        <sz val="10"/>
        <rFont val="Noto Sans CJK SC"/>
        <family val="2"/>
      </rPr>
      <t>被控制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提取离心机顺控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全部启动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自动起停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急停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</si>
  <si>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:Act_002 :isControlledBy :Seq_01 .   # R0120 </t>
    </r>
    <r>
      <rPr>
        <sz val="10"/>
        <rFont val="Noto Sans CJK SC"/>
        <family val="2"/>
      </rPr>
      <t>破乳剂流量调节阀</t>
    </r>
    <r>
      <rPr>
        <sz val="10"/>
        <rFont val="Consolas"/>
        <family val="3"/>
      </rPr>
      <t>HV_1002A–F -</t>
    </r>
    <r>
      <rPr>
        <sz val="10"/>
        <rFont val="Noto Sans CJK SC"/>
        <family val="2"/>
      </rPr>
      <t>被控制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提取离心机顺控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全部启动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自动起停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急停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</si>
  <si>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:Attr_003 :triggersAlarm :Alarm_01 .   # R0121 </t>
    </r>
    <r>
      <rPr>
        <sz val="10"/>
        <rFont val="Noto Sans CJK SC"/>
        <family val="2"/>
      </rPr>
      <t xml:space="preserve">滤液罐进料流量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触发报警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一次水流量报警</t>
    </r>
  </si>
  <si>
    <r>
      <rPr>
        <sz val="10"/>
        <rFont val="Consolas"/>
        <family val="3"/>
      </rPr>
      <t xml:space="preserve">:Attr_013 :triggersAlarm :Alarm_02 .   # R0122 </t>
    </r>
    <r>
      <rPr>
        <sz val="10"/>
        <rFont val="Noto Sans CJK SC"/>
        <family val="2"/>
      </rPr>
      <t>废酸水中和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触发报警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浓碱泵停报警</t>
    </r>
  </si>
  <si>
    <r>
      <rPr>
        <sz val="10"/>
        <rFont val="Consolas"/>
        <family val="3"/>
      </rPr>
      <t xml:space="preserve">:MS_Filtrate :flowsInto :FiltrateTankGroup .   # R0123 </t>
    </r>
    <r>
      <rPr>
        <sz val="10"/>
        <rFont val="Noto Sans CJK SC"/>
        <family val="2"/>
      </rPr>
      <t>青霉素</t>
    </r>
    <r>
      <rPr>
        <sz val="10"/>
        <rFont val="Consolas"/>
        <family val="3"/>
      </rPr>
      <t>G</t>
    </r>
    <r>
      <rPr>
        <sz val="10"/>
        <rFont val="Noto Sans CJK SC"/>
        <family val="2"/>
      </rPr>
      <t xml:space="preserve">发酵滤液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发酵滤液储罐组</t>
    </r>
  </si>
  <si>
    <r>
      <rPr>
        <sz val="10"/>
        <rFont val="Consolas"/>
        <family val="3"/>
      </rPr>
      <t xml:space="preserve">:FiltrateTankGroup :connectedToNext :FiltratePumpGroup .   # R0124 </t>
    </r>
    <r>
      <rPr>
        <sz val="10"/>
        <rFont val="Noto Sans CJK SC"/>
        <family val="2"/>
      </rPr>
      <t xml:space="preserve">发酵滤液储罐组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滤液泵组</t>
    </r>
  </si>
  <si>
    <r>
      <rPr>
        <sz val="10"/>
        <rFont val="Consolas"/>
        <family val="3"/>
      </rPr>
      <t xml:space="preserve">:FiltratePumpGroup :connectedToNext :RSE300CentrifugeGroup .   # R0125 </t>
    </r>
    <r>
      <rPr>
        <sz val="10"/>
        <rFont val="Noto Sans CJK SC"/>
        <family val="2"/>
      </rPr>
      <t xml:space="preserve">滤液泵组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>-&gt; RSE300</t>
    </r>
    <r>
      <rPr>
        <sz val="10"/>
        <rFont val="Noto Sans CJK SC"/>
        <family val="2"/>
      </rPr>
      <t>提取离心机组</t>
    </r>
  </si>
  <si>
    <r>
      <rPr>
        <sz val="10"/>
        <rFont val="Consolas"/>
        <family val="3"/>
      </rPr>
      <t xml:space="preserve">:MS_DiluteH2SO4 :injectedInto :AcidMixerM2123 .   # R0126 </t>
    </r>
    <r>
      <rPr>
        <sz val="10"/>
        <rFont val="Noto Sans CJK SC"/>
        <family val="2"/>
      </rPr>
      <t xml:space="preserve">稀硫酸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注入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稀硫酸在线混合器</t>
    </r>
    <r>
      <rPr>
        <sz val="10"/>
        <rFont val="Consolas"/>
        <family val="3"/>
      </rPr>
      <t>M2123</t>
    </r>
  </si>
  <si>
    <r>
      <rPr>
        <sz val="10"/>
        <rFont val="Consolas"/>
        <family val="3"/>
      </rPr>
      <t xml:space="preserve">:AcidMixerM2123 :connectedToNext :RSE300CentrifugeGroup .   # R0127 </t>
    </r>
    <r>
      <rPr>
        <sz val="10"/>
        <rFont val="Noto Sans CJK SC"/>
        <family val="2"/>
      </rPr>
      <t>稀硫酸在线混合器</t>
    </r>
    <r>
      <rPr>
        <sz val="10"/>
        <rFont val="Consolas"/>
        <family val="3"/>
      </rPr>
      <t>M2123 -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>-&gt; RSE300</t>
    </r>
    <r>
      <rPr>
        <sz val="10"/>
        <rFont val="Noto Sans CJK SC"/>
        <family val="2"/>
      </rPr>
      <t>提取离心机组</t>
    </r>
  </si>
  <si>
    <r>
      <rPr>
        <sz val="10"/>
        <rFont val="Consolas"/>
        <family val="3"/>
      </rPr>
      <t xml:space="preserve">:MS_Demulsifier :injectedInto :RSE300CentrifugeGroup .   # R0128 </t>
    </r>
    <r>
      <rPr>
        <sz val="10"/>
        <rFont val="Noto Sans CJK SC"/>
        <family val="2"/>
      </rPr>
      <t xml:space="preserve">破乳剂溶液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注入</t>
    </r>
    <r>
      <rPr>
        <sz val="10"/>
        <rFont val="Consolas"/>
        <family val="3"/>
      </rPr>
      <t>-&gt; RSE300</t>
    </r>
    <r>
      <rPr>
        <sz val="10"/>
        <rFont val="Noto Sans CJK SC"/>
        <family val="2"/>
      </rPr>
      <t>提取离心机组</t>
    </r>
  </si>
  <si>
    <r>
      <rPr>
        <sz val="10"/>
        <rFont val="Consolas"/>
        <family val="3"/>
      </rPr>
      <t xml:space="preserve">:MS_BA_3rd :flowsInto :RSE300CentrifugeGroup .   # R0129 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BA 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>-&gt; RSE300</t>
    </r>
    <r>
      <rPr>
        <sz val="10"/>
        <rFont val="Noto Sans CJK SC"/>
        <family val="2"/>
      </rPr>
      <t>提取离心机组</t>
    </r>
  </si>
  <si>
    <r>
      <rPr>
        <sz val="10"/>
        <rFont val="Consolas"/>
        <family val="3"/>
      </rPr>
      <t xml:space="preserve">:MS_BA_Fresh :flowsInto :RSE300CentrifugeGroup .   # R0130 </t>
    </r>
    <r>
      <rPr>
        <sz val="10"/>
        <rFont val="Noto Sans CJK SC"/>
        <family val="2"/>
      </rPr>
      <t>丁酯</t>
    </r>
    <r>
      <rPr>
        <sz val="10"/>
        <rFont val="Consolas"/>
        <family val="3"/>
      </rPr>
      <t>(BA</t>
    </r>
    <r>
      <rPr>
        <sz val="10"/>
        <rFont val="Noto Sans CJK SC"/>
        <family val="2"/>
      </rPr>
      <t>，醋酸丁酯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>-&gt; RSE300</t>
    </r>
    <r>
      <rPr>
        <sz val="10"/>
        <rFont val="Noto Sans CJK SC"/>
        <family val="2"/>
      </rPr>
      <t>提取离心机组</t>
    </r>
  </si>
  <si>
    <r>
      <rPr>
        <sz val="10"/>
        <rFont val="Consolas"/>
        <family val="3"/>
      </rPr>
      <t>:RSE300CentrifugeGroup :separatesInto :MS_PrimaryBA .   # R0131 RSE300</t>
    </r>
    <r>
      <rPr>
        <sz val="10"/>
        <rFont val="Noto Sans CJK SC"/>
        <family val="2"/>
      </rPr>
      <t xml:space="preserve">提取离心机组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分离产出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一次</t>
    </r>
    <r>
      <rPr>
        <sz val="10"/>
        <rFont val="Consolas"/>
        <family val="3"/>
      </rPr>
      <t>BA</t>
    </r>
  </si>
  <si>
    <r>
      <rPr>
        <sz val="10"/>
        <rFont val="Consolas"/>
        <family val="3"/>
      </rPr>
      <t>:RSE300CentrifugeGroup :separatesInto :MS_WasteAcid2 .   # R0132 RSE300</t>
    </r>
    <r>
      <rPr>
        <sz val="10"/>
        <rFont val="Noto Sans CJK SC"/>
        <family val="2"/>
      </rPr>
      <t xml:space="preserve">提取离心机组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分离产出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二级废酸水</t>
    </r>
  </si>
  <si>
    <r>
      <rPr>
        <sz val="10"/>
        <rFont val="Consolas"/>
        <family val="3"/>
      </rPr>
      <t xml:space="preserve">:MS_PrimaryBA :flowsInto :PrimaryBATank .   # R0133 </t>
    </r>
    <r>
      <rPr>
        <sz val="10"/>
        <rFont val="Noto Sans CJK SC"/>
        <family val="2"/>
      </rPr>
      <t>一次</t>
    </r>
    <r>
      <rPr>
        <sz val="10"/>
        <rFont val="Consolas"/>
        <family val="3"/>
      </rPr>
      <t>BA 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一次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V2136</t>
    </r>
  </si>
  <si>
    <r>
      <rPr>
        <sz val="10"/>
        <rFont val="Consolas"/>
        <family val="3"/>
      </rPr>
      <t xml:space="preserve">:MS_WasteAcid2 :flowsInto :WasteAcidTank2 .   # R0134 </t>
    </r>
    <r>
      <rPr>
        <sz val="10"/>
        <rFont val="Noto Sans CJK SC"/>
        <family val="2"/>
      </rPr>
      <t xml:space="preserve">二级废酸水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二级废酸水罐</t>
    </r>
  </si>
  <si>
    <r>
      <rPr>
        <sz val="10"/>
        <rFont val="Consolas"/>
        <family val="3"/>
      </rPr>
      <t xml:space="preserve">:WasteAcidTank2 :connectedToNext :RSE200CentrifugeGroup .   # R0135 </t>
    </r>
    <r>
      <rPr>
        <sz val="10"/>
        <rFont val="Noto Sans CJK SC"/>
        <family val="2"/>
      </rPr>
      <t xml:space="preserve">二级废酸水罐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>-&gt; 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</si>
  <si>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:MS_Caustic :injectedInto :WasteAcidNeutralizerV2124 .   # R0136 </t>
    </r>
    <r>
      <rPr>
        <sz val="10"/>
        <rFont val="Noto Sans CJK SC"/>
        <family val="2"/>
      </rPr>
      <t>液碱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稀碱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注入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三级废酸水罐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废酸水中和罐</t>
    </r>
    <r>
      <rPr>
        <sz val="10"/>
        <rFont val="Consolas"/>
        <family val="3"/>
      </rPr>
      <t>V2124</t>
    </r>
  </si>
  <si>
    <r>
      <rPr>
        <sz val="10"/>
        <rFont val="Consolas"/>
        <family val="3"/>
      </rPr>
      <t xml:space="preserve">:WasteAcidNeutralizerV2124 :produces :MS_WasteAcid3 .   # R0137 </t>
    </r>
    <r>
      <rPr>
        <sz val="10"/>
        <rFont val="Noto Sans CJK SC"/>
        <family val="2"/>
      </rPr>
      <t>三级废酸水罐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废酸水中和罐</t>
    </r>
    <r>
      <rPr>
        <sz val="10"/>
        <rFont val="Consolas"/>
        <family val="3"/>
      </rPr>
      <t>V2124 -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三级废酸水</t>
    </r>
  </si>
  <si>
    <r>
      <rPr>
        <sz val="10"/>
        <rFont val="Consolas"/>
        <family val="3"/>
      </rPr>
      <t xml:space="preserve">:MS_WashHeavy :recyclesTo :FiltrateTankGroup .   # R0138 </t>
    </r>
    <r>
      <rPr>
        <sz val="10"/>
        <rFont val="Noto Sans CJK SC"/>
        <family val="2"/>
      </rPr>
      <t xml:space="preserve">水洗重相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循环返回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发酵滤液储罐组</t>
    </r>
  </si>
  <si>
    <r>
      <rPr>
        <sz val="10"/>
        <rFont val="Consolas"/>
        <family val="3"/>
      </rPr>
      <t xml:space="preserve">:Attr_007 :affects :Attr_248 .   # R0139 </t>
    </r>
    <r>
      <rPr>
        <sz val="10"/>
        <rFont val="Noto Sans CJK SC"/>
        <family val="2"/>
      </rPr>
      <t>一阶段酸化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萃取分配系数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青霉素</t>
    </r>
    <r>
      <rPr>
        <sz val="10"/>
        <rFont val="Consolas"/>
        <family val="3"/>
      </rPr>
      <t>G)</t>
    </r>
  </si>
  <si>
    <r>
      <rPr>
        <sz val="10"/>
        <rFont val="Consolas"/>
        <family val="3"/>
      </rPr>
      <t xml:space="preserve">:Attr_007 :negativelyAffects :Attr_249 .   # R0140 </t>
    </r>
    <r>
      <rPr>
        <sz val="10"/>
        <rFont val="Noto Sans CJK SC"/>
        <family val="2"/>
      </rPr>
      <t>一阶段酸化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青霉素酸降解速率</t>
    </r>
  </si>
  <si>
    <r>
      <rPr>
        <sz val="10"/>
        <rFont val="Consolas"/>
        <family val="3"/>
      </rPr>
      <t xml:space="preserve">:Attr_012 :negativelyAffects :Attr_007 .   # R0141 </t>
    </r>
    <r>
      <rPr>
        <sz val="10"/>
        <rFont val="Noto Sans CJK SC"/>
        <family val="2"/>
      </rPr>
      <t xml:space="preserve">稀硫酸注入流量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一阶段酸化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</si>
  <si>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:Attr_033 :negativelyAffects :Attr_007 .   # R0142 </t>
    </r>
    <r>
      <rPr>
        <sz val="10"/>
        <rFont val="Noto Sans CJK SC"/>
        <family val="2"/>
      </rPr>
      <t xml:space="preserve">稀硫酸浓度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一阶段酸化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</si>
  <si>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:Attr_002 :positivelyAffects :Attr_249 .   # R0143 </t>
    </r>
    <r>
      <rPr>
        <sz val="10"/>
        <rFont val="Noto Sans CJK SC"/>
        <family val="2"/>
      </rPr>
      <t xml:space="preserve">滤液温度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青霉素酸降解速率</t>
    </r>
  </si>
  <si>
    <r>
      <rPr>
        <sz val="10"/>
        <rFont val="Consolas"/>
        <family val="3"/>
      </rPr>
      <t xml:space="preserve">:Attr_006 :negativelyAffects :Attr_250 .   # R0144 </t>
    </r>
    <r>
      <rPr>
        <sz val="10"/>
        <rFont val="Noto Sans CJK SC"/>
        <family val="2"/>
      </rPr>
      <t xml:space="preserve">破乳剂进料流量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相界面乳化层厚度</t>
    </r>
  </si>
  <si>
    <r>
      <rPr>
        <sz val="10"/>
        <rFont val="Consolas"/>
        <family val="3"/>
      </rPr>
      <t xml:space="preserve">:Attr_250 :negativelyAffects :QKPI_280 .   # R0145 </t>
    </r>
    <r>
      <rPr>
        <sz val="10"/>
        <rFont val="Noto Sans CJK SC"/>
        <family val="2"/>
      </rPr>
      <t xml:space="preserve">相界面乳化层厚度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离心分相澄清度</t>
    </r>
  </si>
  <si>
    <r>
      <rPr>
        <sz val="10"/>
        <rFont val="Consolas"/>
        <family val="3"/>
      </rPr>
      <t>:Attr_005 :positivelyAffects :Attr_277 .   # R0146 BA</t>
    </r>
    <r>
      <rPr>
        <sz val="10"/>
        <rFont val="Noto Sans CJK SC"/>
        <family val="2"/>
      </rPr>
      <t xml:space="preserve">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有机水相相比</t>
    </r>
    <r>
      <rPr>
        <sz val="10"/>
        <rFont val="Consolas"/>
        <family val="3"/>
      </rPr>
      <t>(O/A</t>
    </r>
    <r>
      <rPr>
        <sz val="10"/>
        <rFont val="Noto Sans CJK SC"/>
        <family val="2"/>
      </rPr>
      <t>比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</si>
  <si>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:Attr_009 :affects :Attr_251 .   # R0147 </t>
    </r>
    <r>
      <rPr>
        <sz val="10"/>
        <rFont val="Noto Sans CJK SC"/>
        <family val="2"/>
      </rPr>
      <t xml:space="preserve">重相出口压力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离心机分相交界面位置</t>
    </r>
  </si>
  <si>
    <r>
      <rPr>
        <sz val="10"/>
        <rFont val="Consolas"/>
        <family val="3"/>
      </rPr>
      <t xml:space="preserve">:Attr_010 :affects :Attr_251 .   # R0148 </t>
    </r>
    <r>
      <rPr>
        <sz val="10"/>
        <rFont val="Noto Sans CJK SC"/>
        <family val="2"/>
      </rPr>
      <t xml:space="preserve">轻相出口压力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离心机分相交界面位置</t>
    </r>
  </si>
  <si>
    <r>
      <rPr>
        <sz val="10"/>
        <rFont val="Consolas"/>
        <family val="3"/>
      </rPr>
      <t xml:space="preserve">:Attr_248 :negativelyAffects :QKPI_253 .   # R0149 </t>
    </r>
    <r>
      <rPr>
        <sz val="10"/>
        <rFont val="Noto Sans CJK SC"/>
        <family val="2"/>
      </rPr>
      <t>萃取分配系数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青霉素</t>
    </r>
    <r>
      <rPr>
        <sz val="10"/>
        <rFont val="Consolas"/>
        <family val="3"/>
      </rPr>
      <t>G) 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提取废酸水残效</t>
    </r>
  </si>
  <si>
    <r>
      <rPr>
        <sz val="10"/>
        <rFont val="Consolas"/>
        <family val="3"/>
      </rPr>
      <t xml:space="preserve">:Attr_041 :affects :Attr_006 .   # R0150 </t>
    </r>
    <r>
      <rPr>
        <sz val="10"/>
        <rFont val="Noto Sans CJK SC"/>
        <family val="2"/>
      </rPr>
      <t xml:space="preserve">破乳剂缓冲罐液位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破乳剂进料流量</t>
    </r>
  </si>
  <si>
    <r>
      <rPr>
        <sz val="10"/>
        <rFont val="Consolas"/>
        <family val="3"/>
      </rPr>
      <t xml:space="preserve">:Attr_248 :positivelyAffects :QKPI_252 .   # R0151 </t>
    </r>
    <r>
      <rPr>
        <sz val="10"/>
        <rFont val="Noto Sans CJK SC"/>
        <family val="2"/>
      </rPr>
      <t>萃取分配系数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青霉素</t>
    </r>
    <r>
      <rPr>
        <sz val="10"/>
        <rFont val="Consolas"/>
        <family val="3"/>
      </rPr>
      <t>G) 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一次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青霉素效价</t>
    </r>
  </si>
  <si>
    <r>
      <rPr>
        <sz val="10"/>
        <rFont val="Consolas"/>
        <family val="3"/>
      </rPr>
      <t xml:space="preserve">:QKPI_253 :negativelyAffects :BKPI_254 .   # R0152 </t>
    </r>
    <r>
      <rPr>
        <sz val="10"/>
        <rFont val="Noto Sans CJK SC"/>
        <family val="2"/>
      </rPr>
      <t xml:space="preserve">提取废酸水残效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提取收率</t>
    </r>
  </si>
  <si>
    <r>
      <rPr>
        <sz val="10"/>
        <rFont val="Consolas"/>
        <family val="3"/>
      </rPr>
      <t xml:space="preserve">:Attr_249 :negativelyAffects :BKPI_254 .   # R0153 </t>
    </r>
    <r>
      <rPr>
        <sz val="10"/>
        <rFont val="Noto Sans CJK SC"/>
        <family val="2"/>
      </rPr>
      <t xml:space="preserve">青霉素酸降解速率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提取收率</t>
    </r>
  </si>
  <si>
    <r>
      <rPr>
        <sz val="10"/>
        <rFont val="Consolas"/>
        <family val="3"/>
      </rPr>
      <t xml:space="preserve">
# --- S02 </t>
    </r>
    <r>
      <rPr>
        <sz val="10"/>
        <rFont val="Noto Sans CJK SC"/>
        <family val="2"/>
      </rPr>
      <t>提取</t>
    </r>
    <r>
      <rPr>
        <sz val="10"/>
        <rFont val="Consolas"/>
        <family val="3"/>
      </rPr>
      <t>·RSE200</t>
    </r>
    <r>
      <rPr>
        <sz val="10"/>
        <rFont val="Noto Sans CJK SC"/>
        <family val="2"/>
      </rPr>
      <t xml:space="preserve">三萃及溶媒周转 </t>
    </r>
    <r>
      <rPr>
        <sz val="10"/>
        <rFont val="Consolas"/>
        <family val="3"/>
      </rPr>
      <t>---</t>
    </r>
  </si>
  <si>
    <r>
      <rPr>
        <sz val="10"/>
        <rFont val="Consolas"/>
        <family val="3"/>
      </rPr>
      <t xml:space="preserve">:Area_S02_Extraction_RSE200 :connectedToNext :Area_S01_Extraction_RSE300 .   # R0154 </t>
    </r>
    <r>
      <rPr>
        <sz val="10"/>
        <rFont val="Noto Sans CJK SC"/>
        <family val="2"/>
      </rPr>
      <t>提取</t>
    </r>
    <r>
      <rPr>
        <sz val="10"/>
        <rFont val="Consolas"/>
        <family val="3"/>
      </rPr>
      <t>·RSE200</t>
    </r>
    <r>
      <rPr>
        <sz val="10"/>
        <rFont val="Noto Sans CJK SC"/>
        <family val="2"/>
      </rPr>
      <t xml:space="preserve">三萃及溶媒周转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提取</t>
    </r>
    <r>
      <rPr>
        <sz val="10"/>
        <rFont val="Consolas"/>
        <family val="3"/>
      </rPr>
      <t>·RSE300</t>
    </r>
    <r>
      <rPr>
        <sz val="10"/>
        <rFont val="Noto Sans CJK SC"/>
        <family val="2"/>
      </rPr>
      <t>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二萃</t>
    </r>
  </si>
  <si>
    <r>
      <rPr>
        <sz val="10"/>
        <rFont val="Consolas"/>
        <family val="3"/>
      </rPr>
      <t xml:space="preserve">:Area_S02_Extraction_RSE200 :connectedToNext :Area_S20_WastewaterTreatment .   # R0155 </t>
    </r>
    <r>
      <rPr>
        <sz val="10"/>
        <rFont val="Noto Sans CJK SC"/>
        <family val="2"/>
      </rPr>
      <t>提取</t>
    </r>
    <r>
      <rPr>
        <sz val="10"/>
        <rFont val="Consolas"/>
        <family val="3"/>
      </rPr>
      <t>·RSE200</t>
    </r>
    <r>
      <rPr>
        <sz val="10"/>
        <rFont val="Noto Sans CJK SC"/>
        <family val="2"/>
      </rPr>
      <t xml:space="preserve">三萃及溶媒周转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废酸水处理与蒸氨</t>
    </r>
  </si>
  <si>
    <r>
      <rPr>
        <sz val="10"/>
        <rFont val="Consolas"/>
        <family val="3"/>
      </rPr>
      <t xml:space="preserve">:Area_S02_Extraction_RSE200 :hasEquipment :RSE200CentrifugeGroup .   # R0156 </t>
    </r>
    <r>
      <rPr>
        <sz val="10"/>
        <rFont val="Noto Sans CJK SC"/>
        <family val="2"/>
      </rPr>
      <t>提取</t>
    </r>
    <r>
      <rPr>
        <sz val="10"/>
        <rFont val="Consolas"/>
        <family val="3"/>
      </rPr>
      <t>·RSE200</t>
    </r>
    <r>
      <rPr>
        <sz val="10"/>
        <rFont val="Noto Sans CJK SC"/>
        <family val="2"/>
      </rPr>
      <t xml:space="preserve">三萃及溶媒周转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>-&gt; 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</si>
  <si>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>:RSE200CentrifugeGroup :hasMember :RSE200CentrifugeGroup_M01 .   # R0157 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提取离心机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)1(II_10TQA)</t>
    </r>
  </si>
  <si>
    <r>
      <rPr>
        <sz val="10"/>
        <rFont val="Consolas"/>
        <family val="3"/>
      </rPr>
      <t>:RSE200CentrifugeGroup :hasMember :RSE200CentrifugeGroup_M02 .   # R0158 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提取离心机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)2(II_10TQB)</t>
    </r>
  </si>
  <si>
    <r>
      <rPr>
        <sz val="10"/>
        <rFont val="Consolas"/>
        <family val="3"/>
      </rPr>
      <t>:RSE200CentrifugeGroup :hasMember :RSE200CentrifugeGroup_M03 .   # R0159 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提取离心机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)3(II_10TQC)</t>
    </r>
  </si>
  <si>
    <r>
      <rPr>
        <sz val="10"/>
        <rFont val="Consolas"/>
        <family val="3"/>
      </rPr>
      <t>:RSE200CentrifugeGroup :hasMember :RSE200CentrifugeGroup_M04 .   # R0160 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提取离心机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)4(II_10TQD)</t>
    </r>
  </si>
  <si>
    <r>
      <rPr>
        <sz val="10"/>
        <rFont val="Consolas"/>
        <family val="3"/>
      </rPr>
      <t>:RSE200CentrifugeGroup :hasPart :RSE200CentrifugeGroup_P01 .   # R0161 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-&gt; 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碟片分离转鼓</t>
    </r>
  </si>
  <si>
    <r>
      <rPr>
        <sz val="10"/>
        <rFont val="Consolas"/>
        <family val="3"/>
      </rPr>
      <t>:RSE200CentrifugeGroup :hasPart :RSE200CentrifugeGroup_P02 .   # R0162 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-&gt; 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轻相向心泵</t>
    </r>
  </si>
  <si>
    <r>
      <rPr>
        <sz val="10"/>
        <rFont val="Consolas"/>
        <family val="3"/>
      </rPr>
      <t>:RSE200CentrifugeGroup :hasPart :RSE200CentrifugeGroup_P03 .   # R0163 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-&gt; 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重相向心泵</t>
    </r>
  </si>
  <si>
    <r>
      <rPr>
        <sz val="10"/>
        <rFont val="Consolas"/>
        <family val="3"/>
      </rPr>
      <t>:RSE200CentrifugeGroup :hasPart :RSE200CentrifugeGroup_P04 .   # R0164 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-&gt; 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主电机</t>
    </r>
  </si>
  <si>
    <r>
      <rPr>
        <sz val="10"/>
        <rFont val="Consolas"/>
        <family val="3"/>
      </rPr>
      <t xml:space="preserve">:Area_S02_Extraction_RSE200 :hasEquipment :ButylAcetateTank .   # R0165 </t>
    </r>
    <r>
      <rPr>
        <sz val="10"/>
        <rFont val="Noto Sans CJK SC"/>
        <family val="2"/>
      </rPr>
      <t>提取</t>
    </r>
    <r>
      <rPr>
        <sz val="10"/>
        <rFont val="Consolas"/>
        <family val="3"/>
      </rPr>
      <t>·RSE200</t>
    </r>
    <r>
      <rPr>
        <sz val="10"/>
        <rFont val="Noto Sans CJK SC"/>
        <family val="2"/>
      </rPr>
      <t xml:space="preserve">三萃及溶媒周转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丁酯罐</t>
    </r>
  </si>
  <si>
    <r>
      <rPr>
        <sz val="10"/>
        <rFont val="Consolas"/>
        <family val="3"/>
      </rPr>
      <t xml:space="preserve">:ButylAcetateTank :hasMember :ButylAcetateTank_M01 .   # R0166 </t>
    </r>
    <r>
      <rPr>
        <sz val="10"/>
        <rFont val="Noto Sans CJK SC"/>
        <family val="2"/>
      </rPr>
      <t xml:space="preserve">丁酯罐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丁酯罐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</si>
  <si>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:ButylAcetateTank :hasMember :ButylAcetateTank_M02 .   # R0167 </t>
    </r>
    <r>
      <rPr>
        <sz val="10"/>
        <rFont val="Noto Sans CJK SC"/>
        <family val="2"/>
      </rPr>
      <t xml:space="preserve">丁酯罐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丁酯罐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</si>
  <si>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:ButylAcetateTank :hasPart :ButylAcetateTank_P01 .   # R0168 </t>
    </r>
    <r>
      <rPr>
        <sz val="10"/>
        <rFont val="Noto Sans CJK SC"/>
        <family val="2"/>
      </rPr>
      <t xml:space="preserve">丁酯罐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</si>
  <si>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:ButylAcetateTank :hasPart :ButylAcetateTank_P02 .   # R0169 </t>
    </r>
    <r>
      <rPr>
        <sz val="10"/>
        <rFont val="Noto Sans CJK SC"/>
        <family val="2"/>
      </rPr>
      <t xml:space="preserve">丁酯罐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温度计</t>
    </r>
  </si>
  <si>
    <r>
      <rPr>
        <sz val="10"/>
        <rFont val="Consolas"/>
        <family val="3"/>
      </rPr>
      <t xml:space="preserve">:ButylAcetateTank :hasPart :ButylAcetateTank_P03 .   # R0170 </t>
    </r>
    <r>
      <rPr>
        <sz val="10"/>
        <rFont val="Noto Sans CJK SC"/>
        <family val="2"/>
      </rPr>
      <t xml:space="preserve">丁酯罐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压力表</t>
    </r>
  </si>
  <si>
    <r>
      <rPr>
        <sz val="10"/>
        <rFont val="Consolas"/>
        <family val="3"/>
      </rPr>
      <t xml:space="preserve">:Area_S02_Extraction_RSE200 :hasEquipment :BACooler .   # R0171 </t>
    </r>
    <r>
      <rPr>
        <sz val="10"/>
        <rFont val="Noto Sans CJK SC"/>
        <family val="2"/>
      </rPr>
      <t>提取</t>
    </r>
    <r>
      <rPr>
        <sz val="10"/>
        <rFont val="Consolas"/>
        <family val="3"/>
      </rPr>
      <t>·RSE200</t>
    </r>
    <r>
      <rPr>
        <sz val="10"/>
        <rFont val="Noto Sans CJK SC"/>
        <family val="2"/>
      </rPr>
      <t xml:space="preserve">三萃及溶媒周转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丁酯换热器</t>
    </r>
  </si>
  <si>
    <r>
      <rPr>
        <sz val="10"/>
        <rFont val="Consolas"/>
        <family val="3"/>
      </rPr>
      <t xml:space="preserve">:BACooler :hasPart :BACooler_P01 .   # R0172 </t>
    </r>
    <r>
      <rPr>
        <sz val="10"/>
        <rFont val="Noto Sans CJK SC"/>
        <family val="2"/>
      </rPr>
      <t xml:space="preserve">丁酯换热器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丁酯换热器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冷盐水调节阀</t>
    </r>
    <r>
      <rPr>
        <sz val="10"/>
        <rFont val="Consolas"/>
        <family val="3"/>
      </rPr>
      <t>HV_1001</t>
    </r>
  </si>
  <si>
    <r>
      <rPr>
        <sz val="10"/>
        <rFont val="Consolas"/>
        <family val="3"/>
      </rPr>
      <t xml:space="preserve">:Area_S02_Extraction_RSE200 :hasEquipment :WorkWaterTank .   # R0173 </t>
    </r>
    <r>
      <rPr>
        <sz val="10"/>
        <rFont val="Noto Sans CJK SC"/>
        <family val="2"/>
      </rPr>
      <t>提取</t>
    </r>
    <r>
      <rPr>
        <sz val="10"/>
        <rFont val="Consolas"/>
        <family val="3"/>
      </rPr>
      <t>·RSE200</t>
    </r>
    <r>
      <rPr>
        <sz val="10"/>
        <rFont val="Noto Sans CJK SC"/>
        <family val="2"/>
      </rPr>
      <t xml:space="preserve">三萃及溶媒周转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工作水罐</t>
    </r>
  </si>
  <si>
    <r>
      <rPr>
        <sz val="10"/>
        <rFont val="Consolas"/>
        <family val="3"/>
      </rPr>
      <t xml:space="preserve">:WorkWaterTank :hasPart :WorkWaterTank_P01 .   # R0174 </t>
    </r>
    <r>
      <rPr>
        <sz val="10"/>
        <rFont val="Noto Sans CJK SC"/>
        <family val="2"/>
      </rPr>
      <t xml:space="preserve">工作水罐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工作水罐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</si>
  <si>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:Area_S02_Extraction_RSE200 :hasEquipment :PrimaryBATank .   # R0175 </t>
    </r>
    <r>
      <rPr>
        <sz val="10"/>
        <rFont val="Noto Sans CJK SC"/>
        <family val="2"/>
      </rPr>
      <t>提取</t>
    </r>
    <r>
      <rPr>
        <sz val="10"/>
        <rFont val="Consolas"/>
        <family val="3"/>
      </rPr>
      <t>·RSE200</t>
    </r>
    <r>
      <rPr>
        <sz val="10"/>
        <rFont val="Noto Sans CJK SC"/>
        <family val="2"/>
      </rPr>
      <t xml:space="preserve">三萃及溶媒周转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一次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V2136</t>
    </r>
  </si>
  <si>
    <r>
      <rPr>
        <sz val="10"/>
        <rFont val="Consolas"/>
        <family val="3"/>
      </rPr>
      <t xml:space="preserve">:PrimaryBATank :hasPart :PrimaryBATank_P01 .   # R0176 </t>
    </r>
    <r>
      <rPr>
        <sz val="10"/>
        <rFont val="Noto Sans CJK SC"/>
        <family val="2"/>
      </rPr>
      <t>一次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V2136 -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一次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V2136·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</si>
  <si>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>:RSE200CentrifugeGroup :hasAttribute :Attr_017 .   # R0177 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滤液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酸水进料流量</t>
    </r>
  </si>
  <si>
    <r>
      <rPr>
        <sz val="10"/>
        <rFont val="Consolas"/>
        <family val="3"/>
      </rPr>
      <t>:RSE200CentrifugeGroup :hasAttribute :Attr_018 .   # R0178 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三萃丁酯进料流量</t>
    </r>
  </si>
  <si>
    <r>
      <rPr>
        <sz val="10"/>
        <rFont val="Consolas"/>
        <family val="3"/>
      </rPr>
      <t>:RSE200CentrifugeGroup :hasAttribute :Attr_019 .   # R0179 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破乳剂进料流量</t>
    </r>
    <r>
      <rPr>
        <sz val="10"/>
        <rFont val="Consolas"/>
        <family val="3"/>
      </rPr>
      <t>(RSE200)</t>
    </r>
  </si>
  <si>
    <r>
      <rPr>
        <sz val="10"/>
        <rFont val="Consolas"/>
        <family val="3"/>
      </rPr>
      <t>:RSE200CentrifugeGroup :hasAttribute :Attr_020 .   # R0180 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RSE200</t>
    </r>
    <r>
      <rPr>
        <sz val="10"/>
        <rFont val="Noto Sans CJK SC"/>
        <family val="2"/>
      </rPr>
      <t>萃取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</si>
  <si>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>:RSE200CentrifugeGroup :hasAttribute :Attr_021 .   # R0181 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RSE200</t>
    </r>
    <r>
      <rPr>
        <sz val="10"/>
        <rFont val="Noto Sans CJK SC"/>
        <family val="2"/>
      </rPr>
      <t>主电机电流</t>
    </r>
  </si>
  <si>
    <r>
      <rPr>
        <sz val="10"/>
        <rFont val="Consolas"/>
        <family val="3"/>
      </rPr>
      <t xml:space="preserve">:ButylAcetateTank :hasAttribute :Attr_022 .   # R0182 </t>
    </r>
    <r>
      <rPr>
        <sz val="10"/>
        <rFont val="Noto Sans CJK SC"/>
        <family val="2"/>
      </rPr>
      <t xml:space="preserve">丁酯罐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丁酯罐液位</t>
    </r>
  </si>
  <si>
    <r>
      <rPr>
        <sz val="10"/>
        <rFont val="Consolas"/>
        <family val="3"/>
      </rPr>
      <t xml:space="preserve">:ButylAcetateTank :hasAttribute :Attr_023 .   # R0183 </t>
    </r>
    <r>
      <rPr>
        <sz val="10"/>
        <rFont val="Noto Sans CJK SC"/>
        <family val="2"/>
      </rPr>
      <t xml:space="preserve">丁酯罐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丁酯温度</t>
    </r>
  </si>
  <si>
    <r>
      <rPr>
        <sz val="10"/>
        <rFont val="Consolas"/>
        <family val="3"/>
      </rPr>
      <t xml:space="preserve">:ButylAcetateTank :hasAttribute :Attr_024 .   # R0184 </t>
    </r>
    <r>
      <rPr>
        <sz val="10"/>
        <rFont val="Noto Sans CJK SC"/>
        <family val="2"/>
      </rPr>
      <t xml:space="preserve">丁酯罐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丁酯罐压力</t>
    </r>
  </si>
  <si>
    <r>
      <rPr>
        <sz val="10"/>
        <rFont val="Consolas"/>
        <family val="3"/>
      </rPr>
      <t xml:space="preserve">:ButylAcetateTank :hasAttribute :Attr_025 .   # R0185 </t>
    </r>
    <r>
      <rPr>
        <sz val="10"/>
        <rFont val="Noto Sans CJK SC"/>
        <family val="2"/>
      </rPr>
      <t xml:space="preserve">丁酯罐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钾盐退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流量</t>
    </r>
  </si>
  <si>
    <r>
      <rPr>
        <sz val="10"/>
        <rFont val="Consolas"/>
        <family val="3"/>
      </rPr>
      <t xml:space="preserve">:ButylAcetateTank :hasAttribute :Attr_026 .   # R0186 </t>
    </r>
    <r>
      <rPr>
        <sz val="10"/>
        <rFont val="Noto Sans CJK SC"/>
        <family val="2"/>
      </rPr>
      <t xml:space="preserve">丁酯罐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6A</t>
    </r>
    <r>
      <rPr>
        <sz val="10"/>
        <rFont val="Noto Sans CJK SC"/>
        <family val="2"/>
      </rPr>
      <t>退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流量</t>
    </r>
  </si>
  <si>
    <r>
      <rPr>
        <sz val="10"/>
        <rFont val="Consolas"/>
        <family val="3"/>
      </rPr>
      <t xml:space="preserve">:BACooler :hasAttribute :Attr_027 .   # R0187 </t>
    </r>
    <r>
      <rPr>
        <sz val="10"/>
        <rFont val="Noto Sans CJK SC"/>
        <family val="2"/>
      </rPr>
      <t xml:space="preserve">丁酯换热器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丁酯冷却回水温度</t>
    </r>
  </si>
  <si>
    <r>
      <rPr>
        <sz val="10"/>
        <rFont val="Consolas"/>
        <family val="3"/>
      </rPr>
      <t xml:space="preserve">:PrimaryBATank :hasAttribute :Attr_028 .   # R0188 </t>
    </r>
    <r>
      <rPr>
        <sz val="10"/>
        <rFont val="Noto Sans CJK SC"/>
        <family val="2"/>
      </rPr>
      <t>一次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V2136 -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一次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罐液位</t>
    </r>
  </si>
  <si>
    <r>
      <rPr>
        <sz val="10"/>
        <rFont val="Consolas"/>
        <family val="3"/>
      </rPr>
      <t xml:space="preserve">:WorkWaterTank :hasAttribute :Attr_029 .   # R0189 </t>
    </r>
    <r>
      <rPr>
        <sz val="10"/>
        <rFont val="Noto Sans CJK SC"/>
        <family val="2"/>
      </rPr>
      <t xml:space="preserve">工作水罐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工作水罐液位</t>
    </r>
  </si>
  <si>
    <r>
      <rPr>
        <sz val="10"/>
        <rFont val="Consolas"/>
        <family val="3"/>
      </rPr>
      <t xml:space="preserve">:PrimaryBATank :hasAttribute :QKPI_252 .   # R0190 </t>
    </r>
    <r>
      <rPr>
        <sz val="10"/>
        <rFont val="Noto Sans CJK SC"/>
        <family val="2"/>
      </rPr>
      <t>一次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V2136 -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一次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青霉素效价</t>
    </r>
  </si>
  <si>
    <r>
      <rPr>
        <sz val="10"/>
        <rFont val="Consolas"/>
        <family val="3"/>
      </rPr>
      <t xml:space="preserve">:MS_BA_Fresh :hasAttribute :Attr_005 .   # R0191 </t>
    </r>
    <r>
      <rPr>
        <sz val="10"/>
        <rFont val="Noto Sans CJK SC"/>
        <family val="2"/>
      </rPr>
      <t>丁酯</t>
    </r>
    <r>
      <rPr>
        <sz val="10"/>
        <rFont val="Consolas"/>
        <family val="3"/>
      </rPr>
      <t>(BA</t>
    </r>
    <r>
      <rPr>
        <sz val="10"/>
        <rFont val="Noto Sans CJK SC"/>
        <family val="2"/>
      </rPr>
      <t>，醋酸丁酯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BA</t>
    </r>
    <r>
      <rPr>
        <sz val="10"/>
        <rFont val="Noto Sans CJK SC"/>
        <family val="2"/>
      </rPr>
      <t>进料流量</t>
    </r>
  </si>
  <si>
    <r>
      <rPr>
        <sz val="10"/>
        <rFont val="Consolas"/>
        <family val="3"/>
      </rPr>
      <t xml:space="preserve">:MS_BA_Fresh :hasAttribute :Attr_018 .   # R0192 </t>
    </r>
    <r>
      <rPr>
        <sz val="10"/>
        <rFont val="Noto Sans CJK SC"/>
        <family val="2"/>
      </rPr>
      <t>丁酯</t>
    </r>
    <r>
      <rPr>
        <sz val="10"/>
        <rFont val="Consolas"/>
        <family val="3"/>
      </rPr>
      <t>(BA</t>
    </r>
    <r>
      <rPr>
        <sz val="10"/>
        <rFont val="Noto Sans CJK SC"/>
        <family val="2"/>
      </rPr>
      <t>，醋酸丁酯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三萃丁酯进料流量</t>
    </r>
  </si>
  <si>
    <r>
      <rPr>
        <sz val="10"/>
        <rFont val="Consolas"/>
        <family val="3"/>
      </rPr>
      <t xml:space="preserve">:MS_WasteAcid3 :hasAttribute :QKPI_253 .   # R0193 </t>
    </r>
    <r>
      <rPr>
        <sz val="10"/>
        <rFont val="Noto Sans CJK SC"/>
        <family val="2"/>
      </rPr>
      <t xml:space="preserve">三级废酸水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提取废酸水残效</t>
    </r>
  </si>
  <si>
    <r>
      <rPr>
        <sz val="10"/>
        <rFont val="Consolas"/>
        <family val="3"/>
      </rPr>
      <t xml:space="preserve">:Attr_017 :boundToTag :Tag_FT_1104A .   # R0194 </t>
    </r>
    <r>
      <rPr>
        <sz val="10"/>
        <rFont val="Noto Sans CJK SC"/>
        <family val="2"/>
      </rPr>
      <t>滤液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酸水进料流量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FT_1104A</t>
    </r>
  </si>
  <si>
    <r>
      <rPr>
        <sz val="10"/>
        <rFont val="Consolas"/>
        <family val="3"/>
      </rPr>
      <t xml:space="preserve">:Attr_017 :boundToTag :Tag_FT_1104B .   # R0195 </t>
    </r>
    <r>
      <rPr>
        <sz val="10"/>
        <rFont val="Noto Sans CJK SC"/>
        <family val="2"/>
      </rPr>
      <t>滤液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酸水进料流量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FT_1104B</t>
    </r>
  </si>
  <si>
    <r>
      <rPr>
        <sz val="10"/>
        <rFont val="Consolas"/>
        <family val="3"/>
      </rPr>
      <t xml:space="preserve">:Attr_017 :boundToTag :Tag_FT_SS_A .   # R0196 </t>
    </r>
    <r>
      <rPr>
        <sz val="10"/>
        <rFont val="Noto Sans CJK SC"/>
        <family val="2"/>
      </rPr>
      <t>滤液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酸水进料流量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FT_SS_A</t>
    </r>
  </si>
  <si>
    <r>
      <rPr>
        <sz val="10"/>
        <rFont val="Consolas"/>
        <family val="3"/>
      </rPr>
      <t xml:space="preserve">:Attr_017 :boundToTag :Tag_FT_SS_B .   # R0197 </t>
    </r>
    <r>
      <rPr>
        <sz val="10"/>
        <rFont val="Noto Sans CJK SC"/>
        <family val="2"/>
      </rPr>
      <t>滤液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酸水进料流量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FT_SS_B</t>
    </r>
  </si>
  <si>
    <r>
      <rPr>
        <sz val="10"/>
        <rFont val="Consolas"/>
        <family val="3"/>
      </rPr>
      <t xml:space="preserve">:Attr_018 :boundToTag :Tag_FT_DZ_A .   # R0198 </t>
    </r>
    <r>
      <rPr>
        <sz val="10"/>
        <rFont val="Noto Sans CJK SC"/>
        <family val="2"/>
      </rPr>
      <t xml:space="preserve">三萃丁酯进料流量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FT_DZ_A</t>
    </r>
  </si>
  <si>
    <r>
      <rPr>
        <sz val="10"/>
        <rFont val="Consolas"/>
        <family val="3"/>
      </rPr>
      <t xml:space="preserve">:Attr_018 :boundToTag :Tag_FT_DZ_B .   # R0199 </t>
    </r>
    <r>
      <rPr>
        <sz val="10"/>
        <rFont val="Noto Sans CJK SC"/>
        <family val="2"/>
      </rPr>
      <t xml:space="preserve">三萃丁酯进料流量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FT_DZ_B</t>
    </r>
  </si>
  <si>
    <r>
      <rPr>
        <sz val="10"/>
        <rFont val="Consolas"/>
        <family val="3"/>
      </rPr>
      <t xml:space="preserve">:Attr_018 :boundToTag :Tag_FT_1105A .   # R0200 </t>
    </r>
    <r>
      <rPr>
        <sz val="10"/>
        <rFont val="Noto Sans CJK SC"/>
        <family val="2"/>
      </rPr>
      <t xml:space="preserve">三萃丁酯进料流量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FT_1105A</t>
    </r>
  </si>
  <si>
    <r>
      <rPr>
        <sz val="10"/>
        <rFont val="Consolas"/>
        <family val="3"/>
      </rPr>
      <t xml:space="preserve">:Attr_018 :boundToTag :Tag_FT_1105B .   # R0201 </t>
    </r>
    <r>
      <rPr>
        <sz val="10"/>
        <rFont val="Noto Sans CJK SC"/>
        <family val="2"/>
      </rPr>
      <t xml:space="preserve">三萃丁酯进料流量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FT_1105B</t>
    </r>
  </si>
  <si>
    <r>
      <rPr>
        <sz val="10"/>
        <rFont val="Consolas"/>
        <family val="3"/>
      </rPr>
      <t xml:space="preserve">:Attr_019 :boundToTag :Tag_FT_1101A .   # R0202 </t>
    </r>
    <r>
      <rPr>
        <sz val="10"/>
        <rFont val="Noto Sans CJK SC"/>
        <family val="2"/>
      </rPr>
      <t>破乳剂进料流量</t>
    </r>
    <r>
      <rPr>
        <sz val="10"/>
        <rFont val="Consolas"/>
        <family val="3"/>
      </rPr>
      <t>(RSE200)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FT_1101A</t>
    </r>
  </si>
  <si>
    <r>
      <rPr>
        <sz val="10"/>
        <rFont val="Consolas"/>
        <family val="3"/>
      </rPr>
      <t xml:space="preserve">:Attr_019 :boundToTag :Tag_FT_1101B .   # R0203 </t>
    </r>
    <r>
      <rPr>
        <sz val="10"/>
        <rFont val="Noto Sans CJK SC"/>
        <family val="2"/>
      </rPr>
      <t>破乳剂进料流量</t>
    </r>
    <r>
      <rPr>
        <sz val="10"/>
        <rFont val="Consolas"/>
        <family val="3"/>
      </rPr>
      <t>(RSE200)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FT_1101B</t>
    </r>
  </si>
  <si>
    <r>
      <rPr>
        <sz val="10"/>
        <rFont val="Consolas"/>
        <family val="3"/>
      </rPr>
      <t>:Attr_020 :boundToTag :Tag_AT_1101 .   # R0204 RSE200</t>
    </r>
    <r>
      <rPr>
        <sz val="10"/>
        <rFont val="Noto Sans CJK SC"/>
        <family val="2"/>
      </rPr>
      <t>萃取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AT_1101</t>
    </r>
  </si>
  <si>
    <r>
      <rPr>
        <sz val="10"/>
        <rFont val="Consolas"/>
        <family val="3"/>
      </rPr>
      <t>:Attr_020 :boundToTag :Tag_AT_1102 .   # R0205 RSE200</t>
    </r>
    <r>
      <rPr>
        <sz val="10"/>
        <rFont val="Noto Sans CJK SC"/>
        <family val="2"/>
      </rPr>
      <t>萃取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AT_1102</t>
    </r>
  </si>
  <si>
    <r>
      <rPr>
        <sz val="10"/>
        <rFont val="Consolas"/>
        <family val="3"/>
      </rPr>
      <t>:Attr_020 :boundToTag :Tag_AT_1103 .   # R0206 RSE200</t>
    </r>
    <r>
      <rPr>
        <sz val="10"/>
        <rFont val="Noto Sans CJK SC"/>
        <family val="2"/>
      </rPr>
      <t>萃取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AT_1103</t>
    </r>
  </si>
  <si>
    <r>
      <rPr>
        <sz val="10"/>
        <rFont val="Consolas"/>
        <family val="3"/>
      </rPr>
      <t>:Attr_020 :boundToTag :Tag_AT_1104 .   # R0207 RSE200</t>
    </r>
    <r>
      <rPr>
        <sz val="10"/>
        <rFont val="Noto Sans CJK SC"/>
        <family val="2"/>
      </rPr>
      <t>萃取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AT_1104</t>
    </r>
  </si>
  <si>
    <r>
      <rPr>
        <sz val="10"/>
        <rFont val="Consolas"/>
        <family val="3"/>
      </rPr>
      <t>:Attr_021 :boundToTag :Tag_II_10TQA .   # R0208 RSE200</t>
    </r>
    <r>
      <rPr>
        <sz val="10"/>
        <rFont val="Noto Sans CJK SC"/>
        <family val="2"/>
      </rPr>
      <t xml:space="preserve">主电机电流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II_10TQA</t>
    </r>
  </si>
  <si>
    <r>
      <rPr>
        <sz val="10"/>
        <rFont val="Consolas"/>
        <family val="3"/>
      </rPr>
      <t>:Attr_021 :boundToTag :Tag_II_10TQB .   # R0209 RSE200</t>
    </r>
    <r>
      <rPr>
        <sz val="10"/>
        <rFont val="Noto Sans CJK SC"/>
        <family val="2"/>
      </rPr>
      <t xml:space="preserve">主电机电流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II_10TQB</t>
    </r>
  </si>
  <si>
    <r>
      <rPr>
        <sz val="10"/>
        <rFont val="Consolas"/>
        <family val="3"/>
      </rPr>
      <t>:Attr_021 :boundToTag :Tag_II_10TQC .   # R0210 RSE200</t>
    </r>
    <r>
      <rPr>
        <sz val="10"/>
        <rFont val="Noto Sans CJK SC"/>
        <family val="2"/>
      </rPr>
      <t xml:space="preserve">主电机电流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II_10TQC</t>
    </r>
  </si>
  <si>
    <r>
      <rPr>
        <sz val="10"/>
        <rFont val="Consolas"/>
        <family val="3"/>
      </rPr>
      <t>:Attr_021 :boundToTag :Tag_II_10TQD .   # R0211 RSE200</t>
    </r>
    <r>
      <rPr>
        <sz val="10"/>
        <rFont val="Noto Sans CJK SC"/>
        <family val="2"/>
      </rPr>
      <t xml:space="preserve">主电机电流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II_10TQD</t>
    </r>
  </si>
  <si>
    <r>
      <rPr>
        <sz val="10"/>
        <rFont val="Consolas"/>
        <family val="3"/>
      </rPr>
      <t xml:space="preserve">:Attr_022 :boundToTag :Tag_LT_1103A .   # R0212 </t>
    </r>
    <r>
      <rPr>
        <sz val="10"/>
        <rFont val="Noto Sans CJK SC"/>
        <family val="2"/>
      </rPr>
      <t xml:space="preserve">丁酯罐液位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LT_1103A</t>
    </r>
  </si>
  <si>
    <r>
      <rPr>
        <sz val="10"/>
        <rFont val="Consolas"/>
        <family val="3"/>
      </rPr>
      <t xml:space="preserve">:Attr_022 :boundToTag :Tag_LT_1103B .   # R0213 </t>
    </r>
    <r>
      <rPr>
        <sz val="10"/>
        <rFont val="Noto Sans CJK SC"/>
        <family val="2"/>
      </rPr>
      <t xml:space="preserve">丁酯罐液位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LT_1103B</t>
    </r>
  </si>
  <si>
    <r>
      <rPr>
        <sz val="10"/>
        <rFont val="Consolas"/>
        <family val="3"/>
      </rPr>
      <t xml:space="preserve">:Attr_023 :boundToTag :Tag_TI_DZA .   # R0214 </t>
    </r>
    <r>
      <rPr>
        <sz val="10"/>
        <rFont val="Noto Sans CJK SC"/>
        <family val="2"/>
      </rPr>
      <t xml:space="preserve">丁酯温度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TI_DZA</t>
    </r>
  </si>
  <si>
    <r>
      <rPr>
        <sz val="10"/>
        <rFont val="Consolas"/>
        <family val="3"/>
      </rPr>
      <t xml:space="preserve">:Attr_023 :boundToTag :Tag_TI_DZB .   # R0215 </t>
    </r>
    <r>
      <rPr>
        <sz val="10"/>
        <rFont val="Noto Sans CJK SC"/>
        <family val="2"/>
      </rPr>
      <t xml:space="preserve">丁酯温度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TI_DZB</t>
    </r>
  </si>
  <si>
    <r>
      <rPr>
        <sz val="10"/>
        <rFont val="Consolas"/>
        <family val="3"/>
      </rPr>
      <t xml:space="preserve">:Attr_024 :boundToTag :Tag_PT_DZA .   # R0216 </t>
    </r>
    <r>
      <rPr>
        <sz val="10"/>
        <rFont val="Noto Sans CJK SC"/>
        <family val="2"/>
      </rPr>
      <t xml:space="preserve">丁酯罐压力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PT_DZA</t>
    </r>
  </si>
  <si>
    <r>
      <rPr>
        <sz val="10"/>
        <rFont val="Consolas"/>
        <family val="3"/>
      </rPr>
      <t xml:space="preserve">:Attr_024 :boundToTag :Tag_PT_DZB .   # R0217 </t>
    </r>
    <r>
      <rPr>
        <sz val="10"/>
        <rFont val="Noto Sans CJK SC"/>
        <family val="2"/>
      </rPr>
      <t xml:space="preserve">丁酯罐压力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PT_DZB</t>
    </r>
  </si>
  <si>
    <r>
      <rPr>
        <sz val="10"/>
        <rFont val="Consolas"/>
        <family val="3"/>
      </rPr>
      <t xml:space="preserve">:Attr_025 :boundToTag :Tag_FT_1214 .   # R0218 </t>
    </r>
    <r>
      <rPr>
        <sz val="10"/>
        <rFont val="Noto Sans CJK SC"/>
        <family val="2"/>
      </rPr>
      <t>钾盐退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FT_1214</t>
    </r>
  </si>
  <si>
    <r>
      <rPr>
        <sz val="10"/>
        <rFont val="Consolas"/>
        <family val="3"/>
      </rPr>
      <t>:Attr_026 :boundToTag :Tag_FT_1215 .   # R0219 6A</t>
    </r>
    <r>
      <rPr>
        <sz val="10"/>
        <rFont val="Noto Sans CJK SC"/>
        <family val="2"/>
      </rPr>
      <t>退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FT_1215</t>
    </r>
  </si>
  <si>
    <r>
      <rPr>
        <sz val="10"/>
        <rFont val="Consolas"/>
        <family val="3"/>
      </rPr>
      <t xml:space="preserve">:Attr_027 :boundToTag :Tag_TI_1002 .   # R0220 </t>
    </r>
    <r>
      <rPr>
        <sz val="10"/>
        <rFont val="Noto Sans CJK SC"/>
        <family val="2"/>
      </rPr>
      <t xml:space="preserve">丁酯冷却回水温度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TI_1002</t>
    </r>
  </si>
  <si>
    <r>
      <rPr>
        <sz val="10"/>
        <rFont val="Consolas"/>
        <family val="3"/>
      </rPr>
      <t xml:space="preserve">:Attr_028 :boundToTag :Tag_LT_1106 .   # R0221 </t>
    </r>
    <r>
      <rPr>
        <sz val="10"/>
        <rFont val="Noto Sans CJK SC"/>
        <family val="2"/>
      </rPr>
      <t>一次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LT_1106</t>
    </r>
  </si>
  <si>
    <r>
      <rPr>
        <sz val="10"/>
        <rFont val="Consolas"/>
        <family val="3"/>
      </rPr>
      <t xml:space="preserve">:Attr_029 :boundToTag :Tag_LT_1205 .   # R0222 </t>
    </r>
    <r>
      <rPr>
        <sz val="10"/>
        <rFont val="Noto Sans CJK SC"/>
        <family val="2"/>
      </rPr>
      <t xml:space="preserve">工作水罐液位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LT_1205</t>
    </r>
  </si>
  <si>
    <r>
      <rPr>
        <sz val="10"/>
        <rFont val="Consolas"/>
        <family val="3"/>
      </rPr>
      <t xml:space="preserve">:Ctrl_006 :controls :Act_006 .   # R0223 </t>
    </r>
    <r>
      <rPr>
        <sz val="10"/>
        <rFont val="Noto Sans CJK SC"/>
        <family val="2"/>
      </rPr>
      <t>三萃丁酯流量控制器</t>
    </r>
    <r>
      <rPr>
        <sz val="10"/>
        <rFont val="Consolas"/>
        <family val="3"/>
      </rPr>
      <t>(FIC-DZ)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丁酯进料调节阀</t>
    </r>
    <r>
      <rPr>
        <sz val="10"/>
        <rFont val="Consolas"/>
        <family val="3"/>
      </rPr>
      <t>HV_1008A/B</t>
    </r>
  </si>
  <si>
    <r>
      <rPr>
        <sz val="10"/>
        <rFont val="Consolas"/>
        <family val="3"/>
      </rPr>
      <t xml:space="preserve">:Attr_018 :feedbackTo :Ctrl_006 .   # R0224 </t>
    </r>
    <r>
      <rPr>
        <sz val="10"/>
        <rFont val="Noto Sans CJK SC"/>
        <family val="2"/>
      </rPr>
      <t xml:space="preserve">三萃丁酯进料流量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三萃丁酯流量控制器</t>
    </r>
    <r>
      <rPr>
        <sz val="10"/>
        <rFont val="Consolas"/>
        <family val="3"/>
      </rPr>
      <t>(FIC-DZ)</t>
    </r>
  </si>
  <si>
    <r>
      <rPr>
        <sz val="10"/>
        <rFont val="Consolas"/>
        <family val="3"/>
      </rPr>
      <t xml:space="preserve">:Act_006 :affects :Attr_018 .   # R0225 </t>
    </r>
    <r>
      <rPr>
        <sz val="10"/>
        <rFont val="Noto Sans CJK SC"/>
        <family val="2"/>
      </rPr>
      <t>丁酯进料调节阀</t>
    </r>
    <r>
      <rPr>
        <sz val="10"/>
        <rFont val="Consolas"/>
        <family val="3"/>
      </rPr>
      <t>HV_1008A/B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三萃丁酯进料流量</t>
    </r>
  </si>
  <si>
    <r>
      <rPr>
        <sz val="10"/>
        <rFont val="Consolas"/>
        <family val="3"/>
      </rPr>
      <t xml:space="preserve">:Ctrl_007 :controls :Act_007 .   # R0226 </t>
    </r>
    <r>
      <rPr>
        <sz val="10"/>
        <rFont val="Noto Sans CJK SC"/>
        <family val="2"/>
      </rPr>
      <t>丁酯温度控制器</t>
    </r>
    <r>
      <rPr>
        <sz val="10"/>
        <rFont val="Consolas"/>
        <family val="3"/>
      </rPr>
      <t>(TIC-1002)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丁酯换热器冷盐水调节阀</t>
    </r>
    <r>
      <rPr>
        <sz val="10"/>
        <rFont val="Consolas"/>
        <family val="3"/>
      </rPr>
      <t>HV_1001</t>
    </r>
  </si>
  <si>
    <r>
      <rPr>
        <sz val="10"/>
        <rFont val="Consolas"/>
        <family val="3"/>
      </rPr>
      <t xml:space="preserve">:Attr_027 :feedbackTo :Ctrl_007 .   # R0227 </t>
    </r>
    <r>
      <rPr>
        <sz val="10"/>
        <rFont val="Noto Sans CJK SC"/>
        <family val="2"/>
      </rPr>
      <t xml:space="preserve">丁酯冷却回水温度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丁酯温度控制器</t>
    </r>
    <r>
      <rPr>
        <sz val="10"/>
        <rFont val="Consolas"/>
        <family val="3"/>
      </rPr>
      <t>(TIC-1002)</t>
    </r>
  </si>
  <si>
    <r>
      <rPr>
        <sz val="10"/>
        <rFont val="Consolas"/>
        <family val="3"/>
      </rPr>
      <t xml:space="preserve">:Act_007 :affects :Attr_027 .   # R0228 </t>
    </r>
    <r>
      <rPr>
        <sz val="10"/>
        <rFont val="Noto Sans CJK SC"/>
        <family val="2"/>
      </rPr>
      <t>丁酯换热器冷盐水调节阀</t>
    </r>
    <r>
      <rPr>
        <sz val="10"/>
        <rFont val="Consolas"/>
        <family val="3"/>
      </rPr>
      <t>HV_1001 -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丁酯冷却回水温度</t>
    </r>
  </si>
  <si>
    <r>
      <rPr>
        <sz val="10"/>
        <rFont val="Consolas"/>
        <family val="3"/>
      </rPr>
      <t xml:space="preserve">:Act_S02_1152 :isControlledBy :Seq_02 .   # R0229 </t>
    </r>
    <r>
      <rPr>
        <sz val="10"/>
        <rFont val="Noto Sans CJK SC"/>
        <family val="2"/>
      </rPr>
      <t>三萃总进料开关阀</t>
    </r>
    <r>
      <rPr>
        <sz val="10"/>
        <rFont val="Consolas"/>
        <family val="3"/>
      </rPr>
      <t>HV_1009A–D -</t>
    </r>
    <r>
      <rPr>
        <sz val="10"/>
        <rFont val="Noto Sans CJK SC"/>
        <family val="2"/>
      </rPr>
      <t>被控制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三萃总进料开关顺控</t>
    </r>
  </si>
  <si>
    <r>
      <rPr>
        <sz val="10"/>
        <rFont val="Consolas"/>
        <family val="3"/>
      </rPr>
      <t xml:space="preserve">:MS_WasteAcid2 :flowsInto :RSE200CentrifugeGroup .   # R0230 </t>
    </r>
    <r>
      <rPr>
        <sz val="10"/>
        <rFont val="Noto Sans CJK SC"/>
        <family val="2"/>
      </rPr>
      <t xml:space="preserve">二级废酸水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>-&gt; 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</si>
  <si>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:MS_BA_Fresh :flowsInto :RSE200CentrifugeGroup .   # R0231 </t>
    </r>
    <r>
      <rPr>
        <sz val="10"/>
        <rFont val="Noto Sans CJK SC"/>
        <family val="2"/>
      </rPr>
      <t>丁酯</t>
    </r>
    <r>
      <rPr>
        <sz val="10"/>
        <rFont val="Consolas"/>
        <family val="3"/>
      </rPr>
      <t>(BA</t>
    </r>
    <r>
      <rPr>
        <sz val="10"/>
        <rFont val="Noto Sans CJK SC"/>
        <family val="2"/>
      </rPr>
      <t>，醋酸丁酯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>-&gt; 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</si>
  <si>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:MS_Demulsifier :injectedInto :RSE200CentrifugeGroup .   # R0232 </t>
    </r>
    <r>
      <rPr>
        <sz val="10"/>
        <rFont val="Noto Sans CJK SC"/>
        <family val="2"/>
      </rPr>
      <t xml:space="preserve">破乳剂溶液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注入</t>
    </r>
    <r>
      <rPr>
        <sz val="10"/>
        <rFont val="Consolas"/>
        <family val="3"/>
      </rPr>
      <t>-&gt; 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</si>
  <si>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:MS_DiluteH2SO4 :injectedInto :RSE200CentrifugeGroup .   # R0233 </t>
    </r>
    <r>
      <rPr>
        <sz val="10"/>
        <rFont val="Noto Sans CJK SC"/>
        <family val="2"/>
      </rPr>
      <t xml:space="preserve">稀硫酸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注入</t>
    </r>
    <r>
      <rPr>
        <sz val="10"/>
        <rFont val="Consolas"/>
        <family val="3"/>
      </rPr>
      <t>-&gt; 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</si>
  <si>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>:RSE200CentrifugeGroup :separatesInto :MS_BA_3rd .   # R0234 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分离产出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BA</t>
    </r>
  </si>
  <si>
    <r>
      <rPr>
        <sz val="10"/>
        <rFont val="Consolas"/>
        <family val="3"/>
      </rPr>
      <t>:RSE200CentrifugeGroup :separatesInto :MS_WasteAcid3 .   # R0235 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分离产出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三级废酸水</t>
    </r>
  </si>
  <si>
    <r>
      <rPr>
        <sz val="10"/>
        <rFont val="Consolas"/>
        <family val="3"/>
      </rPr>
      <t xml:space="preserve">:MS_WasteAcid3 :flowsInto :WasteAcidNeutralizerV2124 .   # R0236 </t>
    </r>
    <r>
      <rPr>
        <sz val="10"/>
        <rFont val="Noto Sans CJK SC"/>
        <family val="2"/>
      </rPr>
      <t xml:space="preserve">三级废酸水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三级废酸水罐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废酸水中和罐</t>
    </r>
    <r>
      <rPr>
        <sz val="10"/>
        <rFont val="Consolas"/>
        <family val="3"/>
      </rPr>
      <t>V2124</t>
    </r>
  </si>
  <si>
    <r>
      <rPr>
        <sz val="10"/>
        <rFont val="Consolas"/>
        <family val="3"/>
      </rPr>
      <t xml:space="preserve">:ButylAcetateTank :connectedToNext :BACooler .   # R0237 </t>
    </r>
    <r>
      <rPr>
        <sz val="10"/>
        <rFont val="Noto Sans CJK SC"/>
        <family val="2"/>
      </rPr>
      <t xml:space="preserve">丁酯罐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丁酯换热器</t>
    </r>
  </si>
  <si>
    <r>
      <rPr>
        <sz val="10"/>
        <rFont val="Consolas"/>
        <family val="3"/>
      </rPr>
      <t xml:space="preserve">:MS_ReturnBA :recyclesTo :ButylAcetateTank .   # R0238 </t>
    </r>
    <r>
      <rPr>
        <sz val="10"/>
        <rFont val="Noto Sans CJK SC"/>
        <family val="2"/>
      </rPr>
      <t>退</t>
    </r>
    <r>
      <rPr>
        <sz val="10"/>
        <rFont val="Consolas"/>
        <family val="3"/>
      </rPr>
      <t>BA(</t>
    </r>
    <r>
      <rPr>
        <sz val="10"/>
        <rFont val="Noto Sans CJK SC"/>
        <family val="2"/>
      </rPr>
      <t>贫</t>
    </r>
    <r>
      <rPr>
        <sz val="10"/>
        <rFont val="Consolas"/>
        <family val="3"/>
      </rPr>
      <t>BA) -</t>
    </r>
    <r>
      <rPr>
        <sz val="10"/>
        <rFont val="Noto Sans CJK SC"/>
        <family val="2"/>
      </rPr>
      <t>循环返回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丁酯罐</t>
    </r>
  </si>
  <si>
    <r>
      <rPr>
        <sz val="10"/>
        <rFont val="Consolas"/>
        <family val="3"/>
      </rPr>
      <t xml:space="preserve">:MS_RecoveredSolvent :flowsInto :ButylAcetateTank .   # R0239 </t>
    </r>
    <r>
      <rPr>
        <sz val="10"/>
        <rFont val="Noto Sans CJK SC"/>
        <family val="2"/>
      </rPr>
      <t>回收混合溶媒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丁酯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丁醇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丁酯罐</t>
    </r>
  </si>
  <si>
    <r>
      <rPr>
        <sz val="10"/>
        <rFont val="Consolas"/>
        <family val="3"/>
      </rPr>
      <t xml:space="preserve">:WorkWaterTank :connectedToNext :RSE200CentrifugeGroup .   # R0240 </t>
    </r>
    <r>
      <rPr>
        <sz val="10"/>
        <rFont val="Noto Sans CJK SC"/>
        <family val="2"/>
      </rPr>
      <t xml:space="preserve">工作水罐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>-&gt; 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</si>
  <si>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:Attr_018 :negativelyAffects :QKPI_253 .   # R0241 </t>
    </r>
    <r>
      <rPr>
        <sz val="10"/>
        <rFont val="Noto Sans CJK SC"/>
        <family val="2"/>
      </rPr>
      <t xml:space="preserve">三萃丁酯进料流量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提取废酸水残效</t>
    </r>
  </si>
  <si>
    <r>
      <rPr>
        <sz val="10"/>
        <rFont val="Consolas"/>
        <family val="3"/>
      </rPr>
      <t>:Attr_020 :affects :Attr_248 .   # R0242 RSE200</t>
    </r>
    <r>
      <rPr>
        <sz val="10"/>
        <rFont val="Noto Sans CJK SC"/>
        <family val="2"/>
      </rPr>
      <t>萃取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萃取分配系数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青霉素</t>
    </r>
    <r>
      <rPr>
        <sz val="10"/>
        <rFont val="Consolas"/>
        <family val="3"/>
      </rPr>
      <t>G)</t>
    </r>
  </si>
  <si>
    <r>
      <rPr>
        <sz val="10"/>
        <rFont val="Consolas"/>
        <family val="3"/>
      </rPr>
      <t xml:space="preserve">:Attr_027 :positivelyAffects :Attr_023 .   # R0243 </t>
    </r>
    <r>
      <rPr>
        <sz val="10"/>
        <rFont val="Noto Sans CJK SC"/>
        <family val="2"/>
      </rPr>
      <t xml:space="preserve">丁酯冷却回水温度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丁酯温度</t>
    </r>
  </si>
  <si>
    <r>
      <rPr>
        <sz val="10"/>
        <rFont val="Consolas"/>
        <family val="3"/>
      </rPr>
      <t xml:space="preserve">:Attr_023 :positivelyAffects :Attr_249 .   # R0244 </t>
    </r>
    <r>
      <rPr>
        <sz val="10"/>
        <rFont val="Noto Sans CJK SC"/>
        <family val="2"/>
      </rPr>
      <t xml:space="preserve">丁酯温度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青霉素酸降解速率</t>
    </r>
  </si>
  <si>
    <r>
      <rPr>
        <sz val="10"/>
        <rFont val="Consolas"/>
        <family val="3"/>
      </rPr>
      <t xml:space="preserve">
# --- S03 </t>
    </r>
    <r>
      <rPr>
        <sz val="10"/>
        <rFont val="Noto Sans CJK SC"/>
        <family val="2"/>
      </rPr>
      <t xml:space="preserve">稀硫酸配制 </t>
    </r>
    <r>
      <rPr>
        <sz val="10"/>
        <rFont val="Consolas"/>
        <family val="3"/>
      </rPr>
      <t>---</t>
    </r>
  </si>
  <si>
    <r>
      <rPr>
        <sz val="10"/>
        <rFont val="Consolas"/>
        <family val="3"/>
      </rPr>
      <t xml:space="preserve">:Area_S03_DiluteH2SO4Prep :connectedToNext :Area_S01_Extraction_RSE300 .   # R0245 </t>
    </r>
    <r>
      <rPr>
        <sz val="10"/>
        <rFont val="Noto Sans CJK SC"/>
        <family val="2"/>
      </rPr>
      <t xml:space="preserve">稀硫酸配制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提取</t>
    </r>
    <r>
      <rPr>
        <sz val="10"/>
        <rFont val="Consolas"/>
        <family val="3"/>
      </rPr>
      <t>·RSE300</t>
    </r>
    <r>
      <rPr>
        <sz val="10"/>
        <rFont val="Noto Sans CJK SC"/>
        <family val="2"/>
      </rPr>
      <t>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二萃</t>
    </r>
  </si>
  <si>
    <r>
      <rPr>
        <sz val="10"/>
        <rFont val="Consolas"/>
        <family val="3"/>
      </rPr>
      <t xml:space="preserve">:Area_S03_DiluteH2SO4Prep :hasEquipment :ConcH2SO4Tanks .   # R0246 </t>
    </r>
    <r>
      <rPr>
        <sz val="10"/>
        <rFont val="Noto Sans CJK SC"/>
        <family val="2"/>
      </rPr>
      <t xml:space="preserve">稀硫酸配制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浓硫酸储罐组</t>
    </r>
  </si>
  <si>
    <r>
      <rPr>
        <sz val="10"/>
        <rFont val="Consolas"/>
        <family val="3"/>
      </rPr>
      <t xml:space="preserve">:ConcH2SO4Tanks :hasMember :ConcH2SO4Tanks_M01 .   # R0247 </t>
    </r>
    <r>
      <rPr>
        <sz val="10"/>
        <rFont val="Noto Sans CJK SC"/>
        <family val="2"/>
      </rPr>
      <t xml:space="preserve">浓硫酸储罐组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浓硫酸储罐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</si>
  <si>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:ConcH2SO4Tanks :hasMember :ConcH2SO4Tanks_M02 .   # R0248 </t>
    </r>
    <r>
      <rPr>
        <sz val="10"/>
        <rFont val="Noto Sans CJK SC"/>
        <family val="2"/>
      </rPr>
      <t xml:space="preserve">浓硫酸储罐组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浓硫酸储罐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</si>
  <si>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:ConcH2SO4Tanks :hasMember :ConcH2SO4Tanks_M03 .   # R0249 </t>
    </r>
    <r>
      <rPr>
        <sz val="10"/>
        <rFont val="Noto Sans CJK SC"/>
        <family val="2"/>
      </rPr>
      <t xml:space="preserve">浓硫酸储罐组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浓硫酸储罐</t>
    </r>
    <r>
      <rPr>
        <sz val="10"/>
        <rFont val="Consolas"/>
        <family val="3"/>
      </rPr>
      <t>C</t>
    </r>
  </si>
  <si>
    <r>
      <rPr>
        <sz val="10"/>
        <rFont val="Consolas"/>
        <family val="3"/>
      </rPr>
      <t xml:space="preserve">:ConcH2SO4Tanks :hasPart :ConcH2SO4Tanks_P01 .   # R0250 </t>
    </r>
    <r>
      <rPr>
        <sz val="10"/>
        <rFont val="Noto Sans CJK SC"/>
        <family val="2"/>
      </rPr>
      <t xml:space="preserve">浓硫酸储罐组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浓硫酸储罐组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</si>
  <si>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:Area_S03_DiluteH2SO4Prep :hasEquipment :ConcH2SO4Pumps .   # R0251 </t>
    </r>
    <r>
      <rPr>
        <sz val="10"/>
        <rFont val="Noto Sans CJK SC"/>
        <family val="2"/>
      </rPr>
      <t xml:space="preserve">稀硫酸配制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浓硫酸进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出料泵</t>
    </r>
  </si>
  <si>
    <r>
      <rPr>
        <sz val="10"/>
        <rFont val="Consolas"/>
        <family val="3"/>
      </rPr>
      <t xml:space="preserve">:ConcH2SO4Pumps :hasMember :ConcH2SO4Pumps_M01 .   # R0252 </t>
    </r>
    <r>
      <rPr>
        <sz val="10"/>
        <rFont val="Noto Sans CJK SC"/>
        <family val="2"/>
      </rPr>
      <t>浓硫酸进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出料泵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浓硫酸进料泵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</si>
  <si>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:ConcH2SO4Pumps :hasMember :ConcH2SO4Pumps_M02 .   # R0253 </t>
    </r>
    <r>
      <rPr>
        <sz val="10"/>
        <rFont val="Noto Sans CJK SC"/>
        <family val="2"/>
      </rPr>
      <t>浓硫酸进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出料泵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浓硫酸出料泵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</si>
  <si>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:ConcH2SO4Pumps :hasMember :ConcH2SO4Pumps_M03 .   # R0254 </t>
    </r>
    <r>
      <rPr>
        <sz val="10"/>
        <rFont val="Noto Sans CJK SC"/>
        <family val="2"/>
      </rPr>
      <t>浓硫酸进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出料泵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浓硫酸出料泵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</si>
  <si>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:Area_S03_DiluteH2SO4Prep :hasEquipment :DiluteH2SO4PrepTanks .   # R0255 </t>
    </r>
    <r>
      <rPr>
        <sz val="10"/>
        <rFont val="Noto Sans CJK SC"/>
        <family val="2"/>
      </rPr>
      <t xml:space="preserve">稀硫酸配制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稀硫酸配置罐组</t>
    </r>
  </si>
  <si>
    <r>
      <rPr>
        <sz val="10"/>
        <rFont val="Consolas"/>
        <family val="3"/>
      </rPr>
      <t xml:space="preserve">:DiluteH2SO4PrepTanks :hasMember :DiluteH2SO4PrepTanks_M01 .   # R0256 </t>
    </r>
    <r>
      <rPr>
        <sz val="10"/>
        <rFont val="Noto Sans CJK SC"/>
        <family val="2"/>
      </rPr>
      <t xml:space="preserve">稀硫酸配置罐组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稀硫酸配置罐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</si>
  <si>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:DiluteH2SO4PrepTanks :hasMember :DiluteH2SO4PrepTanks_M02 .   # R0257 </t>
    </r>
    <r>
      <rPr>
        <sz val="10"/>
        <rFont val="Noto Sans CJK SC"/>
        <family val="2"/>
      </rPr>
      <t xml:space="preserve">稀硫酸配置罐组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稀硫酸配置罐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</si>
  <si>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:DiluteH2SO4PrepTanks :hasMember :DiluteH2SO4PrepTanks_M03 .   # R0258 </t>
    </r>
    <r>
      <rPr>
        <sz val="10"/>
        <rFont val="Noto Sans CJK SC"/>
        <family val="2"/>
      </rPr>
      <t xml:space="preserve">稀硫酸配置罐组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硫酸配置罐</t>
    </r>
    <r>
      <rPr>
        <sz val="10"/>
        <rFont val="Consolas"/>
        <family val="3"/>
      </rPr>
      <t>E</t>
    </r>
  </si>
  <si>
    <r>
      <rPr>
        <sz val="10"/>
        <rFont val="Consolas"/>
        <family val="3"/>
      </rPr>
      <t xml:space="preserve">:DiluteH2SO4PrepTanks :hasMember :DiluteH2SO4PrepTanks_M04 .   # R0259 </t>
    </r>
    <r>
      <rPr>
        <sz val="10"/>
        <rFont val="Noto Sans CJK SC"/>
        <family val="2"/>
      </rPr>
      <t xml:space="preserve">稀硫酸配置罐组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硫酸配置罐</t>
    </r>
    <r>
      <rPr>
        <sz val="10"/>
        <rFont val="Consolas"/>
        <family val="3"/>
      </rPr>
      <t>F</t>
    </r>
  </si>
  <si>
    <r>
      <rPr>
        <sz val="10"/>
        <rFont val="Consolas"/>
        <family val="3"/>
      </rPr>
      <t xml:space="preserve">:DiluteH2SO4PrepTanks :hasPart :DiluteH2SO4PrepTanks_P01 .   # R0260 </t>
    </r>
    <r>
      <rPr>
        <sz val="10"/>
        <rFont val="Noto Sans CJK SC"/>
        <family val="2"/>
      </rPr>
      <t xml:space="preserve">稀硫酸配置罐组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稀硫酸配置罐组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</si>
  <si>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:DiluteH2SO4PrepTanks :hasPart :DiluteH2SO4PrepTanks_P02 .   # R0261 </t>
    </r>
    <r>
      <rPr>
        <sz val="10"/>
        <rFont val="Noto Sans CJK SC"/>
        <family val="2"/>
      </rPr>
      <t xml:space="preserve">稀硫酸配置罐组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稀硫酸配置罐组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浓度计</t>
    </r>
  </si>
  <si>
    <r>
      <rPr>
        <sz val="10"/>
        <rFont val="Consolas"/>
        <family val="3"/>
      </rPr>
      <t xml:space="preserve">:DiluteH2SO4PrepTanks :hasPart :DiluteH2SO4PrepTanks_P03 .   # R0262 </t>
    </r>
    <r>
      <rPr>
        <sz val="10"/>
        <rFont val="Noto Sans CJK SC"/>
        <family val="2"/>
      </rPr>
      <t xml:space="preserve">稀硫酸配置罐组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稀硫酸配置罐组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一次水阀</t>
    </r>
  </si>
  <si>
    <r>
      <rPr>
        <sz val="10"/>
        <rFont val="Consolas"/>
        <family val="3"/>
      </rPr>
      <t xml:space="preserve">:Area_S03_DiluteH2SO4Prep :hasEquipment :DiluteH2SO4Buffer .   # R0263 </t>
    </r>
    <r>
      <rPr>
        <sz val="10"/>
        <rFont val="Noto Sans CJK SC"/>
        <family val="2"/>
      </rPr>
      <t xml:space="preserve">稀硫酸配制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稀硫酸缓冲罐</t>
    </r>
  </si>
  <si>
    <r>
      <rPr>
        <sz val="10"/>
        <rFont val="Consolas"/>
        <family val="3"/>
      </rPr>
      <t xml:space="preserve">:DiluteH2SO4Buffer :hasPart :DiluteH2SO4Buffer_P01 .   # R0264 </t>
    </r>
    <r>
      <rPr>
        <sz val="10"/>
        <rFont val="Noto Sans CJK SC"/>
        <family val="2"/>
      </rPr>
      <t xml:space="preserve">稀硫酸缓冲罐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</si>
  <si>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:Area_S03_DiluteH2SO4Prep :hasEquipment :DiluteH2SO4Pumps .   # R0265 </t>
    </r>
    <r>
      <rPr>
        <sz val="10"/>
        <rFont val="Noto Sans CJK SC"/>
        <family val="2"/>
      </rPr>
      <t xml:space="preserve">稀硫酸配制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稀硫酸泵组</t>
    </r>
  </si>
  <si>
    <r>
      <rPr>
        <sz val="10"/>
        <rFont val="Consolas"/>
        <family val="3"/>
      </rPr>
      <t xml:space="preserve">:DiluteH2SO4Pumps :hasMember :DiluteH2SO4Pumps_M01 .   # R0266 </t>
    </r>
    <r>
      <rPr>
        <sz val="10"/>
        <rFont val="Noto Sans CJK SC"/>
        <family val="2"/>
      </rPr>
      <t xml:space="preserve">稀硫酸泵组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稀硫酸泵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</si>
  <si>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:DiluteH2SO4Pumps :hasMember :DiluteH2SO4Pumps_M02 .   # R0267 </t>
    </r>
    <r>
      <rPr>
        <sz val="10"/>
        <rFont val="Noto Sans CJK SC"/>
        <family val="2"/>
      </rPr>
      <t xml:space="preserve">稀硫酸泵组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稀硫酸泵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</si>
  <si>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:DiluteH2SO4Pumps :hasMember :DiluteH2SO4Pumps_M03 .   # R0268 </t>
    </r>
    <r>
      <rPr>
        <sz val="10"/>
        <rFont val="Noto Sans CJK SC"/>
        <family val="2"/>
      </rPr>
      <t xml:space="preserve">稀硫酸泵组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稀硫酸泵</t>
    </r>
    <r>
      <rPr>
        <sz val="10"/>
        <rFont val="Consolas"/>
        <family val="3"/>
      </rPr>
      <t>c</t>
    </r>
  </si>
  <si>
    <r>
      <rPr>
        <sz val="10"/>
        <rFont val="Consolas"/>
        <family val="3"/>
      </rPr>
      <t xml:space="preserve">:DiluteH2SO4Pumps :hasMember :DiluteH2SO4Pumps_M04 .   # R0269 </t>
    </r>
    <r>
      <rPr>
        <sz val="10"/>
        <rFont val="Noto Sans CJK SC"/>
        <family val="2"/>
      </rPr>
      <t xml:space="preserve">稀硫酸泵组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稀硫酸泵</t>
    </r>
    <r>
      <rPr>
        <sz val="10"/>
        <rFont val="Consolas"/>
        <family val="3"/>
      </rPr>
      <t>d</t>
    </r>
  </si>
  <si>
    <r>
      <rPr>
        <sz val="10"/>
        <rFont val="Consolas"/>
        <family val="3"/>
      </rPr>
      <t xml:space="preserve">:DiluteH2SO4Pumps :hasMember :DiluteH2SO4Pumps_M05 .   # R0270 </t>
    </r>
    <r>
      <rPr>
        <sz val="10"/>
        <rFont val="Noto Sans CJK SC"/>
        <family val="2"/>
      </rPr>
      <t xml:space="preserve">稀硫酸泵组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稀硫酸泵</t>
    </r>
    <r>
      <rPr>
        <sz val="10"/>
        <rFont val="Consolas"/>
        <family val="3"/>
      </rPr>
      <t>e</t>
    </r>
  </si>
  <si>
    <r>
      <rPr>
        <sz val="10"/>
        <rFont val="Consolas"/>
        <family val="3"/>
      </rPr>
      <t xml:space="preserve">:DiluteH2SO4Pumps :hasMember :DiluteH2SO4Pumps_M06 .   # R0271 </t>
    </r>
    <r>
      <rPr>
        <sz val="10"/>
        <rFont val="Noto Sans CJK SC"/>
        <family val="2"/>
      </rPr>
      <t xml:space="preserve">稀硫酸泵组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稀硫酸泵</t>
    </r>
    <r>
      <rPr>
        <sz val="10"/>
        <rFont val="Consolas"/>
        <family val="3"/>
      </rPr>
      <t>f</t>
    </r>
  </si>
  <si>
    <r>
      <rPr>
        <sz val="10"/>
        <rFont val="Consolas"/>
        <family val="3"/>
      </rPr>
      <t xml:space="preserve">:DiluteH2SO4Pumps :hasPart :DiluteH2SO4Pumps_P01 .   # R0272 </t>
    </r>
    <r>
      <rPr>
        <sz val="10"/>
        <rFont val="Noto Sans CJK SC"/>
        <family val="2"/>
      </rPr>
      <t xml:space="preserve">稀硫酸泵组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稀硫酸泵组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变频器</t>
    </r>
  </si>
  <si>
    <r>
      <rPr>
        <sz val="10"/>
        <rFont val="Consolas"/>
        <family val="3"/>
      </rPr>
      <t xml:space="preserve">:ConcH2SO4Tanks :hasAttribute :Attr_030 .   # R0273 </t>
    </r>
    <r>
      <rPr>
        <sz val="10"/>
        <rFont val="Noto Sans CJK SC"/>
        <family val="2"/>
      </rPr>
      <t xml:space="preserve">浓硫酸储罐组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浓硫酸罐液位</t>
    </r>
  </si>
  <si>
    <r>
      <rPr>
        <sz val="10"/>
        <rFont val="Consolas"/>
        <family val="3"/>
      </rPr>
      <t xml:space="preserve">:DiluteH2SO4PrepTanks :hasAttribute :Attr_031 .   # R0274 </t>
    </r>
    <r>
      <rPr>
        <sz val="10"/>
        <rFont val="Noto Sans CJK SC"/>
        <family val="2"/>
      </rPr>
      <t xml:space="preserve">稀硫酸配置罐组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浓硫酸加入流量</t>
    </r>
  </si>
  <si>
    <r>
      <rPr>
        <sz val="10"/>
        <rFont val="Consolas"/>
        <family val="3"/>
      </rPr>
      <t xml:space="preserve">:DiluteH2SO4PrepTanks :hasAttribute :Attr_032 .   # R0275 </t>
    </r>
    <r>
      <rPr>
        <sz val="10"/>
        <rFont val="Noto Sans CJK SC"/>
        <family val="2"/>
      </rPr>
      <t xml:space="preserve">稀硫酸配置罐组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配酸一次水流量</t>
    </r>
  </si>
  <si>
    <r>
      <rPr>
        <sz val="10"/>
        <rFont val="Consolas"/>
        <family val="3"/>
      </rPr>
      <t xml:space="preserve">:DiluteH2SO4PrepTanks :hasAttribute :Attr_033 .   # R0276 </t>
    </r>
    <r>
      <rPr>
        <sz val="10"/>
        <rFont val="Noto Sans CJK SC"/>
        <family val="2"/>
      </rPr>
      <t xml:space="preserve">稀硫酸配置罐组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稀硫酸浓度</t>
    </r>
  </si>
  <si>
    <r>
      <rPr>
        <sz val="10"/>
        <rFont val="Consolas"/>
        <family val="3"/>
      </rPr>
      <t xml:space="preserve">:DiluteH2SO4PrepTanks :hasAttribute :Attr_034 .   # R0277 </t>
    </r>
    <r>
      <rPr>
        <sz val="10"/>
        <rFont val="Noto Sans CJK SC"/>
        <family val="2"/>
      </rPr>
      <t xml:space="preserve">稀硫酸配置罐组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稀硫酸配置罐液位</t>
    </r>
  </si>
  <si>
    <r>
      <rPr>
        <sz val="10"/>
        <rFont val="Consolas"/>
        <family val="3"/>
      </rPr>
      <t xml:space="preserve">:DiluteH2SO4Buffer :hasAttribute :Attr_035 .   # R0278 </t>
    </r>
    <r>
      <rPr>
        <sz val="10"/>
        <rFont val="Noto Sans CJK SC"/>
        <family val="2"/>
      </rPr>
      <t xml:space="preserve">稀硫酸缓冲罐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稀硫酸缓冲罐液位</t>
    </r>
  </si>
  <si>
    <r>
      <rPr>
        <sz val="10"/>
        <rFont val="Consolas"/>
        <family val="3"/>
      </rPr>
      <t xml:space="preserve">:DiluteH2SO4Buffer :hasAttribute :Attr_036 .   # R0279 </t>
    </r>
    <r>
      <rPr>
        <sz val="10"/>
        <rFont val="Noto Sans CJK SC"/>
        <family val="2"/>
      </rPr>
      <t xml:space="preserve">稀硫酸缓冲罐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稀硫酸输送母管压力</t>
    </r>
  </si>
  <si>
    <r>
      <rPr>
        <sz val="10"/>
        <rFont val="Consolas"/>
        <family val="3"/>
      </rPr>
      <t xml:space="preserve">:DiluteH2SO4Pumps :hasAttribute :Attr_037 .   # R0280 </t>
    </r>
    <r>
      <rPr>
        <sz val="10"/>
        <rFont val="Noto Sans CJK SC"/>
        <family val="2"/>
      </rPr>
      <t xml:space="preserve">稀硫酸泵组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稀硫酸泵频率</t>
    </r>
  </si>
  <si>
    <r>
      <rPr>
        <sz val="10"/>
        <rFont val="Consolas"/>
        <family val="3"/>
      </rPr>
      <t xml:space="preserve">:MS_DiluteH2SO4 :hasAttribute :Attr_033 .   # R0281 </t>
    </r>
    <r>
      <rPr>
        <sz val="10"/>
        <rFont val="Noto Sans CJK SC"/>
        <family val="2"/>
      </rPr>
      <t xml:space="preserve">稀硫酸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稀硫酸浓度</t>
    </r>
  </si>
  <si>
    <r>
      <rPr>
        <sz val="10"/>
        <rFont val="Consolas"/>
        <family val="3"/>
      </rPr>
      <t xml:space="preserve">:Attr_030 :boundToTag :Tag_LT_1107A .   # R0282 </t>
    </r>
    <r>
      <rPr>
        <sz val="10"/>
        <rFont val="Noto Sans CJK SC"/>
        <family val="2"/>
      </rPr>
      <t xml:space="preserve">浓硫酸罐液位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LT_1107A</t>
    </r>
  </si>
  <si>
    <r>
      <rPr>
        <sz val="10"/>
        <rFont val="Consolas"/>
        <family val="3"/>
      </rPr>
      <t xml:space="preserve">:Attr_030 :boundToTag :Tag_LT_1107B .   # R0283 </t>
    </r>
    <r>
      <rPr>
        <sz val="10"/>
        <rFont val="Noto Sans CJK SC"/>
        <family val="2"/>
      </rPr>
      <t xml:space="preserve">浓硫酸罐液位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LT_1107B</t>
    </r>
  </si>
  <si>
    <r>
      <rPr>
        <sz val="10"/>
        <rFont val="Consolas"/>
        <family val="3"/>
      </rPr>
      <t xml:space="preserve">:Attr_030 :boundToTag :Tag_LIT540104A .   # R0284 </t>
    </r>
    <r>
      <rPr>
        <sz val="10"/>
        <rFont val="Noto Sans CJK SC"/>
        <family val="2"/>
      </rPr>
      <t xml:space="preserve">浓硫酸罐液位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LIT540104A</t>
    </r>
  </si>
  <si>
    <r>
      <rPr>
        <sz val="10"/>
        <rFont val="Consolas"/>
        <family val="3"/>
      </rPr>
      <t xml:space="preserve">:Attr_030 :boundToTag :Tag_LIT540104B .   # R0285 </t>
    </r>
    <r>
      <rPr>
        <sz val="10"/>
        <rFont val="Noto Sans CJK SC"/>
        <family val="2"/>
      </rPr>
      <t xml:space="preserve">浓硫酸罐液位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LIT540104B</t>
    </r>
  </si>
  <si>
    <r>
      <rPr>
        <sz val="10"/>
        <rFont val="Consolas"/>
        <family val="3"/>
      </rPr>
      <t xml:space="preserve">:Attr_030 :boundToTag :Tag_LIT540104C .   # R0286 </t>
    </r>
    <r>
      <rPr>
        <sz val="10"/>
        <rFont val="Noto Sans CJK SC"/>
        <family val="2"/>
      </rPr>
      <t xml:space="preserve">浓硫酸罐液位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LIT540104C</t>
    </r>
  </si>
  <si>
    <r>
      <rPr>
        <sz val="10"/>
        <rFont val="Consolas"/>
        <family val="3"/>
      </rPr>
      <t xml:space="preserve">:Attr_031 :boundToTag :Tag_FQIT540107_1 .   # R0287 </t>
    </r>
    <r>
      <rPr>
        <sz val="10"/>
        <rFont val="Noto Sans CJK SC"/>
        <family val="2"/>
      </rPr>
      <t xml:space="preserve">浓硫酸加入流量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FQIT540107_1</t>
    </r>
  </si>
  <si>
    <r>
      <rPr>
        <sz val="10"/>
        <rFont val="Consolas"/>
        <family val="3"/>
      </rPr>
      <t xml:space="preserve">:Attr_032 :boundToTag :Tag_FQIT540107_2 .   # R0288 </t>
    </r>
    <r>
      <rPr>
        <sz val="10"/>
        <rFont val="Noto Sans CJK SC"/>
        <family val="2"/>
      </rPr>
      <t xml:space="preserve">配酸一次水流量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FQIT540107_2</t>
    </r>
  </si>
  <si>
    <r>
      <rPr>
        <sz val="10"/>
        <rFont val="Consolas"/>
        <family val="3"/>
      </rPr>
      <t xml:space="preserve">:Attr_033 :boundToTag :Tag_AT540107A .   # R0289 </t>
    </r>
    <r>
      <rPr>
        <sz val="10"/>
        <rFont val="Noto Sans CJK SC"/>
        <family val="2"/>
      </rPr>
      <t xml:space="preserve">稀硫酸浓度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AT540107A</t>
    </r>
  </si>
  <si>
    <r>
      <rPr>
        <sz val="10"/>
        <rFont val="Consolas"/>
        <family val="3"/>
      </rPr>
      <t xml:space="preserve">:Attr_034 :boundToTag :Tag_LIT540107A .   # R0290 </t>
    </r>
    <r>
      <rPr>
        <sz val="10"/>
        <rFont val="Noto Sans CJK SC"/>
        <family val="2"/>
      </rPr>
      <t xml:space="preserve">稀硫酸配置罐液位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LIT540107A</t>
    </r>
  </si>
  <si>
    <r>
      <rPr>
        <sz val="10"/>
        <rFont val="Consolas"/>
        <family val="3"/>
      </rPr>
      <t xml:space="preserve">:Attr_034 :boundToTag :Tag_LIT540107B .   # R0291 </t>
    </r>
    <r>
      <rPr>
        <sz val="10"/>
        <rFont val="Noto Sans CJK SC"/>
        <family val="2"/>
      </rPr>
      <t xml:space="preserve">稀硫酸配置罐液位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LIT540107B</t>
    </r>
  </si>
  <si>
    <r>
      <rPr>
        <sz val="10"/>
        <rFont val="Consolas"/>
        <family val="3"/>
      </rPr>
      <t xml:space="preserve">:Attr_035 :boundToTag :Tag_LIT540107C .   # R0292 </t>
    </r>
    <r>
      <rPr>
        <sz val="10"/>
        <rFont val="Noto Sans CJK SC"/>
        <family val="2"/>
      </rPr>
      <t xml:space="preserve">稀硫酸缓冲罐液位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LIT540107C</t>
    </r>
  </si>
  <si>
    <r>
      <rPr>
        <sz val="10"/>
        <rFont val="Consolas"/>
        <family val="3"/>
      </rPr>
      <t xml:space="preserve">:Attr_036 :boundToTag :Tag_PIT540108 .   # R0293 </t>
    </r>
    <r>
      <rPr>
        <sz val="10"/>
        <rFont val="Noto Sans CJK SC"/>
        <family val="2"/>
      </rPr>
      <t xml:space="preserve">稀硫酸输送母管压力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PIT540108</t>
    </r>
  </si>
  <si>
    <r>
      <rPr>
        <sz val="10"/>
        <rFont val="Consolas"/>
        <family val="3"/>
      </rPr>
      <t xml:space="preserve">:Attr_037 :boundToTag :Tag_PB_1015A_FB .   # R0294 </t>
    </r>
    <r>
      <rPr>
        <sz val="10"/>
        <rFont val="Noto Sans CJK SC"/>
        <family val="2"/>
      </rPr>
      <t xml:space="preserve">稀硫酸泵频率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PB_1015A_FB</t>
    </r>
  </si>
  <si>
    <r>
      <rPr>
        <sz val="10"/>
        <rFont val="Consolas"/>
        <family val="3"/>
      </rPr>
      <t xml:space="preserve">:Attr_037 :boundToTag :Tag_PB_1015B_FB .   # R0295 </t>
    </r>
    <r>
      <rPr>
        <sz val="10"/>
        <rFont val="Noto Sans CJK SC"/>
        <family val="2"/>
      </rPr>
      <t xml:space="preserve">稀硫酸泵频率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PB_1015B_FB</t>
    </r>
  </si>
  <si>
    <r>
      <rPr>
        <sz val="10"/>
        <rFont val="Consolas"/>
        <family val="3"/>
      </rPr>
      <t xml:space="preserve">:Attr_037 :boundToTag :Tag_PB_1015C_FB .   # R0296 </t>
    </r>
    <r>
      <rPr>
        <sz val="10"/>
        <rFont val="Noto Sans CJK SC"/>
        <family val="2"/>
      </rPr>
      <t xml:space="preserve">稀硫酸泵频率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PB_1015C_FB</t>
    </r>
  </si>
  <si>
    <r>
      <rPr>
        <sz val="10"/>
        <rFont val="Consolas"/>
        <family val="3"/>
      </rPr>
      <t xml:space="preserve">:Attr_037 :boundToTag :Tag_PB_1015D_FB .   # R0297 </t>
    </r>
    <r>
      <rPr>
        <sz val="10"/>
        <rFont val="Noto Sans CJK SC"/>
        <family val="2"/>
      </rPr>
      <t xml:space="preserve">稀硫酸泵频率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PB_1015D_FB</t>
    </r>
  </si>
  <si>
    <r>
      <rPr>
        <sz val="10"/>
        <rFont val="Consolas"/>
        <family val="3"/>
      </rPr>
      <t xml:space="preserve">:Attr_037 :boundToTag :Tag_PB_1015E_FB .   # R0298 </t>
    </r>
    <r>
      <rPr>
        <sz val="10"/>
        <rFont val="Noto Sans CJK SC"/>
        <family val="2"/>
      </rPr>
      <t xml:space="preserve">稀硫酸泵频率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PB_1015E_FB</t>
    </r>
  </si>
  <si>
    <r>
      <rPr>
        <sz val="10"/>
        <rFont val="Consolas"/>
        <family val="3"/>
      </rPr>
      <t xml:space="preserve">:Attr_037 :boundToTag :Tag_PB_1015F_FB .   # R0299 </t>
    </r>
    <r>
      <rPr>
        <sz val="10"/>
        <rFont val="Noto Sans CJK SC"/>
        <family val="2"/>
      </rPr>
      <t xml:space="preserve">稀硫酸泵频率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PB_1015F_FB</t>
    </r>
  </si>
  <si>
    <r>
      <rPr>
        <sz val="10"/>
        <rFont val="Consolas"/>
        <family val="3"/>
      </rPr>
      <t xml:space="preserve">:Attr_030 :triggersAlarm :Alarm_04 .   # R0300 </t>
    </r>
    <r>
      <rPr>
        <sz val="10"/>
        <rFont val="Noto Sans CJK SC"/>
        <family val="2"/>
      </rPr>
      <t xml:space="preserve">浓硫酸罐液位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触发报警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浓硫酸罐高位报警</t>
    </r>
  </si>
  <si>
    <r>
      <rPr>
        <sz val="10"/>
        <rFont val="Consolas"/>
        <family val="3"/>
      </rPr>
      <t xml:space="preserve">:ConcH2SO4Tanks :connectedToNext :ConcH2SO4Pumps .   # R0301 </t>
    </r>
    <r>
      <rPr>
        <sz val="10"/>
        <rFont val="Noto Sans CJK SC"/>
        <family val="2"/>
      </rPr>
      <t xml:space="preserve">浓硫酸储罐组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浓硫酸进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出料泵</t>
    </r>
  </si>
  <si>
    <r>
      <rPr>
        <sz val="10"/>
        <rFont val="Consolas"/>
        <family val="3"/>
      </rPr>
      <t xml:space="preserve">:ConcH2SO4Pumps :connectedToNext :DiluteH2SO4PrepTanks .   # R0302 </t>
    </r>
    <r>
      <rPr>
        <sz val="10"/>
        <rFont val="Noto Sans CJK SC"/>
        <family val="2"/>
      </rPr>
      <t>浓硫酸进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出料泵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稀硫酸配置罐组</t>
    </r>
  </si>
  <si>
    <r>
      <rPr>
        <sz val="10"/>
        <rFont val="Consolas"/>
        <family val="3"/>
      </rPr>
      <t xml:space="preserve">:MS_PrimaryWater :flowsInto :DiluteH2SO4PrepTanks .   # R0303 </t>
    </r>
    <r>
      <rPr>
        <sz val="10"/>
        <rFont val="Noto Sans CJK SC"/>
        <family val="2"/>
      </rPr>
      <t xml:space="preserve">一次水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稀硫酸配置罐组</t>
    </r>
  </si>
  <si>
    <r>
      <rPr>
        <sz val="10"/>
        <rFont val="Consolas"/>
        <family val="3"/>
      </rPr>
      <t xml:space="preserve">:DiluteH2SO4PrepTanks :produces :MS_DiluteH2SO4 .   # R0304 </t>
    </r>
    <r>
      <rPr>
        <sz val="10"/>
        <rFont val="Noto Sans CJK SC"/>
        <family val="2"/>
      </rPr>
      <t xml:space="preserve">稀硫酸配置罐组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</t>
    </r>
  </si>
  <si>
    <r>
      <rPr>
        <sz val="10"/>
        <rFont val="Consolas"/>
        <family val="3"/>
      </rPr>
      <t xml:space="preserve">:MS_DiluteH2SO4 :flowsInto :DiluteH2SO4Buffer .   # R0305 </t>
    </r>
    <r>
      <rPr>
        <sz val="10"/>
        <rFont val="Noto Sans CJK SC"/>
        <family val="2"/>
      </rPr>
      <t xml:space="preserve">稀硫酸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稀硫酸缓冲罐</t>
    </r>
  </si>
  <si>
    <r>
      <rPr>
        <sz val="10"/>
        <rFont val="Consolas"/>
        <family val="3"/>
      </rPr>
      <t xml:space="preserve">:DiluteH2SO4Buffer :connectedToNext :DiluteH2SO4Pumps .   # R0306 </t>
    </r>
    <r>
      <rPr>
        <sz val="10"/>
        <rFont val="Noto Sans CJK SC"/>
        <family val="2"/>
      </rPr>
      <t xml:space="preserve">稀硫酸缓冲罐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稀硫酸泵组</t>
    </r>
  </si>
  <si>
    <r>
      <rPr>
        <sz val="10"/>
        <rFont val="Consolas"/>
        <family val="3"/>
      </rPr>
      <t xml:space="preserve">:DiluteH2SO4Pumps :connectedToNext :AcidMixerM2123 .   # R0307 </t>
    </r>
    <r>
      <rPr>
        <sz val="10"/>
        <rFont val="Noto Sans CJK SC"/>
        <family val="2"/>
      </rPr>
      <t xml:space="preserve">稀硫酸泵组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稀硫酸在线混合器</t>
    </r>
    <r>
      <rPr>
        <sz val="10"/>
        <rFont val="Consolas"/>
        <family val="3"/>
      </rPr>
      <t>M2123</t>
    </r>
  </si>
  <si>
    <r>
      <rPr>
        <sz val="10"/>
        <rFont val="Consolas"/>
        <family val="3"/>
      </rPr>
      <t xml:space="preserve">:Attr_031 :positivelyAffects :Attr_033 .   # R0308 </t>
    </r>
    <r>
      <rPr>
        <sz val="10"/>
        <rFont val="Noto Sans CJK SC"/>
        <family val="2"/>
      </rPr>
      <t xml:space="preserve">浓硫酸加入流量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稀硫酸浓度</t>
    </r>
  </si>
  <si>
    <r>
      <rPr>
        <sz val="10"/>
        <rFont val="Consolas"/>
        <family val="3"/>
      </rPr>
      <t xml:space="preserve">:Attr_032 :negativelyAffects :Attr_033 .   # R0309 </t>
    </r>
    <r>
      <rPr>
        <sz val="10"/>
        <rFont val="Noto Sans CJK SC"/>
        <family val="2"/>
      </rPr>
      <t xml:space="preserve">配酸一次水流量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稀硫酸浓度</t>
    </r>
  </si>
  <si>
    <r>
      <rPr>
        <sz val="10"/>
        <rFont val="Consolas"/>
        <family val="3"/>
      </rPr>
      <t xml:space="preserve">
# --- S04 </t>
    </r>
    <r>
      <rPr>
        <sz val="10"/>
        <rFont val="Noto Sans CJK SC"/>
        <family val="2"/>
      </rPr>
      <t xml:space="preserve">破乳剂配制 </t>
    </r>
    <r>
      <rPr>
        <sz val="10"/>
        <rFont val="Consolas"/>
        <family val="3"/>
      </rPr>
      <t>---</t>
    </r>
  </si>
  <si>
    <r>
      <rPr>
        <sz val="10"/>
        <rFont val="Consolas"/>
        <family val="3"/>
      </rPr>
      <t xml:space="preserve">:Area_S04_DemulsifierPrep :connectedToNext :Area_S01_Extraction_RSE300 .   # R0310 </t>
    </r>
    <r>
      <rPr>
        <sz val="10"/>
        <rFont val="Noto Sans CJK SC"/>
        <family val="2"/>
      </rPr>
      <t xml:space="preserve">破乳剂配制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提取</t>
    </r>
    <r>
      <rPr>
        <sz val="10"/>
        <rFont val="Consolas"/>
        <family val="3"/>
      </rPr>
      <t>·RSE300</t>
    </r>
    <r>
      <rPr>
        <sz val="10"/>
        <rFont val="Noto Sans CJK SC"/>
        <family val="2"/>
      </rPr>
      <t>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二萃</t>
    </r>
  </si>
  <si>
    <r>
      <rPr>
        <sz val="10"/>
        <rFont val="Consolas"/>
        <family val="3"/>
      </rPr>
      <t xml:space="preserve">:Area_S04_DemulsifierPrep :hasEquipment :DemulsifierStorage .   # R0311 </t>
    </r>
    <r>
      <rPr>
        <sz val="10"/>
        <rFont val="Noto Sans CJK SC"/>
        <family val="2"/>
      </rPr>
      <t xml:space="preserve">破乳剂配制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破乳剂罐（原液）</t>
    </r>
  </si>
  <si>
    <r>
      <rPr>
        <sz val="10"/>
        <rFont val="Consolas"/>
        <family val="3"/>
      </rPr>
      <t xml:space="preserve">:DemulsifierStorage :hasPart :DemulsifierStorage_P01 .   # R0312 </t>
    </r>
    <r>
      <rPr>
        <sz val="10"/>
        <rFont val="Noto Sans CJK SC"/>
        <family val="2"/>
      </rPr>
      <t xml:space="preserve">破乳剂罐（原液）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破乳剂罐（原液）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</si>
  <si>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:DemulsifierStorage :hasPart :DemulsifierStorage_P02 .   # R0313 </t>
    </r>
    <r>
      <rPr>
        <sz val="10"/>
        <rFont val="Noto Sans CJK SC"/>
        <family val="2"/>
      </rPr>
      <t xml:space="preserve">破乳剂罐（原液）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破乳剂罐（原液）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压力表</t>
    </r>
  </si>
  <si>
    <r>
      <rPr>
        <sz val="10"/>
        <rFont val="Consolas"/>
        <family val="3"/>
      </rPr>
      <t xml:space="preserve">:Area_S04_DemulsifierPrep :hasEquipment :DemulsifierPrepTanks .   # R0314 </t>
    </r>
    <r>
      <rPr>
        <sz val="10"/>
        <rFont val="Noto Sans CJK SC"/>
        <family val="2"/>
      </rPr>
      <t xml:space="preserve">破乳剂配制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破乳剂配制罐组</t>
    </r>
  </si>
  <si>
    <r>
      <rPr>
        <sz val="10"/>
        <rFont val="Consolas"/>
        <family val="3"/>
      </rPr>
      <t xml:space="preserve">:DemulsifierPrepTanks :hasMember :DemulsifierPrepTanks_M01 .   # R0315 </t>
    </r>
    <r>
      <rPr>
        <sz val="10"/>
        <rFont val="Noto Sans CJK SC"/>
        <family val="2"/>
      </rPr>
      <t xml:space="preserve">破乳剂配制罐组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破乳剂配置罐</t>
    </r>
    <r>
      <rPr>
        <sz val="10"/>
        <rFont val="Consolas"/>
        <family val="3"/>
      </rPr>
      <t>R2120A</t>
    </r>
  </si>
  <si>
    <r>
      <rPr>
        <sz val="10"/>
        <rFont val="Consolas"/>
        <family val="3"/>
      </rPr>
      <t xml:space="preserve">:DemulsifierPrepTanks :hasMember :DemulsifierPrepTanks_M02 .   # R0316 </t>
    </r>
    <r>
      <rPr>
        <sz val="10"/>
        <rFont val="Noto Sans CJK SC"/>
        <family val="2"/>
      </rPr>
      <t xml:space="preserve">破乳剂配制罐组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破乳剂配置罐</t>
    </r>
    <r>
      <rPr>
        <sz val="10"/>
        <rFont val="Consolas"/>
        <family val="3"/>
      </rPr>
      <t>R2120B</t>
    </r>
  </si>
  <si>
    <r>
      <rPr>
        <sz val="10"/>
        <rFont val="Consolas"/>
        <family val="3"/>
      </rPr>
      <t xml:space="preserve">:DemulsifierPrepTanks :hasMember :DemulsifierPrepTanks_M03 .   # R0317 </t>
    </r>
    <r>
      <rPr>
        <sz val="10"/>
        <rFont val="Noto Sans CJK SC"/>
        <family val="2"/>
      </rPr>
      <t xml:space="preserve">破乳剂配制罐组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破乳剂配置罐</t>
    </r>
    <r>
      <rPr>
        <sz val="10"/>
        <rFont val="Consolas"/>
        <family val="3"/>
      </rPr>
      <t>R2120C</t>
    </r>
  </si>
  <si>
    <r>
      <rPr>
        <sz val="10"/>
        <rFont val="Consolas"/>
        <family val="3"/>
      </rPr>
      <t xml:space="preserve">:DemulsifierPrepTanks :hasMember :DemulsifierPrepTanks_M04 .   # R0318 </t>
    </r>
    <r>
      <rPr>
        <sz val="10"/>
        <rFont val="Noto Sans CJK SC"/>
        <family val="2"/>
      </rPr>
      <t xml:space="preserve">破乳剂配制罐组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破乳剂配置罐</t>
    </r>
    <r>
      <rPr>
        <sz val="10"/>
        <rFont val="Consolas"/>
        <family val="3"/>
      </rPr>
      <t>R2120D</t>
    </r>
  </si>
  <si>
    <r>
      <rPr>
        <sz val="10"/>
        <rFont val="Consolas"/>
        <family val="3"/>
      </rPr>
      <t xml:space="preserve">:DemulsifierPrepTanks :hasPart :DemulsifierPrepTanks_P01 .   # R0319 </t>
    </r>
    <r>
      <rPr>
        <sz val="10"/>
        <rFont val="Noto Sans CJK SC"/>
        <family val="2"/>
      </rPr>
      <t xml:space="preserve">破乳剂配制罐组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破乳剂配制罐组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搅拌器</t>
    </r>
  </si>
  <si>
    <r>
      <rPr>
        <sz val="10"/>
        <rFont val="Consolas"/>
        <family val="3"/>
      </rPr>
      <t xml:space="preserve">:DemulsifierPrepTanks :hasPart :DemulsifierPrepTanks_P02 .   # R0320 </t>
    </r>
    <r>
      <rPr>
        <sz val="10"/>
        <rFont val="Noto Sans CJK SC"/>
        <family val="2"/>
      </rPr>
      <t xml:space="preserve">破乳剂配制罐组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破乳剂配制罐组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蒸汽加热阀</t>
    </r>
  </si>
  <si>
    <r>
      <rPr>
        <sz val="10"/>
        <rFont val="Consolas"/>
        <family val="3"/>
      </rPr>
      <t xml:space="preserve">:DemulsifierPrepTanks :hasPart :DemulsifierPrepTanks_P03 .   # R0321 </t>
    </r>
    <r>
      <rPr>
        <sz val="10"/>
        <rFont val="Noto Sans CJK SC"/>
        <family val="2"/>
      </rPr>
      <t xml:space="preserve">破乳剂配制罐组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破乳剂配制罐组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温度计</t>
    </r>
    <r>
      <rPr>
        <sz val="10"/>
        <rFont val="Consolas"/>
        <family val="3"/>
      </rPr>
      <t>TE_5043</t>
    </r>
  </si>
  <si>
    <r>
      <rPr>
        <sz val="10"/>
        <rFont val="Consolas"/>
        <family val="3"/>
      </rPr>
      <t xml:space="preserve">:Area_S04_DemulsifierPrep :hasEquipment :DemulsifierBuffer .   # R0322 </t>
    </r>
    <r>
      <rPr>
        <sz val="10"/>
        <rFont val="Noto Sans CJK SC"/>
        <family val="2"/>
      </rPr>
      <t xml:space="preserve">破乳剂配制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破乳剂缓冲罐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出料缓冲罐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</si>
  <si>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:DemulsifierBuffer :hasPart :DemulsifierBuffer_P01 .   # R0323 </t>
    </r>
    <r>
      <rPr>
        <sz val="10"/>
        <rFont val="Noto Sans CJK SC"/>
        <family val="2"/>
      </rPr>
      <t>破乳剂缓冲罐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出料缓冲罐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破乳剂缓冲罐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出料缓冲罐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LT_PR</t>
    </r>
  </si>
  <si>
    <r>
      <rPr>
        <sz val="10"/>
        <rFont val="Consolas"/>
        <family val="3"/>
      </rPr>
      <t xml:space="preserve">:DemulsifierBuffer :hasAttribute :Attr_016 .   # R0324 </t>
    </r>
    <r>
      <rPr>
        <sz val="10"/>
        <rFont val="Noto Sans CJK SC"/>
        <family val="2"/>
      </rPr>
      <t>破乳剂缓冲罐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出料缓冲罐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破乳剂温度</t>
    </r>
  </si>
  <si>
    <r>
      <rPr>
        <sz val="10"/>
        <rFont val="Consolas"/>
        <family val="3"/>
      </rPr>
      <t xml:space="preserve">:DemulsifierPrepTanks :hasAttribute :Attr_038 .   # R0325 </t>
    </r>
    <r>
      <rPr>
        <sz val="10"/>
        <rFont val="Noto Sans CJK SC"/>
        <family val="2"/>
      </rPr>
      <t xml:space="preserve">破乳剂配制罐组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破乳剂配制罐液位</t>
    </r>
  </si>
  <si>
    <r>
      <rPr>
        <sz val="10"/>
        <rFont val="Consolas"/>
        <family val="3"/>
      </rPr>
      <t xml:space="preserve">:DemulsifierPrepTanks :hasAttribute :Attr_039 .   # R0326 </t>
    </r>
    <r>
      <rPr>
        <sz val="10"/>
        <rFont val="Noto Sans CJK SC"/>
        <family val="2"/>
      </rPr>
      <t xml:space="preserve">破乳剂配制罐组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破乳剂配制搅拌频率</t>
    </r>
  </si>
  <si>
    <r>
      <rPr>
        <sz val="10"/>
        <rFont val="Consolas"/>
        <family val="3"/>
      </rPr>
      <t xml:space="preserve">:DemulsifierPrepTanks :hasAttribute :Attr_040 .   # R0327 </t>
    </r>
    <r>
      <rPr>
        <sz val="10"/>
        <rFont val="Noto Sans CJK SC"/>
        <family val="2"/>
      </rPr>
      <t xml:space="preserve">破乳剂配制罐组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破乳剂配制温度</t>
    </r>
  </si>
  <si>
    <r>
      <rPr>
        <sz val="10"/>
        <rFont val="Consolas"/>
        <family val="3"/>
      </rPr>
      <t xml:space="preserve">:DemulsifierBuffer :hasAttribute :Attr_041 .   # R0328 </t>
    </r>
    <r>
      <rPr>
        <sz val="10"/>
        <rFont val="Noto Sans CJK SC"/>
        <family val="2"/>
      </rPr>
      <t>破乳剂缓冲罐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出料缓冲罐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破乳剂缓冲罐液位</t>
    </r>
  </si>
  <si>
    <r>
      <rPr>
        <sz val="10"/>
        <rFont val="Consolas"/>
        <family val="3"/>
      </rPr>
      <t xml:space="preserve">:MS_Demulsifier :hasAttribute :Attr_006 .   # R0329 </t>
    </r>
    <r>
      <rPr>
        <sz val="10"/>
        <rFont val="Noto Sans CJK SC"/>
        <family val="2"/>
      </rPr>
      <t xml:space="preserve">破乳剂溶液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破乳剂进料流量</t>
    </r>
  </si>
  <si>
    <r>
      <rPr>
        <sz val="10"/>
        <rFont val="Consolas"/>
        <family val="3"/>
      </rPr>
      <t xml:space="preserve">:Attr_016 :boundToTag :Tag_TI_1501A .   # R0330 </t>
    </r>
    <r>
      <rPr>
        <sz val="10"/>
        <rFont val="Noto Sans CJK SC"/>
        <family val="2"/>
      </rPr>
      <t xml:space="preserve">破乳剂温度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TI_1501A</t>
    </r>
  </si>
  <si>
    <r>
      <rPr>
        <sz val="10"/>
        <rFont val="Consolas"/>
        <family val="3"/>
      </rPr>
      <t xml:space="preserve">:Attr_016 :boundToTag :Tag_TI_1501B .   # R0331 </t>
    </r>
    <r>
      <rPr>
        <sz val="10"/>
        <rFont val="Noto Sans CJK SC"/>
        <family val="2"/>
      </rPr>
      <t xml:space="preserve">破乳剂温度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TI_1501B</t>
    </r>
  </si>
  <si>
    <r>
      <rPr>
        <sz val="10"/>
        <rFont val="Consolas"/>
        <family val="3"/>
      </rPr>
      <t xml:space="preserve">:Attr_038 :boundToTag :Tag_LT_1101A .   # R0332 </t>
    </r>
    <r>
      <rPr>
        <sz val="10"/>
        <rFont val="Noto Sans CJK SC"/>
        <family val="2"/>
      </rPr>
      <t xml:space="preserve">破乳剂配制罐液位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LT_1101A</t>
    </r>
  </si>
  <si>
    <r>
      <rPr>
        <sz val="10"/>
        <rFont val="Consolas"/>
        <family val="3"/>
      </rPr>
      <t xml:space="preserve">:Attr_038 :boundToTag :Tag_LT_1101B .   # R0333 </t>
    </r>
    <r>
      <rPr>
        <sz val="10"/>
        <rFont val="Noto Sans CJK SC"/>
        <family val="2"/>
      </rPr>
      <t xml:space="preserve">破乳剂配制罐液位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LT_1101B</t>
    </r>
  </si>
  <si>
    <r>
      <rPr>
        <sz val="10"/>
        <rFont val="Consolas"/>
        <family val="3"/>
      </rPr>
      <t xml:space="preserve">:Attr_038 :boundToTag :Tag_LT_1101C .   # R0334 </t>
    </r>
    <r>
      <rPr>
        <sz val="10"/>
        <rFont val="Noto Sans CJK SC"/>
        <family val="2"/>
      </rPr>
      <t xml:space="preserve">破乳剂配制罐液位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LT_1101C</t>
    </r>
  </si>
  <si>
    <r>
      <rPr>
        <sz val="10"/>
        <rFont val="Consolas"/>
        <family val="3"/>
      </rPr>
      <t xml:space="preserve">:Attr_038 :boundToTag :Tag_LT_1101D .   # R0335 </t>
    </r>
    <r>
      <rPr>
        <sz val="10"/>
        <rFont val="Noto Sans CJK SC"/>
        <family val="2"/>
      </rPr>
      <t xml:space="preserve">破乳剂配制罐液位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LT_1101D</t>
    </r>
  </si>
  <si>
    <r>
      <rPr>
        <sz val="10"/>
        <rFont val="Consolas"/>
        <family val="3"/>
      </rPr>
      <t xml:space="preserve">:Attr_039 :boundToTag :Tag_PB_1001B_FB .   # R0336 </t>
    </r>
    <r>
      <rPr>
        <sz val="10"/>
        <rFont val="Noto Sans CJK SC"/>
        <family val="2"/>
      </rPr>
      <t xml:space="preserve">破乳剂配制搅拌频率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PB_1001B_FB</t>
    </r>
  </si>
  <si>
    <r>
      <rPr>
        <sz val="10"/>
        <rFont val="Consolas"/>
        <family val="3"/>
      </rPr>
      <t xml:space="preserve">:Attr_041 :boundToTag :Tag_LT_PR .   # R0337 </t>
    </r>
    <r>
      <rPr>
        <sz val="10"/>
        <rFont val="Noto Sans CJK SC"/>
        <family val="2"/>
      </rPr>
      <t xml:space="preserve">破乳剂缓冲罐液位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LT_PR</t>
    </r>
  </si>
  <si>
    <r>
      <rPr>
        <sz val="10"/>
        <rFont val="Consolas"/>
        <family val="3"/>
      </rPr>
      <t xml:space="preserve">:DemulsifierPrepTanks :isControlledBy :Seq_03 .   # R0338 </t>
    </r>
    <r>
      <rPr>
        <sz val="10"/>
        <rFont val="Noto Sans CJK SC"/>
        <family val="2"/>
      </rPr>
      <t xml:space="preserve">破乳剂配制罐组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被控制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破乳剂配制程序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流量模式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液位模式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</si>
  <si>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:Attr_041 :triggersAlarm :Alarm_03 .   # R0339 </t>
    </r>
    <r>
      <rPr>
        <sz val="10"/>
        <rFont val="Noto Sans CJK SC"/>
        <family val="2"/>
      </rPr>
      <t xml:space="preserve">破乳剂缓冲罐液位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触发报警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破乳剂低位报警</t>
    </r>
  </si>
  <si>
    <r>
      <rPr>
        <sz val="10"/>
        <rFont val="Consolas"/>
        <family val="3"/>
      </rPr>
      <t xml:space="preserve">:DemulsifierStorage :connectedToNext :DemulsifierPrepTanks .   # R0340 </t>
    </r>
    <r>
      <rPr>
        <sz val="10"/>
        <rFont val="Noto Sans CJK SC"/>
        <family val="2"/>
      </rPr>
      <t xml:space="preserve">破乳剂罐（原液）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破乳剂配制罐组</t>
    </r>
  </si>
  <si>
    <r>
      <rPr>
        <sz val="10"/>
        <rFont val="Consolas"/>
        <family val="3"/>
      </rPr>
      <t xml:space="preserve">:MS_PrimaryWater :flowsInto :DemulsifierPrepTanks .   # R0341 </t>
    </r>
    <r>
      <rPr>
        <sz val="10"/>
        <rFont val="Noto Sans CJK SC"/>
        <family val="2"/>
      </rPr>
      <t xml:space="preserve">一次水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破乳剂配制罐组</t>
    </r>
  </si>
  <si>
    <r>
      <rPr>
        <sz val="10"/>
        <rFont val="Consolas"/>
        <family val="3"/>
      </rPr>
      <t xml:space="preserve">:MS_Steam :suppliesUtility :DemulsifierPrepTanks .   # R0342 </t>
    </r>
    <r>
      <rPr>
        <sz val="10"/>
        <rFont val="Noto Sans CJK SC"/>
        <family val="2"/>
      </rPr>
      <t xml:space="preserve">蒸汽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供给介质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破乳剂配制罐组</t>
    </r>
  </si>
  <si>
    <r>
      <rPr>
        <sz val="10"/>
        <rFont val="Consolas"/>
        <family val="3"/>
      </rPr>
      <t xml:space="preserve">:MS_CompAir :suppliesUtility :DemulsifierPrepTanks .   # R0343 </t>
    </r>
    <r>
      <rPr>
        <sz val="10"/>
        <rFont val="Noto Sans CJK SC"/>
        <family val="2"/>
      </rPr>
      <t>压缩空气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仪表气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供给介质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破乳剂配制罐组</t>
    </r>
  </si>
  <si>
    <r>
      <rPr>
        <sz val="10"/>
        <rFont val="Consolas"/>
        <family val="3"/>
      </rPr>
      <t xml:space="preserve">:DemulsifierPrepTanks :produces :MS_Demulsifier .   # R0344 </t>
    </r>
    <r>
      <rPr>
        <sz val="10"/>
        <rFont val="Noto Sans CJK SC"/>
        <family val="2"/>
      </rPr>
      <t xml:space="preserve">破乳剂配制罐组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破乳剂溶液</t>
    </r>
  </si>
  <si>
    <r>
      <rPr>
        <sz val="10"/>
        <rFont val="Consolas"/>
        <family val="3"/>
      </rPr>
      <t xml:space="preserve">:MS_Demulsifier :flowsInto :DemulsifierBuffer .   # R0345 </t>
    </r>
    <r>
      <rPr>
        <sz val="10"/>
        <rFont val="Noto Sans CJK SC"/>
        <family val="2"/>
      </rPr>
      <t xml:space="preserve">破乳剂溶液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破乳剂缓冲罐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出料缓冲罐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</si>
  <si>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:DemulsifierBuffer :connectedToNext :RSE300CentrifugeGroup .   # R0346 </t>
    </r>
    <r>
      <rPr>
        <sz val="10"/>
        <rFont val="Noto Sans CJK SC"/>
        <family val="2"/>
      </rPr>
      <t>破乳剂缓冲罐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出料缓冲罐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>-&gt; RSE300</t>
    </r>
    <r>
      <rPr>
        <sz val="10"/>
        <rFont val="Noto Sans CJK SC"/>
        <family val="2"/>
      </rPr>
      <t>提取离心机组</t>
    </r>
  </si>
  <si>
    <r>
      <rPr>
        <sz val="10"/>
        <rFont val="Consolas"/>
        <family val="3"/>
      </rPr>
      <t xml:space="preserve">:DemulsifierBuffer :connectedToNext :RSE200CentrifugeGroup .   # R0347 </t>
    </r>
    <r>
      <rPr>
        <sz val="10"/>
        <rFont val="Noto Sans CJK SC"/>
        <family val="2"/>
      </rPr>
      <t>破乳剂缓冲罐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出料缓冲罐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>-&gt; RSE200</t>
    </r>
    <r>
      <rPr>
        <sz val="10"/>
        <rFont val="Noto Sans CJK SC"/>
        <family val="2"/>
      </rPr>
      <t>提取离心机组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三萃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</si>
  <si>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:Attr_040 :positivelyAffects :Attr_312 .   # R0348 </t>
    </r>
    <r>
      <rPr>
        <sz val="10"/>
        <rFont val="Noto Sans CJK SC"/>
        <family val="2"/>
      </rPr>
      <t xml:space="preserve">破乳剂配制温度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破乳剂溶解均匀度</t>
    </r>
  </si>
  <si>
    <r>
      <rPr>
        <sz val="10"/>
        <rFont val="Consolas"/>
        <family val="3"/>
      </rPr>
      <t xml:space="preserve">:Attr_312 :positivelyAffects :Attr_006 .   # R0349 </t>
    </r>
    <r>
      <rPr>
        <sz val="10"/>
        <rFont val="Noto Sans CJK SC"/>
        <family val="2"/>
      </rPr>
      <t xml:space="preserve">破乳剂溶解均匀度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破乳剂进料流量</t>
    </r>
  </si>
  <si>
    <r>
      <rPr>
        <sz val="10"/>
        <rFont val="Consolas"/>
        <family val="3"/>
      </rPr>
      <t xml:space="preserve">
# --- S05 BA</t>
    </r>
    <r>
      <rPr>
        <sz val="10"/>
        <rFont val="Noto Sans CJK SC"/>
        <family val="2"/>
      </rPr>
      <t xml:space="preserve">水洗 </t>
    </r>
    <r>
      <rPr>
        <sz val="10"/>
        <rFont val="Consolas"/>
        <family val="3"/>
      </rPr>
      <t>---</t>
    </r>
  </si>
  <si>
    <r>
      <rPr>
        <sz val="10"/>
        <rFont val="Consolas"/>
        <family val="3"/>
      </rPr>
      <t>:Area_S05_BAWashing :connectedToNext :Area_S01_Extraction_RSE300 .   # R0350 BA</t>
    </r>
    <r>
      <rPr>
        <sz val="10"/>
        <rFont val="Noto Sans CJK SC"/>
        <family val="2"/>
      </rPr>
      <t xml:space="preserve">水洗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提取</t>
    </r>
    <r>
      <rPr>
        <sz val="10"/>
        <rFont val="Consolas"/>
        <family val="3"/>
      </rPr>
      <t>·RSE300</t>
    </r>
    <r>
      <rPr>
        <sz val="10"/>
        <rFont val="Noto Sans CJK SC"/>
        <family val="2"/>
      </rPr>
      <t>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二萃</t>
    </r>
  </si>
  <si>
    <r>
      <rPr>
        <sz val="10"/>
        <rFont val="Consolas"/>
        <family val="3"/>
      </rPr>
      <t>:Area_S05_BAWashing :connectedToNext :Area_S06_Decolorization .   # R0351 BA</t>
    </r>
    <r>
      <rPr>
        <sz val="10"/>
        <rFont val="Noto Sans CJK SC"/>
        <family val="2"/>
      </rPr>
      <t xml:space="preserve">水洗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活性炭脱色与芬特过滤</t>
    </r>
  </si>
  <si>
    <r>
      <rPr>
        <sz val="10"/>
        <rFont val="Consolas"/>
        <family val="3"/>
      </rPr>
      <t>:Area_S05_BAWashing :hasEquipment :WashCentrifugeGroup .   # R0352 BA</t>
    </r>
    <r>
      <rPr>
        <sz val="10"/>
        <rFont val="Noto Sans CJK SC"/>
        <family val="2"/>
      </rPr>
      <t xml:space="preserve">水洗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水洗离心机组</t>
    </r>
  </si>
  <si>
    <r>
      <rPr>
        <sz val="10"/>
        <rFont val="Consolas"/>
        <family val="3"/>
      </rPr>
      <t xml:space="preserve">:WashCentrifugeGroup :hasMember :WashCentrifugeGroup_M01 .   # R0353 </t>
    </r>
    <r>
      <rPr>
        <sz val="10"/>
        <rFont val="Noto Sans CJK SC"/>
        <family val="2"/>
      </rPr>
      <t xml:space="preserve">水洗离心机组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水洗离心机</t>
    </r>
    <r>
      <rPr>
        <sz val="10"/>
        <rFont val="Consolas"/>
        <family val="3"/>
      </rPr>
      <t>1(II_10SXA)</t>
    </r>
  </si>
  <si>
    <r>
      <rPr>
        <sz val="10"/>
        <rFont val="Consolas"/>
        <family val="3"/>
      </rPr>
      <t xml:space="preserve">:WashCentrifugeGroup :hasMember :WashCentrifugeGroup_M02 .   # R0354 </t>
    </r>
    <r>
      <rPr>
        <sz val="10"/>
        <rFont val="Noto Sans CJK SC"/>
        <family val="2"/>
      </rPr>
      <t xml:space="preserve">水洗离心机组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水洗离心机</t>
    </r>
    <r>
      <rPr>
        <sz val="10"/>
        <rFont val="Consolas"/>
        <family val="3"/>
      </rPr>
      <t>2(II_10SXB)</t>
    </r>
  </si>
  <si>
    <r>
      <rPr>
        <sz val="10"/>
        <rFont val="Consolas"/>
        <family val="3"/>
      </rPr>
      <t xml:space="preserve">:WashCentrifugeGroup :hasMember :WashCentrifugeGroup_M03 .   # R0355 </t>
    </r>
    <r>
      <rPr>
        <sz val="10"/>
        <rFont val="Noto Sans CJK SC"/>
        <family val="2"/>
      </rPr>
      <t xml:space="preserve">水洗离心机组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水洗离心机</t>
    </r>
    <r>
      <rPr>
        <sz val="10"/>
        <rFont val="Consolas"/>
        <family val="3"/>
      </rPr>
      <t>3(II_10SXC)</t>
    </r>
  </si>
  <si>
    <r>
      <rPr>
        <sz val="10"/>
        <rFont val="Consolas"/>
        <family val="3"/>
      </rPr>
      <t xml:space="preserve">:WashCentrifugeGroup :hasMember :WashCentrifugeGroup_M04 .   # R0356 </t>
    </r>
    <r>
      <rPr>
        <sz val="10"/>
        <rFont val="Noto Sans CJK SC"/>
        <family val="2"/>
      </rPr>
      <t xml:space="preserve">水洗离心机组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水洗离心机</t>
    </r>
    <r>
      <rPr>
        <sz val="10"/>
        <rFont val="Consolas"/>
        <family val="3"/>
      </rPr>
      <t>4(II_10SXD)</t>
    </r>
  </si>
  <si>
    <r>
      <rPr>
        <sz val="10"/>
        <rFont val="Consolas"/>
        <family val="3"/>
      </rPr>
      <t xml:space="preserve">:WashCentrifugeGroup :hasMember :WashCentrifugeGroup_M05 .   # R0357 </t>
    </r>
    <r>
      <rPr>
        <sz val="10"/>
        <rFont val="Noto Sans CJK SC"/>
        <family val="2"/>
      </rPr>
      <t xml:space="preserve">水洗离心机组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水洗离心机</t>
    </r>
    <r>
      <rPr>
        <sz val="10"/>
        <rFont val="Consolas"/>
        <family val="3"/>
      </rPr>
      <t>5(II_10SXE)</t>
    </r>
  </si>
  <si>
    <r>
      <rPr>
        <sz val="10"/>
        <rFont val="Consolas"/>
        <family val="3"/>
      </rPr>
      <t xml:space="preserve">:WashCentrifugeGroup :hasMember :WashCentrifugeGroup_M06 .   # R0358 </t>
    </r>
    <r>
      <rPr>
        <sz val="10"/>
        <rFont val="Noto Sans CJK SC"/>
        <family val="2"/>
      </rPr>
      <t xml:space="preserve">水洗离心机组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水洗离心机</t>
    </r>
    <r>
      <rPr>
        <sz val="10"/>
        <rFont val="Consolas"/>
        <family val="3"/>
      </rPr>
      <t>6(II_10SXG)</t>
    </r>
  </si>
  <si>
    <r>
      <rPr>
        <sz val="10"/>
        <rFont val="Consolas"/>
        <family val="3"/>
      </rPr>
      <t xml:space="preserve">:WashCentrifugeGroup :hasMember :WashCentrifugeGroup_M07 .   # R0359 </t>
    </r>
    <r>
      <rPr>
        <sz val="10"/>
        <rFont val="Noto Sans CJK SC"/>
        <family val="2"/>
      </rPr>
      <t xml:space="preserve">水洗离心机组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水洗离心机</t>
    </r>
    <r>
      <rPr>
        <sz val="10"/>
        <rFont val="Consolas"/>
        <family val="3"/>
      </rPr>
      <t>7(II_10SXF)</t>
    </r>
  </si>
  <si>
    <r>
      <rPr>
        <sz val="10"/>
        <rFont val="Consolas"/>
        <family val="3"/>
      </rPr>
      <t xml:space="preserve">:WashCentrifugeGroup :hasPart :WashCentrifugeGroup_P01 .   # R0360 </t>
    </r>
    <r>
      <rPr>
        <sz val="10"/>
        <rFont val="Noto Sans CJK SC"/>
        <family val="2"/>
      </rPr>
      <t xml:space="preserve">水洗离心机组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碟片分离转鼓</t>
    </r>
  </si>
  <si>
    <r>
      <rPr>
        <sz val="10"/>
        <rFont val="Consolas"/>
        <family val="3"/>
      </rPr>
      <t xml:space="preserve">:WashCentrifugeGroup :hasPart :WashCentrifugeGroup_P02 .   # R0361 </t>
    </r>
    <r>
      <rPr>
        <sz val="10"/>
        <rFont val="Noto Sans CJK SC"/>
        <family val="2"/>
      </rPr>
      <t xml:space="preserve">水洗离心机组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主电机</t>
    </r>
  </si>
  <si>
    <r>
      <rPr>
        <sz val="10"/>
        <rFont val="Consolas"/>
        <family val="3"/>
      </rPr>
      <t>:Area_S05_BAWashing :hasEquipment :DiluteAlkaliTank .   # R0362 BA</t>
    </r>
    <r>
      <rPr>
        <sz val="10"/>
        <rFont val="Noto Sans CJK SC"/>
        <family val="2"/>
      </rPr>
      <t xml:space="preserve">水洗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稀碱配制罐</t>
    </r>
  </si>
  <si>
    <r>
      <rPr>
        <sz val="10"/>
        <rFont val="Consolas"/>
        <family val="3"/>
      </rPr>
      <t xml:space="preserve">:DiluteAlkaliTank :hasPart :DiluteAlkaliTank_P01 .   # R0363 </t>
    </r>
    <r>
      <rPr>
        <sz val="10"/>
        <rFont val="Noto Sans CJK SC"/>
        <family val="2"/>
      </rPr>
      <t xml:space="preserve">稀碱配制罐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稀碱配制罐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</si>
  <si>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:DiluteAlkaliTank :hasPart :DiluteAlkaliTank_P02 .   # R0364 </t>
    </r>
    <r>
      <rPr>
        <sz val="10"/>
        <rFont val="Noto Sans CJK SC"/>
        <family val="2"/>
      </rPr>
      <t xml:space="preserve">稀碱配制罐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稀碱配制罐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温度计</t>
    </r>
  </si>
  <si>
    <r>
      <rPr>
        <sz val="10"/>
        <rFont val="Consolas"/>
        <family val="3"/>
      </rPr>
      <t xml:space="preserve">:DiluteAlkaliTank :hasPart :DiluteAlkaliTank_P03 .   # R0365 </t>
    </r>
    <r>
      <rPr>
        <sz val="10"/>
        <rFont val="Noto Sans CJK SC"/>
        <family val="2"/>
      </rPr>
      <t xml:space="preserve">稀碱配制罐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稀碱配制罐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蒸汽阀</t>
    </r>
  </si>
  <si>
    <r>
      <rPr>
        <sz val="10"/>
        <rFont val="Consolas"/>
        <family val="3"/>
      </rPr>
      <t>:Area_S05_BAWashing :hasEquipment :ConcAlkaliTank .   # R0366 BA</t>
    </r>
    <r>
      <rPr>
        <sz val="10"/>
        <rFont val="Noto Sans CJK SC"/>
        <family val="2"/>
      </rPr>
      <t xml:space="preserve">水洗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浓碱罐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液碱罐</t>
    </r>
  </si>
  <si>
    <r>
      <rPr>
        <sz val="10"/>
        <rFont val="Consolas"/>
        <family val="3"/>
      </rPr>
      <t xml:space="preserve">:ConcAlkaliTank :hasPart :ConcAlkaliTank_P01 .   # R0367 </t>
    </r>
    <r>
      <rPr>
        <sz val="10"/>
        <rFont val="Noto Sans CJK SC"/>
        <family val="2"/>
      </rPr>
      <t>浓碱罐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液碱罐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浓碱罐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液碱罐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</si>
  <si>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>:Area_S05_BAWashing :hasEquipment :WashBATank .   # R0368 BA</t>
    </r>
    <r>
      <rPr>
        <sz val="10"/>
        <rFont val="Noto Sans CJK SC"/>
        <family val="2"/>
      </rPr>
      <t xml:space="preserve">水洗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罐</t>
    </r>
  </si>
  <si>
    <r>
      <rPr>
        <sz val="10"/>
        <rFont val="Consolas"/>
        <family val="3"/>
      </rPr>
      <t xml:space="preserve">:WashBATank :hasMember :WashBATank_M01 .   # R0369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罐</t>
    </r>
    <r>
      <rPr>
        <sz val="10"/>
        <rFont val="Consolas"/>
        <family val="3"/>
      </rPr>
      <t>V2142A</t>
    </r>
  </si>
  <si>
    <r>
      <rPr>
        <sz val="10"/>
        <rFont val="Consolas"/>
        <family val="3"/>
      </rPr>
      <t xml:space="preserve">:WashBATank :hasMember :WashBATank_M02 .   # R0370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罐</t>
    </r>
    <r>
      <rPr>
        <sz val="10"/>
        <rFont val="Consolas"/>
        <family val="3"/>
      </rPr>
      <t>V2142B</t>
    </r>
  </si>
  <si>
    <r>
      <rPr>
        <sz val="10"/>
        <rFont val="Consolas"/>
        <family val="3"/>
      </rPr>
      <t xml:space="preserve">:WashBATank :hasPart :WashBATank_P01 .   # R0371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</si>
  <si>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>:Area_S05_BAWashing :hasEquipment :WashHeavyTank .   # R0372 BA</t>
    </r>
    <r>
      <rPr>
        <sz val="10"/>
        <rFont val="Noto Sans CJK SC"/>
        <family val="2"/>
      </rPr>
      <t xml:space="preserve">水洗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水洗重相罐</t>
    </r>
  </si>
  <si>
    <r>
      <rPr>
        <sz val="10"/>
        <rFont val="Consolas"/>
        <family val="3"/>
      </rPr>
      <t xml:space="preserve">:WashHeavyTank :hasPart :WashHeavyTank_P01 .   # R0373 </t>
    </r>
    <r>
      <rPr>
        <sz val="10"/>
        <rFont val="Noto Sans CJK SC"/>
        <family val="2"/>
      </rPr>
      <t xml:space="preserve">水洗重相罐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水洗重相罐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</si>
  <si>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:WashHeavyTank :hasPart :WashHeavyTank_P02 .   # R0374 </t>
    </r>
    <r>
      <rPr>
        <sz val="10"/>
        <rFont val="Noto Sans CJK SC"/>
        <family val="2"/>
      </rPr>
      <t xml:space="preserve">水洗重相罐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水洗重相罐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调节阀</t>
    </r>
    <r>
      <rPr>
        <sz val="10"/>
        <rFont val="Consolas"/>
        <family val="3"/>
      </rPr>
      <t>HV_1007</t>
    </r>
  </si>
  <si>
    <r>
      <rPr>
        <sz val="10"/>
        <rFont val="Consolas"/>
        <family val="3"/>
      </rPr>
      <t>:Area_S05_BAWashing :hasEquipment :PrimaryWaterTank .   # R0375 BA</t>
    </r>
    <r>
      <rPr>
        <sz val="10"/>
        <rFont val="Noto Sans CJK SC"/>
        <family val="2"/>
      </rPr>
      <t xml:space="preserve">水洗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一次水罐</t>
    </r>
  </si>
  <si>
    <r>
      <rPr>
        <sz val="10"/>
        <rFont val="Consolas"/>
        <family val="3"/>
      </rPr>
      <t xml:space="preserve">:PrimaryWaterTank :hasPart :PrimaryWaterTank_P01 .   # R0376 </t>
    </r>
    <r>
      <rPr>
        <sz val="10"/>
        <rFont val="Noto Sans CJK SC"/>
        <family val="2"/>
      </rPr>
      <t xml:space="preserve">一次水罐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一次水罐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</si>
  <si>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:WashCentrifugeGroup :hasAttribute :Attr_042 .   # R0377 </t>
    </r>
    <r>
      <rPr>
        <sz val="10"/>
        <rFont val="Noto Sans CJK SC"/>
        <family val="2"/>
      </rPr>
      <t xml:space="preserve">水洗离心机组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水洗进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流量</t>
    </r>
  </si>
  <si>
    <r>
      <rPr>
        <sz val="10"/>
        <rFont val="Consolas"/>
        <family val="3"/>
      </rPr>
      <t xml:space="preserve">:WashCentrifugeGroup :hasAttribute :Attr_043 .   # R0378 </t>
    </r>
    <r>
      <rPr>
        <sz val="10"/>
        <rFont val="Noto Sans CJK SC"/>
        <family val="2"/>
      </rPr>
      <t xml:space="preserve">水洗离心机组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水洗进水流量</t>
    </r>
  </si>
  <si>
    <r>
      <rPr>
        <sz val="10"/>
        <rFont val="Consolas"/>
        <family val="3"/>
      </rPr>
      <t xml:space="preserve">:WashCentrifugeGroup :hasAttribute :Attr_044 .   # R0379 </t>
    </r>
    <r>
      <rPr>
        <sz val="10"/>
        <rFont val="Noto Sans CJK SC"/>
        <family val="2"/>
      </rPr>
      <t xml:space="preserve">水洗离心机组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水洗离心机电流</t>
    </r>
  </si>
  <si>
    <r>
      <rPr>
        <sz val="10"/>
        <rFont val="Consolas"/>
        <family val="3"/>
      </rPr>
      <t xml:space="preserve">:WashHeavyTank :hasAttribute :Attr_045 .   # R0380 </t>
    </r>
    <r>
      <rPr>
        <sz val="10"/>
        <rFont val="Noto Sans CJK SC"/>
        <family val="2"/>
      </rPr>
      <t xml:space="preserve">水洗重相罐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水洗重相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</si>
  <si>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:WashHeavyTank :hasAttribute :Attr_046 .   # R0381 </t>
    </r>
    <r>
      <rPr>
        <sz val="10"/>
        <rFont val="Noto Sans CJK SC"/>
        <family val="2"/>
      </rPr>
      <t xml:space="preserve">水洗重相罐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水洗重相罐液位</t>
    </r>
  </si>
  <si>
    <r>
      <rPr>
        <sz val="10"/>
        <rFont val="Consolas"/>
        <family val="3"/>
      </rPr>
      <t xml:space="preserve">:WashBATank :hasAttribute :Attr_047 .   # R0382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罐液位</t>
    </r>
  </si>
  <si>
    <r>
      <rPr>
        <sz val="10"/>
        <rFont val="Consolas"/>
        <family val="3"/>
      </rPr>
      <t xml:space="preserve">:WashBATank :hasAttribute :Attr_048 .   # R0383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外送流量</t>
    </r>
  </si>
  <si>
    <r>
      <rPr>
        <sz val="10"/>
        <rFont val="Consolas"/>
        <family val="3"/>
      </rPr>
      <t xml:space="preserve">:DiluteAlkaliTank :hasAttribute :Attr_049 .   # R0384 </t>
    </r>
    <r>
      <rPr>
        <sz val="10"/>
        <rFont val="Noto Sans CJK SC"/>
        <family val="2"/>
      </rPr>
      <t xml:space="preserve">稀碱配制罐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稀碱罐液位</t>
    </r>
  </si>
  <si>
    <r>
      <rPr>
        <sz val="10"/>
        <rFont val="Consolas"/>
        <family val="3"/>
      </rPr>
      <t xml:space="preserve">:DiluteAlkaliTank :hasAttribute :Attr_050 .   # R0385 </t>
    </r>
    <r>
      <rPr>
        <sz val="10"/>
        <rFont val="Noto Sans CJK SC"/>
        <family val="2"/>
      </rPr>
      <t xml:space="preserve">稀碱配制罐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稀碱温度</t>
    </r>
  </si>
  <si>
    <r>
      <rPr>
        <sz val="10"/>
        <rFont val="Consolas"/>
        <family val="3"/>
      </rPr>
      <t xml:space="preserve">:ConcAlkaliTank :hasAttribute :Attr_051 .   # R0386 </t>
    </r>
    <r>
      <rPr>
        <sz val="10"/>
        <rFont val="Noto Sans CJK SC"/>
        <family val="2"/>
      </rPr>
      <t>浓碱罐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液碱罐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浓碱进碱流量</t>
    </r>
  </si>
  <si>
    <r>
      <rPr>
        <sz val="10"/>
        <rFont val="Consolas"/>
        <family val="3"/>
      </rPr>
      <t xml:space="preserve">:PrimaryWaterTank :hasAttribute :Attr_052 .   # R0387 </t>
    </r>
    <r>
      <rPr>
        <sz val="10"/>
        <rFont val="Noto Sans CJK SC"/>
        <family val="2"/>
      </rPr>
      <t xml:space="preserve">一次水罐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一次水罐液位</t>
    </r>
  </si>
  <si>
    <r>
      <rPr>
        <sz val="10"/>
        <rFont val="Consolas"/>
        <family val="3"/>
      </rPr>
      <t xml:space="preserve">:WashBATank :hasAttribute :QKPI_255 .   # R0388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含水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杂质</t>
    </r>
  </si>
  <si>
    <r>
      <rPr>
        <sz val="10"/>
        <rFont val="Consolas"/>
        <family val="3"/>
      </rPr>
      <t xml:space="preserve">:MS_WashBA :hasAttribute :QKPI_255 .   # R0389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含水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杂质</t>
    </r>
  </si>
  <si>
    <r>
      <rPr>
        <sz val="10"/>
        <rFont val="Consolas"/>
        <family val="3"/>
      </rPr>
      <t xml:space="preserve">:Attr_042 :boundToTag :Tag_FT_1107A .   # R0390 </t>
    </r>
    <r>
      <rPr>
        <sz val="10"/>
        <rFont val="Noto Sans CJK SC"/>
        <family val="2"/>
      </rPr>
      <t>水洗进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FT_1107A</t>
    </r>
  </si>
  <si>
    <r>
      <rPr>
        <sz val="10"/>
        <rFont val="Consolas"/>
        <family val="3"/>
      </rPr>
      <t xml:space="preserve">:Attr_042 :boundToTag :Tag_FT_1107B .   # R0391 </t>
    </r>
    <r>
      <rPr>
        <sz val="10"/>
        <rFont val="Noto Sans CJK SC"/>
        <family val="2"/>
      </rPr>
      <t>水洗进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FT_1107B</t>
    </r>
  </si>
  <si>
    <r>
      <rPr>
        <sz val="10"/>
        <rFont val="Consolas"/>
        <family val="3"/>
      </rPr>
      <t xml:space="preserve">:Attr_042 :boundToTag :Tag_FT_1107C .   # R0392 </t>
    </r>
    <r>
      <rPr>
        <sz val="10"/>
        <rFont val="Noto Sans CJK SC"/>
        <family val="2"/>
      </rPr>
      <t>水洗进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FT_1107C</t>
    </r>
  </si>
  <si>
    <r>
      <rPr>
        <sz val="10"/>
        <rFont val="Consolas"/>
        <family val="3"/>
      </rPr>
      <t xml:space="preserve">:Attr_042 :boundToTag :Tag_FT_1107D .   # R0393 </t>
    </r>
    <r>
      <rPr>
        <sz val="10"/>
        <rFont val="Noto Sans CJK SC"/>
        <family val="2"/>
      </rPr>
      <t>水洗进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FT_1107D</t>
    </r>
  </si>
  <si>
    <r>
      <rPr>
        <sz val="10"/>
        <rFont val="Consolas"/>
        <family val="3"/>
      </rPr>
      <t xml:space="preserve">:Attr_042 :boundToTag :Tag_FT_1107E .   # R0394 </t>
    </r>
    <r>
      <rPr>
        <sz val="10"/>
        <rFont val="Noto Sans CJK SC"/>
        <family val="2"/>
      </rPr>
      <t>水洗进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FT_1107E</t>
    </r>
  </si>
  <si>
    <r>
      <rPr>
        <sz val="10"/>
        <rFont val="Consolas"/>
        <family val="3"/>
      </rPr>
      <t xml:space="preserve">:Attr_042 :boundToTag :Tag_FT_1107F .   # R0395 </t>
    </r>
    <r>
      <rPr>
        <sz val="10"/>
        <rFont val="Noto Sans CJK SC"/>
        <family val="2"/>
      </rPr>
      <t>水洗进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FT_1107F</t>
    </r>
  </si>
  <si>
    <r>
      <rPr>
        <sz val="10"/>
        <rFont val="Consolas"/>
        <family val="3"/>
      </rPr>
      <t xml:space="preserve">:Attr_042 :boundToTag :Tag_FT_1110A .   # R0396 </t>
    </r>
    <r>
      <rPr>
        <sz val="10"/>
        <rFont val="Noto Sans CJK SC"/>
        <family val="2"/>
      </rPr>
      <t>水洗进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FT_1110A</t>
    </r>
  </si>
  <si>
    <r>
      <rPr>
        <sz val="10"/>
        <rFont val="Consolas"/>
        <family val="3"/>
      </rPr>
      <t xml:space="preserve">:Attr_043 :boundToTag :Tag_FT_1108A .   # R0397 </t>
    </r>
    <r>
      <rPr>
        <sz val="10"/>
        <rFont val="Noto Sans CJK SC"/>
        <family val="2"/>
      </rPr>
      <t xml:space="preserve">水洗进水流量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FT_1108A</t>
    </r>
  </si>
  <si>
    <r>
      <rPr>
        <sz val="10"/>
        <rFont val="Consolas"/>
        <family val="3"/>
      </rPr>
      <t xml:space="preserve">:Attr_043 :boundToTag :Tag_FT_1108B .   # R0398 </t>
    </r>
    <r>
      <rPr>
        <sz val="10"/>
        <rFont val="Noto Sans CJK SC"/>
        <family val="2"/>
      </rPr>
      <t xml:space="preserve">水洗进水流量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FT_1108B</t>
    </r>
  </si>
  <si>
    <r>
      <rPr>
        <sz val="10"/>
        <rFont val="Consolas"/>
        <family val="3"/>
      </rPr>
      <t xml:space="preserve">:Attr_043 :boundToTag :Tag_FT_1108C .   # R0399 </t>
    </r>
    <r>
      <rPr>
        <sz val="10"/>
        <rFont val="Noto Sans CJK SC"/>
        <family val="2"/>
      </rPr>
      <t xml:space="preserve">水洗进水流量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FT_1108C</t>
    </r>
  </si>
  <si>
    <r>
      <rPr>
        <sz val="10"/>
        <rFont val="Consolas"/>
        <family val="3"/>
      </rPr>
      <t xml:space="preserve">:Attr_043 :boundToTag :Tag_FT_1108D .   # R0400 </t>
    </r>
    <r>
      <rPr>
        <sz val="10"/>
        <rFont val="Noto Sans CJK SC"/>
        <family val="2"/>
      </rPr>
      <t xml:space="preserve">水洗进水流量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FT_1108D</t>
    </r>
  </si>
  <si>
    <r>
      <rPr>
        <sz val="10"/>
        <rFont val="Consolas"/>
        <family val="3"/>
      </rPr>
      <t xml:space="preserve">:Attr_043 :boundToTag :Tag_FT_1108E .   # R0401 </t>
    </r>
    <r>
      <rPr>
        <sz val="10"/>
        <rFont val="Noto Sans CJK SC"/>
        <family val="2"/>
      </rPr>
      <t xml:space="preserve">水洗进水流量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FT_1108E</t>
    </r>
  </si>
  <si>
    <r>
      <rPr>
        <sz val="10"/>
        <rFont val="Consolas"/>
        <family val="3"/>
      </rPr>
      <t xml:space="preserve">:Attr_043 :boundToTag :Tag_FT_1108F .   # R0402 </t>
    </r>
    <r>
      <rPr>
        <sz val="10"/>
        <rFont val="Noto Sans CJK SC"/>
        <family val="2"/>
      </rPr>
      <t xml:space="preserve">水洗进水流量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FT_1108F</t>
    </r>
  </si>
  <si>
    <r>
      <rPr>
        <sz val="10"/>
        <rFont val="Consolas"/>
        <family val="3"/>
      </rPr>
      <t xml:space="preserve">:Attr_043 :boundToTag :Tag_FT_1110B .   # R0403 </t>
    </r>
    <r>
      <rPr>
        <sz val="10"/>
        <rFont val="Noto Sans CJK SC"/>
        <family val="2"/>
      </rPr>
      <t xml:space="preserve">水洗进水流量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FT_1110B</t>
    </r>
  </si>
  <si>
    <r>
      <rPr>
        <sz val="10"/>
        <rFont val="Consolas"/>
        <family val="3"/>
      </rPr>
      <t xml:space="preserve">:Attr_044 :boundToTag :Tag_II_10SXA .   # R0404 </t>
    </r>
    <r>
      <rPr>
        <sz val="10"/>
        <rFont val="Noto Sans CJK SC"/>
        <family val="2"/>
      </rPr>
      <t xml:space="preserve">水洗离心机电流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II_10SXA</t>
    </r>
  </si>
  <si>
    <r>
      <rPr>
        <sz val="10"/>
        <rFont val="Consolas"/>
        <family val="3"/>
      </rPr>
      <t xml:space="preserve">:Attr_044 :boundToTag :Tag_II_10SXB .   # R0405 </t>
    </r>
    <r>
      <rPr>
        <sz val="10"/>
        <rFont val="Noto Sans CJK SC"/>
        <family val="2"/>
      </rPr>
      <t xml:space="preserve">水洗离心机电流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II_10SXB</t>
    </r>
  </si>
  <si>
    <r>
      <rPr>
        <sz val="10"/>
        <rFont val="Consolas"/>
        <family val="3"/>
      </rPr>
      <t xml:space="preserve">:Attr_044 :boundToTag :Tag_II_10SXC .   # R0406 </t>
    </r>
    <r>
      <rPr>
        <sz val="10"/>
        <rFont val="Noto Sans CJK SC"/>
        <family val="2"/>
      </rPr>
      <t xml:space="preserve">水洗离心机电流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II_10SXC</t>
    </r>
  </si>
  <si>
    <r>
      <rPr>
        <sz val="10"/>
        <rFont val="Consolas"/>
        <family val="3"/>
      </rPr>
      <t xml:space="preserve">:Attr_044 :boundToTag :Tag_II_10SXD .   # R0407 </t>
    </r>
    <r>
      <rPr>
        <sz val="10"/>
        <rFont val="Noto Sans CJK SC"/>
        <family val="2"/>
      </rPr>
      <t xml:space="preserve">水洗离心机电流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II_10SXD</t>
    </r>
  </si>
  <si>
    <r>
      <rPr>
        <sz val="10"/>
        <rFont val="Consolas"/>
        <family val="3"/>
      </rPr>
      <t xml:space="preserve">:Attr_044 :boundToTag :Tag_II_10SXE .   # R0408 </t>
    </r>
    <r>
      <rPr>
        <sz val="10"/>
        <rFont val="Noto Sans CJK SC"/>
        <family val="2"/>
      </rPr>
      <t xml:space="preserve">水洗离心机电流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II_10SXE</t>
    </r>
  </si>
  <si>
    <r>
      <rPr>
        <sz val="10"/>
        <rFont val="Consolas"/>
        <family val="3"/>
      </rPr>
      <t xml:space="preserve">:Attr_044 :boundToTag :Tag_II_10SXF .   # R0409 </t>
    </r>
    <r>
      <rPr>
        <sz val="10"/>
        <rFont val="Noto Sans CJK SC"/>
        <family val="2"/>
      </rPr>
      <t xml:space="preserve">水洗离心机电流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II_10SXF</t>
    </r>
  </si>
  <si>
    <r>
      <rPr>
        <sz val="10"/>
        <rFont val="Consolas"/>
        <family val="3"/>
      </rPr>
      <t xml:space="preserve">:Attr_044 :boundToTag :Tag_II_10SXG .   # R0410 </t>
    </r>
    <r>
      <rPr>
        <sz val="10"/>
        <rFont val="Noto Sans CJK SC"/>
        <family val="2"/>
      </rPr>
      <t xml:space="preserve">水洗离心机电流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II_10SXG</t>
    </r>
  </si>
  <si>
    <r>
      <rPr>
        <sz val="10"/>
        <rFont val="Consolas"/>
        <family val="3"/>
      </rPr>
      <t xml:space="preserve">:Attr_045 :boundToTag :Tag_AT_1112 .   # R0411 </t>
    </r>
    <r>
      <rPr>
        <sz val="10"/>
        <rFont val="Noto Sans CJK SC"/>
        <family val="2"/>
      </rPr>
      <t>水洗重相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AT_1112</t>
    </r>
  </si>
  <si>
    <r>
      <rPr>
        <sz val="10"/>
        <rFont val="Consolas"/>
        <family val="3"/>
      </rPr>
      <t xml:space="preserve">:Attr_046 :boundToTag :Tag_LT_SXZX .   # R0412 </t>
    </r>
    <r>
      <rPr>
        <sz val="10"/>
        <rFont val="Noto Sans CJK SC"/>
        <family val="2"/>
      </rPr>
      <t xml:space="preserve">水洗重相罐液位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LT_SXZX</t>
    </r>
  </si>
  <si>
    <r>
      <rPr>
        <sz val="10"/>
        <rFont val="Consolas"/>
        <family val="3"/>
      </rPr>
      <t xml:space="preserve">:Attr_047 :boundToTag :Tag_LT_1104A .   # R0413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LT_1104A</t>
    </r>
  </si>
  <si>
    <r>
      <rPr>
        <sz val="10"/>
        <rFont val="Consolas"/>
        <family val="3"/>
      </rPr>
      <t xml:space="preserve">:Attr_047 :boundToTag :Tag_LT_1104B .   # R0414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LT_1104B</t>
    </r>
  </si>
  <si>
    <r>
      <rPr>
        <sz val="10"/>
        <rFont val="Consolas"/>
        <family val="3"/>
      </rPr>
      <t xml:space="preserve">:Attr_048 :boundToTag :Tag_FT_1002 .   # R0415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外送流量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FT_1002</t>
    </r>
  </si>
  <si>
    <r>
      <rPr>
        <sz val="10"/>
        <rFont val="Consolas"/>
        <family val="3"/>
      </rPr>
      <t xml:space="preserve">:Attr_049 :boundToTag :Tag_LT_XJ_A .   # R0416 </t>
    </r>
    <r>
      <rPr>
        <sz val="10"/>
        <rFont val="Noto Sans CJK SC"/>
        <family val="2"/>
      </rPr>
      <t xml:space="preserve">稀碱罐液位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LT_XJ_A</t>
    </r>
  </si>
  <si>
    <r>
      <rPr>
        <sz val="10"/>
        <rFont val="Consolas"/>
        <family val="3"/>
      </rPr>
      <t xml:space="preserve">:Attr_049 :boundToTag :Tag_LT_XJ_B .   # R0417 </t>
    </r>
    <r>
      <rPr>
        <sz val="10"/>
        <rFont val="Noto Sans CJK SC"/>
        <family val="2"/>
      </rPr>
      <t xml:space="preserve">稀碱罐液位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LT_XJ_B</t>
    </r>
  </si>
  <si>
    <r>
      <rPr>
        <sz val="10"/>
        <rFont val="Consolas"/>
        <family val="3"/>
      </rPr>
      <t xml:space="preserve">:Attr_050 :boundToTag :Tag_TI_1001 .   # R0418 </t>
    </r>
    <r>
      <rPr>
        <sz val="10"/>
        <rFont val="Noto Sans CJK SC"/>
        <family val="2"/>
      </rPr>
      <t xml:space="preserve">稀碱温度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TI_1001</t>
    </r>
  </si>
  <si>
    <r>
      <rPr>
        <sz val="10"/>
        <rFont val="Consolas"/>
        <family val="3"/>
      </rPr>
      <t xml:space="preserve">:Attr_051 :boundToTag :Tag_FT_NJ01 .   # R0419 </t>
    </r>
    <r>
      <rPr>
        <sz val="10"/>
        <rFont val="Noto Sans CJK SC"/>
        <family val="2"/>
      </rPr>
      <t xml:space="preserve">浓碱进碱流量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FT_NJ01</t>
    </r>
  </si>
  <si>
    <r>
      <rPr>
        <sz val="10"/>
        <rFont val="Consolas"/>
        <family val="3"/>
      </rPr>
      <t xml:space="preserve">:Attr_052 :boundToTag :Tag_LT_1108 .   # R0420 </t>
    </r>
    <r>
      <rPr>
        <sz val="10"/>
        <rFont val="Noto Sans CJK SC"/>
        <family val="2"/>
      </rPr>
      <t xml:space="preserve">一次水罐液位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LT_1108</t>
    </r>
  </si>
  <si>
    <r>
      <rPr>
        <sz val="10"/>
        <rFont val="Consolas"/>
        <family val="3"/>
      </rPr>
      <t xml:space="preserve">:Ctrl_008 :controls :Act_008 .   # R0421 </t>
    </r>
    <r>
      <rPr>
        <sz val="10"/>
        <rFont val="Noto Sans CJK SC"/>
        <family val="2"/>
      </rPr>
      <t>水洗重相外送控制器</t>
    </r>
    <r>
      <rPr>
        <sz val="10"/>
        <rFont val="Consolas"/>
        <family val="3"/>
      </rPr>
      <t>(LIC-SXZ)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水洗重相罐泵后调节阀</t>
    </r>
    <r>
      <rPr>
        <sz val="10"/>
        <rFont val="Consolas"/>
        <family val="3"/>
      </rPr>
      <t>HV_1007</t>
    </r>
  </si>
  <si>
    <r>
      <rPr>
        <sz val="10"/>
        <rFont val="Consolas"/>
        <family val="3"/>
      </rPr>
      <t xml:space="preserve">:Attr_046 :feedbackTo :Ctrl_008 .   # R0422 </t>
    </r>
    <r>
      <rPr>
        <sz val="10"/>
        <rFont val="Noto Sans CJK SC"/>
        <family val="2"/>
      </rPr>
      <t xml:space="preserve">水洗重相罐液位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水洗重相外送控制器</t>
    </r>
    <r>
      <rPr>
        <sz val="10"/>
        <rFont val="Consolas"/>
        <family val="3"/>
      </rPr>
      <t>(LIC-SXZ)</t>
    </r>
  </si>
  <si>
    <r>
      <rPr>
        <sz val="10"/>
        <rFont val="Consolas"/>
        <family val="3"/>
      </rPr>
      <t xml:space="preserve">:Act_008 :affects :Attr_046 .   # R0423 </t>
    </r>
    <r>
      <rPr>
        <sz val="10"/>
        <rFont val="Noto Sans CJK SC"/>
        <family val="2"/>
      </rPr>
      <t>水洗重相罐泵后调节阀</t>
    </r>
    <r>
      <rPr>
        <sz val="10"/>
        <rFont val="Consolas"/>
        <family val="3"/>
      </rPr>
      <t>HV_1007 -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水洗重相罐液位</t>
    </r>
  </si>
  <si>
    <r>
      <rPr>
        <sz val="10"/>
        <rFont val="Consolas"/>
        <family val="3"/>
      </rPr>
      <t xml:space="preserve">:Ctrl_009 :controls :Act_009 .   # R0424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泵转速控制器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泵变频器</t>
    </r>
    <r>
      <rPr>
        <sz val="10"/>
        <rFont val="Consolas"/>
        <family val="3"/>
      </rPr>
      <t>PB_1026</t>
    </r>
  </si>
  <si>
    <r>
      <rPr>
        <sz val="10"/>
        <rFont val="Consolas"/>
        <family val="3"/>
      </rPr>
      <t xml:space="preserve">:Attr_047 :feedbackTo :Ctrl_009 .   # R0425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泵转速控制器</t>
    </r>
  </si>
  <si>
    <r>
      <rPr>
        <sz val="10"/>
        <rFont val="Consolas"/>
        <family val="3"/>
      </rPr>
      <t xml:space="preserve">:Act_009 :affects :Attr_047 .   # R0426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泵变频器</t>
    </r>
    <r>
      <rPr>
        <sz val="10"/>
        <rFont val="Consolas"/>
        <family val="3"/>
      </rPr>
      <t>PB_1026 -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罐液位</t>
    </r>
  </si>
  <si>
    <r>
      <rPr>
        <sz val="10"/>
        <rFont val="Consolas"/>
        <family val="3"/>
      </rPr>
      <t xml:space="preserve">:Attr_046 :triggersAlarm :Alarm_05 .   # R0427 </t>
    </r>
    <r>
      <rPr>
        <sz val="10"/>
        <rFont val="Noto Sans CJK SC"/>
        <family val="2"/>
      </rPr>
      <t xml:space="preserve">水洗重相罐液位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触发报警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水洗重相罐高位报警</t>
    </r>
  </si>
  <si>
    <r>
      <rPr>
        <sz val="10"/>
        <rFont val="Consolas"/>
        <family val="3"/>
      </rPr>
      <t xml:space="preserve">:PrimaryBATank :connectedToNext :WashCentrifugeGroup .   # R0428 </t>
    </r>
    <r>
      <rPr>
        <sz val="10"/>
        <rFont val="Noto Sans CJK SC"/>
        <family val="2"/>
      </rPr>
      <t>一次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V2136 -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水洗离心机组</t>
    </r>
  </si>
  <si>
    <r>
      <rPr>
        <sz val="10"/>
        <rFont val="Consolas"/>
        <family val="3"/>
      </rPr>
      <t xml:space="preserve">:PrimaryWaterTank :connectedToNext :WashCentrifugeGroup .   # R0429 </t>
    </r>
    <r>
      <rPr>
        <sz val="10"/>
        <rFont val="Noto Sans CJK SC"/>
        <family val="2"/>
      </rPr>
      <t xml:space="preserve">一次水罐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水洗离心机组</t>
    </r>
  </si>
  <si>
    <r>
      <rPr>
        <sz val="10"/>
        <rFont val="Consolas"/>
        <family val="3"/>
      </rPr>
      <t xml:space="preserve">:ConcAlkaliTank :connectedToNext :DiluteAlkaliTank .   # R0430 </t>
    </r>
    <r>
      <rPr>
        <sz val="10"/>
        <rFont val="Noto Sans CJK SC"/>
        <family val="2"/>
      </rPr>
      <t>浓碱罐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液碱罐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稀碱配制罐</t>
    </r>
  </si>
  <si>
    <r>
      <rPr>
        <sz val="10"/>
        <rFont val="Consolas"/>
        <family val="3"/>
      </rPr>
      <t xml:space="preserve">:DiluteAlkaliTank :produces :MS_Caustic .   # R0431 </t>
    </r>
    <r>
      <rPr>
        <sz val="10"/>
        <rFont val="Noto Sans CJK SC"/>
        <family val="2"/>
      </rPr>
      <t xml:space="preserve">稀碱配制罐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液碱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稀碱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</si>
  <si>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:MS_Caustic :injectedInto :WashCentrifugeGroup .   # R0432 </t>
    </r>
    <r>
      <rPr>
        <sz val="10"/>
        <rFont val="Noto Sans CJK SC"/>
        <family val="2"/>
      </rPr>
      <t>液碱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稀碱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注入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水洗离心机组</t>
    </r>
  </si>
  <si>
    <r>
      <rPr>
        <sz val="10"/>
        <rFont val="Consolas"/>
        <family val="3"/>
      </rPr>
      <t xml:space="preserve">:WashCentrifugeGroup :separatesInto :MS_WashBA .   # R0433 </t>
    </r>
    <r>
      <rPr>
        <sz val="10"/>
        <rFont val="Noto Sans CJK SC"/>
        <family val="2"/>
      </rPr>
      <t xml:space="preserve">水洗离心机组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分离产出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</si>
  <si>
    <r>
      <rPr>
        <sz val="10"/>
        <rFont val="Consolas"/>
        <family val="3"/>
      </rPr>
      <t xml:space="preserve">:WashCentrifugeGroup :separatesInto :MS_WashHeavy .   # R0434 </t>
    </r>
    <r>
      <rPr>
        <sz val="10"/>
        <rFont val="Noto Sans CJK SC"/>
        <family val="2"/>
      </rPr>
      <t xml:space="preserve">水洗离心机组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分离产出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水洗重相</t>
    </r>
  </si>
  <si>
    <r>
      <rPr>
        <sz val="10"/>
        <rFont val="Consolas"/>
        <family val="3"/>
      </rPr>
      <t xml:space="preserve">:MS_WashBA :flowsInto :WashBATank .   # R0435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 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罐</t>
    </r>
  </si>
  <si>
    <r>
      <rPr>
        <sz val="10"/>
        <rFont val="Consolas"/>
        <family val="3"/>
      </rPr>
      <t xml:space="preserve">:MS_WashHeavy :flowsInto :WashHeavyTank .   # R0436 </t>
    </r>
    <r>
      <rPr>
        <sz val="10"/>
        <rFont val="Noto Sans CJK SC"/>
        <family val="2"/>
      </rPr>
      <t xml:space="preserve">水洗重相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水洗重相罐</t>
    </r>
  </si>
  <si>
    <r>
      <rPr>
        <sz val="10"/>
        <rFont val="Consolas"/>
        <family val="3"/>
      </rPr>
      <t xml:space="preserve">:WashBATank :connectedToNext :DecolorTankGroup .   # R0437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脱色罐组</t>
    </r>
  </si>
  <si>
    <r>
      <rPr>
        <sz val="10"/>
        <rFont val="Consolas"/>
        <family val="3"/>
      </rPr>
      <t xml:space="preserve">:Attr_043 :negativelyAffects :QKPI_255 .   # R0438 </t>
    </r>
    <r>
      <rPr>
        <sz val="10"/>
        <rFont val="Noto Sans CJK SC"/>
        <family val="2"/>
      </rPr>
      <t xml:space="preserve">水洗进水流量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含水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杂质</t>
    </r>
  </si>
  <si>
    <r>
      <rPr>
        <sz val="10"/>
        <rFont val="Consolas"/>
        <family val="3"/>
      </rPr>
      <t xml:space="preserve">:Attr_043 :positivelyAffects :Attr_045 .   # R0439 </t>
    </r>
    <r>
      <rPr>
        <sz val="10"/>
        <rFont val="Noto Sans CJK SC"/>
        <family val="2"/>
      </rPr>
      <t xml:space="preserve">水洗进水流量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水洗重相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</si>
  <si>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:Attr_045 :affects :Attr_249 .   # R0440 </t>
    </r>
    <r>
      <rPr>
        <sz val="10"/>
        <rFont val="Noto Sans CJK SC"/>
        <family val="2"/>
      </rPr>
      <t>水洗重相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青霉素酸降解速率</t>
    </r>
  </si>
  <si>
    <r>
      <rPr>
        <sz val="10"/>
        <rFont val="Consolas"/>
        <family val="3"/>
      </rPr>
      <t xml:space="preserve">:QKPI_255 :negativelyAffects :QKPI_256 .   # R0441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含水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杂质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透光率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色级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</si>
  <si>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
# --- S06 </t>
    </r>
    <r>
      <rPr>
        <sz val="10"/>
        <rFont val="Noto Sans CJK SC"/>
        <family val="2"/>
      </rPr>
      <t xml:space="preserve">活性炭脱色与芬特过滤 </t>
    </r>
    <r>
      <rPr>
        <sz val="10"/>
        <rFont val="Consolas"/>
        <family val="3"/>
      </rPr>
      <t>---</t>
    </r>
  </si>
  <si>
    <r>
      <rPr>
        <sz val="10"/>
        <rFont val="Consolas"/>
        <family val="3"/>
      </rPr>
      <t xml:space="preserve">:Area_S06_Decolorization :connectedToNext :Area_S07_BackExtraction .   # R0442 </t>
    </r>
    <r>
      <rPr>
        <sz val="10"/>
        <rFont val="Noto Sans CJK SC"/>
        <family val="2"/>
      </rPr>
      <t xml:space="preserve">活性炭脱色与芬特过滤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抽提（碳酸钾反萃）</t>
    </r>
  </si>
  <si>
    <r>
      <rPr>
        <sz val="10"/>
        <rFont val="Consolas"/>
        <family val="3"/>
      </rPr>
      <t xml:space="preserve">:Area_S06_Decolorization :connectedToNext :Area_S08_PenGKSaltLine .   # R0443 </t>
    </r>
    <r>
      <rPr>
        <sz val="10"/>
        <rFont val="Noto Sans CJK SC"/>
        <family val="2"/>
      </rPr>
      <t xml:space="preserve">活性炭脱色与芬特过滤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青霉素钾盐支线（点表补充）</t>
    </r>
  </si>
  <si>
    <r>
      <rPr>
        <sz val="10"/>
        <rFont val="Consolas"/>
        <family val="3"/>
      </rPr>
      <t xml:space="preserve">:Area_S06_Decolorization :hasEquipment :DecolorTankGroup .   # R0444 </t>
    </r>
    <r>
      <rPr>
        <sz val="10"/>
        <rFont val="Noto Sans CJK SC"/>
        <family val="2"/>
      </rPr>
      <t xml:space="preserve">活性炭脱色与芬特过滤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脱色罐组</t>
    </r>
  </si>
  <si>
    <r>
      <rPr>
        <sz val="10"/>
        <rFont val="Consolas"/>
        <family val="3"/>
      </rPr>
      <t xml:space="preserve">:DecolorTankGroup :hasMember :DecolorTankGroup_M01 .   # R0445 </t>
    </r>
    <r>
      <rPr>
        <sz val="10"/>
        <rFont val="Noto Sans CJK SC"/>
        <family val="2"/>
      </rPr>
      <t xml:space="preserve">脱色罐组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脱色罐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</si>
  <si>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:DecolorTankGroup :hasMember :DecolorTankGroup_M02 .   # R0446 </t>
    </r>
    <r>
      <rPr>
        <sz val="10"/>
        <rFont val="Noto Sans CJK SC"/>
        <family val="2"/>
      </rPr>
      <t xml:space="preserve">脱色罐组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脱色罐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</si>
  <si>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:DecolorTankGroup :hasMember :DecolorTankGroup_M03 .   # R0447 </t>
    </r>
    <r>
      <rPr>
        <sz val="10"/>
        <rFont val="Noto Sans CJK SC"/>
        <family val="2"/>
      </rPr>
      <t xml:space="preserve">脱色罐组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脱色罐</t>
    </r>
    <r>
      <rPr>
        <sz val="10"/>
        <rFont val="Consolas"/>
        <family val="3"/>
      </rPr>
      <t>C</t>
    </r>
  </si>
  <si>
    <r>
      <rPr>
        <sz val="10"/>
        <rFont val="Consolas"/>
        <family val="3"/>
      </rPr>
      <t xml:space="preserve">:DecolorTankGroup :hasMember :DecolorTankGroup_M04 .   # R0448 </t>
    </r>
    <r>
      <rPr>
        <sz val="10"/>
        <rFont val="Noto Sans CJK SC"/>
        <family val="2"/>
      </rPr>
      <t xml:space="preserve">脱色罐组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脱色罐</t>
    </r>
    <r>
      <rPr>
        <sz val="10"/>
        <rFont val="Consolas"/>
        <family val="3"/>
      </rPr>
      <t>D</t>
    </r>
  </si>
  <si>
    <r>
      <rPr>
        <sz val="10"/>
        <rFont val="Consolas"/>
        <family val="3"/>
      </rPr>
      <t xml:space="preserve">:DecolorTankGroup :hasMember :DecolorTankGroup_M05 .   # R0449 </t>
    </r>
    <r>
      <rPr>
        <sz val="10"/>
        <rFont val="Noto Sans CJK SC"/>
        <family val="2"/>
      </rPr>
      <t xml:space="preserve">脱色罐组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脱色罐</t>
    </r>
    <r>
      <rPr>
        <sz val="10"/>
        <rFont val="Consolas"/>
        <family val="3"/>
      </rPr>
      <t>E</t>
    </r>
  </si>
  <si>
    <r>
      <rPr>
        <sz val="10"/>
        <rFont val="Consolas"/>
        <family val="3"/>
      </rPr>
      <t xml:space="preserve">:DecolorTankGroup :hasMember :DecolorTankGroup_M06 .   # R0450 </t>
    </r>
    <r>
      <rPr>
        <sz val="10"/>
        <rFont val="Noto Sans CJK SC"/>
        <family val="2"/>
      </rPr>
      <t xml:space="preserve">脱色罐组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脱色罐</t>
    </r>
    <r>
      <rPr>
        <sz val="10"/>
        <rFont val="Consolas"/>
        <family val="3"/>
      </rPr>
      <t>F</t>
    </r>
  </si>
  <si>
    <r>
      <rPr>
        <sz val="10"/>
        <rFont val="Consolas"/>
        <family val="3"/>
      </rPr>
      <t xml:space="preserve">:DecolorTankGroup :hasPart :DecolorTankGroup_P01 .   # R0451 </t>
    </r>
    <r>
      <rPr>
        <sz val="10"/>
        <rFont val="Noto Sans CJK SC"/>
        <family val="2"/>
      </rPr>
      <t xml:space="preserve">脱色罐组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搅拌器</t>
    </r>
  </si>
  <si>
    <r>
      <rPr>
        <sz val="10"/>
        <rFont val="Consolas"/>
        <family val="3"/>
      </rPr>
      <t xml:space="preserve">:DecolorTankGroup :hasPart :DecolorTankGroup_P02 .   # R0452 </t>
    </r>
    <r>
      <rPr>
        <sz val="10"/>
        <rFont val="Noto Sans CJK SC"/>
        <family val="2"/>
      </rPr>
      <t xml:space="preserve">脱色罐组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进料阀</t>
    </r>
  </si>
  <si>
    <r>
      <rPr>
        <sz val="10"/>
        <rFont val="Consolas"/>
        <family val="3"/>
      </rPr>
      <t xml:space="preserve">:DecolorTankGroup :hasPart :DecolorTankGroup_P03 .   # R0453 </t>
    </r>
    <r>
      <rPr>
        <sz val="10"/>
        <rFont val="Noto Sans CJK SC"/>
        <family val="2"/>
      </rPr>
      <t xml:space="preserve">脱色罐组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真空阀</t>
    </r>
  </si>
  <si>
    <r>
      <rPr>
        <sz val="10"/>
        <rFont val="Consolas"/>
        <family val="3"/>
      </rPr>
      <t xml:space="preserve">:DecolorTankGroup :hasPart :DecolorTankGroup_P04 .   # R0454 </t>
    </r>
    <r>
      <rPr>
        <sz val="10"/>
        <rFont val="Noto Sans CJK SC"/>
        <family val="2"/>
      </rPr>
      <t xml:space="preserve">脱色罐组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进炭阀</t>
    </r>
  </si>
  <si>
    <r>
      <rPr>
        <sz val="10"/>
        <rFont val="Consolas"/>
        <family val="3"/>
      </rPr>
      <t xml:space="preserve">:DecolorTankGroup :hasPart :DecolorTankGroup_P05 .   # R0455 </t>
    </r>
    <r>
      <rPr>
        <sz val="10"/>
        <rFont val="Noto Sans CJK SC"/>
        <family val="2"/>
      </rPr>
      <t xml:space="preserve">脱色罐组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出料阀</t>
    </r>
  </si>
  <si>
    <r>
      <rPr>
        <sz val="10"/>
        <rFont val="Consolas"/>
        <family val="3"/>
      </rPr>
      <t xml:space="preserve">:DecolorTankGroup :hasPart :DecolorTankGroup_P06 .   # R0456 </t>
    </r>
    <r>
      <rPr>
        <sz val="10"/>
        <rFont val="Noto Sans CJK SC"/>
        <family val="2"/>
      </rPr>
      <t xml:space="preserve">脱色罐组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吹扫阀</t>
    </r>
  </si>
  <si>
    <r>
      <rPr>
        <sz val="10"/>
        <rFont val="Consolas"/>
        <family val="3"/>
      </rPr>
      <t xml:space="preserve">:Area_S06_Decolorization :hasEquipment :CarbonVacuumFeeder .   # R0457 </t>
    </r>
    <r>
      <rPr>
        <sz val="10"/>
        <rFont val="Noto Sans CJK SC"/>
        <family val="2"/>
      </rPr>
      <t xml:space="preserve">活性炭脱色与芬特过滤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活性炭真空上料系统</t>
    </r>
  </si>
  <si>
    <r>
      <rPr>
        <sz val="10"/>
        <rFont val="Consolas"/>
        <family val="3"/>
      </rPr>
      <t xml:space="preserve">:CarbonVacuumFeeder :hasPart :CarbonVacuumFeeder_P01 .   # R0458 </t>
    </r>
    <r>
      <rPr>
        <sz val="10"/>
        <rFont val="Noto Sans CJK SC"/>
        <family val="2"/>
      </rPr>
      <t xml:space="preserve">活性炭真空上料系统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活性炭真空上料系统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料仓</t>
    </r>
  </si>
  <si>
    <r>
      <rPr>
        <sz val="10"/>
        <rFont val="Consolas"/>
        <family val="3"/>
      </rPr>
      <t xml:space="preserve">:CarbonVacuumFeeder :hasPart :CarbonVacuumFeeder_P02 .   # R0459 </t>
    </r>
    <r>
      <rPr>
        <sz val="10"/>
        <rFont val="Noto Sans CJK SC"/>
        <family val="2"/>
      </rPr>
      <t xml:space="preserve">活性炭真空上料系统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活性炭真空上料系统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脉冲反吹</t>
    </r>
  </si>
  <si>
    <r>
      <rPr>
        <sz val="10"/>
        <rFont val="Consolas"/>
        <family val="3"/>
      </rPr>
      <t xml:space="preserve">:CarbonVacuumFeeder :hasPart :CarbonVacuumFeeder_P03 .   # R0460 </t>
    </r>
    <r>
      <rPr>
        <sz val="10"/>
        <rFont val="Noto Sans CJK SC"/>
        <family val="2"/>
      </rPr>
      <t xml:space="preserve">活性炭真空上料系统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活性炭真空上料系统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绞龙</t>
    </r>
  </si>
  <si>
    <r>
      <rPr>
        <sz val="10"/>
        <rFont val="Consolas"/>
        <family val="3"/>
      </rPr>
      <t xml:space="preserve">:CarbonVacuumFeeder :hasPart :CarbonVacuumFeeder_P04 .   # R0461 </t>
    </r>
    <r>
      <rPr>
        <sz val="10"/>
        <rFont val="Noto Sans CJK SC"/>
        <family val="2"/>
      </rPr>
      <t xml:space="preserve">活性炭真空上料系统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活性炭真空上料系统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关风机</t>
    </r>
  </si>
  <si>
    <r>
      <rPr>
        <sz val="10"/>
        <rFont val="Consolas"/>
        <family val="3"/>
      </rPr>
      <t xml:space="preserve">:CarbonVacuumFeeder :hasPart :CarbonVacuumFeeder_P05 .   # R0462 </t>
    </r>
    <r>
      <rPr>
        <sz val="10"/>
        <rFont val="Noto Sans CJK SC"/>
        <family val="2"/>
      </rPr>
      <t xml:space="preserve">活性炭真空上料系统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活性炭真空上料系统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抽气阀</t>
    </r>
  </si>
  <si>
    <r>
      <rPr>
        <sz val="10"/>
        <rFont val="Consolas"/>
        <family val="3"/>
      </rPr>
      <t xml:space="preserve">:Area_S06_Decolorization :hasEquipment :FunteFilterGroup .   # R0463 </t>
    </r>
    <r>
      <rPr>
        <sz val="10"/>
        <rFont val="Noto Sans CJK SC"/>
        <family val="2"/>
      </rPr>
      <t xml:space="preserve">活性炭脱色与芬特过滤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芬特过滤器组</t>
    </r>
  </si>
  <si>
    <r>
      <rPr>
        <sz val="10"/>
        <rFont val="Consolas"/>
        <family val="3"/>
      </rPr>
      <t xml:space="preserve">:FunteFilterGroup :hasMember :FunteFilterGroup_M01 .   # R0464 </t>
    </r>
    <r>
      <rPr>
        <sz val="10"/>
        <rFont val="Noto Sans CJK SC"/>
        <family val="2"/>
      </rPr>
      <t xml:space="preserve">芬特过滤器组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芬特过滤器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</si>
  <si>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:FunteFilterGroup :hasMember :FunteFilterGroup_M02 .   # R0465 </t>
    </r>
    <r>
      <rPr>
        <sz val="10"/>
        <rFont val="Noto Sans CJK SC"/>
        <family val="2"/>
      </rPr>
      <t xml:space="preserve">芬特过滤器组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芬特过滤器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</si>
  <si>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:FunteFilterGroup :hasMember :FunteFilterGroup_M03 .   # R0466 </t>
    </r>
    <r>
      <rPr>
        <sz val="10"/>
        <rFont val="Noto Sans CJK SC"/>
        <family val="2"/>
      </rPr>
      <t xml:space="preserve">芬特过滤器组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芬特过滤器</t>
    </r>
    <r>
      <rPr>
        <sz val="10"/>
        <rFont val="Consolas"/>
        <family val="3"/>
      </rPr>
      <t>C</t>
    </r>
  </si>
  <si>
    <r>
      <rPr>
        <sz val="10"/>
        <rFont val="Consolas"/>
        <family val="3"/>
      </rPr>
      <t xml:space="preserve">:FunteFilterGroup :hasMember :FunteFilterGroup_M04 .   # R0467 </t>
    </r>
    <r>
      <rPr>
        <sz val="10"/>
        <rFont val="Noto Sans CJK SC"/>
        <family val="2"/>
      </rPr>
      <t xml:space="preserve">芬特过滤器组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芬特过滤器</t>
    </r>
    <r>
      <rPr>
        <sz val="10"/>
        <rFont val="Consolas"/>
        <family val="3"/>
      </rPr>
      <t>D</t>
    </r>
  </si>
  <si>
    <r>
      <rPr>
        <sz val="10"/>
        <rFont val="Consolas"/>
        <family val="3"/>
      </rPr>
      <t xml:space="preserve">:FunteFilterGroup :hasPart :FunteFilterGroup_P01 .   # R0468 </t>
    </r>
    <r>
      <rPr>
        <sz val="10"/>
        <rFont val="Noto Sans CJK SC"/>
        <family val="2"/>
      </rPr>
      <t xml:space="preserve">芬特过滤器组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芬特过滤器组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压力变送器</t>
    </r>
    <r>
      <rPr>
        <sz val="10"/>
        <rFont val="Consolas"/>
        <family val="3"/>
      </rPr>
      <t>PT_2002</t>
    </r>
  </si>
  <si>
    <r>
      <rPr>
        <sz val="10"/>
        <rFont val="Consolas"/>
        <family val="3"/>
      </rPr>
      <t xml:space="preserve">:FunteFilterGroup :hasPart :FunteFilterGroup_P02 .   # R0469 </t>
    </r>
    <r>
      <rPr>
        <sz val="10"/>
        <rFont val="Noto Sans CJK SC"/>
        <family val="2"/>
      </rPr>
      <t xml:space="preserve">芬特过滤器组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芬特过滤器组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浊度仪</t>
    </r>
    <r>
      <rPr>
        <sz val="10"/>
        <rFont val="Consolas"/>
        <family val="3"/>
      </rPr>
      <t>ZU_2001</t>
    </r>
  </si>
  <si>
    <r>
      <rPr>
        <sz val="10"/>
        <rFont val="Consolas"/>
        <family val="3"/>
      </rPr>
      <t xml:space="preserve">:FunteFilterGroup :hasPart :FunteFilterGroup_P03 .   # R0470 </t>
    </r>
    <r>
      <rPr>
        <sz val="10"/>
        <rFont val="Noto Sans CJK SC"/>
        <family val="2"/>
      </rPr>
      <t xml:space="preserve">芬特过滤器组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芬特过滤器组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搅拌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反吹</t>
    </r>
  </si>
  <si>
    <r>
      <rPr>
        <sz val="10"/>
        <rFont val="Consolas"/>
        <family val="3"/>
      </rPr>
      <t xml:space="preserve">:Area_S06_Decolorization :hasEquipment :DecolorBABuffer .   # R0471 </t>
    </r>
    <r>
      <rPr>
        <sz val="10"/>
        <rFont val="Noto Sans CJK SC"/>
        <family val="2"/>
      </rPr>
      <t xml:space="preserve">活性炭脱色与芬特过滤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V2157</t>
    </r>
  </si>
  <si>
    <r>
      <rPr>
        <sz val="10"/>
        <rFont val="Consolas"/>
        <family val="3"/>
      </rPr>
      <t xml:space="preserve">:DecolorBABuffer :hasPart :DecolorBABuffer_P01 .   # R0472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V2157 -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V2157·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</si>
  <si>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:Area_S06_Decolorization :hasEquipment :DecolorBATanks .   # R0473 </t>
    </r>
    <r>
      <rPr>
        <sz val="10"/>
        <rFont val="Noto Sans CJK SC"/>
        <family val="2"/>
      </rPr>
      <t xml:space="preserve">活性炭脱色与芬特过滤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储罐组</t>
    </r>
  </si>
  <si>
    <r>
      <rPr>
        <sz val="10"/>
        <rFont val="Consolas"/>
        <family val="3"/>
      </rPr>
      <t xml:space="preserve">:DecolorBATanks :hasMember :DecolorBATanks_M01 .   # R0474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罐</t>
    </r>
    <r>
      <rPr>
        <sz val="10"/>
        <rFont val="Consolas"/>
        <family val="3"/>
      </rPr>
      <t>R2153A</t>
    </r>
  </si>
  <si>
    <r>
      <rPr>
        <sz val="10"/>
        <rFont val="Consolas"/>
        <family val="3"/>
      </rPr>
      <t xml:space="preserve">:DecolorBATanks :hasMember :DecolorBATanks_M02 .   # R0475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罐</t>
    </r>
    <r>
      <rPr>
        <sz val="10"/>
        <rFont val="Consolas"/>
        <family val="3"/>
      </rPr>
      <t>R2153B</t>
    </r>
  </si>
  <si>
    <r>
      <rPr>
        <sz val="10"/>
        <rFont val="Consolas"/>
        <family val="3"/>
      </rPr>
      <t xml:space="preserve">:DecolorBATanks :hasMember :DecolorBATanks_M03 .   # R0476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罐</t>
    </r>
    <r>
      <rPr>
        <sz val="10"/>
        <rFont val="Consolas"/>
        <family val="3"/>
      </rPr>
      <t>R2153C</t>
    </r>
  </si>
  <si>
    <r>
      <rPr>
        <sz val="10"/>
        <rFont val="Consolas"/>
        <family val="3"/>
      </rPr>
      <t xml:space="preserve">:DecolorBATanks :hasMember :DecolorBATanks_M04 .   # R0477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罐</t>
    </r>
    <r>
      <rPr>
        <sz val="10"/>
        <rFont val="Consolas"/>
        <family val="3"/>
      </rPr>
      <t>R2153D</t>
    </r>
  </si>
  <si>
    <r>
      <rPr>
        <sz val="10"/>
        <rFont val="Consolas"/>
        <family val="3"/>
      </rPr>
      <t xml:space="preserve">:DecolorBATanks :hasPart :DecolorBATanks_P01 .   # R0478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储罐组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</si>
  <si>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:Area_S06_Decolorization :hasEquipment :SpentCarbonTank .   # R0479 </t>
    </r>
    <r>
      <rPr>
        <sz val="10"/>
        <rFont val="Noto Sans CJK SC"/>
        <family val="2"/>
      </rPr>
      <t xml:space="preserve">活性炭脱色与芬特过滤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甩碳罐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甩碳储罐</t>
    </r>
  </si>
  <si>
    <r>
      <rPr>
        <sz val="10"/>
        <rFont val="Consolas"/>
        <family val="3"/>
      </rPr>
      <t xml:space="preserve">:SpentCarbonTank :hasPart :SpentCarbonTank_P01 .   # R0480 </t>
    </r>
    <r>
      <rPr>
        <sz val="10"/>
        <rFont val="Noto Sans CJK SC"/>
        <family val="2"/>
      </rPr>
      <t>甩碳罐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甩碳储罐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甩碳罐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甩碳储罐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搅拌器</t>
    </r>
  </si>
  <si>
    <r>
      <rPr>
        <sz val="10"/>
        <rFont val="Consolas"/>
        <family val="3"/>
      </rPr>
      <t xml:space="preserve">:SpentCarbonTank :hasPart :SpentCarbonTank_P02 .   # R0481 </t>
    </r>
    <r>
      <rPr>
        <sz val="10"/>
        <rFont val="Noto Sans CJK SC"/>
        <family val="2"/>
      </rPr>
      <t>甩碳罐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甩碳储罐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甩碳罐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甩碳储罐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压力表</t>
    </r>
  </si>
  <si>
    <r>
      <rPr>
        <sz val="10"/>
        <rFont val="Consolas"/>
        <family val="3"/>
      </rPr>
      <t xml:space="preserve">:DecolorTankGroup :hasAttribute :Attr_053 .   # R0482 </t>
    </r>
    <r>
      <rPr>
        <sz val="10"/>
        <rFont val="Noto Sans CJK SC"/>
        <family val="2"/>
      </rPr>
      <t xml:space="preserve">脱色罐组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脱色罐液位</t>
    </r>
  </si>
  <si>
    <r>
      <rPr>
        <sz val="10"/>
        <rFont val="Consolas"/>
        <family val="3"/>
      </rPr>
      <t xml:space="preserve">:FunteFilterGroup :hasAttribute :Attr_054 .   # R0483 </t>
    </r>
    <r>
      <rPr>
        <sz val="10"/>
        <rFont val="Noto Sans CJK SC"/>
        <family val="2"/>
      </rPr>
      <t xml:space="preserve">芬特过滤器组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芬特罐压力</t>
    </r>
  </si>
  <si>
    <r>
      <rPr>
        <sz val="10"/>
        <rFont val="Consolas"/>
        <family val="3"/>
      </rPr>
      <t xml:space="preserve">:FunteFilterGroup :hasAttribute :Attr_055 .   # R0484 </t>
    </r>
    <r>
      <rPr>
        <sz val="10"/>
        <rFont val="Noto Sans CJK SC"/>
        <family val="2"/>
      </rPr>
      <t xml:space="preserve">芬特过滤器组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滤液浊度</t>
    </r>
  </si>
  <si>
    <r>
      <rPr>
        <sz val="10"/>
        <rFont val="Consolas"/>
        <family val="3"/>
      </rPr>
      <t xml:space="preserve">:FunteFilterGroup :hasAttribute :Attr_056 .   # R0485 </t>
    </r>
    <r>
      <rPr>
        <sz val="10"/>
        <rFont val="Noto Sans CJK SC"/>
        <family val="2"/>
      </rPr>
      <t xml:space="preserve">芬特过滤器组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芬特出料流量</t>
    </r>
  </si>
  <si>
    <r>
      <rPr>
        <sz val="10"/>
        <rFont val="Consolas"/>
        <family val="3"/>
      </rPr>
      <t xml:space="preserve">:FunteFilterGroup :hasAttribute :Attr_057 .   # R0486 </t>
    </r>
    <r>
      <rPr>
        <sz val="10"/>
        <rFont val="Noto Sans CJK SC"/>
        <family val="2"/>
      </rPr>
      <t xml:space="preserve">芬特过滤器组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芬特倒料泵压力</t>
    </r>
  </si>
  <si>
    <r>
      <rPr>
        <sz val="10"/>
        <rFont val="Consolas"/>
        <family val="3"/>
      </rPr>
      <t xml:space="preserve">:DecolorBABuffer :hasAttribute :Attr_058 .   # R0487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V2157 -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缓冲罐液位</t>
    </r>
  </si>
  <si>
    <r>
      <rPr>
        <sz val="10"/>
        <rFont val="Consolas"/>
        <family val="3"/>
      </rPr>
      <t xml:space="preserve">:DecolorBATanks :hasAttribute :Attr_059 .   # R0488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储罐液位</t>
    </r>
  </si>
  <si>
    <r>
      <rPr>
        <sz val="10"/>
        <rFont val="Consolas"/>
        <family val="3"/>
      </rPr>
      <t xml:space="preserve">:DecolorBATanks :hasAttribute :Attr_060 .   # R0489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去</t>
    </r>
    <r>
      <rPr>
        <sz val="10"/>
        <rFont val="Consolas"/>
        <family val="3"/>
      </rPr>
      <t>6A</t>
    </r>
    <r>
      <rPr>
        <sz val="10"/>
        <rFont val="Noto Sans CJK SC"/>
        <family val="2"/>
      </rPr>
      <t>流量</t>
    </r>
  </si>
  <si>
    <r>
      <rPr>
        <sz val="10"/>
        <rFont val="Consolas"/>
        <family val="3"/>
      </rPr>
      <t xml:space="preserve">:DecolorBATanks :hasAttribute :Attr_061 .   # R0490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去钾盐流量</t>
    </r>
  </si>
  <si>
    <r>
      <rPr>
        <sz val="10"/>
        <rFont val="Consolas"/>
        <family val="3"/>
      </rPr>
      <t xml:space="preserve">:SpentCarbonTank :hasAttribute :Attr_062 .   # R0491 </t>
    </r>
    <r>
      <rPr>
        <sz val="10"/>
        <rFont val="Noto Sans CJK SC"/>
        <family val="2"/>
      </rPr>
      <t>甩碳罐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甩碳储罐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甩碳罐压力</t>
    </r>
  </si>
  <si>
    <r>
      <rPr>
        <sz val="10"/>
        <rFont val="Consolas"/>
        <family val="3"/>
      </rPr>
      <t xml:space="preserve">:SpentCarbonTank :hasAttribute :Attr_063 .   # R0492 </t>
    </r>
    <r>
      <rPr>
        <sz val="10"/>
        <rFont val="Noto Sans CJK SC"/>
        <family val="2"/>
      </rPr>
      <t>甩碳罐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甩碳储罐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甩碳储罐液位</t>
    </r>
  </si>
  <si>
    <r>
      <rPr>
        <sz val="10"/>
        <rFont val="Consolas"/>
        <family val="3"/>
      </rPr>
      <t xml:space="preserve">:DecolorBATanks :hasAttribute :QKPI_256 .   # R0493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透光率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色级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</si>
  <si>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:DecolorBATanks :hasAttribute :QKPI_257 .   # R0494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效价</t>
    </r>
  </si>
  <si>
    <r>
      <rPr>
        <sz val="10"/>
        <rFont val="Consolas"/>
        <family val="3"/>
      </rPr>
      <t xml:space="preserve">:DecolorTankGroup :hasAttribute :Attr_258 .   # R0495 </t>
    </r>
    <r>
      <rPr>
        <sz val="10"/>
        <rFont val="Noto Sans CJK SC"/>
        <family val="2"/>
      </rPr>
      <t xml:space="preserve">脱色罐组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活性炭加入量</t>
    </r>
  </si>
  <si>
    <r>
      <rPr>
        <sz val="10"/>
        <rFont val="Consolas"/>
        <family val="3"/>
      </rPr>
      <t xml:space="preserve">:DecolorTankGroup :hasAttribute :Attr_259 .   # R0496 </t>
    </r>
    <r>
      <rPr>
        <sz val="10"/>
        <rFont val="Noto Sans CJK SC"/>
        <family val="2"/>
      </rPr>
      <t xml:space="preserve">脱色罐组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脱色时间</t>
    </r>
  </si>
  <si>
    <r>
      <rPr>
        <sz val="10"/>
        <rFont val="Consolas"/>
        <family val="3"/>
      </rPr>
      <t xml:space="preserve">:DecolorTankGroup :hasAttribute :QKPI_260 .   # R0497 </t>
    </r>
    <r>
      <rPr>
        <sz val="10"/>
        <rFont val="Noto Sans CJK SC"/>
        <family val="2"/>
      </rPr>
      <t xml:space="preserve">脱色罐组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炭吸附青霉素损失</t>
    </r>
  </si>
  <si>
    <r>
      <rPr>
        <sz val="10"/>
        <rFont val="Consolas"/>
        <family val="3"/>
      </rPr>
      <t xml:space="preserve">:MS_DecolorBA :hasAttribute :QKPI_256 .   # R0498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透光率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色级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</si>
  <si>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:Attr_053 :boundToTag :Tag_LT_1202A .   # R0499 </t>
    </r>
    <r>
      <rPr>
        <sz val="10"/>
        <rFont val="Noto Sans CJK SC"/>
        <family val="2"/>
      </rPr>
      <t xml:space="preserve">脱色罐液位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LT_1202A</t>
    </r>
  </si>
  <si>
    <r>
      <rPr>
        <sz val="10"/>
        <rFont val="Consolas"/>
        <family val="3"/>
      </rPr>
      <t xml:space="preserve">:Attr_053 :boundToTag :Tag_LT_1202B .   # R0500 </t>
    </r>
    <r>
      <rPr>
        <sz val="10"/>
        <rFont val="Noto Sans CJK SC"/>
        <family val="2"/>
      </rPr>
      <t xml:space="preserve">脱色罐液位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LT_1202B</t>
    </r>
  </si>
  <si>
    <r>
      <rPr>
        <sz val="10"/>
        <rFont val="Consolas"/>
        <family val="3"/>
      </rPr>
      <t xml:space="preserve">:Attr_053 :boundToTag :Tag_LT_1202C .   # R0501 </t>
    </r>
    <r>
      <rPr>
        <sz val="10"/>
        <rFont val="Noto Sans CJK SC"/>
        <family val="2"/>
      </rPr>
      <t xml:space="preserve">脱色罐液位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LT_1202C</t>
    </r>
  </si>
  <si>
    <r>
      <rPr>
        <sz val="10"/>
        <rFont val="Consolas"/>
        <family val="3"/>
      </rPr>
      <t xml:space="preserve">:Attr_053 :boundToTag :Tag_LT_1202D .   # R0502 </t>
    </r>
    <r>
      <rPr>
        <sz val="10"/>
        <rFont val="Noto Sans CJK SC"/>
        <family val="2"/>
      </rPr>
      <t xml:space="preserve">脱色罐液位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LT_1202D</t>
    </r>
  </si>
  <si>
    <r>
      <rPr>
        <sz val="10"/>
        <rFont val="Consolas"/>
        <family val="3"/>
      </rPr>
      <t xml:space="preserve">:Attr_053 :boundToTag :Tag_LT_1202E .   # R0503 </t>
    </r>
    <r>
      <rPr>
        <sz val="10"/>
        <rFont val="Noto Sans CJK SC"/>
        <family val="2"/>
      </rPr>
      <t xml:space="preserve">脱色罐液位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LT_1202E</t>
    </r>
  </si>
  <si>
    <r>
      <rPr>
        <sz val="10"/>
        <rFont val="Consolas"/>
        <family val="3"/>
      </rPr>
      <t xml:space="preserve">:Attr_053 :boundToTag :Tag_LT_1202F .   # R0504 </t>
    </r>
    <r>
      <rPr>
        <sz val="10"/>
        <rFont val="Noto Sans CJK SC"/>
        <family val="2"/>
      </rPr>
      <t xml:space="preserve">脱色罐液位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LT_1202F</t>
    </r>
  </si>
  <si>
    <r>
      <rPr>
        <sz val="10"/>
        <rFont val="Consolas"/>
        <family val="3"/>
      </rPr>
      <t xml:space="preserve">:Attr_054 :boundToTag :Tag_PT_2002A .   # R0505 </t>
    </r>
    <r>
      <rPr>
        <sz val="10"/>
        <rFont val="Noto Sans CJK SC"/>
        <family val="2"/>
      </rPr>
      <t xml:space="preserve">芬特罐压力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PT_2002A</t>
    </r>
  </si>
  <si>
    <r>
      <rPr>
        <sz val="10"/>
        <rFont val="Consolas"/>
        <family val="3"/>
      </rPr>
      <t xml:space="preserve">:Attr_054 :boundToTag :Tag_PT_2002B .   # R0506 </t>
    </r>
    <r>
      <rPr>
        <sz val="10"/>
        <rFont val="Noto Sans CJK SC"/>
        <family val="2"/>
      </rPr>
      <t xml:space="preserve">芬特罐压力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PT_2002B</t>
    </r>
  </si>
  <si>
    <r>
      <rPr>
        <sz val="10"/>
        <rFont val="Consolas"/>
        <family val="3"/>
      </rPr>
      <t xml:space="preserve">:Attr_054 :boundToTag :Tag_PT_2002C .   # R0507 </t>
    </r>
    <r>
      <rPr>
        <sz val="10"/>
        <rFont val="Noto Sans CJK SC"/>
        <family val="2"/>
      </rPr>
      <t xml:space="preserve">芬特罐压力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PT_2002C</t>
    </r>
  </si>
  <si>
    <r>
      <rPr>
        <sz val="10"/>
        <rFont val="Consolas"/>
        <family val="3"/>
      </rPr>
      <t xml:space="preserve">:Attr_054 :boundToTag :Tag_PT_2002D .   # R0508 </t>
    </r>
    <r>
      <rPr>
        <sz val="10"/>
        <rFont val="Noto Sans CJK SC"/>
        <family val="2"/>
      </rPr>
      <t xml:space="preserve">芬特罐压力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PT_2002D</t>
    </r>
  </si>
  <si>
    <r>
      <rPr>
        <sz val="10"/>
        <rFont val="Consolas"/>
        <family val="3"/>
      </rPr>
      <t xml:space="preserve">:Attr_055 :boundToTag :Tag_ZU_2001A .   # R0509 </t>
    </r>
    <r>
      <rPr>
        <sz val="10"/>
        <rFont val="Noto Sans CJK SC"/>
        <family val="2"/>
      </rPr>
      <t xml:space="preserve">滤液浊度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ZU_2001A</t>
    </r>
  </si>
  <si>
    <r>
      <rPr>
        <sz val="10"/>
        <rFont val="Consolas"/>
        <family val="3"/>
      </rPr>
      <t xml:space="preserve">:Attr_055 :boundToTag :Tag_ZU_2001B .   # R0510 </t>
    </r>
    <r>
      <rPr>
        <sz val="10"/>
        <rFont val="Noto Sans CJK SC"/>
        <family val="2"/>
      </rPr>
      <t xml:space="preserve">滤液浊度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ZU_2001B</t>
    </r>
  </si>
  <si>
    <r>
      <rPr>
        <sz val="10"/>
        <rFont val="Consolas"/>
        <family val="3"/>
      </rPr>
      <t xml:space="preserve">:Attr_055 :boundToTag :Tag_ZU_2001C .   # R0511 </t>
    </r>
    <r>
      <rPr>
        <sz val="10"/>
        <rFont val="Noto Sans CJK SC"/>
        <family val="2"/>
      </rPr>
      <t xml:space="preserve">滤液浊度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ZU_2001C</t>
    </r>
  </si>
  <si>
    <r>
      <rPr>
        <sz val="10"/>
        <rFont val="Consolas"/>
        <family val="3"/>
      </rPr>
      <t xml:space="preserve">:Attr_055 :boundToTag :Tag_ZU_2001D .   # R0512 </t>
    </r>
    <r>
      <rPr>
        <sz val="10"/>
        <rFont val="Noto Sans CJK SC"/>
        <family val="2"/>
      </rPr>
      <t xml:space="preserve">滤液浊度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ZU_2001D</t>
    </r>
  </si>
  <si>
    <r>
      <rPr>
        <sz val="10"/>
        <rFont val="Consolas"/>
        <family val="3"/>
      </rPr>
      <t xml:space="preserve">:Attr_056 :boundToTag :Tag_FT_2001A .   # R0513 </t>
    </r>
    <r>
      <rPr>
        <sz val="10"/>
        <rFont val="Noto Sans CJK SC"/>
        <family val="2"/>
      </rPr>
      <t xml:space="preserve">芬特出料流量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FT_2001A</t>
    </r>
  </si>
  <si>
    <r>
      <rPr>
        <sz val="10"/>
        <rFont val="Consolas"/>
        <family val="3"/>
      </rPr>
      <t xml:space="preserve">:Attr_056 :boundToTag :Tag_FT_2001B .   # R0514 </t>
    </r>
    <r>
      <rPr>
        <sz val="10"/>
        <rFont val="Noto Sans CJK SC"/>
        <family val="2"/>
      </rPr>
      <t xml:space="preserve">芬特出料流量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FT_2001B</t>
    </r>
  </si>
  <si>
    <r>
      <rPr>
        <sz val="10"/>
        <rFont val="Consolas"/>
        <family val="3"/>
      </rPr>
      <t xml:space="preserve">:Attr_056 :boundToTag :Tag_FT_2001C .   # R0515 </t>
    </r>
    <r>
      <rPr>
        <sz val="10"/>
        <rFont val="Noto Sans CJK SC"/>
        <family val="2"/>
      </rPr>
      <t xml:space="preserve">芬特出料流量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FT_2001C</t>
    </r>
  </si>
  <si>
    <r>
      <rPr>
        <sz val="10"/>
        <rFont val="Consolas"/>
        <family val="3"/>
      </rPr>
      <t xml:space="preserve">:Attr_056 :boundToTag :Tag_FT_2001D .   # R0516 </t>
    </r>
    <r>
      <rPr>
        <sz val="10"/>
        <rFont val="Noto Sans CJK SC"/>
        <family val="2"/>
      </rPr>
      <t xml:space="preserve">芬特出料流量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FT_2001D</t>
    </r>
  </si>
  <si>
    <r>
      <rPr>
        <sz val="10"/>
        <rFont val="Consolas"/>
        <family val="3"/>
      </rPr>
      <t xml:space="preserve">:Attr_057 :boundToTag :Tag_PT_2015 .   # R0517 </t>
    </r>
    <r>
      <rPr>
        <sz val="10"/>
        <rFont val="Noto Sans CJK SC"/>
        <family val="2"/>
      </rPr>
      <t xml:space="preserve">芬特倒料泵压力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PT_2015</t>
    </r>
  </si>
  <si>
    <r>
      <rPr>
        <sz val="10"/>
        <rFont val="Consolas"/>
        <family val="3"/>
      </rPr>
      <t xml:space="preserve">:Attr_058 :boundToTag :Tag_LT_1203 .   # R0518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缓冲罐液位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LT_1203</t>
    </r>
  </si>
  <si>
    <r>
      <rPr>
        <sz val="10"/>
        <rFont val="Consolas"/>
        <family val="3"/>
      </rPr>
      <t xml:space="preserve">:Attr_059 :boundToTag :Tag_LT_1201A .   # R0519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储罐液位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LT_1201A</t>
    </r>
  </si>
  <si>
    <r>
      <rPr>
        <sz val="10"/>
        <rFont val="Consolas"/>
        <family val="3"/>
      </rPr>
      <t xml:space="preserve">:Attr_059 :boundToTag :Tag_LT_1201B .   # R0520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储罐液位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LT_1201B</t>
    </r>
  </si>
  <si>
    <r>
      <rPr>
        <sz val="10"/>
        <rFont val="Consolas"/>
        <family val="3"/>
      </rPr>
      <t xml:space="preserve">:Attr_059 :boundToTag :Tag_LT_1201C .   # R0521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储罐液位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LT_1201C</t>
    </r>
  </si>
  <si>
    <r>
      <rPr>
        <sz val="10"/>
        <rFont val="Consolas"/>
        <family val="3"/>
      </rPr>
      <t xml:space="preserve">:Attr_059 :boundToTag :Tag_LT_1201D .   # R0522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储罐液位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LT_1201D</t>
    </r>
  </si>
  <si>
    <r>
      <rPr>
        <sz val="10"/>
        <rFont val="Consolas"/>
        <family val="3"/>
      </rPr>
      <t xml:space="preserve">:Attr_060 :boundToTag :Tag_FT_6A001 .   # R0523 </t>
    </r>
    <r>
      <rPr>
        <sz val="10"/>
        <rFont val="Noto Sans CJK SC"/>
        <family val="2"/>
      </rPr>
      <t>去</t>
    </r>
    <r>
      <rPr>
        <sz val="10"/>
        <rFont val="Consolas"/>
        <family val="3"/>
      </rPr>
      <t>6A</t>
    </r>
    <r>
      <rPr>
        <sz val="10"/>
        <rFont val="Noto Sans CJK SC"/>
        <family val="2"/>
      </rPr>
      <t xml:space="preserve">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FT_6A001</t>
    </r>
  </si>
  <si>
    <r>
      <rPr>
        <sz val="10"/>
        <rFont val="Consolas"/>
        <family val="3"/>
      </rPr>
      <t xml:space="preserve">:Attr_061 :boundToTag :Tag_FT_JY001 .   # R0524 </t>
    </r>
    <r>
      <rPr>
        <sz val="10"/>
        <rFont val="Noto Sans CJK SC"/>
        <family val="2"/>
      </rPr>
      <t xml:space="preserve">去钾盐流量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FT_JY001</t>
    </r>
  </si>
  <si>
    <r>
      <rPr>
        <sz val="10"/>
        <rFont val="Consolas"/>
        <family val="3"/>
      </rPr>
      <t xml:space="preserve">:Attr_062 :boundToTag :Tag_PT_2003A .   # R0525 </t>
    </r>
    <r>
      <rPr>
        <sz val="10"/>
        <rFont val="Noto Sans CJK SC"/>
        <family val="2"/>
      </rPr>
      <t xml:space="preserve">甩碳罐压力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PT_2003A</t>
    </r>
  </si>
  <si>
    <r>
      <rPr>
        <sz val="10"/>
        <rFont val="Consolas"/>
        <family val="3"/>
      </rPr>
      <t xml:space="preserve">:Attr_062 :boundToTag :Tag_PT_2003B .   # R0526 </t>
    </r>
    <r>
      <rPr>
        <sz val="10"/>
        <rFont val="Noto Sans CJK SC"/>
        <family val="2"/>
      </rPr>
      <t xml:space="preserve">甩碳罐压力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PT_2003B</t>
    </r>
  </si>
  <si>
    <r>
      <rPr>
        <sz val="10"/>
        <rFont val="Consolas"/>
        <family val="3"/>
      </rPr>
      <t xml:space="preserve">:Attr_063 :boundToTag :Tag_LT_2008 .   # R0527 </t>
    </r>
    <r>
      <rPr>
        <sz val="10"/>
        <rFont val="Noto Sans CJK SC"/>
        <family val="2"/>
      </rPr>
      <t xml:space="preserve">甩碳储罐液位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LT_2008</t>
    </r>
  </si>
  <si>
    <r>
      <rPr>
        <sz val="10"/>
        <rFont val="Consolas"/>
        <family val="3"/>
      </rPr>
      <t xml:space="preserve">:Ctrl_010 :controls :Act_010 .   # R0528 </t>
    </r>
    <r>
      <rPr>
        <sz val="10"/>
        <rFont val="Noto Sans CJK SC"/>
        <family val="2"/>
      </rPr>
      <t xml:space="preserve">脱色调节阀控制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脱色调节阀</t>
    </r>
    <r>
      <rPr>
        <sz val="10"/>
        <rFont val="Consolas"/>
        <family val="3"/>
      </rPr>
      <t>A/B</t>
    </r>
  </si>
  <si>
    <r>
      <rPr>
        <sz val="10"/>
        <rFont val="Consolas"/>
        <family val="3"/>
      </rPr>
      <t xml:space="preserve">:Attr_058 :feedbackTo :Ctrl_010 .   # R0529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缓冲罐液位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脱色调节阀控制</t>
    </r>
  </si>
  <si>
    <r>
      <rPr>
        <sz val="10"/>
        <rFont val="Consolas"/>
        <family val="3"/>
      </rPr>
      <t xml:space="preserve">:Act_010 :affects :Attr_058 .   # R0530 </t>
    </r>
    <r>
      <rPr>
        <sz val="10"/>
        <rFont val="Noto Sans CJK SC"/>
        <family val="2"/>
      </rPr>
      <t>脱色调节阀</t>
    </r>
    <r>
      <rPr>
        <sz val="10"/>
        <rFont val="Consolas"/>
        <family val="3"/>
      </rPr>
      <t>A/B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缓冲罐液位</t>
    </r>
  </si>
  <si>
    <r>
      <rPr>
        <sz val="10"/>
        <rFont val="Consolas"/>
        <family val="3"/>
      </rPr>
      <t xml:space="preserve">:Ctrl_011 :controls :Act_011 .   # R0531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分配控制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进</t>
    </r>
    <r>
      <rPr>
        <sz val="10"/>
        <rFont val="Consolas"/>
        <family val="3"/>
      </rPr>
      <t>6A1</t>
    </r>
    <r>
      <rPr>
        <sz val="10"/>
        <rFont val="Noto Sans CJK SC"/>
        <family val="2"/>
      </rPr>
      <t>混罐阀</t>
    </r>
    <r>
      <rPr>
        <sz val="10"/>
        <rFont val="Consolas"/>
        <family val="3"/>
      </rPr>
      <t>HV_2001/</t>
    </r>
    <r>
      <rPr>
        <sz val="10"/>
        <rFont val="Noto Sans CJK SC"/>
        <family val="2"/>
      </rPr>
      <t>进钾盐混罐阀</t>
    </r>
    <r>
      <rPr>
        <sz val="10"/>
        <rFont val="Consolas"/>
        <family val="3"/>
      </rPr>
      <t>HV_2002</t>
    </r>
  </si>
  <si>
    <r>
      <rPr>
        <sz val="10"/>
        <rFont val="Consolas"/>
        <family val="3"/>
      </rPr>
      <t xml:space="preserve">:Attr_060 :feedbackTo :Ctrl_011 .   # R0532 </t>
    </r>
    <r>
      <rPr>
        <sz val="10"/>
        <rFont val="Noto Sans CJK SC"/>
        <family val="2"/>
      </rPr>
      <t>去</t>
    </r>
    <r>
      <rPr>
        <sz val="10"/>
        <rFont val="Consolas"/>
        <family val="3"/>
      </rPr>
      <t>6A</t>
    </r>
    <r>
      <rPr>
        <sz val="10"/>
        <rFont val="Noto Sans CJK SC"/>
        <family val="2"/>
      </rPr>
      <t xml:space="preserve">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分配控制</t>
    </r>
  </si>
  <si>
    <r>
      <rPr>
        <sz val="10"/>
        <rFont val="Consolas"/>
        <family val="3"/>
      </rPr>
      <t xml:space="preserve">:Act_011 :affects :Attr_060 .   # R0533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进</t>
    </r>
    <r>
      <rPr>
        <sz val="10"/>
        <rFont val="Consolas"/>
        <family val="3"/>
      </rPr>
      <t>6A1</t>
    </r>
    <r>
      <rPr>
        <sz val="10"/>
        <rFont val="Noto Sans CJK SC"/>
        <family val="2"/>
      </rPr>
      <t>混罐阀</t>
    </r>
    <r>
      <rPr>
        <sz val="10"/>
        <rFont val="Consolas"/>
        <family val="3"/>
      </rPr>
      <t>HV_2001/</t>
    </r>
    <r>
      <rPr>
        <sz val="10"/>
        <rFont val="Noto Sans CJK SC"/>
        <family val="2"/>
      </rPr>
      <t>进钾盐混罐阀</t>
    </r>
    <r>
      <rPr>
        <sz val="10"/>
        <rFont val="Consolas"/>
        <family val="3"/>
      </rPr>
      <t>HV_2002 -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去</t>
    </r>
    <r>
      <rPr>
        <sz val="10"/>
        <rFont val="Consolas"/>
        <family val="3"/>
      </rPr>
      <t>6A</t>
    </r>
    <r>
      <rPr>
        <sz val="10"/>
        <rFont val="Noto Sans CJK SC"/>
        <family val="2"/>
      </rPr>
      <t>流量</t>
    </r>
  </si>
  <si>
    <r>
      <rPr>
        <sz val="10"/>
        <rFont val="Consolas"/>
        <family val="3"/>
      </rPr>
      <t xml:space="preserve">:DecolorTankGroup :isControlledBy :Seq_04 .   # R0534 </t>
    </r>
    <r>
      <rPr>
        <sz val="10"/>
        <rFont val="Noto Sans CJK SC"/>
        <family val="2"/>
      </rPr>
      <t xml:space="preserve">脱色罐组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被控制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脱色批次顺控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进料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真空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进炭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出料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吹扫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</si>
  <si>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:FunteFilterGroup :isControlledBy :Seq_04 .   # R0535 </t>
    </r>
    <r>
      <rPr>
        <sz val="10"/>
        <rFont val="Noto Sans CJK SC"/>
        <family val="2"/>
      </rPr>
      <t xml:space="preserve">芬特过滤器组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被控制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脱色批次顺控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进料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真空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进炭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出料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吹扫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</si>
  <si>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:Attr_130 :triggersAlarm :Alarm_06 .   # R0536 </t>
    </r>
    <r>
      <rPr>
        <sz val="10"/>
        <rFont val="Noto Sans CJK SC"/>
        <family val="2"/>
      </rPr>
      <t xml:space="preserve">压缩空气总管压力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触发报警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仪表气压力低于</t>
    </r>
    <r>
      <rPr>
        <sz val="10"/>
        <rFont val="Consolas"/>
        <family val="3"/>
      </rPr>
      <t>0.45</t>
    </r>
    <r>
      <rPr>
        <sz val="10"/>
        <rFont val="Noto Sans CJK SC"/>
        <family val="2"/>
      </rPr>
      <t>报警</t>
    </r>
  </si>
  <si>
    <r>
      <rPr>
        <sz val="10"/>
        <rFont val="Consolas"/>
        <family val="3"/>
      </rPr>
      <t xml:space="preserve">:Attr_054 :triggersAlarm :Alarm_07 .   # R0537 </t>
    </r>
    <r>
      <rPr>
        <sz val="10"/>
        <rFont val="Noto Sans CJK SC"/>
        <family val="2"/>
      </rPr>
      <t xml:space="preserve">芬特罐压力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触发报警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芬特高压报警</t>
    </r>
  </si>
  <si>
    <r>
      <rPr>
        <sz val="10"/>
        <rFont val="Consolas"/>
        <family val="3"/>
      </rPr>
      <t xml:space="preserve">:Attr_055 :triggersAlarm :Alarm_08 .   # R0538 </t>
    </r>
    <r>
      <rPr>
        <sz val="10"/>
        <rFont val="Noto Sans CJK SC"/>
        <family val="2"/>
      </rPr>
      <t xml:space="preserve">滤液浊度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触发报警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芬特滤液浊度高</t>
    </r>
  </si>
  <si>
    <r>
      <rPr>
        <sz val="10"/>
        <rFont val="Consolas"/>
        <family val="3"/>
      </rPr>
      <t xml:space="preserve">:MS_WashBA :flowsInto :DecolorTankGroup .   # R0539 </t>
    </r>
    <r>
      <rPr>
        <sz val="10"/>
        <rFont val="Noto Sans CJK SC"/>
        <family val="2"/>
      </rPr>
      <t>水洗</t>
    </r>
    <r>
      <rPr>
        <sz val="10"/>
        <rFont val="Consolas"/>
        <family val="3"/>
      </rPr>
      <t>BA 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脱色罐组</t>
    </r>
  </si>
  <si>
    <r>
      <rPr>
        <sz val="10"/>
        <rFont val="Consolas"/>
        <family val="3"/>
      </rPr>
      <t xml:space="preserve">:MS_Carbon :flowsInto :CarbonVacuumFeeder .   # R0540 </t>
    </r>
    <r>
      <rPr>
        <sz val="10"/>
        <rFont val="Noto Sans CJK SC"/>
        <family val="2"/>
      </rPr>
      <t xml:space="preserve">活性炭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活性炭真空上料系统</t>
    </r>
  </si>
  <si>
    <r>
      <rPr>
        <sz val="10"/>
        <rFont val="Consolas"/>
        <family val="3"/>
      </rPr>
      <t xml:space="preserve">:CarbonVacuumFeeder :connectedToNext :DecolorTankGroup .   # R0541 </t>
    </r>
    <r>
      <rPr>
        <sz val="10"/>
        <rFont val="Noto Sans CJK SC"/>
        <family val="2"/>
      </rPr>
      <t xml:space="preserve">活性炭真空上料系统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脱色罐组</t>
    </r>
  </si>
  <si>
    <r>
      <rPr>
        <sz val="10"/>
        <rFont val="Consolas"/>
        <family val="3"/>
      </rPr>
      <t xml:space="preserve">:DecolorTankGroup :produces :MS_DecolorSlurry .   # R0542 </t>
    </r>
    <r>
      <rPr>
        <sz val="10"/>
        <rFont val="Noto Sans CJK SC"/>
        <family val="2"/>
      </rPr>
      <t xml:space="preserve">脱色罐组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炭浆</t>
    </r>
  </si>
  <si>
    <r>
      <rPr>
        <sz val="10"/>
        <rFont val="Consolas"/>
        <family val="3"/>
      </rPr>
      <t xml:space="preserve">:MS_DecolorSlurry :flowsInto :FunteFilterGroup .   # R0543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炭浆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芬特过滤器组</t>
    </r>
  </si>
  <si>
    <r>
      <rPr>
        <sz val="10"/>
        <rFont val="Consolas"/>
        <family val="3"/>
      </rPr>
      <t xml:space="preserve">:FunteFilterGroup :separatesInto :MS_DecolorBA .   # R0544 </t>
    </r>
    <r>
      <rPr>
        <sz val="10"/>
        <rFont val="Noto Sans CJK SC"/>
        <family val="2"/>
      </rPr>
      <t xml:space="preserve">芬特过滤器组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分离产出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</si>
  <si>
    <r>
      <rPr>
        <sz val="10"/>
        <rFont val="Consolas"/>
        <family val="3"/>
      </rPr>
      <t xml:space="preserve">:FunteFilterGroup :separatesInto :MS_SpentCarbon .   # R0545 </t>
    </r>
    <r>
      <rPr>
        <sz val="10"/>
        <rFont val="Noto Sans CJK SC"/>
        <family val="2"/>
      </rPr>
      <t xml:space="preserve">芬特过滤器组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分离产出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废活性炭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炭渣</t>
    </r>
  </si>
  <si>
    <r>
      <rPr>
        <sz val="10"/>
        <rFont val="Consolas"/>
        <family val="3"/>
      </rPr>
      <t xml:space="preserve">:MS_SpentCarbon :flowsInto :SpentCarbonTank .   # R0546 </t>
    </r>
    <r>
      <rPr>
        <sz val="10"/>
        <rFont val="Noto Sans CJK SC"/>
        <family val="2"/>
      </rPr>
      <t>废活性炭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炭渣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甩碳罐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甩碳储罐</t>
    </r>
  </si>
  <si>
    <r>
      <rPr>
        <sz val="10"/>
        <rFont val="Consolas"/>
        <family val="3"/>
      </rPr>
      <t xml:space="preserve">:MS_DecolorBA :flowsInto :DecolorBABuffer .   # R0547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 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V2157</t>
    </r>
  </si>
  <si>
    <r>
      <rPr>
        <sz val="10"/>
        <rFont val="Consolas"/>
        <family val="3"/>
      </rPr>
      <t xml:space="preserve">:DecolorBABuffer :connectedToNext :DecolorBATanks .   # R0548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V2157 -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储罐组</t>
    </r>
  </si>
  <si>
    <r>
      <rPr>
        <sz val="10"/>
        <rFont val="Consolas"/>
        <family val="3"/>
      </rPr>
      <t xml:space="preserve">:DecolorBATanks :connectedToNext :Mixer1R2175 .   # R0549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一级混合罐</t>
    </r>
    <r>
      <rPr>
        <sz val="10"/>
        <rFont val="Consolas"/>
        <family val="3"/>
      </rPr>
      <t>R2175(6A</t>
    </r>
    <r>
      <rPr>
        <sz val="10"/>
        <rFont val="Noto Sans CJK SC"/>
        <family val="2"/>
      </rPr>
      <t>一混罐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</si>
  <si>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:DecolorBATanks :connectedToNext :KSaltMixers .   # R0550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二混罐</t>
    </r>
  </si>
  <si>
    <r>
      <rPr>
        <sz val="10"/>
        <rFont val="Consolas"/>
        <family val="3"/>
      </rPr>
      <t xml:space="preserve">:MS_Vacuum :suppliesUtility :CarbonVacuumFeeder .   # R0551 </t>
    </r>
    <r>
      <rPr>
        <sz val="10"/>
        <rFont val="Noto Sans CJK SC"/>
        <family val="2"/>
      </rPr>
      <t xml:space="preserve">真空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供给介质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活性炭真空上料系统</t>
    </r>
  </si>
  <si>
    <r>
      <rPr>
        <sz val="10"/>
        <rFont val="Consolas"/>
        <family val="3"/>
      </rPr>
      <t xml:space="preserve">:MS_PrimaryWater :flowsInto :FunteFilterGroup .   # R0552 </t>
    </r>
    <r>
      <rPr>
        <sz val="10"/>
        <rFont val="Noto Sans CJK SC"/>
        <family val="2"/>
      </rPr>
      <t xml:space="preserve">一次水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芬特过滤器组</t>
    </r>
  </si>
  <si>
    <r>
      <rPr>
        <sz val="10"/>
        <rFont val="Consolas"/>
        <family val="3"/>
      </rPr>
      <t xml:space="preserve">:Attr_258 :positivelyAffects :QKPI_256 .   # R0553 </t>
    </r>
    <r>
      <rPr>
        <sz val="10"/>
        <rFont val="Noto Sans CJK SC"/>
        <family val="2"/>
      </rPr>
      <t xml:space="preserve">活性炭加入量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透光率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色级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</si>
  <si>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:Attr_258 :positivelyAffects :QKPI_260 .   # R0554 </t>
    </r>
    <r>
      <rPr>
        <sz val="10"/>
        <rFont val="Noto Sans CJK SC"/>
        <family val="2"/>
      </rPr>
      <t xml:space="preserve">活性炭加入量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炭吸附青霉素损失</t>
    </r>
  </si>
  <si>
    <r>
      <rPr>
        <sz val="10"/>
        <rFont val="Consolas"/>
        <family val="3"/>
      </rPr>
      <t xml:space="preserve">:Attr_259 :positivelyAffects :QKPI_256 .   # R0555 </t>
    </r>
    <r>
      <rPr>
        <sz val="10"/>
        <rFont val="Noto Sans CJK SC"/>
        <family val="2"/>
      </rPr>
      <t xml:space="preserve">脱色时间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透光率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色级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</si>
  <si>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:Attr_054 :affects :Attr_056 .   # R0556 </t>
    </r>
    <r>
      <rPr>
        <sz val="10"/>
        <rFont val="Noto Sans CJK SC"/>
        <family val="2"/>
      </rPr>
      <t xml:space="preserve">芬特罐压力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芬特出料流量</t>
    </r>
  </si>
  <si>
    <r>
      <rPr>
        <sz val="10"/>
        <rFont val="Consolas"/>
        <family val="3"/>
      </rPr>
      <t xml:space="preserve">:Attr_055 :negativelyAffects :QKPI_256 .   # R0557 </t>
    </r>
    <r>
      <rPr>
        <sz val="10"/>
        <rFont val="Noto Sans CJK SC"/>
        <family val="2"/>
      </rPr>
      <t xml:space="preserve">滤液浊度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透光率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色级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</si>
  <si>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:QKPI_260 :negativelyAffects :BKPI_303 .   # R0558 </t>
    </r>
    <r>
      <rPr>
        <sz val="10"/>
        <rFont val="Noto Sans CJK SC"/>
        <family val="2"/>
      </rPr>
      <t xml:space="preserve">炭吸附青霉素损失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产品批次提取收率</t>
    </r>
  </si>
  <si>
    <r>
      <rPr>
        <sz val="10"/>
        <rFont val="Consolas"/>
        <family val="3"/>
      </rPr>
      <t xml:space="preserve">:QKPI_256 :positivelyAffects :QKPI_296 .   # R0559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透光率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色级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>-&gt; 6-APA</t>
    </r>
    <r>
      <rPr>
        <sz val="10"/>
        <rFont val="Noto Sans CJK SC"/>
        <family val="2"/>
      </rPr>
      <t>成品含量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色级</t>
    </r>
  </si>
  <si>
    <r>
      <rPr>
        <sz val="10"/>
        <rFont val="Consolas"/>
        <family val="3"/>
      </rPr>
      <t xml:space="preserve">
# --- S07 6APA</t>
    </r>
    <r>
      <rPr>
        <sz val="10"/>
        <rFont val="Noto Sans CJK SC"/>
        <family val="2"/>
      </rPr>
      <t xml:space="preserve">抽提（碳酸钾反萃） </t>
    </r>
    <r>
      <rPr>
        <sz val="10"/>
        <rFont val="Consolas"/>
        <family val="3"/>
      </rPr>
      <t>---</t>
    </r>
  </si>
  <si>
    <r>
      <rPr>
        <sz val="10"/>
        <rFont val="Consolas"/>
        <family val="3"/>
      </rPr>
      <t>:Area_S07_BackExtraction :connectedToNext :Area_S02_Extraction_RSE200 .   # R0560 6APA</t>
    </r>
    <r>
      <rPr>
        <sz val="10"/>
        <rFont val="Noto Sans CJK SC"/>
        <family val="2"/>
      </rPr>
      <t xml:space="preserve">抽提（碳酸钾反萃）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提取</t>
    </r>
    <r>
      <rPr>
        <sz val="10"/>
        <rFont val="Consolas"/>
        <family val="3"/>
      </rPr>
      <t>·RSE200</t>
    </r>
    <r>
      <rPr>
        <sz val="10"/>
        <rFont val="Noto Sans CJK SC"/>
        <family val="2"/>
      </rPr>
      <t>三萃及溶媒周转</t>
    </r>
  </si>
  <si>
    <r>
      <rPr>
        <sz val="10"/>
        <rFont val="Consolas"/>
        <family val="3"/>
      </rPr>
      <t>:Area_S07_BackExtraction :connectedToNext :Area_S09_ThinFilmEvaporation .   # R0561 6APA</t>
    </r>
    <r>
      <rPr>
        <sz val="10"/>
        <rFont val="Noto Sans CJK SC"/>
        <family val="2"/>
      </rPr>
      <t xml:space="preserve">抽提（碳酸钾反萃）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薄膜蒸发（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脱溶）</t>
    </r>
  </si>
  <si>
    <r>
      <rPr>
        <sz val="10"/>
        <rFont val="Consolas"/>
        <family val="3"/>
      </rPr>
      <t>:Area_S07_BackExtraction :hasEquipment :K2CO3SiloGroup .   # R0562 6APA</t>
    </r>
    <r>
      <rPr>
        <sz val="10"/>
        <rFont val="Noto Sans CJK SC"/>
        <family val="2"/>
      </rPr>
      <t xml:space="preserve">抽提（碳酸钾反萃）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粉料料仓</t>
    </r>
  </si>
  <si>
    <r>
      <rPr>
        <sz val="10"/>
        <rFont val="Consolas"/>
        <family val="3"/>
      </rPr>
      <t xml:space="preserve">:K2CO3SiloGroup :hasMember :K2CO3SiloGroup_M01 .   # R0563 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粉料料仓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1#</t>
    </r>
    <r>
      <rPr>
        <sz val="10"/>
        <rFont val="Noto Sans CJK SC"/>
        <family val="2"/>
      </rPr>
      <t>料仓</t>
    </r>
  </si>
  <si>
    <r>
      <rPr>
        <sz val="10"/>
        <rFont val="Consolas"/>
        <family val="3"/>
      </rPr>
      <t xml:space="preserve">:K2CO3SiloGroup :hasMember :K2CO3SiloGroup_M02 .   # R0564 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粉料料仓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2#</t>
    </r>
    <r>
      <rPr>
        <sz val="10"/>
        <rFont val="Noto Sans CJK SC"/>
        <family val="2"/>
      </rPr>
      <t>料仓</t>
    </r>
  </si>
  <si>
    <r>
      <rPr>
        <sz val="10"/>
        <rFont val="Consolas"/>
        <family val="3"/>
      </rPr>
      <t xml:space="preserve">:K2CO3SiloGroup :hasMember :K2CO3SiloGroup_M03 .   # R0565 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粉料料仓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3#</t>
    </r>
    <r>
      <rPr>
        <sz val="10"/>
        <rFont val="Noto Sans CJK SC"/>
        <family val="2"/>
      </rPr>
      <t>料仓</t>
    </r>
  </si>
  <si>
    <r>
      <rPr>
        <sz val="10"/>
        <rFont val="Consolas"/>
        <family val="3"/>
      </rPr>
      <t xml:space="preserve">:K2CO3SiloGroup :hasPart :K2CO3SiloGroup_P01 .   # R0566 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粉料料仓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粉料料仓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真空上料阀</t>
    </r>
  </si>
  <si>
    <r>
      <rPr>
        <sz val="10"/>
        <rFont val="Consolas"/>
        <family val="3"/>
      </rPr>
      <t xml:space="preserve">:K2CO3SiloGroup :hasPart :K2CO3SiloGroup_P02 .   # R0567 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粉料料仓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粉料料仓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压缩空气阀</t>
    </r>
  </si>
  <si>
    <r>
      <rPr>
        <sz val="10"/>
        <rFont val="Consolas"/>
        <family val="3"/>
      </rPr>
      <t xml:space="preserve">:K2CO3SiloGroup :hasPart :K2CO3SiloGroup_P03 .   # R0568 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粉料料仓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粉料料仓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卸料阀</t>
    </r>
  </si>
  <si>
    <r>
      <rPr>
        <sz val="10"/>
        <rFont val="Consolas"/>
        <family val="3"/>
      </rPr>
      <t>:Area_S07_BackExtraction :hasEquipment :K2CO3PrepTanks .   # R0569 6APA</t>
    </r>
    <r>
      <rPr>
        <sz val="10"/>
        <rFont val="Noto Sans CJK SC"/>
        <family val="2"/>
      </rPr>
      <t xml:space="preserve">抽提（碳酸钾反萃）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碳酸钠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>配制罐组</t>
    </r>
  </si>
  <si>
    <r>
      <rPr>
        <sz val="10"/>
        <rFont val="Consolas"/>
        <family val="3"/>
      </rPr>
      <t xml:space="preserve">:K2CO3PrepTanks :hasMember :K2CO3PrepTanks_M01 .   # R0570 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碳酸钠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 xml:space="preserve">配制罐组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一楼</t>
    </r>
    <r>
      <rPr>
        <sz val="10"/>
        <rFont val="Consolas"/>
        <family val="3"/>
      </rPr>
      <t>30%</t>
    </r>
    <r>
      <rPr>
        <sz val="10"/>
        <rFont val="Noto Sans CJK SC"/>
        <family val="2"/>
      </rPr>
      <t>碳酸钾配制罐</t>
    </r>
  </si>
  <si>
    <r>
      <rPr>
        <sz val="10"/>
        <rFont val="Consolas"/>
        <family val="3"/>
      </rPr>
      <t xml:space="preserve">:K2CO3PrepTanks :hasMember :K2CO3PrepTanks_M02 .   # R0571 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碳酸钠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 xml:space="preserve">配制罐组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二楼</t>
    </r>
    <r>
      <rPr>
        <sz val="10"/>
        <rFont val="Consolas"/>
        <family val="3"/>
      </rPr>
      <t>30%</t>
    </r>
    <r>
      <rPr>
        <sz val="10"/>
        <rFont val="Noto Sans CJK SC"/>
        <family val="2"/>
      </rPr>
      <t>碳酸钾配制罐</t>
    </r>
  </si>
  <si>
    <r>
      <rPr>
        <sz val="10"/>
        <rFont val="Consolas"/>
        <family val="3"/>
      </rPr>
      <t xml:space="preserve">:K2CO3PrepTanks :hasMember :K2CO3PrepTanks_M03 .   # R0572 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碳酸钠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 xml:space="preserve">配制罐组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二楼</t>
    </r>
    <r>
      <rPr>
        <sz val="10"/>
        <rFont val="Consolas"/>
        <family val="3"/>
      </rPr>
      <t>4%</t>
    </r>
    <r>
      <rPr>
        <sz val="10"/>
        <rFont val="Noto Sans CJK SC"/>
        <family val="2"/>
      </rPr>
      <t>碳酸钾配制罐</t>
    </r>
  </si>
  <si>
    <r>
      <rPr>
        <sz val="10"/>
        <rFont val="Consolas"/>
        <family val="3"/>
      </rPr>
      <t xml:space="preserve">:K2CO3PrepTanks :hasMember :K2CO3PrepTanks_M04 .   # R0573 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碳酸钠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 xml:space="preserve">配制罐组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碳酸钠配制罐</t>
    </r>
    <r>
      <rPr>
        <sz val="10"/>
        <rFont val="Consolas"/>
        <family val="3"/>
      </rPr>
      <t>1#–8#</t>
    </r>
  </si>
  <si>
    <r>
      <rPr>
        <sz val="10"/>
        <rFont val="Consolas"/>
        <family val="3"/>
      </rPr>
      <t xml:space="preserve">:K2CO3PrepTanks :hasPart :K2CO3PrepTanks_P01 .   # R0574 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碳酸钠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 xml:space="preserve">配制罐组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碳酸钠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>配制罐组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搅拌器</t>
    </r>
  </si>
  <si>
    <r>
      <rPr>
        <sz val="10"/>
        <rFont val="Consolas"/>
        <family val="3"/>
      </rPr>
      <t xml:space="preserve">:K2CO3PrepTanks :hasPart :K2CO3PrepTanks_P02 .   # R0575 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碳酸钠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 xml:space="preserve">配制罐组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碳酸钠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>配制罐组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软水阀</t>
    </r>
  </si>
  <si>
    <r>
      <rPr>
        <sz val="10"/>
        <rFont val="Consolas"/>
        <family val="3"/>
      </rPr>
      <t xml:space="preserve">:K2CO3PrepTanks :hasPart :K2CO3PrepTanks_P03 .   # R0576 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碳酸钠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 xml:space="preserve">配制罐组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碳酸钠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>配制罐组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压空阀</t>
    </r>
  </si>
  <si>
    <r>
      <rPr>
        <sz val="10"/>
        <rFont val="Consolas"/>
        <family val="3"/>
      </rPr>
      <t>:Area_S07_BackExtraction :hasEquipment :K2CO3BufferTanks .   # R0577 6APA</t>
    </r>
    <r>
      <rPr>
        <sz val="10"/>
        <rFont val="Noto Sans CJK SC"/>
        <family val="2"/>
      </rPr>
      <t xml:space="preserve">抽提（碳酸钾反萃）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碳酸钾缓冲罐组</t>
    </r>
  </si>
  <si>
    <r>
      <rPr>
        <sz val="10"/>
        <rFont val="Consolas"/>
        <family val="3"/>
      </rPr>
      <t xml:space="preserve">:K2CO3BufferTanks :hasMember :K2CO3BufferTanks_M01 .   # R0578 </t>
    </r>
    <r>
      <rPr>
        <sz val="10"/>
        <rFont val="Noto Sans CJK SC"/>
        <family val="2"/>
      </rPr>
      <t xml:space="preserve">碳酸钾缓冲罐组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30%</t>
    </r>
    <r>
      <rPr>
        <sz val="10"/>
        <rFont val="Noto Sans CJK SC"/>
        <family val="2"/>
      </rPr>
      <t>碳酸钾缓冲罐</t>
    </r>
  </si>
  <si>
    <r>
      <rPr>
        <sz val="10"/>
        <rFont val="Consolas"/>
        <family val="3"/>
      </rPr>
      <t xml:space="preserve">:K2CO3BufferTanks :hasMember :K2CO3BufferTanks_M02 .   # R0579 </t>
    </r>
    <r>
      <rPr>
        <sz val="10"/>
        <rFont val="Noto Sans CJK SC"/>
        <family val="2"/>
      </rPr>
      <t xml:space="preserve">碳酸钾缓冲罐组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5%</t>
    </r>
    <r>
      <rPr>
        <sz val="10"/>
        <rFont val="Noto Sans CJK SC"/>
        <family val="2"/>
      </rPr>
      <t>碳酸钾缓冲罐</t>
    </r>
  </si>
  <si>
    <r>
      <rPr>
        <sz val="10"/>
        <rFont val="Consolas"/>
        <family val="3"/>
      </rPr>
      <t xml:space="preserve">:K2CO3BufferTanks :hasMember :K2CO3BufferTanks_M03 .   # R0580 </t>
    </r>
    <r>
      <rPr>
        <sz val="10"/>
        <rFont val="Noto Sans CJK SC"/>
        <family val="2"/>
      </rPr>
      <t xml:space="preserve">碳酸钾缓冲罐组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高浓度碳酸钾罐</t>
    </r>
    <r>
      <rPr>
        <sz val="10"/>
        <rFont val="Consolas"/>
        <family val="3"/>
      </rPr>
      <t>V2168</t>
    </r>
  </si>
  <si>
    <r>
      <rPr>
        <sz val="10"/>
        <rFont val="Consolas"/>
        <family val="3"/>
      </rPr>
      <t xml:space="preserve">:K2CO3BufferTanks :hasMember :K2CO3BufferTanks_M04 .   # R0581 </t>
    </r>
    <r>
      <rPr>
        <sz val="10"/>
        <rFont val="Noto Sans CJK SC"/>
        <family val="2"/>
      </rPr>
      <t xml:space="preserve">碳酸钾缓冲罐组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低浓度碳酸钾罐</t>
    </r>
    <r>
      <rPr>
        <sz val="10"/>
        <rFont val="Consolas"/>
        <family val="3"/>
      </rPr>
      <t>R2170</t>
    </r>
  </si>
  <si>
    <r>
      <rPr>
        <sz val="10"/>
        <rFont val="Consolas"/>
        <family val="3"/>
      </rPr>
      <t xml:space="preserve">:K2CO3BufferTanks :hasMember :K2CO3BufferTanks_M05 .   # R0582 </t>
    </r>
    <r>
      <rPr>
        <sz val="10"/>
        <rFont val="Noto Sans CJK SC"/>
        <family val="2"/>
      </rPr>
      <t xml:space="preserve">碳酸钾缓冲罐组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高浓度碳酸钾缓冲罐</t>
    </r>
    <r>
      <rPr>
        <sz val="10"/>
        <rFont val="Consolas"/>
        <family val="3"/>
      </rPr>
      <t>(LT_9004)</t>
    </r>
  </si>
  <si>
    <r>
      <rPr>
        <sz val="10"/>
        <rFont val="Consolas"/>
        <family val="3"/>
      </rPr>
      <t xml:space="preserve">:K2CO3BufferTanks :hasPart :K2CO3BufferTanks_P01 .   # R0583 </t>
    </r>
    <r>
      <rPr>
        <sz val="10"/>
        <rFont val="Noto Sans CJK SC"/>
        <family val="2"/>
      </rPr>
      <t xml:space="preserve">碳酸钾缓冲罐组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碳酸钾缓冲罐组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</si>
  <si>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:K2CO3BufferTanks :hasPart :K2CO3BufferTanks_P02 .   # R0584 </t>
    </r>
    <r>
      <rPr>
        <sz val="10"/>
        <rFont val="Noto Sans CJK SC"/>
        <family val="2"/>
      </rPr>
      <t xml:space="preserve">碳酸钾缓冲罐组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碳酸钾缓冲罐组</t>
    </r>
    <r>
      <rPr>
        <sz val="10"/>
        <rFont val="Consolas"/>
        <family val="3"/>
      </rPr>
      <t>·pH</t>
    </r>
    <r>
      <rPr>
        <sz val="10"/>
        <rFont val="Noto Sans CJK SC"/>
        <family val="2"/>
      </rPr>
      <t>计</t>
    </r>
  </si>
  <si>
    <r>
      <rPr>
        <sz val="10"/>
        <rFont val="Consolas"/>
        <family val="3"/>
      </rPr>
      <t>:Area_S07_BackExtraction :hasEquipment :Mixer1R2175 .   # R0585 6APA</t>
    </r>
    <r>
      <rPr>
        <sz val="10"/>
        <rFont val="Noto Sans CJK SC"/>
        <family val="2"/>
      </rPr>
      <t xml:space="preserve">抽提（碳酸钾反萃）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一级混合罐</t>
    </r>
    <r>
      <rPr>
        <sz val="10"/>
        <rFont val="Consolas"/>
        <family val="3"/>
      </rPr>
      <t>R2175(6A</t>
    </r>
    <r>
      <rPr>
        <sz val="10"/>
        <rFont val="Noto Sans CJK SC"/>
        <family val="2"/>
      </rPr>
      <t>一混罐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</si>
  <si>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:Mixer1R2175 :hasPart :Mixer1R2175_P01 .   # R0586 </t>
    </r>
    <r>
      <rPr>
        <sz val="10"/>
        <rFont val="Noto Sans CJK SC"/>
        <family val="2"/>
      </rPr>
      <t>一级混合罐</t>
    </r>
    <r>
      <rPr>
        <sz val="10"/>
        <rFont val="Consolas"/>
        <family val="3"/>
      </rPr>
      <t>R2175(6A</t>
    </r>
    <r>
      <rPr>
        <sz val="10"/>
        <rFont val="Noto Sans CJK SC"/>
        <family val="2"/>
      </rPr>
      <t>一混罐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一级混合罐</t>
    </r>
    <r>
      <rPr>
        <sz val="10"/>
        <rFont val="Consolas"/>
        <family val="3"/>
      </rPr>
      <t>R2175(6A</t>
    </r>
    <r>
      <rPr>
        <sz val="10"/>
        <rFont val="Noto Sans CJK SC"/>
        <family val="2"/>
      </rPr>
      <t>一混罐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搅拌器</t>
    </r>
    <r>
      <rPr>
        <sz val="10"/>
        <rFont val="Consolas"/>
        <family val="3"/>
      </rPr>
      <t>PB_1004</t>
    </r>
  </si>
  <si>
    <r>
      <rPr>
        <sz val="10"/>
        <rFont val="Consolas"/>
        <family val="3"/>
      </rPr>
      <t xml:space="preserve">:Mixer1R2175 :hasPart :Mixer1R2175_P02 .   # R0587 </t>
    </r>
    <r>
      <rPr>
        <sz val="10"/>
        <rFont val="Noto Sans CJK SC"/>
        <family val="2"/>
      </rPr>
      <t>一级混合罐</t>
    </r>
    <r>
      <rPr>
        <sz val="10"/>
        <rFont val="Consolas"/>
        <family val="3"/>
      </rPr>
      <t>R2175(6A</t>
    </r>
    <r>
      <rPr>
        <sz val="10"/>
        <rFont val="Noto Sans CJK SC"/>
        <family val="2"/>
      </rPr>
      <t>一混罐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一级混合罐</t>
    </r>
    <r>
      <rPr>
        <sz val="10"/>
        <rFont val="Consolas"/>
        <family val="3"/>
      </rPr>
      <t>R2175(6A</t>
    </r>
    <r>
      <rPr>
        <sz val="10"/>
        <rFont val="Noto Sans CJK SC"/>
        <family val="2"/>
      </rPr>
      <t>一混罐</t>
    </r>
    <r>
      <rPr>
        <sz val="10"/>
        <rFont val="Consolas"/>
        <family val="3"/>
      </rPr>
      <t>)·pH</t>
    </r>
    <r>
      <rPr>
        <sz val="10"/>
        <rFont val="Noto Sans CJK SC"/>
        <family val="2"/>
      </rPr>
      <t>计</t>
    </r>
  </si>
  <si>
    <r>
      <rPr>
        <sz val="10"/>
        <rFont val="Consolas"/>
        <family val="3"/>
      </rPr>
      <t xml:space="preserve">:Mixer1R2175 :hasPart :Mixer1R2175_P03 .   # R0588 </t>
    </r>
    <r>
      <rPr>
        <sz val="10"/>
        <rFont val="Noto Sans CJK SC"/>
        <family val="2"/>
      </rPr>
      <t>一级混合罐</t>
    </r>
    <r>
      <rPr>
        <sz val="10"/>
        <rFont val="Consolas"/>
        <family val="3"/>
      </rPr>
      <t>R2175(6A</t>
    </r>
    <r>
      <rPr>
        <sz val="10"/>
        <rFont val="Noto Sans CJK SC"/>
        <family val="2"/>
      </rPr>
      <t>一混罐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一级混合罐</t>
    </r>
    <r>
      <rPr>
        <sz val="10"/>
        <rFont val="Consolas"/>
        <family val="3"/>
      </rPr>
      <t>R2175(6A</t>
    </r>
    <r>
      <rPr>
        <sz val="10"/>
        <rFont val="Noto Sans CJK SC"/>
        <family val="2"/>
      </rPr>
      <t>一混罐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温度计</t>
    </r>
  </si>
  <si>
    <r>
      <rPr>
        <sz val="10"/>
        <rFont val="Consolas"/>
        <family val="3"/>
      </rPr>
      <t>:Area_S07_BackExtraction :hasEquipment :Mixer2R2177 .   # R0589 6APA</t>
    </r>
    <r>
      <rPr>
        <sz val="10"/>
        <rFont val="Noto Sans CJK SC"/>
        <family val="2"/>
      </rPr>
      <t xml:space="preserve">抽提（碳酸钾反萃）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二级混合罐</t>
    </r>
    <r>
      <rPr>
        <sz val="10"/>
        <rFont val="Consolas"/>
        <family val="3"/>
      </rPr>
      <t>R2177(6A</t>
    </r>
    <r>
      <rPr>
        <sz val="10"/>
        <rFont val="Noto Sans CJK SC"/>
        <family val="2"/>
      </rPr>
      <t>二混罐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</si>
  <si>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:Mixer2R2177 :hasPart :Mixer2R2177_P01 .   # R0590 </t>
    </r>
    <r>
      <rPr>
        <sz val="10"/>
        <rFont val="Noto Sans CJK SC"/>
        <family val="2"/>
      </rPr>
      <t>二级混合罐</t>
    </r>
    <r>
      <rPr>
        <sz val="10"/>
        <rFont val="Consolas"/>
        <family val="3"/>
      </rPr>
      <t>R2177(6A</t>
    </r>
    <r>
      <rPr>
        <sz val="10"/>
        <rFont val="Noto Sans CJK SC"/>
        <family val="2"/>
      </rPr>
      <t>二混罐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二级混合罐</t>
    </r>
    <r>
      <rPr>
        <sz val="10"/>
        <rFont val="Consolas"/>
        <family val="3"/>
      </rPr>
      <t>R2177(6A</t>
    </r>
    <r>
      <rPr>
        <sz val="10"/>
        <rFont val="Noto Sans CJK SC"/>
        <family val="2"/>
      </rPr>
      <t>二混罐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搅拌器</t>
    </r>
    <r>
      <rPr>
        <sz val="10"/>
        <rFont val="Consolas"/>
        <family val="3"/>
      </rPr>
      <t>PB_1005</t>
    </r>
  </si>
  <si>
    <r>
      <rPr>
        <sz val="10"/>
        <rFont val="Consolas"/>
        <family val="3"/>
      </rPr>
      <t xml:space="preserve">:Mixer2R2177 :hasPart :Mixer2R2177_P02 .   # R0591 </t>
    </r>
    <r>
      <rPr>
        <sz val="10"/>
        <rFont val="Noto Sans CJK SC"/>
        <family val="2"/>
      </rPr>
      <t>二级混合罐</t>
    </r>
    <r>
      <rPr>
        <sz val="10"/>
        <rFont val="Consolas"/>
        <family val="3"/>
      </rPr>
      <t>R2177(6A</t>
    </r>
    <r>
      <rPr>
        <sz val="10"/>
        <rFont val="Noto Sans CJK SC"/>
        <family val="2"/>
      </rPr>
      <t>二混罐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二级混合罐</t>
    </r>
    <r>
      <rPr>
        <sz val="10"/>
        <rFont val="Consolas"/>
        <family val="3"/>
      </rPr>
      <t>R2177(6A</t>
    </r>
    <r>
      <rPr>
        <sz val="10"/>
        <rFont val="Noto Sans CJK SC"/>
        <family val="2"/>
      </rPr>
      <t>二混罐</t>
    </r>
    <r>
      <rPr>
        <sz val="10"/>
        <rFont val="Consolas"/>
        <family val="3"/>
      </rPr>
      <t>)·pH</t>
    </r>
    <r>
      <rPr>
        <sz val="10"/>
        <rFont val="Noto Sans CJK SC"/>
        <family val="2"/>
      </rPr>
      <t>计</t>
    </r>
  </si>
  <si>
    <r>
      <rPr>
        <sz val="10"/>
        <rFont val="Consolas"/>
        <family val="3"/>
      </rPr>
      <t xml:space="preserve">:Mixer2R2177 :hasPart :Mixer2R2177_P03 .   # R0592 </t>
    </r>
    <r>
      <rPr>
        <sz val="10"/>
        <rFont val="Noto Sans CJK SC"/>
        <family val="2"/>
      </rPr>
      <t>二级混合罐</t>
    </r>
    <r>
      <rPr>
        <sz val="10"/>
        <rFont val="Consolas"/>
        <family val="3"/>
      </rPr>
      <t>R2177(6A</t>
    </r>
    <r>
      <rPr>
        <sz val="10"/>
        <rFont val="Noto Sans CJK SC"/>
        <family val="2"/>
      </rPr>
      <t>二混罐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二级混合罐</t>
    </r>
    <r>
      <rPr>
        <sz val="10"/>
        <rFont val="Consolas"/>
        <family val="3"/>
      </rPr>
      <t>R2177(6A</t>
    </r>
    <r>
      <rPr>
        <sz val="10"/>
        <rFont val="Noto Sans CJK SC"/>
        <family val="2"/>
      </rPr>
      <t>二混罐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温度计</t>
    </r>
  </si>
  <si>
    <r>
      <rPr>
        <sz val="10"/>
        <rFont val="Consolas"/>
        <family val="3"/>
      </rPr>
      <t>:Area_S07_BackExtraction :hasEquipment :BackExtCentrifuge1 .   # R0593 6APA</t>
    </r>
    <r>
      <rPr>
        <sz val="10"/>
        <rFont val="Noto Sans CJK SC"/>
        <family val="2"/>
      </rPr>
      <t xml:space="preserve">抽提（碳酸钾反萃）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抽提一级离心机组</t>
    </r>
    <r>
      <rPr>
        <sz val="10"/>
        <rFont val="Consolas"/>
        <family val="3"/>
      </rPr>
      <t>(CT1)</t>
    </r>
  </si>
  <si>
    <r>
      <rPr>
        <sz val="10"/>
        <rFont val="Consolas"/>
        <family val="3"/>
      </rPr>
      <t xml:space="preserve">:BackExtCentrifuge1 :hasMember :BackExtCentrifuge1_M01 .   # R0594 </t>
    </r>
    <r>
      <rPr>
        <sz val="10"/>
        <rFont val="Noto Sans CJK SC"/>
        <family val="2"/>
      </rPr>
      <t>抽提一级离心机组</t>
    </r>
    <r>
      <rPr>
        <sz val="10"/>
        <rFont val="Consolas"/>
        <family val="3"/>
      </rPr>
      <t>(CT1)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抽提一级离心机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</si>
  <si>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:BackExtCentrifuge1 :hasMember :BackExtCentrifuge1_M02 .   # R0595 </t>
    </r>
    <r>
      <rPr>
        <sz val="10"/>
        <rFont val="Noto Sans CJK SC"/>
        <family val="2"/>
      </rPr>
      <t>抽提一级离心机组</t>
    </r>
    <r>
      <rPr>
        <sz val="10"/>
        <rFont val="Consolas"/>
        <family val="3"/>
      </rPr>
      <t>(CT1)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抽提一级离心机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</si>
  <si>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:BackExtCentrifuge1 :hasMember :BackExtCentrifuge1_M03 .   # R0596 </t>
    </r>
    <r>
      <rPr>
        <sz val="10"/>
        <rFont val="Noto Sans CJK SC"/>
        <family val="2"/>
      </rPr>
      <t>抽提一级离心机组</t>
    </r>
    <r>
      <rPr>
        <sz val="10"/>
        <rFont val="Consolas"/>
        <family val="3"/>
      </rPr>
      <t>(CT1)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抽提一级离心机</t>
    </r>
    <r>
      <rPr>
        <sz val="10"/>
        <rFont val="Consolas"/>
        <family val="3"/>
      </rPr>
      <t>C</t>
    </r>
  </si>
  <si>
    <r>
      <rPr>
        <sz val="10"/>
        <rFont val="Consolas"/>
        <family val="3"/>
      </rPr>
      <t xml:space="preserve">:BackExtCentrifuge1 :hasMember :BackExtCentrifuge1_M04 .   # R0597 </t>
    </r>
    <r>
      <rPr>
        <sz val="10"/>
        <rFont val="Noto Sans CJK SC"/>
        <family val="2"/>
      </rPr>
      <t>抽提一级离心机组</t>
    </r>
    <r>
      <rPr>
        <sz val="10"/>
        <rFont val="Consolas"/>
        <family val="3"/>
      </rPr>
      <t>(CT1)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抽提一级离心机</t>
    </r>
    <r>
      <rPr>
        <sz val="10"/>
        <rFont val="Consolas"/>
        <family val="3"/>
      </rPr>
      <t>D</t>
    </r>
  </si>
  <si>
    <r>
      <rPr>
        <sz val="10"/>
        <rFont val="Consolas"/>
        <family val="3"/>
      </rPr>
      <t xml:space="preserve">:BackExtCentrifuge1 :hasMember :BackExtCentrifuge1_M05 .   # R0598 </t>
    </r>
    <r>
      <rPr>
        <sz val="10"/>
        <rFont val="Noto Sans CJK SC"/>
        <family val="2"/>
      </rPr>
      <t>抽提一级离心机组</t>
    </r>
    <r>
      <rPr>
        <sz val="10"/>
        <rFont val="Consolas"/>
        <family val="3"/>
      </rPr>
      <t>(CT1)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抽提一级离心机</t>
    </r>
    <r>
      <rPr>
        <sz val="10"/>
        <rFont val="Consolas"/>
        <family val="3"/>
      </rPr>
      <t>E</t>
    </r>
  </si>
  <si>
    <r>
      <rPr>
        <sz val="10"/>
        <rFont val="Consolas"/>
        <family val="3"/>
      </rPr>
      <t xml:space="preserve">:BackExtCentrifuge1 :hasMember :BackExtCentrifuge1_M06 .   # R0599 </t>
    </r>
    <r>
      <rPr>
        <sz val="10"/>
        <rFont val="Noto Sans CJK SC"/>
        <family val="2"/>
      </rPr>
      <t>抽提一级离心机组</t>
    </r>
    <r>
      <rPr>
        <sz val="10"/>
        <rFont val="Consolas"/>
        <family val="3"/>
      </rPr>
      <t>(CT1)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抽提一级离心机</t>
    </r>
    <r>
      <rPr>
        <sz val="10"/>
        <rFont val="Consolas"/>
        <family val="3"/>
      </rPr>
      <t>F</t>
    </r>
  </si>
  <si>
    <r>
      <rPr>
        <sz val="10"/>
        <rFont val="Consolas"/>
        <family val="3"/>
      </rPr>
      <t xml:space="preserve">:BackExtCentrifuge1 :hasPart :BackExtCentrifuge1_P01 .   # R0600 </t>
    </r>
    <r>
      <rPr>
        <sz val="10"/>
        <rFont val="Noto Sans CJK SC"/>
        <family val="2"/>
      </rPr>
      <t>抽提一级离心机组</t>
    </r>
    <r>
      <rPr>
        <sz val="10"/>
        <rFont val="Consolas"/>
        <family val="3"/>
      </rPr>
      <t>(CT1)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抽提一级离心机组</t>
    </r>
    <r>
      <rPr>
        <sz val="10"/>
        <rFont val="Consolas"/>
        <family val="3"/>
      </rPr>
      <t>(CT1)·</t>
    </r>
    <r>
      <rPr>
        <sz val="10"/>
        <rFont val="Noto Sans CJK SC"/>
        <family val="2"/>
      </rPr>
      <t>碟片分离转鼓</t>
    </r>
  </si>
  <si>
    <r>
      <rPr>
        <sz val="10"/>
        <rFont val="Consolas"/>
        <family val="3"/>
      </rPr>
      <t xml:space="preserve">:BackExtCentrifuge1 :hasPart :BackExtCentrifuge1_P02 .   # R0601 </t>
    </r>
    <r>
      <rPr>
        <sz val="10"/>
        <rFont val="Noto Sans CJK SC"/>
        <family val="2"/>
      </rPr>
      <t>抽提一级离心机组</t>
    </r>
    <r>
      <rPr>
        <sz val="10"/>
        <rFont val="Consolas"/>
        <family val="3"/>
      </rPr>
      <t>(CT1)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抽提一级离心机组</t>
    </r>
    <r>
      <rPr>
        <sz val="10"/>
        <rFont val="Consolas"/>
        <family val="3"/>
      </rPr>
      <t>(CT1)·BA</t>
    </r>
    <r>
      <rPr>
        <sz val="10"/>
        <rFont val="Noto Sans CJK SC"/>
        <family val="2"/>
      </rPr>
      <t>进口调节阀</t>
    </r>
    <r>
      <rPr>
        <sz val="10"/>
        <rFont val="Consolas"/>
        <family val="3"/>
      </rPr>
      <t>HV_2004</t>
    </r>
  </si>
  <si>
    <r>
      <rPr>
        <sz val="10"/>
        <rFont val="Consolas"/>
        <family val="3"/>
      </rPr>
      <t xml:space="preserve">:BackExtCentrifuge1 :hasPart :BackExtCentrifuge1_P03 .   # R0602 </t>
    </r>
    <r>
      <rPr>
        <sz val="10"/>
        <rFont val="Noto Sans CJK SC"/>
        <family val="2"/>
      </rPr>
      <t>抽提一级离心机组</t>
    </r>
    <r>
      <rPr>
        <sz val="10"/>
        <rFont val="Consolas"/>
        <family val="3"/>
      </rPr>
      <t>(CT1)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抽提一级离心机组</t>
    </r>
    <r>
      <rPr>
        <sz val="10"/>
        <rFont val="Consolas"/>
        <family val="3"/>
      </rPr>
      <t>(CT1)·</t>
    </r>
    <r>
      <rPr>
        <sz val="10"/>
        <rFont val="Noto Sans CJK SC"/>
        <family val="2"/>
      </rPr>
      <t>主电机</t>
    </r>
  </si>
  <si>
    <r>
      <rPr>
        <sz val="10"/>
        <rFont val="Consolas"/>
        <family val="3"/>
      </rPr>
      <t>:Area_S07_BackExtraction :hasEquipment :BackExtCentrifuge2 .   # R0603 6APA</t>
    </r>
    <r>
      <rPr>
        <sz val="10"/>
        <rFont val="Noto Sans CJK SC"/>
        <family val="2"/>
      </rPr>
      <t xml:space="preserve">抽提（碳酸钾反萃）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抽提二级离心机组</t>
    </r>
    <r>
      <rPr>
        <sz val="10"/>
        <rFont val="Consolas"/>
        <family val="3"/>
      </rPr>
      <t>(CT2)</t>
    </r>
  </si>
  <si>
    <r>
      <rPr>
        <sz val="10"/>
        <rFont val="Consolas"/>
        <family val="3"/>
      </rPr>
      <t xml:space="preserve">:BackExtCentrifuge2 :hasMember :BackExtCentrifuge2_M01 .   # R0604 </t>
    </r>
    <r>
      <rPr>
        <sz val="10"/>
        <rFont val="Noto Sans CJK SC"/>
        <family val="2"/>
      </rPr>
      <t>抽提二级离心机组</t>
    </r>
    <r>
      <rPr>
        <sz val="10"/>
        <rFont val="Consolas"/>
        <family val="3"/>
      </rPr>
      <t>(CT2)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抽提二级离心机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</si>
  <si>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:BackExtCentrifuge2 :hasMember :BackExtCentrifuge2_M02 .   # R0605 </t>
    </r>
    <r>
      <rPr>
        <sz val="10"/>
        <rFont val="Noto Sans CJK SC"/>
        <family val="2"/>
      </rPr>
      <t>抽提二级离心机组</t>
    </r>
    <r>
      <rPr>
        <sz val="10"/>
        <rFont val="Consolas"/>
        <family val="3"/>
      </rPr>
      <t>(CT2)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抽提二级离心机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</si>
  <si>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:BackExtCentrifuge2 :hasMember :BackExtCentrifuge2_M03 .   # R0606 </t>
    </r>
    <r>
      <rPr>
        <sz val="10"/>
        <rFont val="Noto Sans CJK SC"/>
        <family val="2"/>
      </rPr>
      <t>抽提二级离心机组</t>
    </r>
    <r>
      <rPr>
        <sz val="10"/>
        <rFont val="Consolas"/>
        <family val="3"/>
      </rPr>
      <t>(CT2)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抽提二级离心机</t>
    </r>
    <r>
      <rPr>
        <sz val="10"/>
        <rFont val="Consolas"/>
        <family val="3"/>
      </rPr>
      <t>C</t>
    </r>
  </si>
  <si>
    <r>
      <rPr>
        <sz val="10"/>
        <rFont val="Consolas"/>
        <family val="3"/>
      </rPr>
      <t xml:space="preserve">:BackExtCentrifuge2 :hasMember :BackExtCentrifuge2_M04 .   # R0607 </t>
    </r>
    <r>
      <rPr>
        <sz val="10"/>
        <rFont val="Noto Sans CJK SC"/>
        <family val="2"/>
      </rPr>
      <t>抽提二级离心机组</t>
    </r>
    <r>
      <rPr>
        <sz val="10"/>
        <rFont val="Consolas"/>
        <family val="3"/>
      </rPr>
      <t>(CT2)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抽提二级离心机</t>
    </r>
    <r>
      <rPr>
        <sz val="10"/>
        <rFont val="Consolas"/>
        <family val="3"/>
      </rPr>
      <t>D</t>
    </r>
  </si>
  <si>
    <r>
      <rPr>
        <sz val="10"/>
        <rFont val="Consolas"/>
        <family val="3"/>
      </rPr>
      <t xml:space="preserve">:BackExtCentrifuge2 :hasPart :BackExtCentrifuge2_P01 .   # R0608 </t>
    </r>
    <r>
      <rPr>
        <sz val="10"/>
        <rFont val="Noto Sans CJK SC"/>
        <family val="2"/>
      </rPr>
      <t>抽提二级离心机组</t>
    </r>
    <r>
      <rPr>
        <sz val="10"/>
        <rFont val="Consolas"/>
        <family val="3"/>
      </rPr>
      <t>(CT2)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抽提二级离心机组</t>
    </r>
    <r>
      <rPr>
        <sz val="10"/>
        <rFont val="Consolas"/>
        <family val="3"/>
      </rPr>
      <t>(CT2)·</t>
    </r>
    <r>
      <rPr>
        <sz val="10"/>
        <rFont val="Noto Sans CJK SC"/>
        <family val="2"/>
      </rPr>
      <t>碟片分离转鼓</t>
    </r>
  </si>
  <si>
    <r>
      <rPr>
        <sz val="10"/>
        <rFont val="Consolas"/>
        <family val="3"/>
      </rPr>
      <t xml:space="preserve">:BackExtCentrifuge2 :hasPart :BackExtCentrifuge2_P02 .   # R0609 </t>
    </r>
    <r>
      <rPr>
        <sz val="10"/>
        <rFont val="Noto Sans CJK SC"/>
        <family val="2"/>
      </rPr>
      <t>抽提二级离心机组</t>
    </r>
    <r>
      <rPr>
        <sz val="10"/>
        <rFont val="Consolas"/>
        <family val="3"/>
      </rPr>
      <t>(CT2)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抽提二级离心机组</t>
    </r>
    <r>
      <rPr>
        <sz val="10"/>
        <rFont val="Consolas"/>
        <family val="3"/>
      </rPr>
      <t>(CT2)·BA</t>
    </r>
    <r>
      <rPr>
        <sz val="10"/>
        <rFont val="Noto Sans CJK SC"/>
        <family val="2"/>
      </rPr>
      <t>进口调节阀</t>
    </r>
    <r>
      <rPr>
        <sz val="10"/>
        <rFont val="Consolas"/>
        <family val="3"/>
      </rPr>
      <t>HV_2006</t>
    </r>
  </si>
  <si>
    <r>
      <rPr>
        <sz val="10"/>
        <rFont val="Consolas"/>
        <family val="3"/>
      </rPr>
      <t xml:space="preserve">:BackExtCentrifuge2 :hasPart :BackExtCentrifuge2_P03 .   # R0610 </t>
    </r>
    <r>
      <rPr>
        <sz val="10"/>
        <rFont val="Noto Sans CJK SC"/>
        <family val="2"/>
      </rPr>
      <t>抽提二级离心机组</t>
    </r>
    <r>
      <rPr>
        <sz val="10"/>
        <rFont val="Consolas"/>
        <family val="3"/>
      </rPr>
      <t>(CT2)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抽提二级离心机组</t>
    </r>
    <r>
      <rPr>
        <sz val="10"/>
        <rFont val="Consolas"/>
        <family val="3"/>
      </rPr>
      <t>(CT2)·</t>
    </r>
    <r>
      <rPr>
        <sz val="10"/>
        <rFont val="Noto Sans CJK SC"/>
        <family val="2"/>
      </rPr>
      <t>主电机</t>
    </r>
  </si>
  <si>
    <r>
      <rPr>
        <sz val="10"/>
        <rFont val="Consolas"/>
        <family val="3"/>
      </rPr>
      <t xml:space="preserve">:K2CO3PrepTanks :hasAttribute :Attr_064 .   # R0611 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碳酸钠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 xml:space="preserve">配制罐组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碳酸钾配制罐压力</t>
    </r>
  </si>
  <si>
    <r>
      <rPr>
        <sz val="10"/>
        <rFont val="Consolas"/>
        <family val="3"/>
      </rPr>
      <t xml:space="preserve">:K2CO3PrepTanks :hasAttribute :Attr_065 .   # R0612 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碳酸钠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 xml:space="preserve">配制罐组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碳酸钾配制软水流量</t>
    </r>
  </si>
  <si>
    <r>
      <rPr>
        <sz val="10"/>
        <rFont val="Consolas"/>
        <family val="3"/>
      </rPr>
      <t xml:space="preserve">:K2CO3BufferTanks :hasAttribute :Attr_066 .   # R0613 </t>
    </r>
    <r>
      <rPr>
        <sz val="10"/>
        <rFont val="Noto Sans CJK SC"/>
        <family val="2"/>
      </rPr>
      <t xml:space="preserve">碳酸钾缓冲罐组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碳酸钾缓冲罐液位</t>
    </r>
  </si>
  <si>
    <r>
      <rPr>
        <sz val="10"/>
        <rFont val="Consolas"/>
        <family val="3"/>
      </rPr>
      <t xml:space="preserve">:K2CO3BufferTanks :hasAttribute :Attr_067 .   # R0614 </t>
    </r>
    <r>
      <rPr>
        <sz val="10"/>
        <rFont val="Noto Sans CJK SC"/>
        <family val="2"/>
      </rPr>
      <t xml:space="preserve">碳酸钾缓冲罐组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碳酸钾罐出口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</si>
  <si>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:Mixer1R2175 :hasAttribute :Attr_068 .   # R0615 </t>
    </r>
    <r>
      <rPr>
        <sz val="10"/>
        <rFont val="Noto Sans CJK SC"/>
        <family val="2"/>
      </rPr>
      <t>一级混合罐</t>
    </r>
    <r>
      <rPr>
        <sz val="10"/>
        <rFont val="Consolas"/>
        <family val="3"/>
      </rPr>
      <t>R2175(6A</t>
    </r>
    <r>
      <rPr>
        <sz val="10"/>
        <rFont val="Noto Sans CJK SC"/>
        <family val="2"/>
      </rPr>
      <t>一混罐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一级混合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</si>
  <si>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:Mixer1R2175 :hasAttribute :Attr_069 .   # R0616 </t>
    </r>
    <r>
      <rPr>
        <sz val="10"/>
        <rFont val="Noto Sans CJK SC"/>
        <family val="2"/>
      </rPr>
      <t>一级混合罐</t>
    </r>
    <r>
      <rPr>
        <sz val="10"/>
        <rFont val="Consolas"/>
        <family val="3"/>
      </rPr>
      <t>R2175(6A</t>
    </r>
    <r>
      <rPr>
        <sz val="10"/>
        <rFont val="Noto Sans CJK SC"/>
        <family val="2"/>
      </rPr>
      <t>一混罐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一级混合液位</t>
    </r>
  </si>
  <si>
    <r>
      <rPr>
        <sz val="10"/>
        <rFont val="Consolas"/>
        <family val="3"/>
      </rPr>
      <t xml:space="preserve">:Mixer1R2175 :hasAttribute :Attr_070 .   # R0617 </t>
    </r>
    <r>
      <rPr>
        <sz val="10"/>
        <rFont val="Noto Sans CJK SC"/>
        <family val="2"/>
      </rPr>
      <t>一级混合罐</t>
    </r>
    <r>
      <rPr>
        <sz val="10"/>
        <rFont val="Consolas"/>
        <family val="3"/>
      </rPr>
      <t>R2175(6A</t>
    </r>
    <r>
      <rPr>
        <sz val="10"/>
        <rFont val="Noto Sans CJK SC"/>
        <family val="2"/>
      </rPr>
      <t>一混罐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一级混合温度</t>
    </r>
  </si>
  <si>
    <r>
      <rPr>
        <sz val="10"/>
        <rFont val="Consolas"/>
        <family val="3"/>
      </rPr>
      <t xml:space="preserve">:Mixer1R2175 :hasAttribute :Attr_071 .   # R0618 </t>
    </r>
    <r>
      <rPr>
        <sz val="10"/>
        <rFont val="Noto Sans CJK SC"/>
        <family val="2"/>
      </rPr>
      <t>一级混合罐</t>
    </r>
    <r>
      <rPr>
        <sz val="10"/>
        <rFont val="Consolas"/>
        <family val="3"/>
      </rPr>
      <t>R2175(6A</t>
    </r>
    <r>
      <rPr>
        <sz val="10"/>
        <rFont val="Noto Sans CJK SC"/>
        <family val="2"/>
      </rPr>
      <t>一混罐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一离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总管流量</t>
    </r>
  </si>
  <si>
    <r>
      <rPr>
        <sz val="10"/>
        <rFont val="Consolas"/>
        <family val="3"/>
      </rPr>
      <t xml:space="preserve">:Mixer1R2175 :hasAttribute :Attr_072 .   # R0619 </t>
    </r>
    <r>
      <rPr>
        <sz val="10"/>
        <rFont val="Noto Sans CJK SC"/>
        <family val="2"/>
      </rPr>
      <t>一级混合罐</t>
    </r>
    <r>
      <rPr>
        <sz val="10"/>
        <rFont val="Consolas"/>
        <family val="3"/>
      </rPr>
      <t>R2175(6A</t>
    </r>
    <r>
      <rPr>
        <sz val="10"/>
        <rFont val="Noto Sans CJK SC"/>
        <family val="2"/>
      </rPr>
      <t>一混罐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一离碳酸钾流量</t>
    </r>
  </si>
  <si>
    <r>
      <rPr>
        <sz val="10"/>
        <rFont val="Consolas"/>
        <family val="3"/>
      </rPr>
      <t xml:space="preserve">:Mixer2R2177 :hasAttribute :Attr_073 .   # R0620 </t>
    </r>
    <r>
      <rPr>
        <sz val="10"/>
        <rFont val="Noto Sans CJK SC"/>
        <family val="2"/>
      </rPr>
      <t>二级混合罐</t>
    </r>
    <r>
      <rPr>
        <sz val="10"/>
        <rFont val="Consolas"/>
        <family val="3"/>
      </rPr>
      <t>R2177(6A</t>
    </r>
    <r>
      <rPr>
        <sz val="10"/>
        <rFont val="Noto Sans CJK SC"/>
        <family val="2"/>
      </rPr>
      <t>二混罐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二级混合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</si>
  <si>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:Mixer2R2177 :hasAttribute :Attr_074 .   # R0621 </t>
    </r>
    <r>
      <rPr>
        <sz val="10"/>
        <rFont val="Noto Sans CJK SC"/>
        <family val="2"/>
      </rPr>
      <t>二级混合罐</t>
    </r>
    <r>
      <rPr>
        <sz val="10"/>
        <rFont val="Consolas"/>
        <family val="3"/>
      </rPr>
      <t>R2177(6A</t>
    </r>
    <r>
      <rPr>
        <sz val="10"/>
        <rFont val="Noto Sans CJK SC"/>
        <family val="2"/>
      </rPr>
      <t>二混罐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二级混合液位</t>
    </r>
  </si>
  <si>
    <r>
      <rPr>
        <sz val="10"/>
        <rFont val="Consolas"/>
        <family val="3"/>
      </rPr>
      <t xml:space="preserve">:Mixer2R2177 :hasAttribute :Attr_075 .   # R0622 </t>
    </r>
    <r>
      <rPr>
        <sz val="10"/>
        <rFont val="Noto Sans CJK SC"/>
        <family val="2"/>
      </rPr>
      <t>二级混合罐</t>
    </r>
    <r>
      <rPr>
        <sz val="10"/>
        <rFont val="Consolas"/>
        <family val="3"/>
      </rPr>
      <t>R2177(6A</t>
    </r>
    <r>
      <rPr>
        <sz val="10"/>
        <rFont val="Noto Sans CJK SC"/>
        <family val="2"/>
      </rPr>
      <t>二混罐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二级混合温度</t>
    </r>
  </si>
  <si>
    <r>
      <rPr>
        <sz val="10"/>
        <rFont val="Consolas"/>
        <family val="3"/>
      </rPr>
      <t xml:space="preserve">:Mixer2R2177 :hasAttribute :Attr_076 .   # R0623 </t>
    </r>
    <r>
      <rPr>
        <sz val="10"/>
        <rFont val="Noto Sans CJK SC"/>
        <family val="2"/>
      </rPr>
      <t>二级混合罐</t>
    </r>
    <r>
      <rPr>
        <sz val="10"/>
        <rFont val="Consolas"/>
        <family val="3"/>
      </rPr>
      <t>R2177(6A</t>
    </r>
    <r>
      <rPr>
        <sz val="10"/>
        <rFont val="Noto Sans CJK SC"/>
        <family val="2"/>
      </rPr>
      <t>二混罐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二离入料流量</t>
    </r>
  </si>
  <si>
    <r>
      <rPr>
        <sz val="10"/>
        <rFont val="Consolas"/>
        <family val="3"/>
      </rPr>
      <t xml:space="preserve">:Mixer2R2177 :hasAttribute :Attr_077 .   # R0624 </t>
    </r>
    <r>
      <rPr>
        <sz val="10"/>
        <rFont val="Noto Sans CJK SC"/>
        <family val="2"/>
      </rPr>
      <t>二级混合罐</t>
    </r>
    <r>
      <rPr>
        <sz val="10"/>
        <rFont val="Consolas"/>
        <family val="3"/>
      </rPr>
      <t>R2177(6A</t>
    </r>
    <r>
      <rPr>
        <sz val="10"/>
        <rFont val="Noto Sans CJK SC"/>
        <family val="2"/>
      </rPr>
      <t>二混罐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二离碳酸钾流量</t>
    </r>
  </si>
  <si>
    <r>
      <rPr>
        <sz val="10"/>
        <rFont val="Consolas"/>
        <family val="3"/>
      </rPr>
      <t xml:space="preserve">:BackExtCentrifuge1 :hasAttribute :Attr_078 .   # R0625 </t>
    </r>
    <r>
      <rPr>
        <sz val="10"/>
        <rFont val="Noto Sans CJK SC"/>
        <family val="2"/>
      </rPr>
      <t>抽提一级离心机组</t>
    </r>
    <r>
      <rPr>
        <sz val="10"/>
        <rFont val="Consolas"/>
        <family val="3"/>
      </rPr>
      <t>(CT1)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一级离心机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进口流量</t>
    </r>
  </si>
  <si>
    <r>
      <rPr>
        <sz val="10"/>
        <rFont val="Consolas"/>
        <family val="3"/>
      </rPr>
      <t xml:space="preserve">:BackExtCentrifuge1 :hasAttribute :Attr_079 .   # R0626 </t>
    </r>
    <r>
      <rPr>
        <sz val="10"/>
        <rFont val="Noto Sans CJK SC"/>
        <family val="2"/>
      </rPr>
      <t>抽提一级离心机组</t>
    </r>
    <r>
      <rPr>
        <sz val="10"/>
        <rFont val="Consolas"/>
        <family val="3"/>
      </rPr>
      <t>(CT1)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一离出口</t>
    </r>
    <r>
      <rPr>
        <sz val="10"/>
        <rFont val="Consolas"/>
        <family val="3"/>
      </rPr>
      <t>pH(RB</t>
    </r>
    <r>
      <rPr>
        <sz val="10"/>
        <rFont val="Noto Sans CJK SC"/>
        <family val="2"/>
      </rPr>
      <t>液</t>
    </r>
    <r>
      <rPr>
        <sz val="10"/>
        <rFont val="Consolas"/>
        <family val="3"/>
      </rPr>
      <t>pH)</t>
    </r>
  </si>
  <si>
    <r>
      <rPr>
        <sz val="10"/>
        <rFont val="Consolas"/>
        <family val="3"/>
      </rPr>
      <t xml:space="preserve">:BackExtCentrifuge1 :hasAttribute :Attr_080 .   # R0627 </t>
    </r>
    <r>
      <rPr>
        <sz val="10"/>
        <rFont val="Noto Sans CJK SC"/>
        <family val="2"/>
      </rPr>
      <t>抽提一级离心机组</t>
    </r>
    <r>
      <rPr>
        <sz val="10"/>
        <rFont val="Consolas"/>
        <family val="3"/>
      </rPr>
      <t>(CT1)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去薄膜流量</t>
    </r>
  </si>
  <si>
    <r>
      <rPr>
        <sz val="10"/>
        <rFont val="Consolas"/>
        <family val="3"/>
      </rPr>
      <t xml:space="preserve">:BackExtCentrifuge1 :hasAttribute :Attr_081 .   # R0628 </t>
    </r>
    <r>
      <rPr>
        <sz val="10"/>
        <rFont val="Noto Sans CJK SC"/>
        <family val="2"/>
      </rPr>
      <t>抽提一级离心机组</t>
    </r>
    <r>
      <rPr>
        <sz val="10"/>
        <rFont val="Consolas"/>
        <family val="3"/>
      </rPr>
      <t>(CT1)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一级离心机轻相流量</t>
    </r>
  </si>
  <si>
    <r>
      <rPr>
        <sz val="10"/>
        <rFont val="Consolas"/>
        <family val="3"/>
      </rPr>
      <t xml:space="preserve">:BackExtCentrifuge1 :hasAttribute :Attr_082 .   # R0629 </t>
    </r>
    <r>
      <rPr>
        <sz val="10"/>
        <rFont val="Noto Sans CJK SC"/>
        <family val="2"/>
      </rPr>
      <t>抽提一级离心机组</t>
    </r>
    <r>
      <rPr>
        <sz val="10"/>
        <rFont val="Consolas"/>
        <family val="3"/>
      </rPr>
      <t>(CT1)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抽提一级离心机电流</t>
    </r>
  </si>
  <si>
    <r>
      <rPr>
        <sz val="10"/>
        <rFont val="Consolas"/>
        <family val="3"/>
      </rPr>
      <t xml:space="preserve">:BackExtCentrifuge2 :hasAttribute :Attr_083 .   # R0630 </t>
    </r>
    <r>
      <rPr>
        <sz val="10"/>
        <rFont val="Noto Sans CJK SC"/>
        <family val="2"/>
      </rPr>
      <t>抽提二级离心机组</t>
    </r>
    <r>
      <rPr>
        <sz val="10"/>
        <rFont val="Consolas"/>
        <family val="3"/>
      </rPr>
      <t>(CT2)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二级离心机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进口流量</t>
    </r>
  </si>
  <si>
    <r>
      <rPr>
        <sz val="10"/>
        <rFont val="Consolas"/>
        <family val="3"/>
      </rPr>
      <t xml:space="preserve">:BackExtCentrifuge2 :hasAttribute :Attr_084 .   # R0631 </t>
    </r>
    <r>
      <rPr>
        <sz val="10"/>
        <rFont val="Noto Sans CJK SC"/>
        <family val="2"/>
      </rPr>
      <t>抽提二级离心机组</t>
    </r>
    <r>
      <rPr>
        <sz val="10"/>
        <rFont val="Consolas"/>
        <family val="3"/>
      </rPr>
      <t>(CT2)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二离出口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</si>
  <si>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:BackExtCentrifuge2 :hasAttribute :Attr_085 .   # R0632 </t>
    </r>
    <r>
      <rPr>
        <sz val="10"/>
        <rFont val="Noto Sans CJK SC"/>
        <family val="2"/>
      </rPr>
      <t>抽提二级离心机组</t>
    </r>
    <r>
      <rPr>
        <sz val="10"/>
        <rFont val="Consolas"/>
        <family val="3"/>
      </rPr>
      <t>(CT2)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二级离心机轻相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退</t>
    </r>
    <r>
      <rPr>
        <sz val="10"/>
        <rFont val="Consolas"/>
        <family val="3"/>
      </rPr>
      <t>BA)</t>
    </r>
    <r>
      <rPr>
        <sz val="10"/>
        <rFont val="Noto Sans CJK SC"/>
        <family val="2"/>
      </rPr>
      <t>流量</t>
    </r>
  </si>
  <si>
    <r>
      <rPr>
        <sz val="10"/>
        <rFont val="Consolas"/>
        <family val="3"/>
      </rPr>
      <t xml:space="preserve">:BackExtCentrifuge2 :hasAttribute :Attr_086 .   # R0633 </t>
    </r>
    <r>
      <rPr>
        <sz val="10"/>
        <rFont val="Noto Sans CJK SC"/>
        <family val="2"/>
      </rPr>
      <t>抽提二级离心机组</t>
    </r>
    <r>
      <rPr>
        <sz val="10"/>
        <rFont val="Consolas"/>
        <family val="3"/>
      </rPr>
      <t>(CT2)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抽提二级离心机电流</t>
    </r>
  </si>
  <si>
    <r>
      <rPr>
        <sz val="10"/>
        <rFont val="Consolas"/>
        <family val="3"/>
      </rPr>
      <t xml:space="preserve">:Mixer1R2175 :hasAttribute :Attr_261 .   # R0634 </t>
    </r>
    <r>
      <rPr>
        <sz val="10"/>
        <rFont val="Noto Sans CJK SC"/>
        <family val="2"/>
      </rPr>
      <t>一级混合罐</t>
    </r>
    <r>
      <rPr>
        <sz val="10"/>
        <rFont val="Consolas"/>
        <family val="3"/>
      </rPr>
      <t>R2175(6A</t>
    </r>
    <r>
      <rPr>
        <sz val="10"/>
        <rFont val="Noto Sans CJK SC"/>
        <family val="2"/>
      </rPr>
      <t>一混罐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BA</t>
    </r>
    <r>
      <rPr>
        <sz val="10"/>
        <rFont val="Noto Sans CJK SC"/>
        <family val="2"/>
      </rPr>
      <t>与碳酸钾比例</t>
    </r>
  </si>
  <si>
    <r>
      <rPr>
        <sz val="10"/>
        <rFont val="Consolas"/>
        <family val="3"/>
      </rPr>
      <t xml:space="preserve">:BackExtCentrifuge1 :hasAttribute :Attr_262 .   # R0635 </t>
    </r>
    <r>
      <rPr>
        <sz val="10"/>
        <rFont val="Noto Sans CJK SC"/>
        <family val="2"/>
      </rPr>
      <t>抽提一级离心机组</t>
    </r>
    <r>
      <rPr>
        <sz val="10"/>
        <rFont val="Consolas"/>
        <family val="3"/>
      </rPr>
      <t>(CT1)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反萃分配平衡度</t>
    </r>
  </si>
  <si>
    <r>
      <rPr>
        <sz val="10"/>
        <rFont val="Consolas"/>
        <family val="3"/>
      </rPr>
      <t xml:space="preserve">:BackExtCentrifuge2 :hasAttribute :QKPI_263 .   # R0636 </t>
    </r>
    <r>
      <rPr>
        <sz val="10"/>
        <rFont val="Noto Sans CJK SC"/>
        <family val="2"/>
      </rPr>
      <t>抽提二级离心机组</t>
    </r>
    <r>
      <rPr>
        <sz val="10"/>
        <rFont val="Consolas"/>
        <family val="3"/>
      </rPr>
      <t>(CT2)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退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青霉素残效</t>
    </r>
  </si>
  <si>
    <r>
      <rPr>
        <sz val="10"/>
        <rFont val="Consolas"/>
        <family val="3"/>
      </rPr>
      <t>:MS_RB :hasAttribute :Attr_079 .   # R0637 RB</t>
    </r>
    <r>
      <rPr>
        <sz val="10"/>
        <rFont val="Noto Sans CJK SC"/>
        <family val="2"/>
      </rPr>
      <t>液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青霉素</t>
    </r>
    <r>
      <rPr>
        <sz val="10"/>
        <rFont val="Consolas"/>
        <family val="3"/>
      </rPr>
      <t>G</t>
    </r>
    <r>
      <rPr>
        <sz val="10"/>
        <rFont val="Noto Sans CJK SC"/>
        <family val="2"/>
      </rPr>
      <t>钾水溶液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一离出口</t>
    </r>
    <r>
      <rPr>
        <sz val="10"/>
        <rFont val="Consolas"/>
        <family val="3"/>
      </rPr>
      <t>pH(RB</t>
    </r>
    <r>
      <rPr>
        <sz val="10"/>
        <rFont val="Noto Sans CJK SC"/>
        <family val="2"/>
      </rPr>
      <t>液</t>
    </r>
    <r>
      <rPr>
        <sz val="10"/>
        <rFont val="Consolas"/>
        <family val="3"/>
      </rPr>
      <t>pH)</t>
    </r>
  </si>
  <si>
    <r>
      <rPr>
        <sz val="10"/>
        <rFont val="Consolas"/>
        <family val="3"/>
      </rPr>
      <t>:MS_RB :hasAttribute :Attr_080 .   # R0638 RB</t>
    </r>
    <r>
      <rPr>
        <sz val="10"/>
        <rFont val="Noto Sans CJK SC"/>
        <family val="2"/>
      </rPr>
      <t>液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青霉素</t>
    </r>
    <r>
      <rPr>
        <sz val="10"/>
        <rFont val="Consolas"/>
        <family val="3"/>
      </rPr>
      <t>G</t>
    </r>
    <r>
      <rPr>
        <sz val="10"/>
        <rFont val="Noto Sans CJK SC"/>
        <family val="2"/>
      </rPr>
      <t>钾水溶液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去薄膜流量</t>
    </r>
  </si>
  <si>
    <r>
      <rPr>
        <sz val="10"/>
        <rFont val="Consolas"/>
        <family val="3"/>
      </rPr>
      <t xml:space="preserve">:MS_ReturnBA :hasAttribute :QKPI_263 .   # R0639 </t>
    </r>
    <r>
      <rPr>
        <sz val="10"/>
        <rFont val="Noto Sans CJK SC"/>
        <family val="2"/>
      </rPr>
      <t>退</t>
    </r>
    <r>
      <rPr>
        <sz val="10"/>
        <rFont val="Consolas"/>
        <family val="3"/>
      </rPr>
      <t>BA(</t>
    </r>
    <r>
      <rPr>
        <sz val="10"/>
        <rFont val="Noto Sans CJK SC"/>
        <family val="2"/>
      </rPr>
      <t>贫</t>
    </r>
    <r>
      <rPr>
        <sz val="10"/>
        <rFont val="Consolas"/>
        <family val="3"/>
      </rPr>
      <t>BA)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退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青霉素残效</t>
    </r>
  </si>
  <si>
    <r>
      <rPr>
        <sz val="10"/>
        <rFont val="Consolas"/>
        <family val="3"/>
      </rPr>
      <t xml:space="preserve">:Attr_064 :boundToTag :Tag_PT_2004A .   # R0640 </t>
    </r>
    <r>
      <rPr>
        <sz val="10"/>
        <rFont val="Noto Sans CJK SC"/>
        <family val="2"/>
      </rPr>
      <t xml:space="preserve">碳酸钾配制罐压力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PT_2004A</t>
    </r>
  </si>
  <si>
    <r>
      <rPr>
        <sz val="10"/>
        <rFont val="Consolas"/>
        <family val="3"/>
      </rPr>
      <t xml:space="preserve">:Attr_064 :boundToTag :Tag_PT_2004B .   # R0641 </t>
    </r>
    <r>
      <rPr>
        <sz val="10"/>
        <rFont val="Noto Sans CJK SC"/>
        <family val="2"/>
      </rPr>
      <t xml:space="preserve">碳酸钾配制罐压力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PT_2004B</t>
    </r>
  </si>
  <si>
    <r>
      <rPr>
        <sz val="10"/>
        <rFont val="Consolas"/>
        <family val="3"/>
      </rPr>
      <t xml:space="preserve">:Attr_064 :boundToTag :Tag_PT_2004C .   # R0642 </t>
    </r>
    <r>
      <rPr>
        <sz val="10"/>
        <rFont val="Noto Sans CJK SC"/>
        <family val="2"/>
      </rPr>
      <t xml:space="preserve">碳酸钾配制罐压力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PT_2004C</t>
    </r>
  </si>
  <si>
    <r>
      <rPr>
        <sz val="10"/>
        <rFont val="Consolas"/>
        <family val="3"/>
      </rPr>
      <t xml:space="preserve">:Attr_065 :boundToTag :Tag_LT_2009 .   # R0643 </t>
    </r>
    <r>
      <rPr>
        <sz val="10"/>
        <rFont val="Noto Sans CJK SC"/>
        <family val="2"/>
      </rPr>
      <t xml:space="preserve">碳酸钾配制软水流量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LT_2009</t>
    </r>
  </si>
  <si>
    <r>
      <rPr>
        <sz val="10"/>
        <rFont val="Consolas"/>
        <family val="3"/>
      </rPr>
      <t xml:space="preserve">:Attr_066 :boundToTag :Tag_LT_2002 .   # R0644 </t>
    </r>
    <r>
      <rPr>
        <sz val="10"/>
        <rFont val="Noto Sans CJK SC"/>
        <family val="2"/>
      </rPr>
      <t xml:space="preserve">碳酸钾缓冲罐液位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LT_2002</t>
    </r>
  </si>
  <si>
    <r>
      <rPr>
        <sz val="10"/>
        <rFont val="Consolas"/>
        <family val="3"/>
      </rPr>
      <t xml:space="preserve">:Attr_066 :boundToTag :Tag_LT_2003 .   # R0645 </t>
    </r>
    <r>
      <rPr>
        <sz val="10"/>
        <rFont val="Noto Sans CJK SC"/>
        <family val="2"/>
      </rPr>
      <t xml:space="preserve">碳酸钾缓冲罐液位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LT_2003</t>
    </r>
  </si>
  <si>
    <r>
      <rPr>
        <sz val="10"/>
        <rFont val="Consolas"/>
        <family val="3"/>
      </rPr>
      <t xml:space="preserve">:Attr_066 :boundToTag :Tag_LT_2004 .   # R0646 </t>
    </r>
    <r>
      <rPr>
        <sz val="10"/>
        <rFont val="Noto Sans CJK SC"/>
        <family val="2"/>
      </rPr>
      <t xml:space="preserve">碳酸钾缓冲罐液位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LT_2004</t>
    </r>
  </si>
  <si>
    <r>
      <rPr>
        <sz val="10"/>
        <rFont val="Consolas"/>
        <family val="3"/>
      </rPr>
      <t xml:space="preserve">:Attr_067 :boundToTag :Tag_AT_1203 .   # R0647 </t>
    </r>
    <r>
      <rPr>
        <sz val="10"/>
        <rFont val="Noto Sans CJK SC"/>
        <family val="2"/>
      </rPr>
      <t>碳酸钾罐出口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AT_1203</t>
    </r>
  </si>
  <si>
    <r>
      <rPr>
        <sz val="10"/>
        <rFont val="Consolas"/>
        <family val="3"/>
      </rPr>
      <t xml:space="preserve">:Attr_067 :boundToTag :Tag_AT_1204 .   # R0648 </t>
    </r>
    <r>
      <rPr>
        <sz val="10"/>
        <rFont val="Noto Sans CJK SC"/>
        <family val="2"/>
      </rPr>
      <t>碳酸钾罐出口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AT_1204</t>
    </r>
  </si>
  <si>
    <r>
      <rPr>
        <sz val="10"/>
        <rFont val="Consolas"/>
        <family val="3"/>
      </rPr>
      <t xml:space="preserve">:Attr_068 :boundToTag :Tag_AT_1201 .   # R0649 </t>
    </r>
    <r>
      <rPr>
        <sz val="10"/>
        <rFont val="Noto Sans CJK SC"/>
        <family val="2"/>
      </rPr>
      <t>一级混合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AT_1201</t>
    </r>
  </si>
  <si>
    <r>
      <rPr>
        <sz val="10"/>
        <rFont val="Consolas"/>
        <family val="3"/>
      </rPr>
      <t xml:space="preserve">:Attr_068 :boundToTag :Tag_AT_1205A .   # R0650 </t>
    </r>
    <r>
      <rPr>
        <sz val="10"/>
        <rFont val="Noto Sans CJK SC"/>
        <family val="2"/>
      </rPr>
      <t>一级混合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AT_1205A</t>
    </r>
  </si>
  <si>
    <r>
      <rPr>
        <sz val="10"/>
        <rFont val="Consolas"/>
        <family val="3"/>
      </rPr>
      <t xml:space="preserve">:Attr_069 :boundToTag :Tag_LT_2005 .   # R0651 </t>
    </r>
    <r>
      <rPr>
        <sz val="10"/>
        <rFont val="Noto Sans CJK SC"/>
        <family val="2"/>
      </rPr>
      <t xml:space="preserve">一级混合液位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LT_2005</t>
    </r>
  </si>
  <si>
    <r>
      <rPr>
        <sz val="10"/>
        <rFont val="Consolas"/>
        <family val="3"/>
      </rPr>
      <t xml:space="preserve">:Attr_070 :boundToTag :Tag_TI_1201 .   # R0652 </t>
    </r>
    <r>
      <rPr>
        <sz val="10"/>
        <rFont val="Noto Sans CJK SC"/>
        <family val="2"/>
      </rPr>
      <t xml:space="preserve">一级混合温度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TI_1201</t>
    </r>
  </si>
  <si>
    <r>
      <rPr>
        <sz val="10"/>
        <rFont val="Consolas"/>
        <family val="3"/>
      </rPr>
      <t xml:space="preserve">:Attr_071 :boundToTag :Tag_FT_1210 .   # R0653 </t>
    </r>
    <r>
      <rPr>
        <sz val="10"/>
        <rFont val="Noto Sans CJK SC"/>
        <family val="2"/>
      </rPr>
      <t>一离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总管流量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FT_1210</t>
    </r>
  </si>
  <si>
    <r>
      <rPr>
        <sz val="10"/>
        <rFont val="Consolas"/>
        <family val="3"/>
      </rPr>
      <t xml:space="preserve">:Attr_072 :boundToTag :Tag_FT_1211 .   # R0654 </t>
    </r>
    <r>
      <rPr>
        <sz val="10"/>
        <rFont val="Noto Sans CJK SC"/>
        <family val="2"/>
      </rPr>
      <t xml:space="preserve">一离碳酸钾流量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FT_1211</t>
    </r>
  </si>
  <si>
    <r>
      <rPr>
        <sz val="10"/>
        <rFont val="Consolas"/>
        <family val="3"/>
      </rPr>
      <t xml:space="preserve">:Attr_073 :boundToTag :Tag_AT_1202 .   # R0655 </t>
    </r>
    <r>
      <rPr>
        <sz val="10"/>
        <rFont val="Noto Sans CJK SC"/>
        <family val="2"/>
      </rPr>
      <t>二级混合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AT_1202</t>
    </r>
  </si>
  <si>
    <r>
      <rPr>
        <sz val="10"/>
        <rFont val="Consolas"/>
        <family val="3"/>
      </rPr>
      <t xml:space="preserve">:Attr_073 :boundToTag :Tag_AT_1205B .   # R0656 </t>
    </r>
    <r>
      <rPr>
        <sz val="10"/>
        <rFont val="Noto Sans CJK SC"/>
        <family val="2"/>
      </rPr>
      <t>二级混合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AT_1205B</t>
    </r>
  </si>
  <si>
    <r>
      <rPr>
        <sz val="10"/>
        <rFont val="Consolas"/>
        <family val="3"/>
      </rPr>
      <t xml:space="preserve">:Attr_074 :boundToTag :Tag_LT_2006 .   # R0657 </t>
    </r>
    <r>
      <rPr>
        <sz val="10"/>
        <rFont val="Noto Sans CJK SC"/>
        <family val="2"/>
      </rPr>
      <t xml:space="preserve">二级混合液位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LT_2006</t>
    </r>
  </si>
  <si>
    <r>
      <rPr>
        <sz val="10"/>
        <rFont val="Consolas"/>
        <family val="3"/>
      </rPr>
      <t xml:space="preserve">:Attr_075 :boundToTag :Tag_TI_1202 .   # R0658 </t>
    </r>
    <r>
      <rPr>
        <sz val="10"/>
        <rFont val="Noto Sans CJK SC"/>
        <family val="2"/>
      </rPr>
      <t xml:space="preserve">二级混合温度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TI_1202</t>
    </r>
  </si>
  <si>
    <r>
      <rPr>
        <sz val="10"/>
        <rFont val="Consolas"/>
        <family val="3"/>
      </rPr>
      <t xml:space="preserve">:Attr_076 :boundToTag :Tag_FT_1212 .   # R0659 </t>
    </r>
    <r>
      <rPr>
        <sz val="10"/>
        <rFont val="Noto Sans CJK SC"/>
        <family val="2"/>
      </rPr>
      <t xml:space="preserve">二离入料流量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FT_1212</t>
    </r>
  </si>
  <si>
    <r>
      <rPr>
        <sz val="10"/>
        <rFont val="Consolas"/>
        <family val="3"/>
      </rPr>
      <t xml:space="preserve">:Attr_077 :boundToTag :Tag_FT_1213 .   # R0660 </t>
    </r>
    <r>
      <rPr>
        <sz val="10"/>
        <rFont val="Noto Sans CJK SC"/>
        <family val="2"/>
      </rPr>
      <t xml:space="preserve">二离碳酸钾流量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FT_1213</t>
    </r>
  </si>
  <si>
    <r>
      <rPr>
        <sz val="10"/>
        <rFont val="Consolas"/>
        <family val="3"/>
      </rPr>
      <t xml:space="preserve">:Attr_078 :boundToTag :Tag_FT_2007A .   # R0661 </t>
    </r>
    <r>
      <rPr>
        <sz val="10"/>
        <rFont val="Noto Sans CJK SC"/>
        <family val="2"/>
      </rPr>
      <t>一级离心机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进口流量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FT_2007A</t>
    </r>
  </si>
  <si>
    <r>
      <rPr>
        <sz val="10"/>
        <rFont val="Consolas"/>
        <family val="3"/>
      </rPr>
      <t xml:space="preserve">:Attr_078 :boundToTag :Tag_FT_2007B .   # R0662 </t>
    </r>
    <r>
      <rPr>
        <sz val="10"/>
        <rFont val="Noto Sans CJK SC"/>
        <family val="2"/>
      </rPr>
      <t>一级离心机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进口流量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FT_2007B</t>
    </r>
  </si>
  <si>
    <r>
      <rPr>
        <sz val="10"/>
        <rFont val="Consolas"/>
        <family val="3"/>
      </rPr>
      <t xml:space="preserve">:Attr_078 :boundToTag :Tag_FT_2007C .   # R0663 </t>
    </r>
    <r>
      <rPr>
        <sz val="10"/>
        <rFont val="Noto Sans CJK SC"/>
        <family val="2"/>
      </rPr>
      <t>一级离心机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进口流量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FT_2007C</t>
    </r>
  </si>
  <si>
    <r>
      <rPr>
        <sz val="10"/>
        <rFont val="Consolas"/>
        <family val="3"/>
      </rPr>
      <t xml:space="preserve">:Attr_078 :boundToTag :Tag_FT_2007D .   # R0664 </t>
    </r>
    <r>
      <rPr>
        <sz val="10"/>
        <rFont val="Noto Sans CJK SC"/>
        <family val="2"/>
      </rPr>
      <t>一级离心机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进口流量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FT_2007D</t>
    </r>
  </si>
  <si>
    <r>
      <rPr>
        <sz val="10"/>
        <rFont val="Consolas"/>
        <family val="3"/>
      </rPr>
      <t xml:space="preserve">:Attr_078 :boundToTag :Tag_FT_2007E .   # R0665 </t>
    </r>
    <r>
      <rPr>
        <sz val="10"/>
        <rFont val="Noto Sans CJK SC"/>
        <family val="2"/>
      </rPr>
      <t>一级离心机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进口流量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FT_2007E</t>
    </r>
  </si>
  <si>
    <r>
      <rPr>
        <sz val="10"/>
        <rFont val="Consolas"/>
        <family val="3"/>
      </rPr>
      <t xml:space="preserve">:Attr_078 :boundToTag :Tag_FT_2007F .   # R0666 </t>
    </r>
    <r>
      <rPr>
        <sz val="10"/>
        <rFont val="Noto Sans CJK SC"/>
        <family val="2"/>
      </rPr>
      <t>一级离心机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进口流量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FT_2007F</t>
    </r>
  </si>
  <si>
    <r>
      <rPr>
        <sz val="10"/>
        <rFont val="Consolas"/>
        <family val="3"/>
      </rPr>
      <t xml:space="preserve">:Attr_079 :boundToTag :Tag_AT_1206 .   # R0667 </t>
    </r>
    <r>
      <rPr>
        <sz val="10"/>
        <rFont val="Noto Sans CJK SC"/>
        <family val="2"/>
      </rPr>
      <t>一离出口</t>
    </r>
    <r>
      <rPr>
        <sz val="10"/>
        <rFont val="Consolas"/>
        <family val="3"/>
      </rPr>
      <t>pH(RB</t>
    </r>
    <r>
      <rPr>
        <sz val="10"/>
        <rFont val="Noto Sans CJK SC"/>
        <family val="2"/>
      </rPr>
      <t>液</t>
    </r>
    <r>
      <rPr>
        <sz val="10"/>
        <rFont val="Consolas"/>
        <family val="3"/>
      </rPr>
      <t>pH)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AT_1206</t>
    </r>
  </si>
  <si>
    <r>
      <rPr>
        <sz val="10"/>
        <rFont val="Consolas"/>
        <family val="3"/>
      </rPr>
      <t>:Attr_080 :boundToTag :Tag_FT_1316 .   # R0668 RB</t>
    </r>
    <r>
      <rPr>
        <sz val="10"/>
        <rFont val="Noto Sans CJK SC"/>
        <family val="2"/>
      </rPr>
      <t xml:space="preserve">去薄膜流量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FT_1316</t>
    </r>
  </si>
  <si>
    <r>
      <rPr>
        <sz val="10"/>
        <rFont val="Consolas"/>
        <family val="3"/>
      </rPr>
      <t xml:space="preserve">:Attr_081 :boundToTag :Tag_FT_2002 .   # R0669 </t>
    </r>
    <r>
      <rPr>
        <sz val="10"/>
        <rFont val="Noto Sans CJK SC"/>
        <family val="2"/>
      </rPr>
      <t xml:space="preserve">一级离心机轻相流量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FT_2002</t>
    </r>
  </si>
  <si>
    <r>
      <rPr>
        <sz val="10"/>
        <rFont val="Consolas"/>
        <family val="3"/>
      </rPr>
      <t xml:space="preserve">:Attr_081 :boundToTag :Tag_FT_1209A .   # R0670 </t>
    </r>
    <r>
      <rPr>
        <sz val="10"/>
        <rFont val="Noto Sans CJK SC"/>
        <family val="2"/>
      </rPr>
      <t xml:space="preserve">一级离心机轻相流量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FT_1209A</t>
    </r>
  </si>
  <si>
    <r>
      <rPr>
        <sz val="10"/>
        <rFont val="Consolas"/>
        <family val="3"/>
      </rPr>
      <t xml:space="preserve">:Attr_081 :boundToTag :Tag_FT_1209B .   # R0671 </t>
    </r>
    <r>
      <rPr>
        <sz val="10"/>
        <rFont val="Noto Sans CJK SC"/>
        <family val="2"/>
      </rPr>
      <t xml:space="preserve">一级离心机轻相流量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FT_1209B</t>
    </r>
  </si>
  <si>
    <r>
      <rPr>
        <sz val="10"/>
        <rFont val="Consolas"/>
        <family val="3"/>
      </rPr>
      <t xml:space="preserve">:Attr_082 :boundToTag :Tag_II_11CT1A .   # R0672 </t>
    </r>
    <r>
      <rPr>
        <sz val="10"/>
        <rFont val="Noto Sans CJK SC"/>
        <family val="2"/>
      </rPr>
      <t xml:space="preserve">抽提一级离心机电流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II_11CT1A</t>
    </r>
  </si>
  <si>
    <r>
      <rPr>
        <sz val="10"/>
        <rFont val="Consolas"/>
        <family val="3"/>
      </rPr>
      <t xml:space="preserve">:Attr_082 :boundToTag :Tag_II_11CT1B .   # R0673 </t>
    </r>
    <r>
      <rPr>
        <sz val="10"/>
        <rFont val="Noto Sans CJK SC"/>
        <family val="2"/>
      </rPr>
      <t xml:space="preserve">抽提一级离心机电流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II_11CT1B</t>
    </r>
  </si>
  <si>
    <r>
      <rPr>
        <sz val="10"/>
        <rFont val="Consolas"/>
        <family val="3"/>
      </rPr>
      <t xml:space="preserve">:Attr_082 :boundToTag :Tag_II_11CT1C .   # R0674 </t>
    </r>
    <r>
      <rPr>
        <sz val="10"/>
        <rFont val="Noto Sans CJK SC"/>
        <family val="2"/>
      </rPr>
      <t xml:space="preserve">抽提一级离心机电流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II_11CT1C</t>
    </r>
  </si>
  <si>
    <r>
      <rPr>
        <sz val="10"/>
        <rFont val="Consolas"/>
        <family val="3"/>
      </rPr>
      <t xml:space="preserve">:Attr_082 :boundToTag :Tag_II_11CT1D .   # R0675 </t>
    </r>
    <r>
      <rPr>
        <sz val="10"/>
        <rFont val="Noto Sans CJK SC"/>
        <family val="2"/>
      </rPr>
      <t xml:space="preserve">抽提一级离心机电流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II_11CT1D</t>
    </r>
  </si>
  <si>
    <r>
      <rPr>
        <sz val="10"/>
        <rFont val="Consolas"/>
        <family val="3"/>
      </rPr>
      <t xml:space="preserve">:Attr_082 :boundToTag :Tag_II_11CT1E .   # R0676 </t>
    </r>
    <r>
      <rPr>
        <sz val="10"/>
        <rFont val="Noto Sans CJK SC"/>
        <family val="2"/>
      </rPr>
      <t xml:space="preserve">抽提一级离心机电流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II_11CT1E</t>
    </r>
  </si>
  <si>
    <r>
      <rPr>
        <sz val="10"/>
        <rFont val="Consolas"/>
        <family val="3"/>
      </rPr>
      <t xml:space="preserve">:Attr_082 :boundToTag :Tag_II_11CT1F .   # R0677 </t>
    </r>
    <r>
      <rPr>
        <sz val="10"/>
        <rFont val="Noto Sans CJK SC"/>
        <family val="2"/>
      </rPr>
      <t xml:space="preserve">抽提一级离心机电流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II_11CT1F</t>
    </r>
  </si>
  <si>
    <r>
      <rPr>
        <sz val="10"/>
        <rFont val="Consolas"/>
        <family val="3"/>
      </rPr>
      <t xml:space="preserve">:Attr_083 :boundToTag :Tag_FT_2008A .   # R0678 </t>
    </r>
    <r>
      <rPr>
        <sz val="10"/>
        <rFont val="Noto Sans CJK SC"/>
        <family val="2"/>
      </rPr>
      <t>二级离心机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进口流量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FT_2008A</t>
    </r>
  </si>
  <si>
    <r>
      <rPr>
        <sz val="10"/>
        <rFont val="Consolas"/>
        <family val="3"/>
      </rPr>
      <t xml:space="preserve">:Attr_083 :boundToTag :Tag_FT_2008B .   # R0679 </t>
    </r>
    <r>
      <rPr>
        <sz val="10"/>
        <rFont val="Noto Sans CJK SC"/>
        <family val="2"/>
      </rPr>
      <t>二级离心机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进口流量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FT_2008B</t>
    </r>
  </si>
  <si>
    <r>
      <rPr>
        <sz val="10"/>
        <rFont val="Consolas"/>
        <family val="3"/>
      </rPr>
      <t xml:space="preserve">:Attr_083 :boundToTag :Tag_FT_2008C .   # R0680 </t>
    </r>
    <r>
      <rPr>
        <sz val="10"/>
        <rFont val="Noto Sans CJK SC"/>
        <family val="2"/>
      </rPr>
      <t>二级离心机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进口流量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FT_2008C</t>
    </r>
  </si>
  <si>
    <r>
      <rPr>
        <sz val="10"/>
        <rFont val="Consolas"/>
        <family val="3"/>
      </rPr>
      <t xml:space="preserve">:Attr_083 :boundToTag :Tag_FT_2008D .   # R0681 </t>
    </r>
    <r>
      <rPr>
        <sz val="10"/>
        <rFont val="Noto Sans CJK SC"/>
        <family val="2"/>
      </rPr>
      <t>二级离心机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进口流量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FT_2008D</t>
    </r>
  </si>
  <si>
    <r>
      <rPr>
        <sz val="10"/>
        <rFont val="Consolas"/>
        <family val="3"/>
      </rPr>
      <t xml:space="preserve">:Attr_084 :boundToTag :Tag_AT_1207 .   # R0682 </t>
    </r>
    <r>
      <rPr>
        <sz val="10"/>
        <rFont val="Noto Sans CJK SC"/>
        <family val="2"/>
      </rPr>
      <t>二离出口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AT_1207</t>
    </r>
  </si>
  <si>
    <r>
      <rPr>
        <sz val="10"/>
        <rFont val="Consolas"/>
        <family val="3"/>
      </rPr>
      <t xml:space="preserve">:Attr_085 :boundToTag :Tag_FT_2003 .   # R0683 </t>
    </r>
    <r>
      <rPr>
        <sz val="10"/>
        <rFont val="Noto Sans CJK SC"/>
        <family val="2"/>
      </rPr>
      <t>二级离心机轻相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退</t>
    </r>
    <r>
      <rPr>
        <sz val="10"/>
        <rFont val="Consolas"/>
        <family val="3"/>
      </rPr>
      <t>BA)</t>
    </r>
    <r>
      <rPr>
        <sz val="10"/>
        <rFont val="Noto Sans CJK SC"/>
        <family val="2"/>
      </rPr>
      <t xml:space="preserve">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FT_2003</t>
    </r>
  </si>
  <si>
    <r>
      <rPr>
        <sz val="10"/>
        <rFont val="Consolas"/>
        <family val="3"/>
      </rPr>
      <t xml:space="preserve">:Attr_085 :boundToTag :Tag_FT_1206 .   # R0684 </t>
    </r>
    <r>
      <rPr>
        <sz val="10"/>
        <rFont val="Noto Sans CJK SC"/>
        <family val="2"/>
      </rPr>
      <t>二级离心机轻相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退</t>
    </r>
    <r>
      <rPr>
        <sz val="10"/>
        <rFont val="Consolas"/>
        <family val="3"/>
      </rPr>
      <t>BA)</t>
    </r>
    <r>
      <rPr>
        <sz val="10"/>
        <rFont val="Noto Sans CJK SC"/>
        <family val="2"/>
      </rPr>
      <t xml:space="preserve">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FT_1206</t>
    </r>
  </si>
  <si>
    <r>
      <rPr>
        <sz val="10"/>
        <rFont val="Consolas"/>
        <family val="3"/>
      </rPr>
      <t xml:space="preserve">:Attr_086 :boundToTag :Tag_II_11CT2A .   # R0685 </t>
    </r>
    <r>
      <rPr>
        <sz val="10"/>
        <rFont val="Noto Sans CJK SC"/>
        <family val="2"/>
      </rPr>
      <t xml:space="preserve">抽提二级离心机电流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II_11CT2A</t>
    </r>
  </si>
  <si>
    <r>
      <rPr>
        <sz val="10"/>
        <rFont val="Consolas"/>
        <family val="3"/>
      </rPr>
      <t xml:space="preserve">:Attr_086 :boundToTag :Tag_II_11CT2B .   # R0686 </t>
    </r>
    <r>
      <rPr>
        <sz val="10"/>
        <rFont val="Noto Sans CJK SC"/>
        <family val="2"/>
      </rPr>
      <t xml:space="preserve">抽提二级离心机电流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II_11CT2B</t>
    </r>
  </si>
  <si>
    <r>
      <rPr>
        <sz val="10"/>
        <rFont val="Consolas"/>
        <family val="3"/>
      </rPr>
      <t xml:space="preserve">:Attr_086 :boundToTag :Tag_II_11CT2C .   # R0687 </t>
    </r>
    <r>
      <rPr>
        <sz val="10"/>
        <rFont val="Noto Sans CJK SC"/>
        <family val="2"/>
      </rPr>
      <t xml:space="preserve">抽提二级离心机电流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II_11CT2C</t>
    </r>
  </si>
  <si>
    <r>
      <rPr>
        <sz val="10"/>
        <rFont val="Consolas"/>
        <family val="3"/>
      </rPr>
      <t xml:space="preserve">:Attr_086 :boundToTag :Tag_II_11CT2D .   # R0688 </t>
    </r>
    <r>
      <rPr>
        <sz val="10"/>
        <rFont val="Noto Sans CJK SC"/>
        <family val="2"/>
      </rPr>
      <t xml:space="preserve">抽提二级离心机电流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II_11CT2D</t>
    </r>
  </si>
  <si>
    <r>
      <rPr>
        <sz val="10"/>
        <rFont val="Consolas"/>
        <family val="3"/>
      </rPr>
      <t xml:space="preserve">:Ctrl_012 :controls :Act_012 .   # R0689 </t>
    </r>
    <r>
      <rPr>
        <sz val="10"/>
        <rFont val="Noto Sans CJK SC"/>
        <family val="2"/>
      </rPr>
      <t>一级碳酸钾比值控制器</t>
    </r>
    <r>
      <rPr>
        <sz val="10"/>
        <rFont val="Consolas"/>
        <family val="3"/>
      </rPr>
      <t>(FFC-1211)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碳酸钾进一级混合器调节阀</t>
    </r>
    <r>
      <rPr>
        <sz val="10"/>
        <rFont val="Consolas"/>
        <family val="3"/>
      </rPr>
      <t>HV_2003/HV_2007</t>
    </r>
  </si>
  <si>
    <r>
      <rPr>
        <sz val="10"/>
        <rFont val="Consolas"/>
        <family val="3"/>
      </rPr>
      <t xml:space="preserve">:Attr_072 :feedbackTo :Ctrl_012 .   # R0690 </t>
    </r>
    <r>
      <rPr>
        <sz val="10"/>
        <rFont val="Noto Sans CJK SC"/>
        <family val="2"/>
      </rPr>
      <t xml:space="preserve">一离碳酸钾流量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一级碳酸钾比值控制器</t>
    </r>
    <r>
      <rPr>
        <sz val="10"/>
        <rFont val="Consolas"/>
        <family val="3"/>
      </rPr>
      <t>(FFC-1211)</t>
    </r>
  </si>
  <si>
    <r>
      <rPr>
        <sz val="10"/>
        <rFont val="Consolas"/>
        <family val="3"/>
      </rPr>
      <t xml:space="preserve">:Act_012 :affects :Attr_072 .   # R0691 </t>
    </r>
    <r>
      <rPr>
        <sz val="10"/>
        <rFont val="Noto Sans CJK SC"/>
        <family val="2"/>
      </rPr>
      <t>碳酸钾进一级混合器调节阀</t>
    </r>
    <r>
      <rPr>
        <sz val="10"/>
        <rFont val="Consolas"/>
        <family val="3"/>
      </rPr>
      <t>HV_2003/HV_2007 -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一离碳酸钾流量</t>
    </r>
  </si>
  <si>
    <r>
      <rPr>
        <sz val="10"/>
        <rFont val="Consolas"/>
        <family val="3"/>
      </rPr>
      <t xml:space="preserve">:Ctrl_013 :controls :Act_013 .   # R0692 </t>
    </r>
    <r>
      <rPr>
        <sz val="10"/>
        <rFont val="Noto Sans CJK SC"/>
        <family val="2"/>
      </rPr>
      <t>二级碳酸钾比值控制器</t>
    </r>
    <r>
      <rPr>
        <sz val="10"/>
        <rFont val="Consolas"/>
        <family val="3"/>
      </rPr>
      <t>(FFC-1213)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碳酸钾进二级混合器调节阀</t>
    </r>
    <r>
      <rPr>
        <sz val="10"/>
        <rFont val="Consolas"/>
        <family val="3"/>
      </rPr>
      <t>HV_2005/HV_2010</t>
    </r>
  </si>
  <si>
    <r>
      <rPr>
        <sz val="10"/>
        <rFont val="Consolas"/>
        <family val="3"/>
      </rPr>
      <t xml:space="preserve">:Attr_077 :feedbackTo :Ctrl_013 .   # R0693 </t>
    </r>
    <r>
      <rPr>
        <sz val="10"/>
        <rFont val="Noto Sans CJK SC"/>
        <family val="2"/>
      </rPr>
      <t xml:space="preserve">二离碳酸钾流量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二级碳酸钾比值控制器</t>
    </r>
    <r>
      <rPr>
        <sz val="10"/>
        <rFont val="Consolas"/>
        <family val="3"/>
      </rPr>
      <t>(FFC-1213)</t>
    </r>
  </si>
  <si>
    <r>
      <rPr>
        <sz val="10"/>
        <rFont val="Consolas"/>
        <family val="3"/>
      </rPr>
      <t xml:space="preserve">:Act_013 :affects :Attr_077 .   # R0694 </t>
    </r>
    <r>
      <rPr>
        <sz val="10"/>
        <rFont val="Noto Sans CJK SC"/>
        <family val="2"/>
      </rPr>
      <t>碳酸钾进二级混合器调节阀</t>
    </r>
    <r>
      <rPr>
        <sz val="10"/>
        <rFont val="Consolas"/>
        <family val="3"/>
      </rPr>
      <t>HV_2005/HV_2010 -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二离碳酸钾流量</t>
    </r>
  </si>
  <si>
    <r>
      <rPr>
        <sz val="10"/>
        <rFont val="Consolas"/>
        <family val="3"/>
      </rPr>
      <t xml:space="preserve">:Ctrl_014 :controls :Act_014 .   # R0695 </t>
    </r>
    <r>
      <rPr>
        <sz val="10"/>
        <rFont val="Noto Sans CJK SC"/>
        <family val="2"/>
      </rPr>
      <t>一次离心机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控制器</t>
    </r>
    <r>
      <rPr>
        <sz val="10"/>
        <rFont val="Consolas"/>
        <family val="3"/>
      </rPr>
      <t>(AIC-1206)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一次离心机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控制输出</t>
    </r>
    <r>
      <rPr>
        <sz val="10"/>
        <rFont val="Consolas"/>
        <family val="3"/>
      </rPr>
      <t>HV_1202</t>
    </r>
  </si>
  <si>
    <r>
      <rPr>
        <sz val="10"/>
        <rFont val="Consolas"/>
        <family val="3"/>
      </rPr>
      <t xml:space="preserve">:Attr_079 :feedbackTo :Ctrl_014 .   # R0696 </t>
    </r>
    <r>
      <rPr>
        <sz val="10"/>
        <rFont val="Noto Sans CJK SC"/>
        <family val="2"/>
      </rPr>
      <t>一离出口</t>
    </r>
    <r>
      <rPr>
        <sz val="10"/>
        <rFont val="Consolas"/>
        <family val="3"/>
      </rPr>
      <t>pH(RB</t>
    </r>
    <r>
      <rPr>
        <sz val="10"/>
        <rFont val="Noto Sans CJK SC"/>
        <family val="2"/>
      </rPr>
      <t>液</t>
    </r>
    <r>
      <rPr>
        <sz val="10"/>
        <rFont val="Consolas"/>
        <family val="3"/>
      </rPr>
      <t>pH) 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一次离心机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控制器</t>
    </r>
    <r>
      <rPr>
        <sz val="10"/>
        <rFont val="Consolas"/>
        <family val="3"/>
      </rPr>
      <t>(AIC-1206)</t>
    </r>
  </si>
  <si>
    <r>
      <rPr>
        <sz val="10"/>
        <rFont val="Consolas"/>
        <family val="3"/>
      </rPr>
      <t xml:space="preserve">:Act_014 :affects :Attr_079 .   # R0697 </t>
    </r>
    <r>
      <rPr>
        <sz val="10"/>
        <rFont val="Noto Sans CJK SC"/>
        <family val="2"/>
      </rPr>
      <t>一次离心机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控制输出</t>
    </r>
    <r>
      <rPr>
        <sz val="10"/>
        <rFont val="Consolas"/>
        <family val="3"/>
      </rPr>
      <t>HV_1202 -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一离出口</t>
    </r>
    <r>
      <rPr>
        <sz val="10"/>
        <rFont val="Consolas"/>
        <family val="3"/>
      </rPr>
      <t>pH(RB</t>
    </r>
    <r>
      <rPr>
        <sz val="10"/>
        <rFont val="Noto Sans CJK SC"/>
        <family val="2"/>
      </rPr>
      <t>液</t>
    </r>
    <r>
      <rPr>
        <sz val="10"/>
        <rFont val="Consolas"/>
        <family val="3"/>
      </rPr>
      <t>pH)</t>
    </r>
  </si>
  <si>
    <r>
      <rPr>
        <sz val="10"/>
        <rFont val="Consolas"/>
        <family val="3"/>
      </rPr>
      <t xml:space="preserve">:Ctrl_015 :controls :Act_015 .   # R0698 </t>
    </r>
    <r>
      <rPr>
        <sz val="10"/>
        <rFont val="Noto Sans CJK SC"/>
        <family val="2"/>
      </rPr>
      <t>二次离心机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控制器</t>
    </r>
    <r>
      <rPr>
        <sz val="10"/>
        <rFont val="Consolas"/>
        <family val="3"/>
      </rPr>
      <t>(AIC-1207)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二次离心机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控制输出</t>
    </r>
    <r>
      <rPr>
        <sz val="10"/>
        <rFont val="Consolas"/>
        <family val="3"/>
      </rPr>
      <t>HV_1203</t>
    </r>
  </si>
  <si>
    <r>
      <rPr>
        <sz val="10"/>
        <rFont val="Consolas"/>
        <family val="3"/>
      </rPr>
      <t xml:space="preserve">:Attr_084 :feedbackTo :Ctrl_015 .   # R0699 </t>
    </r>
    <r>
      <rPr>
        <sz val="10"/>
        <rFont val="Noto Sans CJK SC"/>
        <family val="2"/>
      </rPr>
      <t>二离出口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二次离心机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控制器</t>
    </r>
    <r>
      <rPr>
        <sz val="10"/>
        <rFont val="Consolas"/>
        <family val="3"/>
      </rPr>
      <t>(AIC-1207)</t>
    </r>
  </si>
  <si>
    <r>
      <rPr>
        <sz val="10"/>
        <rFont val="Consolas"/>
        <family val="3"/>
      </rPr>
      <t xml:space="preserve">:Act_015 :affects :Attr_084 .   # R0700 </t>
    </r>
    <r>
      <rPr>
        <sz val="10"/>
        <rFont val="Noto Sans CJK SC"/>
        <family val="2"/>
      </rPr>
      <t>二次离心机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控制输出</t>
    </r>
    <r>
      <rPr>
        <sz val="10"/>
        <rFont val="Consolas"/>
        <family val="3"/>
      </rPr>
      <t>HV_1203 -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二离出口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</si>
  <si>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:Ctrl_016 :controls :Act_016 .   # R0701 </t>
    </r>
    <r>
      <rPr>
        <sz val="10"/>
        <rFont val="Noto Sans CJK SC"/>
        <family val="2"/>
      </rPr>
      <t>高浓度碳酸钾罐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控制器</t>
    </r>
    <r>
      <rPr>
        <sz val="10"/>
        <rFont val="Consolas"/>
        <family val="3"/>
      </rPr>
      <t>(AIC-1203)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高浓度碳酸钾罐</t>
    </r>
    <r>
      <rPr>
        <sz val="10"/>
        <rFont val="Consolas"/>
        <family val="3"/>
      </rPr>
      <t>V2168 pH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>HV_1201</t>
    </r>
  </si>
  <si>
    <r>
      <rPr>
        <sz val="10"/>
        <rFont val="Consolas"/>
        <family val="3"/>
      </rPr>
      <t xml:space="preserve">:Attr_067 :feedbackTo :Ctrl_016 .   # R0702 </t>
    </r>
    <r>
      <rPr>
        <sz val="10"/>
        <rFont val="Noto Sans CJK SC"/>
        <family val="2"/>
      </rPr>
      <t>碳酸钾罐出口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高浓度碳酸钾罐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控制器</t>
    </r>
    <r>
      <rPr>
        <sz val="10"/>
        <rFont val="Consolas"/>
        <family val="3"/>
      </rPr>
      <t>(AIC-1203)</t>
    </r>
  </si>
  <si>
    <r>
      <rPr>
        <sz val="10"/>
        <rFont val="Consolas"/>
        <family val="3"/>
      </rPr>
      <t xml:space="preserve">:Act_016 :affects :Attr_067 .   # R0703 </t>
    </r>
    <r>
      <rPr>
        <sz val="10"/>
        <rFont val="Noto Sans CJK SC"/>
        <family val="2"/>
      </rPr>
      <t>高浓度碳酸钾罐</t>
    </r>
    <r>
      <rPr>
        <sz val="10"/>
        <rFont val="Consolas"/>
        <family val="3"/>
      </rPr>
      <t>V2168 pH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>HV_1201 -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碳酸钾罐出口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</si>
  <si>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:Ctrl_017 :controls :Act_017 .   # R0704 </t>
    </r>
    <r>
      <rPr>
        <sz val="10"/>
        <rFont val="Noto Sans CJK SC"/>
        <family val="2"/>
      </rPr>
      <t>抽提一级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进口流量控制器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一级离心机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进口调节阀</t>
    </r>
    <r>
      <rPr>
        <sz val="10"/>
        <rFont val="Consolas"/>
        <family val="3"/>
      </rPr>
      <t>HV_2004A–F</t>
    </r>
  </si>
  <si>
    <r>
      <rPr>
        <sz val="10"/>
        <rFont val="Consolas"/>
        <family val="3"/>
      </rPr>
      <t xml:space="preserve">:Attr_078 :feedbackTo :Ctrl_017 .   # R0705 </t>
    </r>
    <r>
      <rPr>
        <sz val="10"/>
        <rFont val="Noto Sans CJK SC"/>
        <family val="2"/>
      </rPr>
      <t>一级离心机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进口流量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抽提一级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进口流量控制器</t>
    </r>
  </si>
  <si>
    <r>
      <rPr>
        <sz val="10"/>
        <rFont val="Consolas"/>
        <family val="3"/>
      </rPr>
      <t xml:space="preserve">:Act_017 :affects :Attr_078 .   # R0706 </t>
    </r>
    <r>
      <rPr>
        <sz val="10"/>
        <rFont val="Noto Sans CJK SC"/>
        <family val="2"/>
      </rPr>
      <t>一级离心机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进口调节阀</t>
    </r>
    <r>
      <rPr>
        <sz val="10"/>
        <rFont val="Consolas"/>
        <family val="3"/>
      </rPr>
      <t>HV_2004A–F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一级离心机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进口流量</t>
    </r>
  </si>
  <si>
    <r>
      <rPr>
        <sz val="10"/>
        <rFont val="Consolas"/>
        <family val="3"/>
      </rPr>
      <t xml:space="preserve">:Ctrl_018 :controls :Act_018 .   # R0707 </t>
    </r>
    <r>
      <rPr>
        <sz val="10"/>
        <rFont val="Noto Sans CJK SC"/>
        <family val="2"/>
      </rPr>
      <t>抽提二级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进口流量控制器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二级离心机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进口调节阀</t>
    </r>
    <r>
      <rPr>
        <sz val="10"/>
        <rFont val="Consolas"/>
        <family val="3"/>
      </rPr>
      <t>HV_2006A–D</t>
    </r>
  </si>
  <si>
    <r>
      <rPr>
        <sz val="10"/>
        <rFont val="Consolas"/>
        <family val="3"/>
      </rPr>
      <t xml:space="preserve">:Attr_083 :feedbackTo :Ctrl_018 .   # R0708 </t>
    </r>
    <r>
      <rPr>
        <sz val="10"/>
        <rFont val="Noto Sans CJK SC"/>
        <family val="2"/>
      </rPr>
      <t>二级离心机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进口流量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抽提二级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进口流量控制器</t>
    </r>
  </si>
  <si>
    <r>
      <rPr>
        <sz val="10"/>
        <rFont val="Consolas"/>
        <family val="3"/>
      </rPr>
      <t xml:space="preserve">:Act_018 :affects :Attr_083 .   # R0709 </t>
    </r>
    <r>
      <rPr>
        <sz val="10"/>
        <rFont val="Noto Sans CJK SC"/>
        <family val="2"/>
      </rPr>
      <t>二级离心机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进口调节阀</t>
    </r>
    <r>
      <rPr>
        <sz val="10"/>
        <rFont val="Consolas"/>
        <family val="3"/>
      </rPr>
      <t>HV_2006A–D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二级离心机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进口流量</t>
    </r>
  </si>
  <si>
    <r>
      <rPr>
        <sz val="10"/>
        <rFont val="Consolas"/>
        <family val="3"/>
      </rPr>
      <t xml:space="preserve">:K2CO3SiloGroup :connectedToNext :K2CO3PrepTanks .   # R0710 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粉料料仓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碳酸钠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>配制罐组</t>
    </r>
  </si>
  <si>
    <r>
      <rPr>
        <sz val="10"/>
        <rFont val="Consolas"/>
        <family val="3"/>
      </rPr>
      <t xml:space="preserve">:MS_SoftWater :flowsInto :K2CO3PrepTanks .   # R0711 </t>
    </r>
    <r>
      <rPr>
        <sz val="10"/>
        <rFont val="Noto Sans CJK SC"/>
        <family val="2"/>
      </rPr>
      <t xml:space="preserve">软水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碳酸钠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>配制罐组</t>
    </r>
  </si>
  <si>
    <r>
      <rPr>
        <sz val="10"/>
        <rFont val="Consolas"/>
        <family val="3"/>
      </rPr>
      <t xml:space="preserve">:K2CO3PrepTanks :produces :MS_K2CO3 .   # R0712 </t>
    </r>
    <r>
      <rPr>
        <sz val="10"/>
        <rFont val="Noto Sans CJK SC"/>
        <family val="2"/>
      </rPr>
      <t>碳酸钾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碳酸钠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 xml:space="preserve">配制罐组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碳酸钾溶液</t>
    </r>
  </si>
  <si>
    <r>
      <rPr>
        <sz val="10"/>
        <rFont val="Consolas"/>
        <family val="3"/>
      </rPr>
      <t xml:space="preserve">:MS_K2CO3 :flowsInto :K2CO3BufferTanks .   # R0713 </t>
    </r>
    <r>
      <rPr>
        <sz val="10"/>
        <rFont val="Noto Sans CJK SC"/>
        <family val="2"/>
      </rPr>
      <t xml:space="preserve">碳酸钾溶液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碳酸钾缓冲罐组</t>
    </r>
  </si>
  <si>
    <r>
      <rPr>
        <sz val="10"/>
        <rFont val="Consolas"/>
        <family val="3"/>
      </rPr>
      <t xml:space="preserve">:K2CO3BufferTanks :connectedToNext :Mixer1R2175 .   # R0714 </t>
    </r>
    <r>
      <rPr>
        <sz val="10"/>
        <rFont val="Noto Sans CJK SC"/>
        <family val="2"/>
      </rPr>
      <t xml:space="preserve">碳酸钾缓冲罐组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一级混合罐</t>
    </r>
    <r>
      <rPr>
        <sz val="10"/>
        <rFont val="Consolas"/>
        <family val="3"/>
      </rPr>
      <t>R2175(6A</t>
    </r>
    <r>
      <rPr>
        <sz val="10"/>
        <rFont val="Noto Sans CJK SC"/>
        <family val="2"/>
      </rPr>
      <t>一混罐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</si>
  <si>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:K2CO3BufferTanks :connectedToNext :Mixer2R2177 .   # R0715 </t>
    </r>
    <r>
      <rPr>
        <sz val="10"/>
        <rFont val="Noto Sans CJK SC"/>
        <family val="2"/>
      </rPr>
      <t xml:space="preserve">碳酸钾缓冲罐组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二级混合罐</t>
    </r>
    <r>
      <rPr>
        <sz val="10"/>
        <rFont val="Consolas"/>
        <family val="3"/>
      </rPr>
      <t>R2177(6A</t>
    </r>
    <r>
      <rPr>
        <sz val="10"/>
        <rFont val="Noto Sans CJK SC"/>
        <family val="2"/>
      </rPr>
      <t>二混罐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</si>
  <si>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:MS_DecolorBA :flowsInto :Mixer1R2175 .   # R0716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 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一级混合罐</t>
    </r>
    <r>
      <rPr>
        <sz val="10"/>
        <rFont val="Consolas"/>
        <family val="3"/>
      </rPr>
      <t>R2175(6A</t>
    </r>
    <r>
      <rPr>
        <sz val="10"/>
        <rFont val="Noto Sans CJK SC"/>
        <family val="2"/>
      </rPr>
      <t>一混罐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</si>
  <si>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:MS_Stage2Heavy :recyclesTo :Mixer1R2175 .   # R0717 </t>
    </r>
    <r>
      <rPr>
        <sz val="10"/>
        <rFont val="Noto Sans CJK SC"/>
        <family val="2"/>
      </rPr>
      <t xml:space="preserve">二阶重相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循环返回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一级混合罐</t>
    </r>
    <r>
      <rPr>
        <sz val="10"/>
        <rFont val="Consolas"/>
        <family val="3"/>
      </rPr>
      <t>R2175(6A</t>
    </r>
    <r>
      <rPr>
        <sz val="10"/>
        <rFont val="Noto Sans CJK SC"/>
        <family val="2"/>
      </rPr>
      <t>一混罐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</si>
  <si>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:Mixer1R2175 :produces :MS_Mix1 .   # R0718 </t>
    </r>
    <r>
      <rPr>
        <sz val="10"/>
        <rFont val="Noto Sans CJK SC"/>
        <family val="2"/>
      </rPr>
      <t>一级混合罐</t>
    </r>
    <r>
      <rPr>
        <sz val="10"/>
        <rFont val="Consolas"/>
        <family val="3"/>
      </rPr>
      <t>R2175(6A</t>
    </r>
    <r>
      <rPr>
        <sz val="10"/>
        <rFont val="Noto Sans CJK SC"/>
        <family val="2"/>
      </rPr>
      <t>一混罐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一级混合液</t>
    </r>
  </si>
  <si>
    <r>
      <rPr>
        <sz val="10"/>
        <rFont val="Consolas"/>
        <family val="3"/>
      </rPr>
      <t xml:space="preserve">:MS_Mix1 :flowsInto :BackExtCentrifuge1 .   # R0719 </t>
    </r>
    <r>
      <rPr>
        <sz val="10"/>
        <rFont val="Noto Sans CJK SC"/>
        <family val="2"/>
      </rPr>
      <t xml:space="preserve">一级混合液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抽提一级离心机组</t>
    </r>
    <r>
      <rPr>
        <sz val="10"/>
        <rFont val="Consolas"/>
        <family val="3"/>
      </rPr>
      <t>(CT1)</t>
    </r>
  </si>
  <si>
    <r>
      <rPr>
        <sz val="10"/>
        <rFont val="Consolas"/>
        <family val="3"/>
      </rPr>
      <t xml:space="preserve">:BackExtCentrifuge1 :separatesInto :MS_RB .   # R0720 </t>
    </r>
    <r>
      <rPr>
        <sz val="10"/>
        <rFont val="Noto Sans CJK SC"/>
        <family val="2"/>
      </rPr>
      <t>抽提一级离心机组</t>
    </r>
    <r>
      <rPr>
        <sz val="10"/>
        <rFont val="Consolas"/>
        <family val="3"/>
      </rPr>
      <t>(CT1) -</t>
    </r>
    <r>
      <rPr>
        <sz val="10"/>
        <rFont val="Noto Sans CJK SC"/>
        <family val="2"/>
      </rPr>
      <t>分离产出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液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青霉素</t>
    </r>
    <r>
      <rPr>
        <sz val="10"/>
        <rFont val="Consolas"/>
        <family val="3"/>
      </rPr>
      <t>G</t>
    </r>
    <r>
      <rPr>
        <sz val="10"/>
        <rFont val="Noto Sans CJK SC"/>
        <family val="2"/>
      </rPr>
      <t>钾水溶液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</si>
  <si>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:BackExtCentrifuge1 :separatesInto :MS_Stage1Light .   # R0721 </t>
    </r>
    <r>
      <rPr>
        <sz val="10"/>
        <rFont val="Noto Sans CJK SC"/>
        <family val="2"/>
      </rPr>
      <t>抽提一级离心机组</t>
    </r>
    <r>
      <rPr>
        <sz val="10"/>
        <rFont val="Consolas"/>
        <family val="3"/>
      </rPr>
      <t>(CT1) -</t>
    </r>
    <r>
      <rPr>
        <sz val="10"/>
        <rFont val="Noto Sans CJK SC"/>
        <family val="2"/>
      </rPr>
      <t>分离产出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一阶轻相</t>
    </r>
    <r>
      <rPr>
        <sz val="10"/>
        <rFont val="Consolas"/>
        <family val="3"/>
      </rPr>
      <t>BA</t>
    </r>
  </si>
  <si>
    <r>
      <rPr>
        <sz val="10"/>
        <rFont val="Consolas"/>
        <family val="3"/>
      </rPr>
      <t xml:space="preserve">:MS_Stage1Light :flowsInto :Mixer2R2177 .   # R0722 </t>
    </r>
    <r>
      <rPr>
        <sz val="10"/>
        <rFont val="Noto Sans CJK SC"/>
        <family val="2"/>
      </rPr>
      <t>一阶轻相</t>
    </r>
    <r>
      <rPr>
        <sz val="10"/>
        <rFont val="Consolas"/>
        <family val="3"/>
      </rPr>
      <t>BA 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二级混合罐</t>
    </r>
    <r>
      <rPr>
        <sz val="10"/>
        <rFont val="Consolas"/>
        <family val="3"/>
      </rPr>
      <t>R2177(6A</t>
    </r>
    <r>
      <rPr>
        <sz val="10"/>
        <rFont val="Noto Sans CJK SC"/>
        <family val="2"/>
      </rPr>
      <t>二混罐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</si>
  <si>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:Mixer2R2177 :produces :MS_Mix2 .   # R0723 </t>
    </r>
    <r>
      <rPr>
        <sz val="10"/>
        <rFont val="Noto Sans CJK SC"/>
        <family val="2"/>
      </rPr>
      <t>二级混合罐</t>
    </r>
    <r>
      <rPr>
        <sz val="10"/>
        <rFont val="Consolas"/>
        <family val="3"/>
      </rPr>
      <t>R2177(6A</t>
    </r>
    <r>
      <rPr>
        <sz val="10"/>
        <rFont val="Noto Sans CJK SC"/>
        <family val="2"/>
      </rPr>
      <t>二混罐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二级混合液</t>
    </r>
  </si>
  <si>
    <r>
      <rPr>
        <sz val="10"/>
        <rFont val="Consolas"/>
        <family val="3"/>
      </rPr>
      <t xml:space="preserve">:MS_Mix2 :flowsInto :BackExtCentrifuge2 .   # R0724 </t>
    </r>
    <r>
      <rPr>
        <sz val="10"/>
        <rFont val="Noto Sans CJK SC"/>
        <family val="2"/>
      </rPr>
      <t xml:space="preserve">二级混合液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抽提二级离心机组</t>
    </r>
    <r>
      <rPr>
        <sz val="10"/>
        <rFont val="Consolas"/>
        <family val="3"/>
      </rPr>
      <t>(CT2)</t>
    </r>
  </si>
  <si>
    <r>
      <rPr>
        <sz val="10"/>
        <rFont val="Consolas"/>
        <family val="3"/>
      </rPr>
      <t xml:space="preserve">:BackExtCentrifuge2 :separatesInto :MS_ReturnBA .   # R0725 </t>
    </r>
    <r>
      <rPr>
        <sz val="10"/>
        <rFont val="Noto Sans CJK SC"/>
        <family val="2"/>
      </rPr>
      <t>抽提二级离心机组</t>
    </r>
    <r>
      <rPr>
        <sz val="10"/>
        <rFont val="Consolas"/>
        <family val="3"/>
      </rPr>
      <t>(CT2) -</t>
    </r>
    <r>
      <rPr>
        <sz val="10"/>
        <rFont val="Noto Sans CJK SC"/>
        <family val="2"/>
      </rPr>
      <t>分离产出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退</t>
    </r>
    <r>
      <rPr>
        <sz val="10"/>
        <rFont val="Consolas"/>
        <family val="3"/>
      </rPr>
      <t>BA(</t>
    </r>
    <r>
      <rPr>
        <sz val="10"/>
        <rFont val="Noto Sans CJK SC"/>
        <family val="2"/>
      </rPr>
      <t>贫</t>
    </r>
    <r>
      <rPr>
        <sz val="10"/>
        <rFont val="Consolas"/>
        <family val="3"/>
      </rPr>
      <t>BA)</t>
    </r>
  </si>
  <si>
    <r>
      <rPr>
        <sz val="10"/>
        <rFont val="Consolas"/>
        <family val="3"/>
      </rPr>
      <t xml:space="preserve">:BackExtCentrifuge2 :separatesInto :MS_Stage2Heavy .   # R0726 </t>
    </r>
    <r>
      <rPr>
        <sz val="10"/>
        <rFont val="Noto Sans CJK SC"/>
        <family val="2"/>
      </rPr>
      <t>抽提二级离心机组</t>
    </r>
    <r>
      <rPr>
        <sz val="10"/>
        <rFont val="Consolas"/>
        <family val="3"/>
      </rPr>
      <t>(CT2) -</t>
    </r>
    <r>
      <rPr>
        <sz val="10"/>
        <rFont val="Noto Sans CJK SC"/>
        <family val="2"/>
      </rPr>
      <t>分离产出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二阶重相</t>
    </r>
  </si>
  <si>
    <r>
      <rPr>
        <sz val="10"/>
        <rFont val="Consolas"/>
        <family val="3"/>
      </rPr>
      <t xml:space="preserve">:ExtAmmoniaBuffer :connectedToNext :Mixer1R2175 .   # R0727 </t>
    </r>
    <r>
      <rPr>
        <sz val="10"/>
        <rFont val="Noto Sans CJK SC"/>
        <family val="2"/>
      </rPr>
      <t>抽提氨水缓冲罐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氨水溢流罐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一级混合罐</t>
    </r>
    <r>
      <rPr>
        <sz val="10"/>
        <rFont val="Consolas"/>
        <family val="3"/>
      </rPr>
      <t>R2175(6A</t>
    </r>
    <r>
      <rPr>
        <sz val="10"/>
        <rFont val="Noto Sans CJK SC"/>
        <family val="2"/>
      </rPr>
      <t>一混罐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</si>
  <si>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:Attr_072 :positivelyAffects :Attr_079 .   # R0728 </t>
    </r>
    <r>
      <rPr>
        <sz val="10"/>
        <rFont val="Noto Sans CJK SC"/>
        <family val="2"/>
      </rPr>
      <t xml:space="preserve">一离碳酸钾流量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一离出口</t>
    </r>
    <r>
      <rPr>
        <sz val="10"/>
        <rFont val="Consolas"/>
        <family val="3"/>
      </rPr>
      <t>pH(RB</t>
    </r>
    <r>
      <rPr>
        <sz val="10"/>
        <rFont val="Noto Sans CJK SC"/>
        <family val="2"/>
      </rPr>
      <t>液</t>
    </r>
    <r>
      <rPr>
        <sz val="10"/>
        <rFont val="Consolas"/>
        <family val="3"/>
      </rPr>
      <t>pH)</t>
    </r>
  </si>
  <si>
    <r>
      <rPr>
        <sz val="10"/>
        <rFont val="Consolas"/>
        <family val="3"/>
      </rPr>
      <t xml:space="preserve">:Attr_077 :positivelyAffects :Attr_084 .   # R0729 </t>
    </r>
    <r>
      <rPr>
        <sz val="10"/>
        <rFont val="Noto Sans CJK SC"/>
        <family val="2"/>
      </rPr>
      <t xml:space="preserve">二离碳酸钾流量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二离出口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</si>
  <si>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>:Attr_261 :affects :Attr_262 .   # R0730 BA</t>
    </r>
    <r>
      <rPr>
        <sz val="10"/>
        <rFont val="Noto Sans CJK SC"/>
        <family val="2"/>
      </rPr>
      <t xml:space="preserve">与碳酸钾比例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反萃分配平衡度</t>
    </r>
  </si>
  <si>
    <r>
      <rPr>
        <sz val="10"/>
        <rFont val="Consolas"/>
        <family val="3"/>
      </rPr>
      <t xml:space="preserve">:Attr_079 :negativelyAffects :QKPI_263 .   # R0731 </t>
    </r>
    <r>
      <rPr>
        <sz val="10"/>
        <rFont val="Noto Sans CJK SC"/>
        <family val="2"/>
      </rPr>
      <t>一离出口</t>
    </r>
    <r>
      <rPr>
        <sz val="10"/>
        <rFont val="Consolas"/>
        <family val="3"/>
      </rPr>
      <t>pH(RB</t>
    </r>
    <r>
      <rPr>
        <sz val="10"/>
        <rFont val="Noto Sans CJK SC"/>
        <family val="2"/>
      </rPr>
      <t>液</t>
    </r>
    <r>
      <rPr>
        <sz val="10"/>
        <rFont val="Consolas"/>
        <family val="3"/>
      </rPr>
      <t>pH) 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退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青霉素残效</t>
    </r>
  </si>
  <si>
    <r>
      <rPr>
        <sz val="10"/>
        <rFont val="Consolas"/>
        <family val="3"/>
      </rPr>
      <t xml:space="preserve">:Attr_079 :positivelyAffects :QKPI_265 .   # R0732 </t>
    </r>
    <r>
      <rPr>
        <sz val="10"/>
        <rFont val="Noto Sans CJK SC"/>
        <family val="2"/>
      </rPr>
      <t>一离出口</t>
    </r>
    <r>
      <rPr>
        <sz val="10"/>
        <rFont val="Consolas"/>
        <family val="3"/>
      </rPr>
      <t>pH(RB</t>
    </r>
    <r>
      <rPr>
        <sz val="10"/>
        <rFont val="Noto Sans CJK SC"/>
        <family val="2"/>
      </rPr>
      <t>液</t>
    </r>
    <r>
      <rPr>
        <sz val="10"/>
        <rFont val="Consolas"/>
        <family val="3"/>
      </rPr>
      <t>pH) 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液热降解率</t>
    </r>
  </si>
  <si>
    <r>
      <rPr>
        <sz val="10"/>
        <rFont val="Consolas"/>
        <family val="3"/>
      </rPr>
      <t xml:space="preserve">:Attr_070 :positivelyAffects :QKPI_265 .   # R0733 </t>
    </r>
    <r>
      <rPr>
        <sz val="10"/>
        <rFont val="Noto Sans CJK SC"/>
        <family val="2"/>
      </rPr>
      <t xml:space="preserve">一级混合温度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液热降解率</t>
    </r>
  </si>
  <si>
    <r>
      <rPr>
        <sz val="10"/>
        <rFont val="Consolas"/>
        <family val="3"/>
      </rPr>
      <t xml:space="preserve">:Attr_071 :affects :Attr_261 .   # R0734 </t>
    </r>
    <r>
      <rPr>
        <sz val="10"/>
        <rFont val="Noto Sans CJK SC"/>
        <family val="2"/>
      </rPr>
      <t>一离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总管流量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>-&gt; BA</t>
    </r>
    <r>
      <rPr>
        <sz val="10"/>
        <rFont val="Noto Sans CJK SC"/>
        <family val="2"/>
      </rPr>
      <t>与碳酸钾比例</t>
    </r>
  </si>
  <si>
    <r>
      <rPr>
        <sz val="10"/>
        <rFont val="Consolas"/>
        <family val="3"/>
      </rPr>
      <t xml:space="preserve">:QKPI_263 :negativelyAffects :BKPI_303 .   # R0735 </t>
    </r>
    <r>
      <rPr>
        <sz val="10"/>
        <rFont val="Noto Sans CJK SC"/>
        <family val="2"/>
      </rPr>
      <t>退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青霉素残效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产品批次提取收率</t>
    </r>
  </si>
  <si>
    <r>
      <rPr>
        <sz val="10"/>
        <rFont val="Consolas"/>
        <family val="3"/>
      </rPr>
      <t xml:space="preserve">
# --- S08 </t>
    </r>
    <r>
      <rPr>
        <sz val="10"/>
        <rFont val="Noto Sans CJK SC"/>
        <family val="2"/>
      </rPr>
      <t xml:space="preserve">青霉素钾盐支线（点表补充） </t>
    </r>
    <r>
      <rPr>
        <sz val="10"/>
        <rFont val="Consolas"/>
        <family val="3"/>
      </rPr>
      <t>---</t>
    </r>
  </si>
  <si>
    <r>
      <rPr>
        <sz val="10"/>
        <rFont val="Consolas"/>
        <family val="3"/>
      </rPr>
      <t xml:space="preserve">:Area_S08_PenGKSaltLine :connectedToNext :Area_S02_Extraction_RSE200 .   # R0736 </t>
    </r>
    <r>
      <rPr>
        <sz val="10"/>
        <rFont val="Noto Sans CJK SC"/>
        <family val="2"/>
      </rPr>
      <t xml:space="preserve">青霉素钾盐支线（点表补充）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提取</t>
    </r>
    <r>
      <rPr>
        <sz val="10"/>
        <rFont val="Consolas"/>
        <family val="3"/>
      </rPr>
      <t>·RSE200</t>
    </r>
    <r>
      <rPr>
        <sz val="10"/>
        <rFont val="Noto Sans CJK SC"/>
        <family val="2"/>
      </rPr>
      <t>三萃及溶媒周转</t>
    </r>
  </si>
  <si>
    <r>
      <rPr>
        <sz val="10"/>
        <rFont val="Consolas"/>
        <family val="3"/>
      </rPr>
      <t xml:space="preserve">:Area_S08_PenGKSaltLine :connectedToNext :Area_S23_OffgasTreatment .   # R0737 </t>
    </r>
    <r>
      <rPr>
        <sz val="10"/>
        <rFont val="Noto Sans CJK SC"/>
        <family val="2"/>
      </rPr>
      <t xml:space="preserve">青霉素钾盐支线（点表补充）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尾气与环保</t>
    </r>
  </si>
  <si>
    <r>
      <rPr>
        <sz val="10"/>
        <rFont val="Consolas"/>
        <family val="3"/>
      </rPr>
      <t xml:space="preserve">:Area_S08_PenGKSaltLine :hasEquipment :KSaltMixers .   # R0738 </t>
    </r>
    <r>
      <rPr>
        <sz val="10"/>
        <rFont val="Noto Sans CJK SC"/>
        <family val="2"/>
      </rPr>
      <t xml:space="preserve">青霉素钾盐支线（点表补充）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二混罐</t>
    </r>
  </si>
  <si>
    <r>
      <rPr>
        <sz val="10"/>
        <rFont val="Consolas"/>
        <family val="3"/>
      </rPr>
      <t xml:space="preserve">:KSaltMixers :hasMember :KSaltMixers_M01 .   # R0739 </t>
    </r>
    <r>
      <rPr>
        <sz val="10"/>
        <rFont val="Noto Sans CJK SC"/>
        <family val="2"/>
      </rPr>
      <t>钾盐一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二混罐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钾盐一混罐</t>
    </r>
  </si>
  <si>
    <r>
      <rPr>
        <sz val="10"/>
        <rFont val="Consolas"/>
        <family val="3"/>
      </rPr>
      <t xml:space="preserve">:KSaltMixers :hasMember :KSaltMixers_M02 .   # R0740 </t>
    </r>
    <r>
      <rPr>
        <sz val="10"/>
        <rFont val="Noto Sans CJK SC"/>
        <family val="2"/>
      </rPr>
      <t>钾盐一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二混罐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钾盐二混罐</t>
    </r>
  </si>
  <si>
    <r>
      <rPr>
        <sz val="10"/>
        <rFont val="Consolas"/>
        <family val="3"/>
      </rPr>
      <t xml:space="preserve">:KSaltMixers :hasPart :KSaltMixers_P01 .   # R0741 </t>
    </r>
    <r>
      <rPr>
        <sz val="10"/>
        <rFont val="Noto Sans CJK SC"/>
        <family val="2"/>
      </rPr>
      <t>钾盐一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二混罐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二混罐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搅拌器</t>
    </r>
  </si>
  <si>
    <r>
      <rPr>
        <sz val="10"/>
        <rFont val="Consolas"/>
        <family val="3"/>
      </rPr>
      <t xml:space="preserve">:Area_S08_PenGKSaltLine :hasEquipment :KSaltCentrifuges .   # R0742 </t>
    </r>
    <r>
      <rPr>
        <sz val="10"/>
        <rFont val="Noto Sans CJK SC"/>
        <family val="2"/>
      </rPr>
      <t xml:space="preserve">青霉素钾盐支线（点表补充）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钾盐离心机组</t>
    </r>
  </si>
  <si>
    <r>
      <rPr>
        <sz val="10"/>
        <rFont val="Consolas"/>
        <family val="3"/>
      </rPr>
      <t xml:space="preserve">:KSaltCentrifuges :hasMember :KSaltCentrifuges_M01 .   # R0743 </t>
    </r>
    <r>
      <rPr>
        <sz val="10"/>
        <rFont val="Noto Sans CJK SC"/>
        <family val="2"/>
      </rPr>
      <t xml:space="preserve">钾盐离心机组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钾盐离心机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</si>
  <si>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:KSaltCentrifuges :hasMember :KSaltCentrifuges_M02 .   # R0744 </t>
    </r>
    <r>
      <rPr>
        <sz val="10"/>
        <rFont val="Noto Sans CJK SC"/>
        <family val="2"/>
      </rPr>
      <t xml:space="preserve">钾盐离心机组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钾盐离心机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</si>
  <si>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:KSaltCentrifuges :hasMember :KSaltCentrifuges_M03 .   # R0745 </t>
    </r>
    <r>
      <rPr>
        <sz val="10"/>
        <rFont val="Noto Sans CJK SC"/>
        <family val="2"/>
      </rPr>
      <t xml:space="preserve">钾盐离心机组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钾盐离心机</t>
    </r>
    <r>
      <rPr>
        <sz val="10"/>
        <rFont val="Consolas"/>
        <family val="3"/>
      </rPr>
      <t>C</t>
    </r>
  </si>
  <si>
    <r>
      <rPr>
        <sz val="10"/>
        <rFont val="Consolas"/>
        <family val="3"/>
      </rPr>
      <t xml:space="preserve">:KSaltCentrifuges :hasMember :KSaltCentrifuges_M04 .   # R0746 </t>
    </r>
    <r>
      <rPr>
        <sz val="10"/>
        <rFont val="Noto Sans CJK SC"/>
        <family val="2"/>
      </rPr>
      <t xml:space="preserve">钾盐离心机组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钾盐离心机</t>
    </r>
    <r>
      <rPr>
        <sz val="10"/>
        <rFont val="Consolas"/>
        <family val="3"/>
      </rPr>
      <t>D</t>
    </r>
  </si>
  <si>
    <r>
      <rPr>
        <sz val="10"/>
        <rFont val="Consolas"/>
        <family val="3"/>
      </rPr>
      <t xml:space="preserve">:KSaltCentrifuges :hasMember :KSaltCentrifuges_M05 .   # R0747 </t>
    </r>
    <r>
      <rPr>
        <sz val="10"/>
        <rFont val="Noto Sans CJK SC"/>
        <family val="2"/>
      </rPr>
      <t xml:space="preserve">钾盐离心机组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钾盐离心机</t>
    </r>
    <r>
      <rPr>
        <sz val="10"/>
        <rFont val="Consolas"/>
        <family val="3"/>
      </rPr>
      <t>E</t>
    </r>
  </si>
  <si>
    <r>
      <rPr>
        <sz val="10"/>
        <rFont val="Consolas"/>
        <family val="3"/>
      </rPr>
      <t xml:space="preserve">:KSaltCentrifuges :hasMember :KSaltCentrifuges_M06 .   # R0748 </t>
    </r>
    <r>
      <rPr>
        <sz val="10"/>
        <rFont val="Noto Sans CJK SC"/>
        <family val="2"/>
      </rPr>
      <t xml:space="preserve">钾盐离心机组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钾盐离心机</t>
    </r>
    <r>
      <rPr>
        <sz val="10"/>
        <rFont val="Consolas"/>
        <family val="3"/>
      </rPr>
      <t>F</t>
    </r>
  </si>
  <si>
    <r>
      <rPr>
        <sz val="10"/>
        <rFont val="Consolas"/>
        <family val="3"/>
      </rPr>
      <t xml:space="preserve">:KSaltCentrifuges :hasPart :KSaltCentrifuges_P01 .   # R0749 </t>
    </r>
    <r>
      <rPr>
        <sz val="10"/>
        <rFont val="Noto Sans CJK SC"/>
        <family val="2"/>
      </rPr>
      <t xml:space="preserve">钾盐离心机组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主电机</t>
    </r>
  </si>
  <si>
    <r>
      <rPr>
        <sz val="10"/>
        <rFont val="Consolas"/>
        <family val="3"/>
      </rPr>
      <t xml:space="preserve">:Area_S08_PenGKSaltLine :hasEquipment :KSaltRBTank .   # R0750 </t>
    </r>
    <r>
      <rPr>
        <sz val="10"/>
        <rFont val="Noto Sans CJK SC"/>
        <family val="2"/>
      </rPr>
      <t xml:space="preserve">青霉素钾盐支线（点表补充）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/RB</t>
    </r>
    <r>
      <rPr>
        <sz val="10"/>
        <rFont val="Noto Sans CJK SC"/>
        <family val="2"/>
      </rPr>
      <t>计量罐</t>
    </r>
  </si>
  <si>
    <r>
      <rPr>
        <sz val="10"/>
        <rFont val="Consolas"/>
        <family val="3"/>
      </rPr>
      <t xml:space="preserve">:KSaltRBTank :hasMember :KSaltRBTank_M01 .   # R0751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/RB</t>
    </r>
    <r>
      <rPr>
        <sz val="10"/>
        <rFont val="Noto Sans CJK SC"/>
        <family val="2"/>
      </rPr>
      <t xml:space="preserve">计量罐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缓冲罐</t>
    </r>
  </si>
  <si>
    <r>
      <rPr>
        <sz val="10"/>
        <rFont val="Consolas"/>
        <family val="3"/>
      </rPr>
      <t xml:space="preserve">:KSaltRBTank :hasMember :KSaltRBTank_M02 .   # R0752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/RB</t>
    </r>
    <r>
      <rPr>
        <sz val="10"/>
        <rFont val="Noto Sans CJK SC"/>
        <family val="2"/>
      </rPr>
      <t xml:space="preserve">计量罐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罐</t>
    </r>
  </si>
  <si>
    <r>
      <rPr>
        <sz val="10"/>
        <rFont val="Consolas"/>
        <family val="3"/>
      </rPr>
      <t xml:space="preserve">:KSaltRBTank :hasMember :KSaltRBTank_M03 .   # R0753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/RB</t>
    </r>
    <r>
      <rPr>
        <sz val="10"/>
        <rFont val="Noto Sans CJK SC"/>
        <family val="2"/>
      </rPr>
      <t xml:space="preserve">计量罐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计量罐</t>
    </r>
  </si>
  <si>
    <r>
      <rPr>
        <sz val="10"/>
        <rFont val="Consolas"/>
        <family val="3"/>
      </rPr>
      <t xml:space="preserve">:KSaltRBTank :hasPart :KSaltRBTank_P01 .   # R0754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/RB</t>
    </r>
    <r>
      <rPr>
        <sz val="10"/>
        <rFont val="Noto Sans CJK SC"/>
        <family val="2"/>
      </rPr>
      <t xml:space="preserve">计量罐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/RB</t>
    </r>
    <r>
      <rPr>
        <sz val="10"/>
        <rFont val="Noto Sans CJK SC"/>
        <family val="2"/>
      </rPr>
      <t>计量罐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温控阀</t>
    </r>
    <r>
      <rPr>
        <sz val="10"/>
        <rFont val="Consolas"/>
        <family val="3"/>
      </rPr>
      <t>HV_2009</t>
    </r>
  </si>
  <si>
    <r>
      <rPr>
        <sz val="10"/>
        <rFont val="Consolas"/>
        <family val="3"/>
      </rPr>
      <t xml:space="preserve">:KSaltRBTank :hasPart :KSaltRBTank_P02 .   # R0755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/RB</t>
    </r>
    <r>
      <rPr>
        <sz val="10"/>
        <rFont val="Noto Sans CJK SC"/>
        <family val="2"/>
      </rPr>
      <t xml:space="preserve">计量罐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/RB</t>
    </r>
    <r>
      <rPr>
        <sz val="10"/>
        <rFont val="Noto Sans CJK SC"/>
        <family val="2"/>
      </rPr>
      <t>计量罐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冰盐水调节阀</t>
    </r>
    <r>
      <rPr>
        <sz val="10"/>
        <rFont val="Consolas"/>
        <family val="3"/>
      </rPr>
      <t>AO127</t>
    </r>
  </si>
  <si>
    <r>
      <rPr>
        <sz val="10"/>
        <rFont val="Consolas"/>
        <family val="3"/>
      </rPr>
      <t xml:space="preserve">:Area_S08_PenGKSaltLine :hasEquipment :KSaltCrystallizers .   # R0756 </t>
    </r>
    <r>
      <rPr>
        <sz val="10"/>
        <rFont val="Noto Sans CJK SC"/>
        <family val="2"/>
      </rPr>
      <t xml:space="preserve">青霉素钾盐支线（点表补充）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</t>
    </r>
  </si>
  <si>
    <r>
      <rPr>
        <sz val="10"/>
        <rFont val="Consolas"/>
        <family val="3"/>
      </rPr>
      <t xml:space="preserve">:KSaltCrystallizers :hasMember :KSaltCrystallizers_M01 .   # R0757 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结晶罐</t>
    </r>
    <r>
      <rPr>
        <sz val="10"/>
        <rFont val="Consolas"/>
        <family val="3"/>
      </rPr>
      <t>R2185A</t>
    </r>
  </si>
  <si>
    <r>
      <rPr>
        <sz val="10"/>
        <rFont val="Consolas"/>
        <family val="3"/>
      </rPr>
      <t xml:space="preserve">:KSaltCrystallizers :hasMember :KSaltCrystallizers_M02 .   # R0758 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结晶罐</t>
    </r>
    <r>
      <rPr>
        <sz val="10"/>
        <rFont val="Consolas"/>
        <family val="3"/>
      </rPr>
      <t>R2185B</t>
    </r>
  </si>
  <si>
    <r>
      <rPr>
        <sz val="10"/>
        <rFont val="Consolas"/>
        <family val="3"/>
      </rPr>
      <t xml:space="preserve">:KSaltCrystallizers :hasMember :KSaltCrystallizers_M03 .   # R0759 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结晶罐</t>
    </r>
    <r>
      <rPr>
        <sz val="10"/>
        <rFont val="Consolas"/>
        <family val="3"/>
      </rPr>
      <t>R2185C</t>
    </r>
  </si>
  <si>
    <r>
      <rPr>
        <sz val="10"/>
        <rFont val="Consolas"/>
        <family val="3"/>
      </rPr>
      <t xml:space="preserve">:KSaltCrystallizers :hasMember :KSaltCrystallizers_M04 .   # R0760 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结晶罐</t>
    </r>
    <r>
      <rPr>
        <sz val="10"/>
        <rFont val="Consolas"/>
        <family val="3"/>
      </rPr>
      <t>R2185D</t>
    </r>
  </si>
  <si>
    <r>
      <rPr>
        <sz val="10"/>
        <rFont val="Consolas"/>
        <family val="3"/>
      </rPr>
      <t xml:space="preserve">:KSaltCrystallizers :hasMember :KSaltCrystallizers_M05 .   # R0761 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结晶罐</t>
    </r>
    <r>
      <rPr>
        <sz val="10"/>
        <rFont val="Consolas"/>
        <family val="3"/>
      </rPr>
      <t>R2185E</t>
    </r>
  </si>
  <si>
    <r>
      <rPr>
        <sz val="10"/>
        <rFont val="Consolas"/>
        <family val="3"/>
      </rPr>
      <t xml:space="preserve">:KSaltCrystallizers :hasMember :KSaltCrystallizers_M06 .   # R0762 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结晶罐</t>
    </r>
    <r>
      <rPr>
        <sz val="10"/>
        <rFont val="Consolas"/>
        <family val="3"/>
      </rPr>
      <t>R2185F</t>
    </r>
  </si>
  <si>
    <r>
      <rPr>
        <sz val="10"/>
        <rFont val="Consolas"/>
        <family val="3"/>
      </rPr>
      <t xml:space="preserve">:KSaltCrystallizers :hasPart :KSaltCrystallizers_P01 .   # R0763 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R2185A–F·</t>
    </r>
    <r>
      <rPr>
        <sz val="10"/>
        <rFont val="Noto Sans CJK SC"/>
        <family val="2"/>
      </rPr>
      <t>夹套蒸汽阀</t>
    </r>
    <r>
      <rPr>
        <sz val="10"/>
        <rFont val="Consolas"/>
        <family val="3"/>
      </rPr>
      <t>JY_9</t>
    </r>
  </si>
  <si>
    <r>
      <rPr>
        <sz val="10"/>
        <rFont val="Consolas"/>
        <family val="3"/>
      </rPr>
      <t xml:space="preserve">:KSaltCrystallizers :hasPart :KSaltCrystallizers_P02 .   # R0764 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R2185A–F·</t>
    </r>
    <r>
      <rPr>
        <sz val="10"/>
        <rFont val="Noto Sans CJK SC"/>
        <family val="2"/>
      </rPr>
      <t>导流筒蒸汽阀</t>
    </r>
    <r>
      <rPr>
        <sz val="10"/>
        <rFont val="Consolas"/>
        <family val="3"/>
      </rPr>
      <t>JY_10</t>
    </r>
  </si>
  <si>
    <r>
      <rPr>
        <sz val="10"/>
        <rFont val="Consolas"/>
        <family val="3"/>
      </rPr>
      <t xml:space="preserve">:KSaltCrystallizers :hasPart :KSaltCrystallizers_P03 .   # R0765 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R2185A–F·</t>
    </r>
    <r>
      <rPr>
        <sz val="10"/>
        <rFont val="Noto Sans CJK SC"/>
        <family val="2"/>
      </rPr>
      <t>补丁醇调节阀</t>
    </r>
    <r>
      <rPr>
        <sz val="10"/>
        <rFont val="Consolas"/>
        <family val="3"/>
      </rPr>
      <t>JY_6</t>
    </r>
  </si>
  <si>
    <r>
      <rPr>
        <sz val="10"/>
        <rFont val="Consolas"/>
        <family val="3"/>
      </rPr>
      <t xml:space="preserve">:KSaltCrystallizers :hasPart :KSaltCrystallizers_P04 .   # R0766 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R2185A–F·</t>
    </r>
    <r>
      <rPr>
        <sz val="10"/>
        <rFont val="Noto Sans CJK SC"/>
        <family val="2"/>
      </rPr>
      <t>真空系统</t>
    </r>
  </si>
  <si>
    <r>
      <rPr>
        <sz val="10"/>
        <rFont val="Consolas"/>
        <family val="3"/>
      </rPr>
      <t xml:space="preserve">:KSaltCrystallizers :hasPart :KSaltCrystallizers_P05 .   # R0767 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R2185A–F·</t>
    </r>
    <r>
      <rPr>
        <sz val="10"/>
        <rFont val="Noto Sans CJK SC"/>
        <family val="2"/>
      </rPr>
      <t>搅拌器</t>
    </r>
  </si>
  <si>
    <r>
      <rPr>
        <sz val="10"/>
        <rFont val="Consolas"/>
        <family val="3"/>
      </rPr>
      <t xml:space="preserve">:Area_S08_PenGKSaltLine :hasEquipment :KSalt1600Centrifuge .   # R0768 </t>
    </r>
    <r>
      <rPr>
        <sz val="10"/>
        <rFont val="Noto Sans CJK SC"/>
        <family val="2"/>
      </rPr>
      <t xml:space="preserve">青霉素钾盐支线（点表补充）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1600</t>
    </r>
    <r>
      <rPr>
        <sz val="10"/>
        <rFont val="Noto Sans CJK SC"/>
        <family val="2"/>
      </rPr>
      <t>离心机</t>
    </r>
  </si>
  <si>
    <r>
      <rPr>
        <sz val="10"/>
        <rFont val="Consolas"/>
        <family val="3"/>
      </rPr>
      <t xml:space="preserve">:KSalt1600Centrifuge :hasMember :KSalt1600Centrifuge_M01 .   # R0769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1600</t>
    </r>
    <r>
      <rPr>
        <sz val="10"/>
        <rFont val="Noto Sans CJK SC"/>
        <family val="2"/>
      </rPr>
      <t xml:space="preserve">离心机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1600</t>
    </r>
    <r>
      <rPr>
        <sz val="10"/>
        <rFont val="Noto Sans CJK SC"/>
        <family val="2"/>
      </rPr>
      <t>离心机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</si>
  <si>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:KSalt1600Centrifuge :hasMember :KSalt1600Centrifuge_M02 .   # R0770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1600</t>
    </r>
    <r>
      <rPr>
        <sz val="10"/>
        <rFont val="Noto Sans CJK SC"/>
        <family val="2"/>
      </rPr>
      <t xml:space="preserve">离心机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1600</t>
    </r>
    <r>
      <rPr>
        <sz val="10"/>
        <rFont val="Noto Sans CJK SC"/>
        <family val="2"/>
      </rPr>
      <t>离心机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</si>
  <si>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:KSalt1600Centrifuge :hasMember :KSalt1600Centrifuge_M03 .   # R0771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1600</t>
    </r>
    <r>
      <rPr>
        <sz val="10"/>
        <rFont val="Noto Sans CJK SC"/>
        <family val="2"/>
      </rPr>
      <t xml:space="preserve">离心机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1600</t>
    </r>
    <r>
      <rPr>
        <sz val="10"/>
        <rFont val="Noto Sans CJK SC"/>
        <family val="2"/>
      </rPr>
      <t>离心机</t>
    </r>
    <r>
      <rPr>
        <sz val="10"/>
        <rFont val="Consolas"/>
        <family val="3"/>
      </rPr>
      <t>C</t>
    </r>
  </si>
  <si>
    <r>
      <rPr>
        <sz val="10"/>
        <rFont val="Consolas"/>
        <family val="3"/>
      </rPr>
      <t xml:space="preserve">:KSalt1600Centrifuge :hasMember :KSalt1600Centrifuge_M04 .   # R0772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1600</t>
    </r>
    <r>
      <rPr>
        <sz val="10"/>
        <rFont val="Noto Sans CJK SC"/>
        <family val="2"/>
      </rPr>
      <t xml:space="preserve">离心机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1600</t>
    </r>
    <r>
      <rPr>
        <sz val="10"/>
        <rFont val="Noto Sans CJK SC"/>
        <family val="2"/>
      </rPr>
      <t>离心机</t>
    </r>
    <r>
      <rPr>
        <sz val="10"/>
        <rFont val="Consolas"/>
        <family val="3"/>
      </rPr>
      <t>D</t>
    </r>
  </si>
  <si>
    <r>
      <rPr>
        <sz val="10"/>
        <rFont val="Consolas"/>
        <family val="3"/>
      </rPr>
      <t xml:space="preserve">:KSalt1600Centrifuge :hasPart :KSalt1600Centrifuge_P01 .   # R0773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1600</t>
    </r>
    <r>
      <rPr>
        <sz val="10"/>
        <rFont val="Noto Sans CJK SC"/>
        <family val="2"/>
      </rPr>
      <t xml:space="preserve">离心机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1600</t>
    </r>
    <r>
      <rPr>
        <sz val="10"/>
        <rFont val="Noto Sans CJK SC"/>
        <family val="2"/>
      </rPr>
      <t>离心机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进料调节阀</t>
    </r>
    <r>
      <rPr>
        <sz val="10"/>
        <rFont val="Consolas"/>
        <family val="3"/>
      </rPr>
      <t>JYLX_1</t>
    </r>
  </si>
  <si>
    <r>
      <rPr>
        <sz val="10"/>
        <rFont val="Consolas"/>
        <family val="3"/>
      </rPr>
      <t xml:space="preserve">:KSaltRBTank :hasAttribute :Attr_087 .   # R0774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/RB</t>
    </r>
    <r>
      <rPr>
        <sz val="10"/>
        <rFont val="Noto Sans CJK SC"/>
        <family val="2"/>
      </rPr>
      <t xml:space="preserve">计量罐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缓冲罐温度</t>
    </r>
  </si>
  <si>
    <r>
      <rPr>
        <sz val="10"/>
        <rFont val="Consolas"/>
        <family val="3"/>
      </rPr>
      <t xml:space="preserve">:KSaltRBTank :hasAttribute :Attr_088 .   # R0775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/RB</t>
    </r>
    <r>
      <rPr>
        <sz val="10"/>
        <rFont val="Noto Sans CJK SC"/>
        <family val="2"/>
      </rPr>
      <t xml:space="preserve">计量罐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罐液位</t>
    </r>
  </si>
  <si>
    <r>
      <rPr>
        <sz val="10"/>
        <rFont val="Consolas"/>
        <family val="3"/>
      </rPr>
      <t xml:space="preserve">:KSaltCrystallizers :hasAttribute :Attr_089 .   # R0776 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钾盐结晶罐液体温度</t>
    </r>
  </si>
  <si>
    <r>
      <rPr>
        <sz val="10"/>
        <rFont val="Consolas"/>
        <family val="3"/>
      </rPr>
      <t xml:space="preserve">:KSaltCrystallizers :hasAttribute :Attr_090 .   # R0777 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钾盐结晶真空度</t>
    </r>
  </si>
  <si>
    <r>
      <rPr>
        <sz val="10"/>
        <rFont val="Consolas"/>
        <family val="3"/>
      </rPr>
      <t xml:space="preserve">:KSaltCrystallizers :hasAttribute :Attr_091 .   # R0778 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钾盐结晶补丁醇流量</t>
    </r>
  </si>
  <si>
    <r>
      <rPr>
        <sz val="10"/>
        <rFont val="Consolas"/>
        <family val="3"/>
      </rPr>
      <t xml:space="preserve">:KSaltCrystallizers :hasAttribute :Attr_092 .   # R0779 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钾盐结晶罐液位</t>
    </r>
  </si>
  <si>
    <r>
      <rPr>
        <sz val="10"/>
        <rFont val="Consolas"/>
        <family val="3"/>
      </rPr>
      <t xml:space="preserve">:Attr_087 :boundToTag :Tag_TI_2001 .   # R0780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 xml:space="preserve">缓冲罐温度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TI_2001</t>
    </r>
  </si>
  <si>
    <r>
      <rPr>
        <sz val="10"/>
        <rFont val="Consolas"/>
        <family val="3"/>
      </rPr>
      <t xml:space="preserve">:Attr_088 :boundToTag :Tag_LT_1206 .   # R0781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 xml:space="preserve">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LT_1206</t>
    </r>
  </si>
  <si>
    <r>
      <rPr>
        <sz val="10"/>
        <rFont val="Consolas"/>
        <family val="3"/>
      </rPr>
      <t xml:space="preserve">:Attr_089 :boundToTag :Tag_JY_16_2TI .   # R0782 </t>
    </r>
    <r>
      <rPr>
        <sz val="10"/>
        <rFont val="Noto Sans CJK SC"/>
        <family val="2"/>
      </rPr>
      <t xml:space="preserve">钾盐结晶罐液体温度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JY_16_2TI</t>
    </r>
  </si>
  <si>
    <r>
      <rPr>
        <sz val="10"/>
        <rFont val="Consolas"/>
        <family val="3"/>
      </rPr>
      <t xml:space="preserve">:Attr_089 :boundToTag :Tag_JY_17_2TI .   # R0783 </t>
    </r>
    <r>
      <rPr>
        <sz val="10"/>
        <rFont val="Noto Sans CJK SC"/>
        <family val="2"/>
      </rPr>
      <t xml:space="preserve">钾盐结晶罐液体温度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JY_17_2TI</t>
    </r>
  </si>
  <si>
    <r>
      <rPr>
        <sz val="10"/>
        <rFont val="Consolas"/>
        <family val="3"/>
      </rPr>
      <t xml:space="preserve">:Attr_089 :boundToTag :Tag_JY_18_2TI .   # R0784 </t>
    </r>
    <r>
      <rPr>
        <sz val="10"/>
        <rFont val="Noto Sans CJK SC"/>
        <family val="2"/>
      </rPr>
      <t xml:space="preserve">钾盐结晶罐液体温度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JY_18_2TI</t>
    </r>
  </si>
  <si>
    <r>
      <rPr>
        <sz val="10"/>
        <rFont val="Consolas"/>
        <family val="3"/>
      </rPr>
      <t xml:space="preserve">:Attr_089 :boundToTag :Tag_JY_19_2TI .   # R0785 </t>
    </r>
    <r>
      <rPr>
        <sz val="10"/>
        <rFont val="Noto Sans CJK SC"/>
        <family val="2"/>
      </rPr>
      <t xml:space="preserve">钾盐结晶罐液体温度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JY_19_2TI</t>
    </r>
  </si>
  <si>
    <r>
      <rPr>
        <sz val="10"/>
        <rFont val="Consolas"/>
        <family val="3"/>
      </rPr>
      <t xml:space="preserve">:Attr_089 :boundToTag :Tag_JY_20_2TI .   # R0786 </t>
    </r>
    <r>
      <rPr>
        <sz val="10"/>
        <rFont val="Noto Sans CJK SC"/>
        <family val="2"/>
      </rPr>
      <t xml:space="preserve">钾盐结晶罐液体温度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JY_20_2TI</t>
    </r>
  </si>
  <si>
    <r>
      <rPr>
        <sz val="10"/>
        <rFont val="Consolas"/>
        <family val="3"/>
      </rPr>
      <t xml:space="preserve">:Attr_089 :boundToTag :Tag_JY_21_2TI .   # R0787 </t>
    </r>
    <r>
      <rPr>
        <sz val="10"/>
        <rFont val="Noto Sans CJK SC"/>
        <family val="2"/>
      </rPr>
      <t xml:space="preserve">钾盐结晶罐液体温度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JY_21_2TI</t>
    </r>
  </si>
  <si>
    <r>
      <rPr>
        <sz val="10"/>
        <rFont val="Consolas"/>
        <family val="3"/>
      </rPr>
      <t xml:space="preserve">:Attr_090 :boundToTag :Tag_JY_11_1P .   # R0788 </t>
    </r>
    <r>
      <rPr>
        <sz val="10"/>
        <rFont val="Noto Sans CJK SC"/>
        <family val="2"/>
      </rPr>
      <t xml:space="preserve">钾盐结晶真空度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JY_11_1P</t>
    </r>
  </si>
  <si>
    <r>
      <rPr>
        <sz val="10"/>
        <rFont val="Consolas"/>
        <family val="3"/>
      </rPr>
      <t xml:space="preserve">:Attr_090 :boundToTag :Tag_JY_11_2P .   # R0789 </t>
    </r>
    <r>
      <rPr>
        <sz val="10"/>
        <rFont val="Noto Sans CJK SC"/>
        <family val="2"/>
      </rPr>
      <t xml:space="preserve">钾盐结晶真空度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JY_11_2P</t>
    </r>
  </si>
  <si>
    <r>
      <rPr>
        <sz val="10"/>
        <rFont val="Consolas"/>
        <family val="3"/>
      </rPr>
      <t xml:space="preserve">:Attr_090 :boundToTag :Tag_JY_11_3P .   # R0790 </t>
    </r>
    <r>
      <rPr>
        <sz val="10"/>
        <rFont val="Noto Sans CJK SC"/>
        <family val="2"/>
      </rPr>
      <t xml:space="preserve">钾盐结晶真空度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JY_11_3P</t>
    </r>
  </si>
  <si>
    <r>
      <rPr>
        <sz val="10"/>
        <rFont val="Consolas"/>
        <family val="3"/>
      </rPr>
      <t xml:space="preserve">:Attr_090 :boundToTag :Tag_JY_11_4P .   # R0791 </t>
    </r>
    <r>
      <rPr>
        <sz val="10"/>
        <rFont val="Noto Sans CJK SC"/>
        <family val="2"/>
      </rPr>
      <t xml:space="preserve">钾盐结晶真空度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JY_11_4P</t>
    </r>
  </si>
  <si>
    <r>
      <rPr>
        <sz val="10"/>
        <rFont val="Consolas"/>
        <family val="3"/>
      </rPr>
      <t xml:space="preserve">:Attr_090 :boundToTag :Tag_JY_11_5P .   # R0792 </t>
    </r>
    <r>
      <rPr>
        <sz val="10"/>
        <rFont val="Noto Sans CJK SC"/>
        <family val="2"/>
      </rPr>
      <t xml:space="preserve">钾盐结晶真空度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JY_11_5P</t>
    </r>
  </si>
  <si>
    <r>
      <rPr>
        <sz val="10"/>
        <rFont val="Consolas"/>
        <family val="3"/>
      </rPr>
      <t xml:space="preserve">:Attr_090 :boundToTag :Tag_JY_11_6P .   # R0793 </t>
    </r>
    <r>
      <rPr>
        <sz val="10"/>
        <rFont val="Noto Sans CJK SC"/>
        <family val="2"/>
      </rPr>
      <t xml:space="preserve">钾盐结晶真空度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JY_11_6P</t>
    </r>
  </si>
  <si>
    <r>
      <rPr>
        <sz val="10"/>
        <rFont val="Consolas"/>
        <family val="3"/>
      </rPr>
      <t xml:space="preserve">:Attr_091 :boundToTag :Tag_JY_12_1FI .   # R0794 </t>
    </r>
    <r>
      <rPr>
        <sz val="10"/>
        <rFont val="Noto Sans CJK SC"/>
        <family val="2"/>
      </rPr>
      <t xml:space="preserve">钾盐结晶补丁醇流量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JY_12_1FI</t>
    </r>
  </si>
  <si>
    <r>
      <rPr>
        <sz val="10"/>
        <rFont val="Consolas"/>
        <family val="3"/>
      </rPr>
      <t xml:space="preserve">:Attr_091 :boundToTag :Tag_JY_12_2FI .   # R0795 </t>
    </r>
    <r>
      <rPr>
        <sz val="10"/>
        <rFont val="Noto Sans CJK SC"/>
        <family val="2"/>
      </rPr>
      <t xml:space="preserve">钾盐结晶补丁醇流量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JY_12_2FI</t>
    </r>
  </si>
  <si>
    <r>
      <rPr>
        <sz val="10"/>
        <rFont val="Consolas"/>
        <family val="3"/>
      </rPr>
      <t xml:space="preserve">:Attr_091 :boundToTag :Tag_JY_12_3FI .   # R0796 </t>
    </r>
    <r>
      <rPr>
        <sz val="10"/>
        <rFont val="Noto Sans CJK SC"/>
        <family val="2"/>
      </rPr>
      <t xml:space="preserve">钾盐结晶补丁醇流量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JY_12_3FI</t>
    </r>
  </si>
  <si>
    <r>
      <rPr>
        <sz val="10"/>
        <rFont val="Consolas"/>
        <family val="3"/>
      </rPr>
      <t xml:space="preserve">:Attr_091 :boundToTag :Tag_JY_12_4FI .   # R0797 </t>
    </r>
    <r>
      <rPr>
        <sz val="10"/>
        <rFont val="Noto Sans CJK SC"/>
        <family val="2"/>
      </rPr>
      <t xml:space="preserve">钾盐结晶补丁醇流量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JY_12_4FI</t>
    </r>
  </si>
  <si>
    <r>
      <rPr>
        <sz val="10"/>
        <rFont val="Consolas"/>
        <family val="3"/>
      </rPr>
      <t xml:space="preserve">:Attr_091 :boundToTag :Tag_JY_12_5FI .   # R0798 </t>
    </r>
    <r>
      <rPr>
        <sz val="10"/>
        <rFont val="Noto Sans CJK SC"/>
        <family val="2"/>
      </rPr>
      <t xml:space="preserve">钾盐结晶补丁醇流量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JY_12_5FI</t>
    </r>
  </si>
  <si>
    <r>
      <rPr>
        <sz val="10"/>
        <rFont val="Consolas"/>
        <family val="3"/>
      </rPr>
      <t xml:space="preserve">:Attr_091 :boundToTag :Tag_JY_12_6FI .   # R0799 </t>
    </r>
    <r>
      <rPr>
        <sz val="10"/>
        <rFont val="Noto Sans CJK SC"/>
        <family val="2"/>
      </rPr>
      <t xml:space="preserve">钾盐结晶补丁醇流量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JY_12_6FI</t>
    </r>
  </si>
  <si>
    <r>
      <rPr>
        <sz val="10"/>
        <rFont val="Consolas"/>
        <family val="3"/>
      </rPr>
      <t xml:space="preserve">:Attr_092 :boundToTag :Tag_JY_13_1LT .   # R0800 </t>
    </r>
    <r>
      <rPr>
        <sz val="10"/>
        <rFont val="Noto Sans CJK SC"/>
        <family val="2"/>
      </rPr>
      <t xml:space="preserve">钾盐结晶罐液位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JY_13_1LT</t>
    </r>
  </si>
  <si>
    <r>
      <rPr>
        <sz val="10"/>
        <rFont val="Consolas"/>
        <family val="3"/>
      </rPr>
      <t xml:space="preserve">:Attr_092 :boundToTag :Tag_JY_13_2LT .   # R0801 </t>
    </r>
    <r>
      <rPr>
        <sz val="10"/>
        <rFont val="Noto Sans CJK SC"/>
        <family val="2"/>
      </rPr>
      <t xml:space="preserve">钾盐结晶罐液位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JY_13_2LT</t>
    </r>
  </si>
  <si>
    <r>
      <rPr>
        <sz val="10"/>
        <rFont val="Consolas"/>
        <family val="3"/>
      </rPr>
      <t xml:space="preserve">:Attr_092 :boundToTag :Tag_JY_13_3LT .   # R0802 </t>
    </r>
    <r>
      <rPr>
        <sz val="10"/>
        <rFont val="Noto Sans CJK SC"/>
        <family val="2"/>
      </rPr>
      <t xml:space="preserve">钾盐结晶罐液位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JY_13_3LT</t>
    </r>
  </si>
  <si>
    <r>
      <rPr>
        <sz val="10"/>
        <rFont val="Consolas"/>
        <family val="3"/>
      </rPr>
      <t xml:space="preserve">:Attr_092 :boundToTag :Tag_JY_13_4LT .   # R0803 </t>
    </r>
    <r>
      <rPr>
        <sz val="10"/>
        <rFont val="Noto Sans CJK SC"/>
        <family val="2"/>
      </rPr>
      <t xml:space="preserve">钾盐结晶罐液位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JY_13_4LT</t>
    </r>
  </si>
  <si>
    <r>
      <rPr>
        <sz val="10"/>
        <rFont val="Consolas"/>
        <family val="3"/>
      </rPr>
      <t xml:space="preserve">:Attr_092 :boundToTag :Tag_JY_13_5LT .   # R0804 </t>
    </r>
    <r>
      <rPr>
        <sz val="10"/>
        <rFont val="Noto Sans CJK SC"/>
        <family val="2"/>
      </rPr>
      <t xml:space="preserve">钾盐结晶罐液位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JY_13_5LT</t>
    </r>
  </si>
  <si>
    <r>
      <rPr>
        <sz val="10"/>
        <rFont val="Consolas"/>
        <family val="3"/>
      </rPr>
      <t xml:space="preserve">:Attr_092 :boundToTag :Tag_JY_13_6LT .   # R0805 </t>
    </r>
    <r>
      <rPr>
        <sz val="10"/>
        <rFont val="Noto Sans CJK SC"/>
        <family val="2"/>
      </rPr>
      <t xml:space="preserve">钾盐结晶罐液位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JY_13_6LT</t>
    </r>
  </si>
  <si>
    <r>
      <rPr>
        <sz val="10"/>
        <rFont val="Consolas"/>
        <family val="3"/>
      </rPr>
      <t xml:space="preserve">:Ctrl_019 :controls :Act_019 .   # R0806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温度控制器</t>
    </r>
    <r>
      <rPr>
        <sz val="10"/>
        <rFont val="Consolas"/>
        <family val="3"/>
      </rPr>
      <t>(TIC-2001)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缓冲罐温度控制阀</t>
    </r>
    <r>
      <rPr>
        <sz val="10"/>
        <rFont val="Consolas"/>
        <family val="3"/>
      </rPr>
      <t>HV_2009</t>
    </r>
  </si>
  <si>
    <r>
      <rPr>
        <sz val="10"/>
        <rFont val="Consolas"/>
        <family val="3"/>
      </rPr>
      <t xml:space="preserve">:Attr_087 :feedbackTo :Ctrl_019 .   # R0807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 xml:space="preserve">缓冲罐温度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温度控制器</t>
    </r>
    <r>
      <rPr>
        <sz val="10"/>
        <rFont val="Consolas"/>
        <family val="3"/>
      </rPr>
      <t>(TIC-2001)</t>
    </r>
  </si>
  <si>
    <r>
      <rPr>
        <sz val="10"/>
        <rFont val="Consolas"/>
        <family val="3"/>
      </rPr>
      <t xml:space="preserve">:Act_019 :affects :Attr_087 .   # R0808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缓冲罐温度控制阀</t>
    </r>
    <r>
      <rPr>
        <sz val="10"/>
        <rFont val="Consolas"/>
        <family val="3"/>
      </rPr>
      <t>HV_2009 -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缓冲罐温度</t>
    </r>
  </si>
  <si>
    <r>
      <rPr>
        <sz val="10"/>
        <rFont val="Consolas"/>
        <family val="3"/>
      </rPr>
      <t xml:space="preserve">:Ctrl_020 :controls :Act_020 .   # R0809 </t>
    </r>
    <r>
      <rPr>
        <sz val="10"/>
        <rFont val="Noto Sans CJK SC"/>
        <family val="2"/>
      </rPr>
      <t xml:space="preserve">钾盐结晶补丁醇控制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补丁醇调节阀</t>
    </r>
    <r>
      <rPr>
        <sz val="10"/>
        <rFont val="Consolas"/>
        <family val="3"/>
      </rPr>
      <t>JY_6_1–6</t>
    </r>
  </si>
  <si>
    <r>
      <rPr>
        <sz val="10"/>
        <rFont val="Consolas"/>
        <family val="3"/>
      </rPr>
      <t xml:space="preserve">:Attr_091 :feedbackTo :Ctrl_020 .   # R0810 </t>
    </r>
    <r>
      <rPr>
        <sz val="10"/>
        <rFont val="Noto Sans CJK SC"/>
        <family val="2"/>
      </rPr>
      <t xml:space="preserve">钾盐结晶补丁醇流量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钾盐结晶补丁醇控制</t>
    </r>
  </si>
  <si>
    <r>
      <rPr>
        <sz val="10"/>
        <rFont val="Consolas"/>
        <family val="3"/>
      </rPr>
      <t xml:space="preserve">:Act_020 :affects :Attr_091 .   # R0811 </t>
    </r>
    <r>
      <rPr>
        <sz val="10"/>
        <rFont val="Noto Sans CJK SC"/>
        <family val="2"/>
      </rPr>
      <t>补丁醇调节阀</t>
    </r>
    <r>
      <rPr>
        <sz val="10"/>
        <rFont val="Consolas"/>
        <family val="3"/>
      </rPr>
      <t>JY_6_1–6 -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钾盐结晶补丁醇流量</t>
    </r>
  </si>
  <si>
    <r>
      <rPr>
        <sz val="10"/>
        <rFont val="Consolas"/>
        <family val="3"/>
      </rPr>
      <t xml:space="preserve">:Ctrl_021 :controls :Act_021 .   # R0812 </t>
    </r>
    <r>
      <rPr>
        <sz val="10"/>
        <rFont val="Noto Sans CJK SC"/>
        <family val="2"/>
      </rPr>
      <t xml:space="preserve">钾盐结晶夹套温控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夹套蒸汽控制阀</t>
    </r>
    <r>
      <rPr>
        <sz val="10"/>
        <rFont val="Consolas"/>
        <family val="3"/>
      </rPr>
      <t>JY_9_1–6</t>
    </r>
  </si>
  <si>
    <r>
      <rPr>
        <sz val="10"/>
        <rFont val="Consolas"/>
        <family val="3"/>
      </rPr>
      <t xml:space="preserve">:Attr_089 :feedbackTo :Ctrl_021 .   # R0813 </t>
    </r>
    <r>
      <rPr>
        <sz val="10"/>
        <rFont val="Noto Sans CJK SC"/>
        <family val="2"/>
      </rPr>
      <t xml:space="preserve">钾盐结晶罐液体温度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钾盐结晶夹套温控</t>
    </r>
  </si>
  <si>
    <r>
      <rPr>
        <sz val="10"/>
        <rFont val="Consolas"/>
        <family val="3"/>
      </rPr>
      <t xml:space="preserve">:Act_021 :affects :Attr_089 .   # R0814 </t>
    </r>
    <r>
      <rPr>
        <sz val="10"/>
        <rFont val="Noto Sans CJK SC"/>
        <family val="2"/>
      </rPr>
      <t>夹套蒸汽控制阀</t>
    </r>
    <r>
      <rPr>
        <sz val="10"/>
        <rFont val="Consolas"/>
        <family val="3"/>
      </rPr>
      <t>JY_9_1–6 -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钾盐结晶罐液体温度</t>
    </r>
  </si>
  <si>
    <r>
      <rPr>
        <sz val="10"/>
        <rFont val="Consolas"/>
        <family val="3"/>
      </rPr>
      <t xml:space="preserve">:MS_DecolorBA :flowsInto :KSaltMixers .   # R0815 </t>
    </r>
    <r>
      <rPr>
        <sz val="10"/>
        <rFont val="Noto Sans CJK SC"/>
        <family val="2"/>
      </rPr>
      <t>脱色</t>
    </r>
    <r>
      <rPr>
        <sz val="10"/>
        <rFont val="Consolas"/>
        <family val="3"/>
      </rPr>
      <t>BA 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二混罐</t>
    </r>
  </si>
  <si>
    <r>
      <rPr>
        <sz val="10"/>
        <rFont val="Consolas"/>
        <family val="3"/>
      </rPr>
      <t xml:space="preserve">:MS_K2CO3 :flowsInto :KSaltMixers .   # R0816 </t>
    </r>
    <r>
      <rPr>
        <sz val="10"/>
        <rFont val="Noto Sans CJK SC"/>
        <family val="2"/>
      </rPr>
      <t xml:space="preserve">碳酸钾溶液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二混罐</t>
    </r>
  </si>
  <si>
    <r>
      <rPr>
        <sz val="10"/>
        <rFont val="Consolas"/>
        <family val="3"/>
      </rPr>
      <t xml:space="preserve">:KSaltMixers :connectedToNext :KSaltCentrifuges .   # R0817 </t>
    </r>
    <r>
      <rPr>
        <sz val="10"/>
        <rFont val="Noto Sans CJK SC"/>
        <family val="2"/>
      </rPr>
      <t>钾盐一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二混罐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钾盐离心机组</t>
    </r>
  </si>
  <si>
    <r>
      <rPr>
        <sz val="10"/>
        <rFont val="Consolas"/>
        <family val="3"/>
      </rPr>
      <t xml:space="preserve">:KSaltCentrifuges :separatesInto :MS_ReturnBA .   # R0818 </t>
    </r>
    <r>
      <rPr>
        <sz val="10"/>
        <rFont val="Noto Sans CJK SC"/>
        <family val="2"/>
      </rPr>
      <t xml:space="preserve">钾盐离心机组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分离产出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退</t>
    </r>
    <r>
      <rPr>
        <sz val="10"/>
        <rFont val="Consolas"/>
        <family val="3"/>
      </rPr>
      <t>BA(</t>
    </r>
    <r>
      <rPr>
        <sz val="10"/>
        <rFont val="Noto Sans CJK SC"/>
        <family val="2"/>
      </rPr>
      <t>贫</t>
    </r>
    <r>
      <rPr>
        <sz val="10"/>
        <rFont val="Consolas"/>
        <family val="3"/>
      </rPr>
      <t>BA)</t>
    </r>
  </si>
  <si>
    <r>
      <rPr>
        <sz val="10"/>
        <rFont val="Consolas"/>
        <family val="3"/>
      </rPr>
      <t xml:space="preserve">:KSaltCentrifuges :connectedToNext :KSaltRBTank .   # R0819 </t>
    </r>
    <r>
      <rPr>
        <sz val="10"/>
        <rFont val="Noto Sans CJK SC"/>
        <family val="2"/>
      </rPr>
      <t xml:space="preserve">钾盐离心机组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/RB</t>
    </r>
    <r>
      <rPr>
        <sz val="10"/>
        <rFont val="Noto Sans CJK SC"/>
        <family val="2"/>
      </rPr>
      <t>计量罐</t>
    </r>
  </si>
  <si>
    <r>
      <rPr>
        <sz val="10"/>
        <rFont val="Consolas"/>
        <family val="3"/>
      </rPr>
      <t xml:space="preserve">:KSaltRBTank :connectedToNext :KSaltCrystallizers .   # R0820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/RB</t>
    </r>
    <r>
      <rPr>
        <sz val="10"/>
        <rFont val="Noto Sans CJK SC"/>
        <family val="2"/>
      </rPr>
      <t xml:space="preserve">计量罐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</t>
    </r>
  </si>
  <si>
    <r>
      <rPr>
        <sz val="10"/>
        <rFont val="Consolas"/>
        <family val="3"/>
      </rPr>
      <t xml:space="preserve">:KSaltCrystallizers :connectedToNext :KSalt1600Centrifuge .   # R0821 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 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1600</t>
    </r>
    <r>
      <rPr>
        <sz val="10"/>
        <rFont val="Noto Sans CJK SC"/>
        <family val="2"/>
      </rPr>
      <t>离心机</t>
    </r>
  </si>
  <si>
    <r>
      <rPr>
        <sz val="10"/>
        <rFont val="Consolas"/>
        <family val="3"/>
      </rPr>
      <t xml:space="preserve">:KSalt1600Centrifuge :produces :MS_KSalt .   # R0822 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1600</t>
    </r>
    <r>
      <rPr>
        <sz val="10"/>
        <rFont val="Noto Sans CJK SC"/>
        <family val="2"/>
      </rPr>
      <t xml:space="preserve">离心机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青霉素</t>
    </r>
    <r>
      <rPr>
        <sz val="10"/>
        <rFont val="Consolas"/>
        <family val="3"/>
      </rPr>
      <t>G</t>
    </r>
    <r>
      <rPr>
        <sz val="10"/>
        <rFont val="Noto Sans CJK SC"/>
        <family val="2"/>
      </rPr>
      <t>钾盐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副产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</si>
  <si>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:MS_Steam :suppliesUtility :KSaltCrystallizers .   # R0823 </t>
    </r>
    <r>
      <rPr>
        <sz val="10"/>
        <rFont val="Noto Sans CJK SC"/>
        <family val="2"/>
      </rPr>
      <t xml:space="preserve">蒸汽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供给介质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</t>
    </r>
  </si>
  <si>
    <r>
      <rPr>
        <sz val="10"/>
        <rFont val="Consolas"/>
        <family val="3"/>
      </rPr>
      <t xml:space="preserve">:MS_Vacuum :suppliesUtility :KSaltCrystallizers .   # R0824 </t>
    </r>
    <r>
      <rPr>
        <sz val="10"/>
        <rFont val="Noto Sans CJK SC"/>
        <family val="2"/>
      </rPr>
      <t xml:space="preserve">真空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供给介质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钾盐结晶罐</t>
    </r>
    <r>
      <rPr>
        <sz val="10"/>
        <rFont val="Consolas"/>
        <family val="3"/>
      </rPr>
      <t>R2185A–F</t>
    </r>
  </si>
  <si>
    <r>
      <rPr>
        <sz val="10"/>
        <rFont val="Consolas"/>
        <family val="3"/>
      </rPr>
      <t xml:space="preserve">:Attr_090 :affects :Attr_089 .   # R0825 </t>
    </r>
    <r>
      <rPr>
        <sz val="10"/>
        <rFont val="Noto Sans CJK SC"/>
        <family val="2"/>
      </rPr>
      <t xml:space="preserve">钾盐结晶真空度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钾盐结晶罐液体温度</t>
    </r>
  </si>
  <si>
    <r>
      <rPr>
        <sz val="10"/>
        <rFont val="Consolas"/>
        <family val="3"/>
      </rPr>
      <t xml:space="preserve">:Attr_091 :affects :Attr_313 .   # R0826 </t>
    </r>
    <r>
      <rPr>
        <sz val="10"/>
        <rFont val="Noto Sans CJK SC"/>
        <family val="2"/>
      </rPr>
      <t xml:space="preserve">钾盐结晶补丁醇流量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钾盐结晶收率</t>
    </r>
  </si>
  <si>
    <r>
      <rPr>
        <sz val="10"/>
        <rFont val="Consolas"/>
        <family val="3"/>
      </rPr>
      <t xml:space="preserve">
# --- S09 </t>
    </r>
    <r>
      <rPr>
        <sz val="10"/>
        <rFont val="Noto Sans CJK SC"/>
        <family val="2"/>
      </rPr>
      <t>薄膜蒸发（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 xml:space="preserve">脱溶） </t>
    </r>
    <r>
      <rPr>
        <sz val="10"/>
        <rFont val="Consolas"/>
        <family val="3"/>
      </rPr>
      <t>---</t>
    </r>
  </si>
  <si>
    <r>
      <rPr>
        <sz val="10"/>
        <rFont val="Consolas"/>
        <family val="3"/>
      </rPr>
      <t xml:space="preserve">:Area_S09_ThinFilmEvaporation :connectedToNext :Area_S11_EnzymaticHydrolysis .   # R0827 </t>
    </r>
    <r>
      <rPr>
        <sz val="10"/>
        <rFont val="Noto Sans CJK SC"/>
        <family val="2"/>
      </rPr>
      <t>薄膜蒸发（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 xml:space="preserve">脱溶）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酶法水解</t>
    </r>
  </si>
  <si>
    <r>
      <rPr>
        <sz val="10"/>
        <rFont val="Consolas"/>
        <family val="3"/>
      </rPr>
      <t xml:space="preserve">:Area_S09_ThinFilmEvaporation :connectedToNext :Area_S18_SolventDistillation .   # R0828 </t>
    </r>
    <r>
      <rPr>
        <sz val="10"/>
        <rFont val="Noto Sans CJK SC"/>
        <family val="2"/>
      </rPr>
      <t>薄膜蒸发（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 xml:space="preserve">脱溶）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丁酯精馏（溶媒回收）</t>
    </r>
  </si>
  <si>
    <r>
      <rPr>
        <sz val="10"/>
        <rFont val="Consolas"/>
        <family val="3"/>
      </rPr>
      <t xml:space="preserve">:Area_S09_ThinFilmEvaporation :hasEquipment :TFEvaporatorGroup .   # R0829 </t>
    </r>
    <r>
      <rPr>
        <sz val="10"/>
        <rFont val="Noto Sans CJK SC"/>
        <family val="2"/>
      </rPr>
      <t>薄膜蒸发（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 xml:space="preserve">脱溶）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薄膜蒸发器组</t>
    </r>
  </si>
  <si>
    <r>
      <rPr>
        <sz val="10"/>
        <rFont val="Consolas"/>
        <family val="3"/>
      </rPr>
      <t xml:space="preserve">:TFEvaporatorGroup :hasMember :TFEvaporatorGroup_M01 .   # R0830 </t>
    </r>
    <r>
      <rPr>
        <sz val="10"/>
        <rFont val="Noto Sans CJK SC"/>
        <family val="2"/>
      </rPr>
      <t xml:space="preserve">薄膜蒸发器组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薄膜蒸发器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</si>
  <si>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:TFEvaporatorGroup :hasMember :TFEvaporatorGroup_M02 .   # R0831 </t>
    </r>
    <r>
      <rPr>
        <sz val="10"/>
        <rFont val="Noto Sans CJK SC"/>
        <family val="2"/>
      </rPr>
      <t xml:space="preserve">薄膜蒸发器组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薄膜蒸发器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</si>
  <si>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:TFEvaporatorGroup :hasMember :TFEvaporatorGroup_M03 .   # R0832 </t>
    </r>
    <r>
      <rPr>
        <sz val="10"/>
        <rFont val="Noto Sans CJK SC"/>
        <family val="2"/>
      </rPr>
      <t xml:space="preserve">薄膜蒸发器组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薄膜蒸发器</t>
    </r>
    <r>
      <rPr>
        <sz val="10"/>
        <rFont val="Consolas"/>
        <family val="3"/>
      </rPr>
      <t>C</t>
    </r>
  </si>
  <si>
    <r>
      <rPr>
        <sz val="10"/>
        <rFont val="Consolas"/>
        <family val="3"/>
      </rPr>
      <t xml:space="preserve">:TFEvaporatorGroup :hasMember :TFEvaporatorGroup_M04 .   # R0833 </t>
    </r>
    <r>
      <rPr>
        <sz val="10"/>
        <rFont val="Noto Sans CJK SC"/>
        <family val="2"/>
      </rPr>
      <t xml:space="preserve">薄膜蒸发器组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薄膜蒸发器</t>
    </r>
    <r>
      <rPr>
        <sz val="10"/>
        <rFont val="Consolas"/>
        <family val="3"/>
      </rPr>
      <t>D</t>
    </r>
  </si>
  <si>
    <r>
      <rPr>
        <sz val="10"/>
        <rFont val="Consolas"/>
        <family val="3"/>
      </rPr>
      <t xml:space="preserve">:TFEvaporatorGroup :hasPart :TFEvaporatorGroup_P01 .   # R0834 </t>
    </r>
    <r>
      <rPr>
        <sz val="10"/>
        <rFont val="Noto Sans CJK SC"/>
        <family val="2"/>
      </rPr>
      <t xml:space="preserve">薄膜蒸发器组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薄膜蒸发器组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转子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刮板电机</t>
    </r>
    <r>
      <rPr>
        <sz val="10"/>
        <rFont val="Consolas"/>
        <family val="3"/>
      </rPr>
      <t>PB_1008</t>
    </r>
  </si>
  <si>
    <r>
      <rPr>
        <sz val="10"/>
        <rFont val="Consolas"/>
        <family val="3"/>
      </rPr>
      <t xml:space="preserve">:TFEvaporatorGroup :hasPart :TFEvaporatorGroup_P02 .   # R0835 </t>
    </r>
    <r>
      <rPr>
        <sz val="10"/>
        <rFont val="Noto Sans CJK SC"/>
        <family val="2"/>
      </rPr>
      <t xml:space="preserve">薄膜蒸发器组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薄膜蒸发器组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加热夹套</t>
    </r>
  </si>
  <si>
    <r>
      <rPr>
        <sz val="10"/>
        <rFont val="Consolas"/>
        <family val="3"/>
      </rPr>
      <t xml:space="preserve">:TFEvaporatorGroup :hasPart :TFEvaporatorGroup_P03 .   # R0836 </t>
    </r>
    <r>
      <rPr>
        <sz val="10"/>
        <rFont val="Noto Sans CJK SC"/>
        <family val="2"/>
      </rPr>
      <t xml:space="preserve">薄膜蒸发器组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薄膜蒸发器组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进口流量调节阀</t>
    </r>
    <r>
      <rPr>
        <sz val="10"/>
        <rFont val="Consolas"/>
        <family val="3"/>
      </rPr>
      <t>HV_1011</t>
    </r>
  </si>
  <si>
    <r>
      <rPr>
        <sz val="10"/>
        <rFont val="Consolas"/>
        <family val="3"/>
      </rPr>
      <t xml:space="preserve">:TFEvaporatorGroup :hasPart :TFEvaporatorGroup_P04 .   # R0837 </t>
    </r>
    <r>
      <rPr>
        <sz val="10"/>
        <rFont val="Noto Sans CJK SC"/>
        <family val="2"/>
      </rPr>
      <t xml:space="preserve">薄膜蒸发器组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薄膜蒸发器组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泵后调节阀</t>
    </r>
    <r>
      <rPr>
        <sz val="10"/>
        <rFont val="Consolas"/>
        <family val="3"/>
      </rPr>
      <t>HV_1012</t>
    </r>
  </si>
  <si>
    <r>
      <rPr>
        <sz val="10"/>
        <rFont val="Consolas"/>
        <family val="3"/>
      </rPr>
      <t xml:space="preserve">:Area_S09_ThinFilmEvaporation :hasEquipment :TFCondenserGroup .   # R0838 </t>
    </r>
    <r>
      <rPr>
        <sz val="10"/>
        <rFont val="Noto Sans CJK SC"/>
        <family val="2"/>
      </rPr>
      <t>薄膜蒸发（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 xml:space="preserve">脱溶）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薄膜冷凝器组</t>
    </r>
  </si>
  <si>
    <r>
      <rPr>
        <sz val="10"/>
        <rFont val="Consolas"/>
        <family val="3"/>
      </rPr>
      <t xml:space="preserve">:TFCondenserGroup :hasMember :TFCondenserGroup_M01 .   # R0839 </t>
    </r>
    <r>
      <rPr>
        <sz val="10"/>
        <rFont val="Noto Sans CJK SC"/>
        <family val="2"/>
      </rPr>
      <t xml:space="preserve">薄膜冷凝器组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冷凝器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</si>
  <si>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:TFCondenserGroup :hasMember :TFCondenserGroup_M02 .   # R0840 </t>
    </r>
    <r>
      <rPr>
        <sz val="10"/>
        <rFont val="Noto Sans CJK SC"/>
        <family val="2"/>
      </rPr>
      <t xml:space="preserve">薄膜冷凝器组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冷凝器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</si>
  <si>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:TFCondenserGroup :hasMember :TFCondenserGroup_M03 .   # R0841 </t>
    </r>
    <r>
      <rPr>
        <sz val="10"/>
        <rFont val="Noto Sans CJK SC"/>
        <family val="2"/>
      </rPr>
      <t xml:space="preserve">薄膜冷凝器组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冷凝器</t>
    </r>
    <r>
      <rPr>
        <sz val="10"/>
        <rFont val="Consolas"/>
        <family val="3"/>
      </rPr>
      <t>C</t>
    </r>
  </si>
  <si>
    <r>
      <rPr>
        <sz val="10"/>
        <rFont val="Consolas"/>
        <family val="3"/>
      </rPr>
      <t xml:space="preserve">:TFCondenserGroup :hasMember :TFCondenserGroup_M04 .   # R0842 </t>
    </r>
    <r>
      <rPr>
        <sz val="10"/>
        <rFont val="Noto Sans CJK SC"/>
        <family val="2"/>
      </rPr>
      <t xml:space="preserve">薄膜冷凝器组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冷凝器</t>
    </r>
    <r>
      <rPr>
        <sz val="10"/>
        <rFont val="Consolas"/>
        <family val="3"/>
      </rPr>
      <t>D</t>
    </r>
  </si>
  <si>
    <r>
      <rPr>
        <sz val="10"/>
        <rFont val="Consolas"/>
        <family val="3"/>
      </rPr>
      <t xml:space="preserve">:TFCondenserGroup :hasPart :TFCondenserGroup_P01 .   # R0843 </t>
    </r>
    <r>
      <rPr>
        <sz val="10"/>
        <rFont val="Noto Sans CJK SC"/>
        <family val="2"/>
      </rPr>
      <t xml:space="preserve">薄膜冷凝器组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薄膜冷凝器组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冷盐水分阀</t>
    </r>
    <r>
      <rPr>
        <sz val="10"/>
        <rFont val="Consolas"/>
        <family val="3"/>
      </rPr>
      <t>HV_1014</t>
    </r>
  </si>
  <si>
    <r>
      <rPr>
        <sz val="10"/>
        <rFont val="Consolas"/>
        <family val="3"/>
      </rPr>
      <t xml:space="preserve">:Area_S09_ThinFilmEvaporation :hasEquipment :TFHeavyTanks .   # R0844 </t>
    </r>
    <r>
      <rPr>
        <sz val="10"/>
        <rFont val="Noto Sans CJK SC"/>
        <family val="2"/>
      </rPr>
      <t>薄膜蒸发（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 xml:space="preserve">脱溶）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薄膜重相罐组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脱溶</t>
    </r>
    <r>
      <rPr>
        <sz val="10"/>
        <rFont val="Consolas"/>
        <family val="3"/>
      </rPr>
      <t>RB)</t>
    </r>
  </si>
  <si>
    <r>
      <rPr>
        <sz val="10"/>
        <rFont val="Consolas"/>
        <family val="3"/>
      </rPr>
      <t xml:space="preserve">:TFHeavyTanks :hasMember :TFHeavyTanks_M01 .   # R0845 </t>
    </r>
    <r>
      <rPr>
        <sz val="10"/>
        <rFont val="Noto Sans CJK SC"/>
        <family val="2"/>
      </rPr>
      <t>薄膜重相罐组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脱溶</t>
    </r>
    <r>
      <rPr>
        <sz val="10"/>
        <rFont val="Consolas"/>
        <family val="3"/>
      </rPr>
      <t>RB)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重相罐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</si>
  <si>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:TFHeavyTanks :hasMember :TFHeavyTanks_M02 .   # R0846 </t>
    </r>
    <r>
      <rPr>
        <sz val="10"/>
        <rFont val="Noto Sans CJK SC"/>
        <family val="2"/>
      </rPr>
      <t>薄膜重相罐组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脱溶</t>
    </r>
    <r>
      <rPr>
        <sz val="10"/>
        <rFont val="Consolas"/>
        <family val="3"/>
      </rPr>
      <t>RB)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重相罐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</si>
  <si>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:TFHeavyTanks :hasMember :TFHeavyTanks_M03 .   # R0847 </t>
    </r>
    <r>
      <rPr>
        <sz val="10"/>
        <rFont val="Noto Sans CJK SC"/>
        <family val="2"/>
      </rPr>
      <t>薄膜重相罐组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脱溶</t>
    </r>
    <r>
      <rPr>
        <sz val="10"/>
        <rFont val="Consolas"/>
        <family val="3"/>
      </rPr>
      <t>RB)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重相罐</t>
    </r>
    <r>
      <rPr>
        <sz val="10"/>
        <rFont val="Consolas"/>
        <family val="3"/>
      </rPr>
      <t>C</t>
    </r>
  </si>
  <si>
    <r>
      <rPr>
        <sz val="10"/>
        <rFont val="Consolas"/>
        <family val="3"/>
      </rPr>
      <t xml:space="preserve">:TFHeavyTanks :hasMember :TFHeavyTanks_M04 .   # R0848 </t>
    </r>
    <r>
      <rPr>
        <sz val="10"/>
        <rFont val="Noto Sans CJK SC"/>
        <family val="2"/>
      </rPr>
      <t>薄膜重相罐组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脱溶</t>
    </r>
    <r>
      <rPr>
        <sz val="10"/>
        <rFont val="Consolas"/>
        <family val="3"/>
      </rPr>
      <t>RB)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重相罐</t>
    </r>
    <r>
      <rPr>
        <sz val="10"/>
        <rFont val="Consolas"/>
        <family val="3"/>
      </rPr>
      <t>D</t>
    </r>
  </si>
  <si>
    <r>
      <rPr>
        <sz val="10"/>
        <rFont val="Consolas"/>
        <family val="3"/>
      </rPr>
      <t xml:space="preserve">:TFHeavyTanks :hasPart :TFHeavyTanks_P01 .   # R0849 </t>
    </r>
    <r>
      <rPr>
        <sz val="10"/>
        <rFont val="Noto Sans CJK SC"/>
        <family val="2"/>
      </rPr>
      <t>薄膜重相罐组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脱溶</t>
    </r>
    <r>
      <rPr>
        <sz val="10"/>
        <rFont val="Consolas"/>
        <family val="3"/>
      </rPr>
      <t>RB)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薄膜重相罐组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脱溶</t>
    </r>
    <r>
      <rPr>
        <sz val="10"/>
        <rFont val="Consolas"/>
        <family val="3"/>
      </rPr>
      <t>RB)·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</si>
  <si>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:Area_S09_ThinFilmEvaporation :hasEquipment :TFLightTanks .   # R0850 </t>
    </r>
    <r>
      <rPr>
        <sz val="10"/>
        <rFont val="Noto Sans CJK SC"/>
        <family val="2"/>
      </rPr>
      <t>薄膜蒸发（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 xml:space="preserve">脱溶）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薄膜轻相罐组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馏出液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</si>
  <si>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:TFLightTanks :hasMember :TFLightTanks_M01 .   # R0851 </t>
    </r>
    <r>
      <rPr>
        <sz val="10"/>
        <rFont val="Noto Sans CJK SC"/>
        <family val="2"/>
      </rPr>
      <t>薄膜轻相罐组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馏出液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轻相罐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</si>
  <si>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:TFLightTanks :hasMember :TFLightTanks_M02 .   # R0852 </t>
    </r>
    <r>
      <rPr>
        <sz val="10"/>
        <rFont val="Noto Sans CJK SC"/>
        <family val="2"/>
      </rPr>
      <t>薄膜轻相罐组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馏出液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轻相罐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</si>
  <si>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:TFLightTanks :hasMember :TFLightTanks_M03 .   # R0853 </t>
    </r>
    <r>
      <rPr>
        <sz val="10"/>
        <rFont val="Noto Sans CJK SC"/>
        <family val="2"/>
      </rPr>
      <t>薄膜轻相罐组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馏出液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轻相罐</t>
    </r>
    <r>
      <rPr>
        <sz val="10"/>
        <rFont val="Consolas"/>
        <family val="3"/>
      </rPr>
      <t>C</t>
    </r>
  </si>
  <si>
    <r>
      <rPr>
        <sz val="10"/>
        <rFont val="Consolas"/>
        <family val="3"/>
      </rPr>
      <t xml:space="preserve">:TFLightTanks :hasMember :TFLightTanks_M04 .   # R0854 </t>
    </r>
    <r>
      <rPr>
        <sz val="10"/>
        <rFont val="Noto Sans CJK SC"/>
        <family val="2"/>
      </rPr>
      <t>薄膜轻相罐组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馏出液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轻相罐</t>
    </r>
    <r>
      <rPr>
        <sz val="10"/>
        <rFont val="Consolas"/>
        <family val="3"/>
      </rPr>
      <t>D</t>
    </r>
  </si>
  <si>
    <r>
      <rPr>
        <sz val="10"/>
        <rFont val="Consolas"/>
        <family val="3"/>
      </rPr>
      <t xml:space="preserve">:TFLightTanks :hasPart :TFLightTanks_P01 .   # R0855 </t>
    </r>
    <r>
      <rPr>
        <sz val="10"/>
        <rFont val="Noto Sans CJK SC"/>
        <family val="2"/>
      </rPr>
      <t>薄膜轻相罐组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馏出液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薄膜轻相罐组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馏出液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</si>
  <si>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:Area_S09_ThinFilmEvaporation :hasEquipment :WaterSeparator .   # R0856 </t>
    </r>
    <r>
      <rPr>
        <sz val="10"/>
        <rFont val="Noto Sans CJK SC"/>
        <family val="2"/>
      </rPr>
      <t>薄膜蒸发（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 xml:space="preserve">脱溶）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分水罐</t>
    </r>
  </si>
  <si>
    <r>
      <rPr>
        <sz val="10"/>
        <rFont val="Consolas"/>
        <family val="3"/>
      </rPr>
      <t xml:space="preserve">:WaterSeparator :hasPart :WaterSeparator_P01 .   # R0857 </t>
    </r>
    <r>
      <rPr>
        <sz val="10"/>
        <rFont val="Noto Sans CJK SC"/>
        <family val="2"/>
      </rPr>
      <t xml:space="preserve">分水罐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分水罐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</si>
  <si>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:Area_S09_ThinFilmEvaporation :hasEquipment :RBStorageTF .   # R0858 </t>
    </r>
    <r>
      <rPr>
        <sz val="10"/>
        <rFont val="Noto Sans CJK SC"/>
        <family val="2"/>
      </rPr>
      <t>薄膜蒸发（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 xml:space="preserve">脱溶）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>（薄膜出料）</t>
    </r>
  </si>
  <si>
    <r>
      <rPr>
        <sz val="10"/>
        <rFont val="Consolas"/>
        <family val="3"/>
      </rPr>
      <t>:RBStorageTF :hasMember :RBStorageTF_M01 .   # R0859 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 xml:space="preserve">（薄膜出料）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</si>
  <si>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>:RBStorageTF :hasMember :RBStorageTF_M02 .   # R0860 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 xml:space="preserve">（薄膜出料）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</si>
  <si>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>:RBStorageTF :hasPart :RBStorageTF_P01 .   # R0861 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 xml:space="preserve">（薄膜出料）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>（薄膜出料）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</si>
  <si>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>:RBStorageTF :hasPart :RBStorageTF_P02 .   # R0862 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 xml:space="preserve">（薄膜出料）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>（薄膜出料）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温度计</t>
    </r>
  </si>
  <si>
    <r>
      <rPr>
        <sz val="10"/>
        <rFont val="Consolas"/>
        <family val="3"/>
      </rPr>
      <t xml:space="preserve">:Area_S09_ThinFilmEvaporation :hasEquipment :TFHotWaterTank .   # R0863 </t>
    </r>
    <r>
      <rPr>
        <sz val="10"/>
        <rFont val="Noto Sans CJK SC"/>
        <family val="2"/>
      </rPr>
      <t>薄膜蒸发（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 xml:space="preserve">脱溶）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薄膜热水罐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余热软水罐</t>
    </r>
  </si>
  <si>
    <r>
      <rPr>
        <sz val="10"/>
        <rFont val="Consolas"/>
        <family val="3"/>
      </rPr>
      <t xml:space="preserve">:TFHotWaterTank :hasPart :TFHotWaterTank_P01 .   # R0864 </t>
    </r>
    <r>
      <rPr>
        <sz val="10"/>
        <rFont val="Noto Sans CJK SC"/>
        <family val="2"/>
      </rPr>
      <t>薄膜热水罐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余热软水罐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薄膜热水罐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余热软水罐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板式换热器</t>
    </r>
  </si>
  <si>
    <r>
      <rPr>
        <sz val="10"/>
        <rFont val="Consolas"/>
        <family val="3"/>
      </rPr>
      <t xml:space="preserve">:TFHotWaterTank :hasPart :TFHotWaterTank_P02 .   # R0865 </t>
    </r>
    <r>
      <rPr>
        <sz val="10"/>
        <rFont val="Noto Sans CJK SC"/>
        <family val="2"/>
      </rPr>
      <t>薄膜热水罐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余热软水罐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薄膜热水罐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余热软水罐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</si>
  <si>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:TFHotWaterTank :hasPart :TFHotWaterTank_P03 .   # R0866 </t>
    </r>
    <r>
      <rPr>
        <sz val="10"/>
        <rFont val="Noto Sans CJK SC"/>
        <family val="2"/>
      </rPr>
      <t>薄膜热水罐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余热软水罐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薄膜热水罐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余热软水罐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温度计</t>
    </r>
  </si>
  <si>
    <r>
      <rPr>
        <sz val="10"/>
        <rFont val="Consolas"/>
        <family val="3"/>
      </rPr>
      <t xml:space="preserve">:Area_S09_ThinFilmEvaporation :hasEquipment :TFVacuumPump .   # R0867 </t>
    </r>
    <r>
      <rPr>
        <sz val="10"/>
        <rFont val="Noto Sans CJK SC"/>
        <family val="2"/>
      </rPr>
      <t>薄膜蒸发（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 xml:space="preserve">脱溶）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薄膜真空泵</t>
    </r>
  </si>
  <si>
    <r>
      <rPr>
        <sz val="10"/>
        <rFont val="Consolas"/>
        <family val="3"/>
      </rPr>
      <t xml:space="preserve">:TFVacuumPump :hasPart :TFVacuumPump_P01 .   # R0868 </t>
    </r>
    <r>
      <rPr>
        <sz val="10"/>
        <rFont val="Noto Sans CJK SC"/>
        <family val="2"/>
      </rPr>
      <t xml:space="preserve">薄膜真空泵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薄膜真空泵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工作水罐</t>
    </r>
  </si>
  <si>
    <r>
      <rPr>
        <sz val="10"/>
        <rFont val="Consolas"/>
        <family val="3"/>
      </rPr>
      <t xml:space="preserve">:TFEvaporatorGroup :hasAttribute :Attr_093 .   # R0869 </t>
    </r>
    <r>
      <rPr>
        <sz val="10"/>
        <rFont val="Noto Sans CJK SC"/>
        <family val="2"/>
      </rPr>
      <t xml:space="preserve">薄膜蒸发器组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薄膜进料流量</t>
    </r>
  </si>
  <si>
    <r>
      <rPr>
        <sz val="10"/>
        <rFont val="Consolas"/>
        <family val="3"/>
      </rPr>
      <t xml:space="preserve">:TFEvaporatorGroup :hasAttribute :Attr_094 .   # R0870 </t>
    </r>
    <r>
      <rPr>
        <sz val="10"/>
        <rFont val="Noto Sans CJK SC"/>
        <family val="2"/>
      </rPr>
      <t xml:space="preserve">薄膜蒸发器组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蒸发器出口温度</t>
    </r>
  </si>
  <si>
    <r>
      <rPr>
        <sz val="10"/>
        <rFont val="Consolas"/>
        <family val="3"/>
      </rPr>
      <t xml:space="preserve">:TFEvaporatorGroup :hasAttribute :Attr_095 .   # R0871 </t>
    </r>
    <r>
      <rPr>
        <sz val="10"/>
        <rFont val="Noto Sans CJK SC"/>
        <family val="2"/>
      </rPr>
      <t xml:space="preserve">薄膜蒸发器组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蒸发器真空压力</t>
    </r>
  </si>
  <si>
    <r>
      <rPr>
        <sz val="10"/>
        <rFont val="Consolas"/>
        <family val="3"/>
      </rPr>
      <t xml:space="preserve">:TFEvaporatorGroup :hasAttribute :Attr_096 .   # R0872 </t>
    </r>
    <r>
      <rPr>
        <sz val="10"/>
        <rFont val="Noto Sans CJK SC"/>
        <family val="2"/>
      </rPr>
      <t xml:space="preserve">薄膜蒸发器组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刮板转子频率</t>
    </r>
  </si>
  <si>
    <r>
      <rPr>
        <sz val="10"/>
        <rFont val="Consolas"/>
        <family val="3"/>
      </rPr>
      <t xml:space="preserve">:TFCondenserGroup :hasAttribute :Attr_097 .   # R0873 </t>
    </r>
    <r>
      <rPr>
        <sz val="10"/>
        <rFont val="Noto Sans CJK SC"/>
        <family val="2"/>
      </rPr>
      <t xml:space="preserve">薄膜冷凝器组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冷凝器出口温度</t>
    </r>
  </si>
  <si>
    <r>
      <rPr>
        <sz val="10"/>
        <rFont val="Consolas"/>
        <family val="3"/>
      </rPr>
      <t xml:space="preserve">:TFHeavyTanks :hasAttribute :Attr_098 .   # R0874 </t>
    </r>
    <r>
      <rPr>
        <sz val="10"/>
        <rFont val="Noto Sans CJK SC"/>
        <family val="2"/>
      </rPr>
      <t>薄膜重相罐组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脱溶</t>
    </r>
    <r>
      <rPr>
        <sz val="10"/>
        <rFont val="Consolas"/>
        <family val="3"/>
      </rPr>
      <t>RB)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薄膜重相罐液位</t>
    </r>
  </si>
  <si>
    <r>
      <rPr>
        <sz val="10"/>
        <rFont val="Consolas"/>
        <family val="3"/>
      </rPr>
      <t xml:space="preserve">:TFLightTanks :hasAttribute :Attr_099 .   # R0875 </t>
    </r>
    <r>
      <rPr>
        <sz val="10"/>
        <rFont val="Noto Sans CJK SC"/>
        <family val="2"/>
      </rPr>
      <t>薄膜轻相罐组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馏出液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薄膜轻相罐液位</t>
    </r>
  </si>
  <si>
    <r>
      <rPr>
        <sz val="10"/>
        <rFont val="Consolas"/>
        <family val="3"/>
      </rPr>
      <t xml:space="preserve">:WaterSeparator :hasAttribute :Attr_100 .   # R0876 </t>
    </r>
    <r>
      <rPr>
        <sz val="10"/>
        <rFont val="Noto Sans CJK SC"/>
        <family val="2"/>
      </rPr>
      <t xml:space="preserve">分水罐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分水罐液位</t>
    </r>
  </si>
  <si>
    <r>
      <rPr>
        <sz val="10"/>
        <rFont val="Consolas"/>
        <family val="3"/>
      </rPr>
      <t>:RBStorageTF :hasAttribute :Attr_101 .   # R0877 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 xml:space="preserve">（薄膜出料）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缓冲罐液位</t>
    </r>
  </si>
  <si>
    <r>
      <rPr>
        <sz val="10"/>
        <rFont val="Consolas"/>
        <family val="3"/>
      </rPr>
      <t>:RBStorageTF :hasAttribute :Attr_102 .   # R0878 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 xml:space="preserve">（薄膜出料）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储罐温度</t>
    </r>
  </si>
  <si>
    <r>
      <rPr>
        <sz val="10"/>
        <rFont val="Consolas"/>
        <family val="3"/>
      </rPr>
      <t>:RBStorageTF :hasAttribute :Attr_103 .   # R0879 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 xml:space="preserve">（薄膜出料）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效价</t>
    </r>
  </si>
  <si>
    <r>
      <rPr>
        <sz val="10"/>
        <rFont val="Consolas"/>
        <family val="3"/>
      </rPr>
      <t>:RBStorageTF :hasAttribute :Attr_104 .   # R0880 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 xml:space="preserve">（薄膜出料）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透光率</t>
    </r>
  </si>
  <si>
    <r>
      <rPr>
        <sz val="10"/>
        <rFont val="Consolas"/>
        <family val="3"/>
      </rPr>
      <t>:RBStorageTF :hasAttribute :Attr_105 .   # R0881 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 xml:space="preserve">（薄膜出料）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去水解流量</t>
    </r>
  </si>
  <si>
    <r>
      <rPr>
        <sz val="10"/>
        <rFont val="Consolas"/>
        <family val="3"/>
      </rPr>
      <t xml:space="preserve">:TFHotWaterTank :hasAttribute :Attr_106 .   # R0882 </t>
    </r>
    <r>
      <rPr>
        <sz val="10"/>
        <rFont val="Noto Sans CJK SC"/>
        <family val="2"/>
      </rPr>
      <t>薄膜热水罐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余热软水罐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热水罐出水温度</t>
    </r>
  </si>
  <si>
    <r>
      <rPr>
        <sz val="10"/>
        <rFont val="Consolas"/>
        <family val="3"/>
      </rPr>
      <t xml:space="preserve">:TFHotWaterTank :hasAttribute :Attr_107 .   # R0883 </t>
    </r>
    <r>
      <rPr>
        <sz val="10"/>
        <rFont val="Noto Sans CJK SC"/>
        <family val="2"/>
      </rPr>
      <t>薄膜热水罐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余热软水罐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热水罐液位</t>
    </r>
  </si>
  <si>
    <r>
      <rPr>
        <sz val="10"/>
        <rFont val="Consolas"/>
        <family val="3"/>
      </rPr>
      <t xml:space="preserve">:TFEvaporatorGroup :hasAttribute :Attr_108 .   # R0884 </t>
    </r>
    <r>
      <rPr>
        <sz val="10"/>
        <rFont val="Noto Sans CJK SC"/>
        <family val="2"/>
      </rPr>
      <t xml:space="preserve">薄膜蒸发器组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薄膜脱脂温度</t>
    </r>
  </si>
  <si>
    <r>
      <rPr>
        <sz val="10"/>
        <rFont val="Consolas"/>
        <family val="3"/>
      </rPr>
      <t>:RBStorageTF :hasAttribute :QKPI_264 .   # R0885 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 xml:space="preserve">（薄膜出料）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液残留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含量</t>
    </r>
  </si>
  <si>
    <r>
      <rPr>
        <sz val="10"/>
        <rFont val="Consolas"/>
        <family val="3"/>
      </rPr>
      <t xml:space="preserve">:TFEvaporatorGroup :hasAttribute :QKPI_265 .   # R0886 </t>
    </r>
    <r>
      <rPr>
        <sz val="10"/>
        <rFont val="Noto Sans CJK SC"/>
        <family val="2"/>
      </rPr>
      <t xml:space="preserve">薄膜蒸发器组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液热降解率</t>
    </r>
  </si>
  <si>
    <r>
      <rPr>
        <sz val="10"/>
        <rFont val="Consolas"/>
        <family val="3"/>
      </rPr>
      <t xml:space="preserve">:TFEvaporatorGroup :hasAttribute :Attr_266 .   # R0887 </t>
    </r>
    <r>
      <rPr>
        <sz val="10"/>
        <rFont val="Noto Sans CJK SC"/>
        <family val="2"/>
      </rPr>
      <t xml:space="preserve">薄膜蒸发器组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物料蒸发器停留时间</t>
    </r>
  </si>
  <si>
    <r>
      <rPr>
        <sz val="10"/>
        <rFont val="Consolas"/>
        <family val="3"/>
      </rPr>
      <t xml:space="preserve">:MS_RB_Desolv :hasAttribute :Attr_122 .   # R0888 </t>
    </r>
    <r>
      <rPr>
        <sz val="10"/>
        <rFont val="Noto Sans CJK SC"/>
        <family val="2"/>
      </rPr>
      <t>脱溶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 xml:space="preserve">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进料温度</t>
    </r>
  </si>
  <si>
    <r>
      <rPr>
        <sz val="10"/>
        <rFont val="Consolas"/>
        <family val="3"/>
      </rPr>
      <t xml:space="preserve">:MS_RB_Desolv :hasAttribute :Attr_123 .   # R0889 </t>
    </r>
    <r>
      <rPr>
        <sz val="10"/>
        <rFont val="Noto Sans CJK SC"/>
        <family val="2"/>
      </rPr>
      <t>脱溶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 xml:space="preserve">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进料流量</t>
    </r>
  </si>
  <si>
    <r>
      <rPr>
        <sz val="10"/>
        <rFont val="Consolas"/>
        <family val="3"/>
      </rPr>
      <t xml:space="preserve">:MS_RB_Desolv :hasAttribute :Attr_103 .   # R0890 </t>
    </r>
    <r>
      <rPr>
        <sz val="10"/>
        <rFont val="Noto Sans CJK SC"/>
        <family val="2"/>
      </rPr>
      <t>脱溶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 xml:space="preserve">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效价</t>
    </r>
  </si>
  <si>
    <r>
      <rPr>
        <sz val="10"/>
        <rFont val="Consolas"/>
        <family val="3"/>
      </rPr>
      <t xml:space="preserve">:MS_RB_Desolv :hasAttribute :Attr_104 .   # R0891 </t>
    </r>
    <r>
      <rPr>
        <sz val="10"/>
        <rFont val="Noto Sans CJK SC"/>
        <family val="2"/>
      </rPr>
      <t>脱溶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 xml:space="preserve">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透光率</t>
    </r>
  </si>
  <si>
    <r>
      <rPr>
        <sz val="10"/>
        <rFont val="Consolas"/>
        <family val="3"/>
      </rPr>
      <t xml:space="preserve">:MS_RB_Desolv :hasAttribute :QKPI_264 .   # R0892 </t>
    </r>
    <r>
      <rPr>
        <sz val="10"/>
        <rFont val="Noto Sans CJK SC"/>
        <family val="2"/>
      </rPr>
      <t>脱溶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 xml:space="preserve">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液残留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含量</t>
    </r>
  </si>
  <si>
    <r>
      <rPr>
        <sz val="10"/>
        <rFont val="Consolas"/>
        <family val="3"/>
      </rPr>
      <t xml:space="preserve">:Attr_093 :boundToTag :Tag_FT_1001A .   # R0893 </t>
    </r>
    <r>
      <rPr>
        <sz val="10"/>
        <rFont val="Noto Sans CJK SC"/>
        <family val="2"/>
      </rPr>
      <t xml:space="preserve">薄膜进料流量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FT_1001A</t>
    </r>
  </si>
  <si>
    <r>
      <rPr>
        <sz val="10"/>
        <rFont val="Consolas"/>
        <family val="3"/>
      </rPr>
      <t xml:space="preserve">:Attr_093 :boundToTag :Tag_FT_1001B .   # R0894 </t>
    </r>
    <r>
      <rPr>
        <sz val="10"/>
        <rFont val="Noto Sans CJK SC"/>
        <family val="2"/>
      </rPr>
      <t xml:space="preserve">薄膜进料流量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FT_1001B</t>
    </r>
  </si>
  <si>
    <r>
      <rPr>
        <sz val="10"/>
        <rFont val="Consolas"/>
        <family val="3"/>
      </rPr>
      <t xml:space="preserve">:Attr_093 :boundToTag :Tag_FT_1001C .   # R0895 </t>
    </r>
    <r>
      <rPr>
        <sz val="10"/>
        <rFont val="Noto Sans CJK SC"/>
        <family val="2"/>
      </rPr>
      <t xml:space="preserve">薄膜进料流量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FT_1001C</t>
    </r>
  </si>
  <si>
    <r>
      <rPr>
        <sz val="10"/>
        <rFont val="Consolas"/>
        <family val="3"/>
      </rPr>
      <t xml:space="preserve">:Attr_093 :boundToTag :Tag_FT_1001D .   # R0896 </t>
    </r>
    <r>
      <rPr>
        <sz val="10"/>
        <rFont val="Noto Sans CJK SC"/>
        <family val="2"/>
      </rPr>
      <t xml:space="preserve">薄膜进料流量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FT_1001D</t>
    </r>
  </si>
  <si>
    <r>
      <rPr>
        <sz val="10"/>
        <rFont val="Consolas"/>
        <family val="3"/>
      </rPr>
      <t xml:space="preserve">:Attr_094 :boundToTag :Tag_TI_1311A .   # R0897 </t>
    </r>
    <r>
      <rPr>
        <sz val="10"/>
        <rFont val="Noto Sans CJK SC"/>
        <family val="2"/>
      </rPr>
      <t xml:space="preserve">蒸发器出口温度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TI_1311A</t>
    </r>
  </si>
  <si>
    <r>
      <rPr>
        <sz val="10"/>
        <rFont val="Consolas"/>
        <family val="3"/>
      </rPr>
      <t xml:space="preserve">:Attr_094 :boundToTag :Tag_TI_1311B .   # R0898 </t>
    </r>
    <r>
      <rPr>
        <sz val="10"/>
        <rFont val="Noto Sans CJK SC"/>
        <family val="2"/>
      </rPr>
      <t xml:space="preserve">蒸发器出口温度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TI_1311B</t>
    </r>
  </si>
  <si>
    <r>
      <rPr>
        <sz val="10"/>
        <rFont val="Consolas"/>
        <family val="3"/>
      </rPr>
      <t xml:space="preserve">:Attr_094 :boundToTag :Tag_TI_1311C .   # R0899 </t>
    </r>
    <r>
      <rPr>
        <sz val="10"/>
        <rFont val="Noto Sans CJK SC"/>
        <family val="2"/>
      </rPr>
      <t xml:space="preserve">蒸发器出口温度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TI_1311C</t>
    </r>
  </si>
  <si>
    <r>
      <rPr>
        <sz val="10"/>
        <rFont val="Consolas"/>
        <family val="3"/>
      </rPr>
      <t xml:space="preserve">:Attr_094 :boundToTag :Tag_TI_1311D .   # R0900 </t>
    </r>
    <r>
      <rPr>
        <sz val="10"/>
        <rFont val="Noto Sans CJK SC"/>
        <family val="2"/>
      </rPr>
      <t xml:space="preserve">蒸发器出口温度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TI_1311D</t>
    </r>
  </si>
  <si>
    <r>
      <rPr>
        <sz val="10"/>
        <rFont val="Consolas"/>
        <family val="3"/>
      </rPr>
      <t xml:space="preserve">:Attr_095 :boundToTag :Tag_PT_1026A .   # R0901 </t>
    </r>
    <r>
      <rPr>
        <sz val="10"/>
        <rFont val="Noto Sans CJK SC"/>
        <family val="2"/>
      </rPr>
      <t xml:space="preserve">蒸发器真空压力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PT_1026A</t>
    </r>
  </si>
  <si>
    <r>
      <rPr>
        <sz val="10"/>
        <rFont val="Consolas"/>
        <family val="3"/>
      </rPr>
      <t xml:space="preserve">:Attr_095 :boundToTag :Tag_PT_1026B .   # R0902 </t>
    </r>
    <r>
      <rPr>
        <sz val="10"/>
        <rFont val="Noto Sans CJK SC"/>
        <family val="2"/>
      </rPr>
      <t xml:space="preserve">蒸发器真空压力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PT_1026B</t>
    </r>
  </si>
  <si>
    <r>
      <rPr>
        <sz val="10"/>
        <rFont val="Consolas"/>
        <family val="3"/>
      </rPr>
      <t xml:space="preserve">:Attr_095 :boundToTag :Tag_PT_1026C .   # R0903 </t>
    </r>
    <r>
      <rPr>
        <sz val="10"/>
        <rFont val="Noto Sans CJK SC"/>
        <family val="2"/>
      </rPr>
      <t xml:space="preserve">蒸发器真空压力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PT_1026C</t>
    </r>
  </si>
  <si>
    <r>
      <rPr>
        <sz val="10"/>
        <rFont val="Consolas"/>
        <family val="3"/>
      </rPr>
      <t xml:space="preserve">:Attr_095 :boundToTag :Tag_PT_1026D .   # R0904 </t>
    </r>
    <r>
      <rPr>
        <sz val="10"/>
        <rFont val="Noto Sans CJK SC"/>
        <family val="2"/>
      </rPr>
      <t xml:space="preserve">蒸发器真空压力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PT_1026D</t>
    </r>
  </si>
  <si>
    <r>
      <rPr>
        <sz val="10"/>
        <rFont val="Consolas"/>
        <family val="3"/>
      </rPr>
      <t xml:space="preserve">:Attr_096 :boundToTag :Tag_PB_1008A_FB .   # R0905 </t>
    </r>
    <r>
      <rPr>
        <sz val="10"/>
        <rFont val="Noto Sans CJK SC"/>
        <family val="2"/>
      </rPr>
      <t xml:space="preserve">刮板转子频率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PB_1008A_FB</t>
    </r>
  </si>
  <si>
    <r>
      <rPr>
        <sz val="10"/>
        <rFont val="Consolas"/>
        <family val="3"/>
      </rPr>
      <t xml:space="preserve">:Attr_096 :boundToTag :Tag_PB_1008B_FB .   # R0906 </t>
    </r>
    <r>
      <rPr>
        <sz val="10"/>
        <rFont val="Noto Sans CJK SC"/>
        <family val="2"/>
      </rPr>
      <t xml:space="preserve">刮板转子频率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PB_1008B_FB</t>
    </r>
  </si>
  <si>
    <r>
      <rPr>
        <sz val="10"/>
        <rFont val="Consolas"/>
        <family val="3"/>
      </rPr>
      <t xml:space="preserve">:Attr_096 :boundToTag :Tag_PB_1008C_FB .   # R0907 </t>
    </r>
    <r>
      <rPr>
        <sz val="10"/>
        <rFont val="Noto Sans CJK SC"/>
        <family val="2"/>
      </rPr>
      <t xml:space="preserve">刮板转子频率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PB_1008C_FB</t>
    </r>
  </si>
  <si>
    <r>
      <rPr>
        <sz val="10"/>
        <rFont val="Consolas"/>
        <family val="3"/>
      </rPr>
      <t xml:space="preserve">:Attr_096 :boundToTag :Tag_PB_1008D_FB .   # R0908 </t>
    </r>
    <r>
      <rPr>
        <sz val="10"/>
        <rFont val="Noto Sans CJK SC"/>
        <family val="2"/>
      </rPr>
      <t xml:space="preserve">刮板转子频率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PB_1008D_FB</t>
    </r>
  </si>
  <si>
    <r>
      <rPr>
        <sz val="10"/>
        <rFont val="Consolas"/>
        <family val="3"/>
      </rPr>
      <t xml:space="preserve">:Attr_097 :boundToTag :Tag_TI_1003A .   # R0909 </t>
    </r>
    <r>
      <rPr>
        <sz val="10"/>
        <rFont val="Noto Sans CJK SC"/>
        <family val="2"/>
      </rPr>
      <t xml:space="preserve">冷凝器出口温度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TI_1003A</t>
    </r>
  </si>
  <si>
    <r>
      <rPr>
        <sz val="10"/>
        <rFont val="Consolas"/>
        <family val="3"/>
      </rPr>
      <t xml:space="preserve">:Attr_097 :boundToTag :Tag_TI_1003B .   # R0910 </t>
    </r>
    <r>
      <rPr>
        <sz val="10"/>
        <rFont val="Noto Sans CJK SC"/>
        <family val="2"/>
      </rPr>
      <t xml:space="preserve">冷凝器出口温度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TI_1003B</t>
    </r>
  </si>
  <si>
    <r>
      <rPr>
        <sz val="10"/>
        <rFont val="Consolas"/>
        <family val="3"/>
      </rPr>
      <t xml:space="preserve">:Attr_097 :boundToTag :Tag_TI_1003C .   # R0911 </t>
    </r>
    <r>
      <rPr>
        <sz val="10"/>
        <rFont val="Noto Sans CJK SC"/>
        <family val="2"/>
      </rPr>
      <t xml:space="preserve">冷凝器出口温度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TI_1003C</t>
    </r>
  </si>
  <si>
    <r>
      <rPr>
        <sz val="10"/>
        <rFont val="Consolas"/>
        <family val="3"/>
      </rPr>
      <t xml:space="preserve">:Attr_097 :boundToTag :Tag_TI_1003D .   # R0912 </t>
    </r>
    <r>
      <rPr>
        <sz val="10"/>
        <rFont val="Noto Sans CJK SC"/>
        <family val="2"/>
      </rPr>
      <t xml:space="preserve">冷凝器出口温度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TI_1003D</t>
    </r>
  </si>
  <si>
    <r>
      <rPr>
        <sz val="10"/>
        <rFont val="Consolas"/>
        <family val="3"/>
      </rPr>
      <t xml:space="preserve">:Attr_098 :boundToTag :Tag_LT_1320A .   # R0913 </t>
    </r>
    <r>
      <rPr>
        <sz val="10"/>
        <rFont val="Noto Sans CJK SC"/>
        <family val="2"/>
      </rPr>
      <t xml:space="preserve">薄膜重相罐液位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LT_1320A</t>
    </r>
  </si>
  <si>
    <r>
      <rPr>
        <sz val="10"/>
        <rFont val="Consolas"/>
        <family val="3"/>
      </rPr>
      <t xml:space="preserve">:Attr_098 :boundToTag :Tag_LT_1320B .   # R0914 </t>
    </r>
    <r>
      <rPr>
        <sz val="10"/>
        <rFont val="Noto Sans CJK SC"/>
        <family val="2"/>
      </rPr>
      <t xml:space="preserve">薄膜重相罐液位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LT_1320B</t>
    </r>
  </si>
  <si>
    <r>
      <rPr>
        <sz val="10"/>
        <rFont val="Consolas"/>
        <family val="3"/>
      </rPr>
      <t xml:space="preserve">:Attr_098 :boundToTag :Tag_LT_1320C .   # R0915 </t>
    </r>
    <r>
      <rPr>
        <sz val="10"/>
        <rFont val="Noto Sans CJK SC"/>
        <family val="2"/>
      </rPr>
      <t xml:space="preserve">薄膜重相罐液位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LT_1320C</t>
    </r>
  </si>
  <si>
    <r>
      <rPr>
        <sz val="10"/>
        <rFont val="Consolas"/>
        <family val="3"/>
      </rPr>
      <t xml:space="preserve">:Attr_098 :boundToTag :Tag_LT_1320D .   # R0916 </t>
    </r>
    <r>
      <rPr>
        <sz val="10"/>
        <rFont val="Noto Sans CJK SC"/>
        <family val="2"/>
      </rPr>
      <t xml:space="preserve">薄膜重相罐液位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LT_1320D</t>
    </r>
  </si>
  <si>
    <r>
      <rPr>
        <sz val="10"/>
        <rFont val="Consolas"/>
        <family val="3"/>
      </rPr>
      <t xml:space="preserve">:Attr_099 :boundToTag :Tag_LT_1321A .   # R0917 </t>
    </r>
    <r>
      <rPr>
        <sz val="10"/>
        <rFont val="Noto Sans CJK SC"/>
        <family val="2"/>
      </rPr>
      <t xml:space="preserve">薄膜轻相罐液位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LT_1321A</t>
    </r>
  </si>
  <si>
    <r>
      <rPr>
        <sz val="10"/>
        <rFont val="Consolas"/>
        <family val="3"/>
      </rPr>
      <t xml:space="preserve">:Attr_099 :boundToTag :Tag_LT_1321B .   # R0918 </t>
    </r>
    <r>
      <rPr>
        <sz val="10"/>
        <rFont val="Noto Sans CJK SC"/>
        <family val="2"/>
      </rPr>
      <t xml:space="preserve">薄膜轻相罐液位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LT_1321B</t>
    </r>
  </si>
  <si>
    <r>
      <rPr>
        <sz val="10"/>
        <rFont val="Consolas"/>
        <family val="3"/>
      </rPr>
      <t xml:space="preserve">:Attr_099 :boundToTag :Tag_LT_1321C .   # R0919 </t>
    </r>
    <r>
      <rPr>
        <sz val="10"/>
        <rFont val="Noto Sans CJK SC"/>
        <family val="2"/>
      </rPr>
      <t xml:space="preserve">薄膜轻相罐液位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LT_1321C</t>
    </r>
  </si>
  <si>
    <r>
      <rPr>
        <sz val="10"/>
        <rFont val="Consolas"/>
        <family val="3"/>
      </rPr>
      <t xml:space="preserve">:Attr_099 :boundToTag :Tag_LT_1321D .   # R0920 </t>
    </r>
    <r>
      <rPr>
        <sz val="10"/>
        <rFont val="Noto Sans CJK SC"/>
        <family val="2"/>
      </rPr>
      <t xml:space="preserve">薄膜轻相罐液位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LT_1321D</t>
    </r>
  </si>
  <si>
    <r>
      <rPr>
        <sz val="10"/>
        <rFont val="Consolas"/>
        <family val="3"/>
      </rPr>
      <t xml:space="preserve">:Attr_100 :boundToTag :Tag_LT_1002 .   # R0921 </t>
    </r>
    <r>
      <rPr>
        <sz val="10"/>
        <rFont val="Noto Sans CJK SC"/>
        <family val="2"/>
      </rPr>
      <t xml:space="preserve">分水罐液位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LT_1002</t>
    </r>
  </si>
  <si>
    <r>
      <rPr>
        <sz val="10"/>
        <rFont val="Consolas"/>
        <family val="3"/>
      </rPr>
      <t>:Attr_101 :boundToTag :Tag_LT_RB01 .   # R0922 RB</t>
    </r>
    <r>
      <rPr>
        <sz val="10"/>
        <rFont val="Noto Sans CJK SC"/>
        <family val="2"/>
      </rPr>
      <t xml:space="preserve">缓冲罐液位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LT_RB01</t>
    </r>
  </si>
  <si>
    <r>
      <rPr>
        <sz val="10"/>
        <rFont val="Consolas"/>
        <family val="3"/>
      </rPr>
      <t>:Attr_101 :boundToTag :Tag_LT_RB02 .   # R0923 RB</t>
    </r>
    <r>
      <rPr>
        <sz val="10"/>
        <rFont val="Noto Sans CJK SC"/>
        <family val="2"/>
      </rPr>
      <t xml:space="preserve">缓冲罐液位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LT_RB02</t>
    </r>
  </si>
  <si>
    <r>
      <rPr>
        <sz val="10"/>
        <rFont val="Consolas"/>
        <family val="3"/>
      </rPr>
      <t>:Attr_102 :boundToTag :Tag_TI_1203A .   # R0924 RB</t>
    </r>
    <r>
      <rPr>
        <sz val="10"/>
        <rFont val="Noto Sans CJK SC"/>
        <family val="2"/>
      </rPr>
      <t xml:space="preserve">储罐温度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TI_1203A</t>
    </r>
  </si>
  <si>
    <r>
      <rPr>
        <sz val="10"/>
        <rFont val="Consolas"/>
        <family val="3"/>
      </rPr>
      <t>:Attr_102 :boundToTag :Tag_TI_1203B .   # R0925 RB</t>
    </r>
    <r>
      <rPr>
        <sz val="10"/>
        <rFont val="Noto Sans CJK SC"/>
        <family val="2"/>
      </rPr>
      <t xml:space="preserve">储罐温度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TI_1203B</t>
    </r>
  </si>
  <si>
    <r>
      <rPr>
        <sz val="10"/>
        <rFont val="Consolas"/>
        <family val="3"/>
      </rPr>
      <t>:Attr_103 :boundToTag :Tag_RB_XJ .   # R0926 RB</t>
    </r>
    <r>
      <rPr>
        <sz val="10"/>
        <rFont val="Noto Sans CJK SC"/>
        <family val="2"/>
      </rPr>
      <t xml:space="preserve">效价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RB_XJ</t>
    </r>
  </si>
  <si>
    <r>
      <rPr>
        <sz val="10"/>
        <rFont val="Consolas"/>
        <family val="3"/>
      </rPr>
      <t>:Attr_104 :boundToTag :Tag_RB_TG .   # R0927 RB</t>
    </r>
    <r>
      <rPr>
        <sz val="10"/>
        <rFont val="Noto Sans CJK SC"/>
        <family val="2"/>
      </rPr>
      <t xml:space="preserve">透光率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RB_TG</t>
    </r>
  </si>
  <si>
    <r>
      <rPr>
        <sz val="10"/>
        <rFont val="Consolas"/>
        <family val="3"/>
      </rPr>
      <t xml:space="preserve">:Attr_105 :boundToTag :Tag_FT_1327 .   # R0928 </t>
    </r>
    <r>
      <rPr>
        <sz val="10"/>
        <rFont val="Noto Sans CJK SC"/>
        <family val="2"/>
      </rPr>
      <t>薄膜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 xml:space="preserve">去水解流量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FT_1327</t>
    </r>
  </si>
  <si>
    <r>
      <rPr>
        <sz val="10"/>
        <rFont val="Consolas"/>
        <family val="3"/>
      </rPr>
      <t xml:space="preserve">:Attr_106 :boundToTag :Tag_TI_1310 .   # R0929 </t>
    </r>
    <r>
      <rPr>
        <sz val="10"/>
        <rFont val="Noto Sans CJK SC"/>
        <family val="2"/>
      </rPr>
      <t xml:space="preserve">热水罐出水温度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TI_1310</t>
    </r>
  </si>
  <si>
    <r>
      <rPr>
        <sz val="10"/>
        <rFont val="Consolas"/>
        <family val="3"/>
      </rPr>
      <t xml:space="preserve">:Attr_107 :boundToTag :Tag_LT_1319A .   # R0930 </t>
    </r>
    <r>
      <rPr>
        <sz val="10"/>
        <rFont val="Noto Sans CJK SC"/>
        <family val="2"/>
      </rPr>
      <t xml:space="preserve">热水罐液位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LT_1319A</t>
    </r>
  </si>
  <si>
    <r>
      <rPr>
        <sz val="10"/>
        <rFont val="Consolas"/>
        <family val="3"/>
      </rPr>
      <t xml:space="preserve">:Attr_107 :boundToTag :Tag_LT_1319B .   # R0931 </t>
    </r>
    <r>
      <rPr>
        <sz val="10"/>
        <rFont val="Noto Sans CJK SC"/>
        <family val="2"/>
      </rPr>
      <t xml:space="preserve">热水罐液位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LT_1319B</t>
    </r>
  </si>
  <si>
    <r>
      <rPr>
        <sz val="10"/>
        <rFont val="Consolas"/>
        <family val="3"/>
      </rPr>
      <t xml:space="preserve">:Attr_108 :boundToTag :Tag_TI_1308B .   # R0932 </t>
    </r>
    <r>
      <rPr>
        <sz val="10"/>
        <rFont val="Noto Sans CJK SC"/>
        <family val="2"/>
      </rPr>
      <t xml:space="preserve">薄膜脱脂温度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TI_1308B</t>
    </r>
  </si>
  <si>
    <r>
      <rPr>
        <sz val="10"/>
        <rFont val="Consolas"/>
        <family val="3"/>
      </rPr>
      <t xml:space="preserve">:Ctrl_022 :controls :Act_022 .   # R0933 </t>
    </r>
    <r>
      <rPr>
        <sz val="10"/>
        <rFont val="Noto Sans CJK SC"/>
        <family val="2"/>
      </rPr>
      <t>薄膜进料流量控制器</t>
    </r>
    <r>
      <rPr>
        <sz val="10"/>
        <rFont val="Consolas"/>
        <family val="3"/>
      </rPr>
      <t>(FIC-1001)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薄膜蒸发器进口流量调节阀</t>
    </r>
    <r>
      <rPr>
        <sz val="10"/>
        <rFont val="Consolas"/>
        <family val="3"/>
      </rPr>
      <t>HV_1011A–D</t>
    </r>
  </si>
  <si>
    <r>
      <rPr>
        <sz val="10"/>
        <rFont val="Consolas"/>
        <family val="3"/>
      </rPr>
      <t xml:space="preserve">:Attr_093 :feedbackTo :Ctrl_022 .   # R0934 </t>
    </r>
    <r>
      <rPr>
        <sz val="10"/>
        <rFont val="Noto Sans CJK SC"/>
        <family val="2"/>
      </rPr>
      <t xml:space="preserve">薄膜进料流量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薄膜进料流量控制器</t>
    </r>
    <r>
      <rPr>
        <sz val="10"/>
        <rFont val="Consolas"/>
        <family val="3"/>
      </rPr>
      <t>(FIC-1001)</t>
    </r>
  </si>
  <si>
    <r>
      <rPr>
        <sz val="10"/>
        <rFont val="Consolas"/>
        <family val="3"/>
      </rPr>
      <t xml:space="preserve">:Act_022 :affects :Attr_093 .   # R0935 </t>
    </r>
    <r>
      <rPr>
        <sz val="10"/>
        <rFont val="Noto Sans CJK SC"/>
        <family val="2"/>
      </rPr>
      <t>薄膜蒸发器进口流量调节阀</t>
    </r>
    <r>
      <rPr>
        <sz val="10"/>
        <rFont val="Consolas"/>
        <family val="3"/>
      </rPr>
      <t>HV_1011A–D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薄膜进料流量</t>
    </r>
  </si>
  <si>
    <r>
      <rPr>
        <sz val="10"/>
        <rFont val="Consolas"/>
        <family val="3"/>
      </rPr>
      <t xml:space="preserve">:Ctrl_023 :controls :Act_023 .   # R0936 </t>
    </r>
    <r>
      <rPr>
        <sz val="10"/>
        <rFont val="Noto Sans CJK SC"/>
        <family val="2"/>
      </rPr>
      <t xml:space="preserve">薄膜重相出料控制器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薄膜蒸发器泵后调节阀</t>
    </r>
    <r>
      <rPr>
        <sz val="10"/>
        <rFont val="Consolas"/>
        <family val="3"/>
      </rPr>
      <t>HV_1012A–D</t>
    </r>
  </si>
  <si>
    <r>
      <rPr>
        <sz val="10"/>
        <rFont val="Consolas"/>
        <family val="3"/>
      </rPr>
      <t xml:space="preserve">:Attr_098 :feedbackTo :Ctrl_023 .   # R0937 </t>
    </r>
    <r>
      <rPr>
        <sz val="10"/>
        <rFont val="Noto Sans CJK SC"/>
        <family val="2"/>
      </rPr>
      <t xml:space="preserve">薄膜重相罐液位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薄膜重相出料控制器</t>
    </r>
  </si>
  <si>
    <r>
      <rPr>
        <sz val="10"/>
        <rFont val="Consolas"/>
        <family val="3"/>
      </rPr>
      <t xml:space="preserve">:Act_023 :affects :Attr_098 .   # R0938 </t>
    </r>
    <r>
      <rPr>
        <sz val="10"/>
        <rFont val="Noto Sans CJK SC"/>
        <family val="2"/>
      </rPr>
      <t>薄膜蒸发器泵后调节阀</t>
    </r>
    <r>
      <rPr>
        <sz val="10"/>
        <rFont val="Consolas"/>
        <family val="3"/>
      </rPr>
      <t>HV_1012A–D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薄膜重相罐液位</t>
    </r>
  </si>
  <si>
    <r>
      <rPr>
        <sz val="10"/>
        <rFont val="Consolas"/>
        <family val="3"/>
      </rPr>
      <t xml:space="preserve">:Ctrl_024 :controls :Act_024 .   # R0939 </t>
    </r>
    <r>
      <rPr>
        <sz val="10"/>
        <rFont val="Noto Sans CJK SC"/>
        <family val="2"/>
      </rPr>
      <t>冷凝器温度控制器</t>
    </r>
    <r>
      <rPr>
        <sz val="10"/>
        <rFont val="Consolas"/>
        <family val="3"/>
      </rPr>
      <t>(TIC-1003)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冷凝器冷盐水总阀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分阀</t>
    </r>
    <r>
      <rPr>
        <sz val="10"/>
        <rFont val="Consolas"/>
        <family val="3"/>
      </rPr>
      <t>HV_1013</t>
    </r>
    <r>
      <rPr>
        <sz val="10"/>
        <rFont val="Noto Sans CJK SC"/>
        <family val="2"/>
      </rPr>
      <t>、</t>
    </r>
    <r>
      <rPr>
        <sz val="10"/>
        <rFont val="Consolas"/>
        <family val="3"/>
      </rPr>
      <t>HV_1014A–I</t>
    </r>
  </si>
  <si>
    <r>
      <rPr>
        <sz val="10"/>
        <rFont val="Consolas"/>
        <family val="3"/>
      </rPr>
      <t xml:space="preserve">:Attr_097 :feedbackTo :Ctrl_024 .   # R0940 </t>
    </r>
    <r>
      <rPr>
        <sz val="10"/>
        <rFont val="Noto Sans CJK SC"/>
        <family val="2"/>
      </rPr>
      <t xml:space="preserve">冷凝器出口温度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冷凝器温度控制器</t>
    </r>
    <r>
      <rPr>
        <sz val="10"/>
        <rFont val="Consolas"/>
        <family val="3"/>
      </rPr>
      <t>(TIC-1003)</t>
    </r>
  </si>
  <si>
    <r>
      <rPr>
        <sz val="10"/>
        <rFont val="Consolas"/>
        <family val="3"/>
      </rPr>
      <t xml:space="preserve">:Act_024 :affects :Attr_097 .   # R0941 </t>
    </r>
    <r>
      <rPr>
        <sz val="10"/>
        <rFont val="Noto Sans CJK SC"/>
        <family val="2"/>
      </rPr>
      <t>冷凝器冷盐水总阀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分阀</t>
    </r>
    <r>
      <rPr>
        <sz val="10"/>
        <rFont val="Consolas"/>
        <family val="3"/>
      </rPr>
      <t>HV_1013</t>
    </r>
    <r>
      <rPr>
        <sz val="10"/>
        <rFont val="Noto Sans CJK SC"/>
        <family val="2"/>
      </rPr>
      <t>、</t>
    </r>
    <r>
      <rPr>
        <sz val="10"/>
        <rFont val="Consolas"/>
        <family val="3"/>
      </rPr>
      <t>HV_1014A–I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冷凝器出口温度</t>
    </r>
  </si>
  <si>
    <r>
      <rPr>
        <sz val="10"/>
        <rFont val="Consolas"/>
        <family val="3"/>
      </rPr>
      <t xml:space="preserve">:TFEvaporatorGroup :isControlledBy :Seq_05 .   # R0942 </t>
    </r>
    <r>
      <rPr>
        <sz val="10"/>
        <rFont val="Noto Sans CJK SC"/>
        <family val="2"/>
      </rPr>
      <t xml:space="preserve">薄膜蒸发器组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被控制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薄膜自动起停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一脱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二脱模式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</si>
  <si>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>:Attr_121 :triggersAlarm :Alarm_12 .   # R0943 RB</t>
    </r>
    <r>
      <rPr>
        <sz val="10"/>
        <rFont val="Noto Sans CJK SC"/>
        <family val="2"/>
      </rPr>
      <t xml:space="preserve">储罐液位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触发报警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高液位回流提示</t>
    </r>
  </si>
  <si>
    <r>
      <rPr>
        <sz val="10"/>
        <rFont val="Consolas"/>
        <family val="3"/>
      </rPr>
      <t>:MS_RB :flowsInto :TFEvaporatorGroup .   # R0944 RB</t>
    </r>
    <r>
      <rPr>
        <sz val="10"/>
        <rFont val="Noto Sans CJK SC"/>
        <family val="2"/>
      </rPr>
      <t>液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青霉素</t>
    </r>
    <r>
      <rPr>
        <sz val="10"/>
        <rFont val="Consolas"/>
        <family val="3"/>
      </rPr>
      <t>G</t>
    </r>
    <r>
      <rPr>
        <sz val="10"/>
        <rFont val="Noto Sans CJK SC"/>
        <family val="2"/>
      </rPr>
      <t>钾水溶液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薄膜蒸发器组</t>
    </r>
  </si>
  <si>
    <r>
      <rPr>
        <sz val="10"/>
        <rFont val="Consolas"/>
        <family val="3"/>
      </rPr>
      <t xml:space="preserve">:MS_HotWater :suppliesUtility :TFEvaporatorGroup .   # R0945 </t>
    </r>
    <r>
      <rPr>
        <sz val="10"/>
        <rFont val="Noto Sans CJK SC"/>
        <family val="2"/>
      </rPr>
      <t xml:space="preserve">热水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供给介质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薄膜蒸发器组</t>
    </r>
  </si>
  <si>
    <r>
      <rPr>
        <sz val="10"/>
        <rFont val="Consolas"/>
        <family val="3"/>
      </rPr>
      <t xml:space="preserve">:MS_Vacuum :suppliesUtility :TFEvaporatorGroup .   # R0946 </t>
    </r>
    <r>
      <rPr>
        <sz val="10"/>
        <rFont val="Noto Sans CJK SC"/>
        <family val="2"/>
      </rPr>
      <t xml:space="preserve">真空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供给介质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薄膜蒸发器组</t>
    </r>
  </si>
  <si>
    <r>
      <rPr>
        <sz val="10"/>
        <rFont val="Consolas"/>
        <family val="3"/>
      </rPr>
      <t xml:space="preserve">:TFEvaporatorGroup :produces :MS_RB_Desolv .   # R0947 </t>
    </r>
    <r>
      <rPr>
        <sz val="10"/>
        <rFont val="Noto Sans CJK SC"/>
        <family val="2"/>
      </rPr>
      <t xml:space="preserve">薄膜蒸发器组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脱溶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液</t>
    </r>
  </si>
  <si>
    <r>
      <rPr>
        <sz val="10"/>
        <rFont val="Consolas"/>
        <family val="3"/>
      </rPr>
      <t xml:space="preserve">:TFEvaporatorGroup :produces :MS_TFDistillate .   # R0948 </t>
    </r>
    <r>
      <rPr>
        <sz val="10"/>
        <rFont val="Noto Sans CJK SC"/>
        <family val="2"/>
      </rPr>
      <t xml:space="preserve">薄膜蒸发器组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薄膜馏出液</t>
    </r>
    <r>
      <rPr>
        <sz val="10"/>
        <rFont val="Consolas"/>
        <family val="3"/>
      </rPr>
      <t>(BA/</t>
    </r>
    <r>
      <rPr>
        <sz val="10"/>
        <rFont val="Noto Sans CJK SC"/>
        <family val="2"/>
      </rPr>
      <t>水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</si>
  <si>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:MS_TFDistillate :flowsInto :TFCondenserGroup .   # R0949 </t>
    </r>
    <r>
      <rPr>
        <sz val="10"/>
        <rFont val="Noto Sans CJK SC"/>
        <family val="2"/>
      </rPr>
      <t>薄膜馏出液</t>
    </r>
    <r>
      <rPr>
        <sz val="10"/>
        <rFont val="Consolas"/>
        <family val="3"/>
      </rPr>
      <t>(BA/</t>
    </r>
    <r>
      <rPr>
        <sz val="10"/>
        <rFont val="Noto Sans CJK SC"/>
        <family val="2"/>
      </rPr>
      <t>水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薄膜冷凝器组</t>
    </r>
  </si>
  <si>
    <r>
      <rPr>
        <sz val="10"/>
        <rFont val="Consolas"/>
        <family val="3"/>
      </rPr>
      <t xml:space="preserve">:MS_Brine :suppliesUtility :TFCondenserGroup .   # R0950 </t>
    </r>
    <r>
      <rPr>
        <sz val="10"/>
        <rFont val="Noto Sans CJK SC"/>
        <family val="2"/>
      </rPr>
      <t>冷盐水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冰盐水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供给介质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薄膜冷凝器组</t>
    </r>
  </si>
  <si>
    <r>
      <rPr>
        <sz val="10"/>
        <rFont val="Consolas"/>
        <family val="3"/>
      </rPr>
      <t xml:space="preserve">:TFCondenserGroup :connectedToNext :TFLightTanks .   # R0951 </t>
    </r>
    <r>
      <rPr>
        <sz val="10"/>
        <rFont val="Noto Sans CJK SC"/>
        <family val="2"/>
      </rPr>
      <t xml:space="preserve">薄膜冷凝器组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薄膜轻相罐组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馏出液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</si>
  <si>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:TFLightTanks :connectedToNext :WaterSeparator .   # R0952 </t>
    </r>
    <r>
      <rPr>
        <sz val="10"/>
        <rFont val="Noto Sans CJK SC"/>
        <family val="2"/>
      </rPr>
      <t>薄膜轻相罐组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馏出液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分水罐</t>
    </r>
  </si>
  <si>
    <r>
      <rPr>
        <sz val="10"/>
        <rFont val="Consolas"/>
        <family val="3"/>
      </rPr>
      <t xml:space="preserve">:MS_RB_Desolv :flowsInto :TFHeavyTanks .   # R0953 </t>
    </r>
    <r>
      <rPr>
        <sz val="10"/>
        <rFont val="Noto Sans CJK SC"/>
        <family val="2"/>
      </rPr>
      <t>脱溶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 xml:space="preserve">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薄膜重相罐组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脱溶</t>
    </r>
    <r>
      <rPr>
        <sz val="10"/>
        <rFont val="Consolas"/>
        <family val="3"/>
      </rPr>
      <t>RB)</t>
    </r>
  </si>
  <si>
    <r>
      <rPr>
        <sz val="10"/>
        <rFont val="Consolas"/>
        <family val="3"/>
      </rPr>
      <t xml:space="preserve">:TFHeavyTanks :connectedToNext :RBStorageTF .   # R0954 </t>
    </r>
    <r>
      <rPr>
        <sz val="10"/>
        <rFont val="Noto Sans CJK SC"/>
        <family val="2"/>
      </rPr>
      <t>薄膜重相罐组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脱溶</t>
    </r>
    <r>
      <rPr>
        <sz val="10"/>
        <rFont val="Consolas"/>
        <family val="3"/>
      </rPr>
      <t>RB) 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>（薄膜出料）</t>
    </r>
  </si>
  <si>
    <r>
      <rPr>
        <sz val="10"/>
        <rFont val="Consolas"/>
        <family val="3"/>
      </rPr>
      <t>:RBStorageTF :connectedToNext :RBStorageHydro .   # R0955 RB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 xml:space="preserve">（薄膜出料）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储罐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>（水解进料）</t>
    </r>
  </si>
  <si>
    <r>
      <rPr>
        <sz val="10"/>
        <rFont val="Consolas"/>
        <family val="3"/>
      </rPr>
      <t xml:space="preserve">:TFHotWaterTank :connectedToNext :TFEvaporatorGroup .   # R0956 </t>
    </r>
    <r>
      <rPr>
        <sz val="10"/>
        <rFont val="Noto Sans CJK SC"/>
        <family val="2"/>
      </rPr>
      <t>薄膜热水罐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余热软水罐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薄膜蒸发器组</t>
    </r>
  </si>
  <si>
    <r>
      <rPr>
        <sz val="10"/>
        <rFont val="Consolas"/>
        <family val="3"/>
      </rPr>
      <t xml:space="preserve">:TFVacuumPump :produces :MS_Vacuum .   # R0957 </t>
    </r>
    <r>
      <rPr>
        <sz val="10"/>
        <rFont val="Noto Sans CJK SC"/>
        <family val="2"/>
      </rPr>
      <t xml:space="preserve">薄膜真空泵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真空</t>
    </r>
  </si>
  <si>
    <r>
      <rPr>
        <sz val="10"/>
        <rFont val="Consolas"/>
        <family val="3"/>
      </rPr>
      <t xml:space="preserve">:Attr_106 :positivelyAffects :Attr_094 .   # R0958 </t>
    </r>
    <r>
      <rPr>
        <sz val="10"/>
        <rFont val="Noto Sans CJK SC"/>
        <family val="2"/>
      </rPr>
      <t xml:space="preserve">热水罐出水温度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蒸发器出口温度</t>
    </r>
  </si>
  <si>
    <r>
      <rPr>
        <sz val="10"/>
        <rFont val="Consolas"/>
        <family val="3"/>
      </rPr>
      <t xml:space="preserve">:Attr_095 :positivelyAffects :Attr_094 .   # R0959 </t>
    </r>
    <r>
      <rPr>
        <sz val="10"/>
        <rFont val="Noto Sans CJK SC"/>
        <family val="2"/>
      </rPr>
      <t xml:space="preserve">蒸发器真空压力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蒸发器出口温度</t>
    </r>
  </si>
  <si>
    <r>
      <rPr>
        <sz val="10"/>
        <rFont val="Consolas"/>
        <family val="3"/>
      </rPr>
      <t xml:space="preserve">:Attr_094 :negativelyAffects :QKPI_264 .   # R0960 </t>
    </r>
    <r>
      <rPr>
        <sz val="10"/>
        <rFont val="Noto Sans CJK SC"/>
        <family val="2"/>
      </rPr>
      <t xml:space="preserve">蒸发器出口温度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液残留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含量</t>
    </r>
  </si>
  <si>
    <r>
      <rPr>
        <sz val="10"/>
        <rFont val="Consolas"/>
        <family val="3"/>
      </rPr>
      <t xml:space="preserve">:Attr_094 :positivelyAffects :QKPI_265 .   # R0961 </t>
    </r>
    <r>
      <rPr>
        <sz val="10"/>
        <rFont val="Noto Sans CJK SC"/>
        <family val="2"/>
      </rPr>
      <t xml:space="preserve">蒸发器出口温度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液热降解率</t>
    </r>
  </si>
  <si>
    <r>
      <rPr>
        <sz val="10"/>
        <rFont val="Consolas"/>
        <family val="3"/>
      </rPr>
      <t xml:space="preserve">:Attr_093 :negativelyAffects :Attr_266 .   # R0962 </t>
    </r>
    <r>
      <rPr>
        <sz val="10"/>
        <rFont val="Noto Sans CJK SC"/>
        <family val="2"/>
      </rPr>
      <t xml:space="preserve">薄膜进料流量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物料蒸发器停留时间</t>
    </r>
  </si>
  <si>
    <r>
      <rPr>
        <sz val="10"/>
        <rFont val="Consolas"/>
        <family val="3"/>
      </rPr>
      <t xml:space="preserve">:Attr_266 :negativelyAffects :QKPI_264 .   # R0963 </t>
    </r>
    <r>
      <rPr>
        <sz val="10"/>
        <rFont val="Noto Sans CJK SC"/>
        <family val="2"/>
      </rPr>
      <t xml:space="preserve">物料蒸发器停留时间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液残留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含量</t>
    </r>
  </si>
  <si>
    <r>
      <rPr>
        <sz val="10"/>
        <rFont val="Consolas"/>
        <family val="3"/>
      </rPr>
      <t xml:space="preserve">:Attr_266 :positivelyAffects :QKPI_265 .   # R0964 </t>
    </r>
    <r>
      <rPr>
        <sz val="10"/>
        <rFont val="Noto Sans CJK SC"/>
        <family val="2"/>
      </rPr>
      <t xml:space="preserve">物料蒸发器停留时间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液热降解率</t>
    </r>
  </si>
  <si>
    <r>
      <rPr>
        <sz val="10"/>
        <rFont val="Consolas"/>
        <family val="3"/>
      </rPr>
      <t xml:space="preserve">:Attr_097 :negativelyAffects :BKPI_302 .   # R0965 </t>
    </r>
    <r>
      <rPr>
        <sz val="10"/>
        <rFont val="Noto Sans CJK SC"/>
        <family val="2"/>
      </rPr>
      <t xml:space="preserve">冷凝器出口温度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溶媒单耗</t>
    </r>
  </si>
  <si>
    <r>
      <rPr>
        <sz val="10"/>
        <rFont val="Consolas"/>
        <family val="3"/>
      </rPr>
      <t>:QKPI_264 :negativelyAffects :Attr_268 .   # R0966 RB</t>
    </r>
    <r>
      <rPr>
        <sz val="10"/>
        <rFont val="Noto Sans CJK SC"/>
        <family val="2"/>
      </rPr>
      <t>液残留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 xml:space="preserve">含量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固定化酶活力稳定性</t>
    </r>
  </si>
  <si>
    <r>
      <rPr>
        <sz val="10"/>
        <rFont val="Consolas"/>
        <family val="3"/>
      </rPr>
      <t>:QKPI_265 :negativelyAffects :Attr_103 .   # R0967 RB</t>
    </r>
    <r>
      <rPr>
        <sz val="10"/>
        <rFont val="Noto Sans CJK SC"/>
        <family val="2"/>
      </rPr>
      <t xml:space="preserve">液热降解率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效价</t>
    </r>
  </si>
  <si>
    <r>
      <rPr>
        <sz val="10"/>
        <rFont val="Consolas"/>
        <family val="3"/>
      </rPr>
      <t>:Attr_103 :positivelyAffects :QKPI_274 .   # R0968 RB</t>
    </r>
    <r>
      <rPr>
        <sz val="10"/>
        <rFont val="Noto Sans CJK SC"/>
        <family val="2"/>
      </rPr>
      <t xml:space="preserve">效价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水解酶解转化率</t>
    </r>
  </si>
  <si>
    <r>
      <rPr>
        <sz val="10"/>
        <rFont val="Consolas"/>
        <family val="3"/>
      </rPr>
      <t>:Attr_104 :positivelyAffects :QKPI_296 .   # R0969 RB</t>
    </r>
    <r>
      <rPr>
        <sz val="10"/>
        <rFont val="Noto Sans CJK SC"/>
        <family val="2"/>
      </rPr>
      <t xml:space="preserve">透光率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>-&gt; 6-APA</t>
    </r>
    <r>
      <rPr>
        <sz val="10"/>
        <rFont val="Noto Sans CJK SC"/>
        <family val="2"/>
      </rPr>
      <t>成品含量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色级</t>
    </r>
  </si>
  <si>
    <r>
      <rPr>
        <sz val="10"/>
        <rFont val="Consolas"/>
        <family val="3"/>
      </rPr>
      <t xml:space="preserve">
# --- S10 </t>
    </r>
    <r>
      <rPr>
        <sz val="10"/>
        <rFont val="Noto Sans CJK SC"/>
        <family val="2"/>
      </rPr>
      <t xml:space="preserve">水解辅料配制 </t>
    </r>
    <r>
      <rPr>
        <sz val="10"/>
        <rFont val="Consolas"/>
        <family val="3"/>
      </rPr>
      <t>---</t>
    </r>
  </si>
  <si>
    <r>
      <rPr>
        <sz val="10"/>
        <rFont val="Consolas"/>
        <family val="3"/>
      </rPr>
      <t xml:space="preserve">:Area_S10_HydrolysisAuxPrep :connectedToNext :Area_S11_EnzymaticHydrolysis .   # R0970 </t>
    </r>
    <r>
      <rPr>
        <sz val="10"/>
        <rFont val="Noto Sans CJK SC"/>
        <family val="2"/>
      </rPr>
      <t xml:space="preserve">水解辅料配制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酶法水解</t>
    </r>
  </si>
  <si>
    <r>
      <rPr>
        <sz val="10"/>
        <rFont val="Consolas"/>
        <family val="3"/>
      </rPr>
      <t xml:space="preserve">:Area_S10_HydrolysisAuxPrep :connectedToNext :Area_S12_PAAExtraction .   # R0971 </t>
    </r>
    <r>
      <rPr>
        <sz val="10"/>
        <rFont val="Noto Sans CJK SC"/>
        <family val="2"/>
      </rPr>
      <t xml:space="preserve">水解辅料配制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萃取与反萃（苯乙酸分离）</t>
    </r>
  </si>
  <si>
    <r>
      <rPr>
        <sz val="10"/>
        <rFont val="Consolas"/>
        <family val="3"/>
      </rPr>
      <t xml:space="preserve">:Area_S10_HydrolysisAuxPrep :connectedToNext :Area_S07_BackExtraction .   # R0972 </t>
    </r>
    <r>
      <rPr>
        <sz val="10"/>
        <rFont val="Noto Sans CJK SC"/>
        <family val="2"/>
      </rPr>
      <t xml:space="preserve">水解辅料配制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抽提（碳酸钾反萃）</t>
    </r>
  </si>
  <si>
    <r>
      <rPr>
        <sz val="10"/>
        <rFont val="Consolas"/>
        <family val="3"/>
      </rPr>
      <t xml:space="preserve">:Area_S10_HydrolysisAuxPrep :hasEquipment :HydroSoftWaterTank .   # R0973 </t>
    </r>
    <r>
      <rPr>
        <sz val="10"/>
        <rFont val="Noto Sans CJK SC"/>
        <family val="2"/>
      </rPr>
      <t xml:space="preserve">水解辅料配制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水解软水罐</t>
    </r>
  </si>
  <si>
    <r>
      <rPr>
        <sz val="10"/>
        <rFont val="Consolas"/>
        <family val="3"/>
      </rPr>
      <t xml:space="preserve">:HydroSoftWaterTank :hasPart :HydroSoftWaterTank_P01 .   # R0974 </t>
    </r>
    <r>
      <rPr>
        <sz val="10"/>
        <rFont val="Noto Sans CJK SC"/>
        <family val="2"/>
      </rPr>
      <t xml:space="preserve">水解软水罐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水解软水罐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</si>
  <si>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:Area_S10_HydrolysisAuxPrep :hasEquipment :CausticPrepTanks .   # R0975 </t>
    </r>
    <r>
      <rPr>
        <sz val="10"/>
        <rFont val="Noto Sans CJK SC"/>
        <family val="2"/>
      </rPr>
      <t xml:space="preserve">水解辅料配制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萃取稀碱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液碱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>配制罐</t>
    </r>
  </si>
  <si>
    <r>
      <rPr>
        <sz val="10"/>
        <rFont val="Consolas"/>
        <family val="3"/>
      </rPr>
      <t xml:space="preserve">:CausticPrepTanks :hasMember :CausticPrepTanks_M01 .   # R0976 </t>
    </r>
    <r>
      <rPr>
        <sz val="10"/>
        <rFont val="Noto Sans CJK SC"/>
        <family val="2"/>
      </rPr>
      <t>萃取稀碱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液碱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 xml:space="preserve">配制罐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液碱配制罐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</si>
  <si>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:CausticPrepTanks :hasMember :CausticPrepTanks_M02 .   # R0977 </t>
    </r>
    <r>
      <rPr>
        <sz val="10"/>
        <rFont val="Noto Sans CJK SC"/>
        <family val="2"/>
      </rPr>
      <t>萃取稀碱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液碱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 xml:space="preserve">配制罐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液碱配制罐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</si>
  <si>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:CausticPrepTanks :hasPart :CausticPrepTanks_P01 .   # R0978 </t>
    </r>
    <r>
      <rPr>
        <sz val="10"/>
        <rFont val="Noto Sans CJK SC"/>
        <family val="2"/>
      </rPr>
      <t>萃取稀碱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液碱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 xml:space="preserve">配制罐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萃取稀碱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液碱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>配制罐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</si>
  <si>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:Area_S10_HydrolysisAuxPrep :hasEquipment :ConcAmmoniaMeter .   # R0979 </t>
    </r>
    <r>
      <rPr>
        <sz val="10"/>
        <rFont val="Noto Sans CJK SC"/>
        <family val="2"/>
      </rPr>
      <t xml:space="preserve">水解辅料配制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浓氨计量罐</t>
    </r>
  </si>
  <si>
    <r>
      <rPr>
        <sz val="10"/>
        <rFont val="Consolas"/>
        <family val="3"/>
      </rPr>
      <t xml:space="preserve">:ConcAmmoniaMeter :hasPart :ConcAmmoniaMeter_P01 .   # R0980 </t>
    </r>
    <r>
      <rPr>
        <sz val="10"/>
        <rFont val="Noto Sans CJK SC"/>
        <family val="2"/>
      </rPr>
      <t xml:space="preserve">浓氨计量罐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浓氨计量罐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</si>
  <si>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:Area_S10_HydrolysisAuxPrep :hasEquipment :AmmoniaPrepTank .   # R0981 </t>
    </r>
    <r>
      <rPr>
        <sz val="10"/>
        <rFont val="Noto Sans CJK SC"/>
        <family val="2"/>
      </rPr>
      <t xml:space="preserve">水解辅料配制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氨水配制罐</t>
    </r>
  </si>
  <si>
    <r>
      <rPr>
        <sz val="10"/>
        <rFont val="Consolas"/>
        <family val="3"/>
      </rPr>
      <t xml:space="preserve">:AmmoniaPrepTank :hasPart :AmmoniaPrepTank_P01 .   # R0982 </t>
    </r>
    <r>
      <rPr>
        <sz val="10"/>
        <rFont val="Noto Sans CJK SC"/>
        <family val="2"/>
      </rPr>
      <t xml:space="preserve">氨水配制罐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氨水配制罐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搅拌器</t>
    </r>
  </si>
  <si>
    <r>
      <rPr>
        <sz val="10"/>
        <rFont val="Consolas"/>
        <family val="3"/>
      </rPr>
      <t xml:space="preserve">:AmmoniaPrepTank :hasPart :AmmoniaPrepTank_P02 .   # R0983 </t>
    </r>
    <r>
      <rPr>
        <sz val="10"/>
        <rFont val="Noto Sans CJK SC"/>
        <family val="2"/>
      </rPr>
      <t xml:space="preserve">氨水配制罐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氨水配制罐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</si>
  <si>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:AmmoniaPrepTank :hasPart :AmmoniaPrepTank_P03 .   # R0984 </t>
    </r>
    <r>
      <rPr>
        <sz val="10"/>
        <rFont val="Noto Sans CJK SC"/>
        <family val="2"/>
      </rPr>
      <t xml:space="preserve">氨水配制罐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氨水配制罐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软水流量计</t>
    </r>
    <r>
      <rPr>
        <sz val="10"/>
        <rFont val="Consolas"/>
        <family val="3"/>
      </rPr>
      <t>SJ_NH3FLOW</t>
    </r>
  </si>
  <si>
    <r>
      <rPr>
        <sz val="10"/>
        <rFont val="Consolas"/>
        <family val="3"/>
      </rPr>
      <t xml:space="preserve">:Area_S10_HydrolysisAuxPrep :hasEquipment :HydroAmmoniaBuffer .   # R0985 </t>
    </r>
    <r>
      <rPr>
        <sz val="10"/>
        <rFont val="Noto Sans CJK SC"/>
        <family val="2"/>
      </rPr>
      <t xml:space="preserve">水解辅料配制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水解氨水缓冲罐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稀氨水缓冲罐</t>
    </r>
  </si>
  <si>
    <r>
      <rPr>
        <sz val="10"/>
        <rFont val="Consolas"/>
        <family val="3"/>
      </rPr>
      <t xml:space="preserve">:HydroAmmoniaBuffer :hasPart :HydroAmmoniaBuffer_P01 .   # R0986 </t>
    </r>
    <r>
      <rPr>
        <sz val="10"/>
        <rFont val="Noto Sans CJK SC"/>
        <family val="2"/>
      </rPr>
      <t>水解氨水缓冲罐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稀氨水缓冲罐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水解氨水缓冲罐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稀氨水缓冲罐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</si>
  <si>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:Area_S10_HydrolysisAuxPrep :hasEquipment :ExtAmmoniaBuffer .   # R0987 </t>
    </r>
    <r>
      <rPr>
        <sz val="10"/>
        <rFont val="Noto Sans CJK SC"/>
        <family val="2"/>
      </rPr>
      <t xml:space="preserve">水解辅料配制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抽提氨水缓冲罐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氨水溢流罐</t>
    </r>
  </si>
  <si>
    <r>
      <rPr>
        <sz val="10"/>
        <rFont val="Consolas"/>
        <family val="3"/>
      </rPr>
      <t xml:space="preserve">:ExtAmmoniaBuffer :hasPart :ExtAmmoniaBuffer_P01 .   # R0988 </t>
    </r>
    <r>
      <rPr>
        <sz val="10"/>
        <rFont val="Noto Sans CJK SC"/>
        <family val="2"/>
      </rPr>
      <t>抽提氨水缓冲罐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氨水溢流罐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抽提氨水缓冲罐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氨水溢流罐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</si>
  <si>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:Area_S10_HydrolysisAuxPrep :hasEquipment :BoricAcidPrep .   # R0989 </t>
    </r>
    <r>
      <rPr>
        <sz val="10"/>
        <rFont val="Noto Sans CJK SC"/>
        <family val="2"/>
      </rPr>
      <t xml:space="preserve">水解辅料配制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硼酸配制罐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真空上料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</si>
  <si>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:BoricAcidPrep :hasMember :BoricAcidPrep_M01 .   # R0990 </t>
    </r>
    <r>
      <rPr>
        <sz val="10"/>
        <rFont val="Noto Sans CJK SC"/>
        <family val="2"/>
      </rPr>
      <t>硼酸配制罐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真空上料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硼酸配制罐</t>
    </r>
    <r>
      <rPr>
        <sz val="10"/>
        <rFont val="Consolas"/>
        <family val="3"/>
      </rPr>
      <t>1</t>
    </r>
    <r>
      <rPr>
        <sz val="10"/>
        <rFont val="Noto Sans CJK SC"/>
        <family val="2"/>
      </rPr>
      <t>号</t>
    </r>
  </si>
  <si>
    <r>
      <rPr>
        <sz val="10"/>
        <rFont val="Consolas"/>
        <family val="3"/>
      </rPr>
      <t xml:space="preserve">:BoricAcidPrep :hasMember :BoricAcidPrep_M02 .   # R0991 </t>
    </r>
    <r>
      <rPr>
        <sz val="10"/>
        <rFont val="Noto Sans CJK SC"/>
        <family val="2"/>
      </rPr>
      <t>硼酸配制罐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真空上料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硼酸配制罐</t>
    </r>
    <r>
      <rPr>
        <sz val="10"/>
        <rFont val="Consolas"/>
        <family val="3"/>
      </rPr>
      <t>2</t>
    </r>
    <r>
      <rPr>
        <sz val="10"/>
        <rFont val="Noto Sans CJK SC"/>
        <family val="2"/>
      </rPr>
      <t>号</t>
    </r>
  </si>
  <si>
    <r>
      <rPr>
        <sz val="10"/>
        <rFont val="Consolas"/>
        <family val="3"/>
      </rPr>
      <t xml:space="preserve">:BoricAcidPrep :hasPart :BoricAcidPrep_P01 .   # R0992 </t>
    </r>
    <r>
      <rPr>
        <sz val="10"/>
        <rFont val="Noto Sans CJK SC"/>
        <family val="2"/>
      </rPr>
      <t>硼酸配制罐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真空上料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硼酸配制罐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真空上料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真空上料料仓</t>
    </r>
  </si>
  <si>
    <r>
      <rPr>
        <sz val="10"/>
        <rFont val="Consolas"/>
        <family val="3"/>
      </rPr>
      <t xml:space="preserve">:BoricAcidPrep :hasPart :BoricAcidPrep_P02 .   # R0993 </t>
    </r>
    <r>
      <rPr>
        <sz val="10"/>
        <rFont val="Noto Sans CJK SC"/>
        <family val="2"/>
      </rPr>
      <t>硼酸配制罐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真空上料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硼酸配制罐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真空上料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搅拌器</t>
    </r>
  </si>
  <si>
    <r>
      <rPr>
        <sz val="10"/>
        <rFont val="Consolas"/>
        <family val="3"/>
      </rPr>
      <t xml:space="preserve">:BoricAcidPrep :hasPart :BoricAcidPrep_P03 .   # R0994 </t>
    </r>
    <r>
      <rPr>
        <sz val="10"/>
        <rFont val="Noto Sans CJK SC"/>
        <family val="2"/>
      </rPr>
      <t>硼酸配制罐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真空上料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硼酸配制罐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真空上料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温度计</t>
    </r>
  </si>
  <si>
    <r>
      <rPr>
        <sz val="10"/>
        <rFont val="Consolas"/>
        <family val="3"/>
      </rPr>
      <t xml:space="preserve">:Area_S10_HydrolysisAuxPrep :hasEquipment :BoricAcidTanks .   # R0995 </t>
    </r>
    <r>
      <rPr>
        <sz val="10"/>
        <rFont val="Noto Sans CJK SC"/>
        <family val="2"/>
      </rPr>
      <t xml:space="preserve">水解辅料配制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硼酸罐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硼酸缓冲罐</t>
    </r>
  </si>
  <si>
    <r>
      <rPr>
        <sz val="10"/>
        <rFont val="Consolas"/>
        <family val="3"/>
      </rPr>
      <t xml:space="preserve">:BoricAcidTanks :hasMember :BoricAcidTanks_M01 .   # R0996 </t>
    </r>
    <r>
      <rPr>
        <sz val="10"/>
        <rFont val="Noto Sans CJK SC"/>
        <family val="2"/>
      </rPr>
      <t>硼酸罐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硼酸缓冲罐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硼酸罐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</si>
  <si>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:BoricAcidTanks :hasMember :BoricAcidTanks_M02 .   # R0997 </t>
    </r>
    <r>
      <rPr>
        <sz val="10"/>
        <rFont val="Noto Sans CJK SC"/>
        <family val="2"/>
      </rPr>
      <t>硼酸罐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硼酸缓冲罐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硼酸罐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</si>
  <si>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:BoricAcidTanks :hasPart :BoricAcidTanks_P01 .   # R0998 </t>
    </r>
    <r>
      <rPr>
        <sz val="10"/>
        <rFont val="Noto Sans CJK SC"/>
        <family val="2"/>
      </rPr>
      <t>硼酸罐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硼酸缓冲罐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硼酸罐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硼酸缓冲罐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</si>
  <si>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:BoricAcidTanks :hasPart :BoricAcidTanks_P02 .   # R0999 </t>
    </r>
    <r>
      <rPr>
        <sz val="10"/>
        <rFont val="Noto Sans CJK SC"/>
        <family val="2"/>
      </rPr>
      <t>硼酸罐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硼酸缓冲罐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硼酸罐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硼酸缓冲罐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温度计</t>
    </r>
    <r>
      <rPr>
        <sz val="10"/>
        <rFont val="Consolas"/>
        <family val="3"/>
      </rPr>
      <t>TE_9004</t>
    </r>
  </si>
  <si>
    <r>
      <rPr>
        <sz val="10"/>
        <rFont val="Consolas"/>
        <family val="3"/>
      </rPr>
      <t xml:space="preserve">:Area_S10_HydrolysisAuxPrep :hasEquipment :HydroHotWaterTank .   # R1000 </t>
    </r>
    <r>
      <rPr>
        <sz val="10"/>
        <rFont val="Noto Sans CJK SC"/>
        <family val="2"/>
      </rPr>
      <t xml:space="preserve">水解辅料配制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水解热水罐</t>
    </r>
  </si>
  <si>
    <r>
      <rPr>
        <sz val="10"/>
        <rFont val="Consolas"/>
        <family val="3"/>
      </rPr>
      <t xml:space="preserve">:HydroHotWaterTank :hasPart :HydroHotWaterTank_P01 .   # R1001 </t>
    </r>
    <r>
      <rPr>
        <sz val="10"/>
        <rFont val="Noto Sans CJK SC"/>
        <family val="2"/>
      </rPr>
      <t xml:space="preserve">水解热水罐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水解热水罐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蒸汽阀</t>
    </r>
  </si>
  <si>
    <r>
      <rPr>
        <sz val="10"/>
        <rFont val="Consolas"/>
        <family val="3"/>
      </rPr>
      <t xml:space="preserve">:HydroHotWaterTank :hasPart :HydroHotWaterTank_P02 .   # R1002 </t>
    </r>
    <r>
      <rPr>
        <sz val="10"/>
        <rFont val="Noto Sans CJK SC"/>
        <family val="2"/>
      </rPr>
      <t xml:space="preserve">水解热水罐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水解热水罐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温度计</t>
    </r>
  </si>
  <si>
    <r>
      <rPr>
        <sz val="10"/>
        <rFont val="Consolas"/>
        <family val="3"/>
      </rPr>
      <t xml:space="preserve">:HydroSoftWaterTank :hasAttribute :Attr_109 .   # R1003 </t>
    </r>
    <r>
      <rPr>
        <sz val="10"/>
        <rFont val="Noto Sans CJK SC"/>
        <family val="2"/>
      </rPr>
      <t xml:space="preserve">水解软水罐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水解软水罐液位</t>
    </r>
  </si>
  <si>
    <r>
      <rPr>
        <sz val="10"/>
        <rFont val="Consolas"/>
        <family val="3"/>
      </rPr>
      <t xml:space="preserve">:CausticPrepTanks :hasAttribute :Attr_110 .   # R1004 </t>
    </r>
    <r>
      <rPr>
        <sz val="10"/>
        <rFont val="Noto Sans CJK SC"/>
        <family val="2"/>
      </rPr>
      <t>萃取稀碱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液碱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 xml:space="preserve">配制罐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液碱配制罐液位</t>
    </r>
  </si>
  <si>
    <r>
      <rPr>
        <sz val="10"/>
        <rFont val="Consolas"/>
        <family val="3"/>
      </rPr>
      <t xml:space="preserve">:CausticPrepTanks :hasAttribute :Attr_111 .   # R1005 </t>
    </r>
    <r>
      <rPr>
        <sz val="10"/>
        <rFont val="Noto Sans CJK SC"/>
        <family val="2"/>
      </rPr>
      <t>萃取稀碱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液碱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 xml:space="preserve">配制罐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浓碱去萃取浓碱罐流量</t>
    </r>
  </si>
  <si>
    <r>
      <rPr>
        <sz val="10"/>
        <rFont val="Consolas"/>
        <family val="3"/>
      </rPr>
      <t xml:space="preserve">:ConcAmmoniaMeter :hasAttribute :Attr_112 .   # R1006 </t>
    </r>
    <r>
      <rPr>
        <sz val="10"/>
        <rFont val="Noto Sans CJK SC"/>
        <family val="2"/>
      </rPr>
      <t xml:space="preserve">浓氨计量罐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浓氨计量罐液位</t>
    </r>
  </si>
  <si>
    <r>
      <rPr>
        <sz val="10"/>
        <rFont val="Consolas"/>
        <family val="3"/>
      </rPr>
      <t xml:space="preserve">:AmmoniaPrepTank :hasAttribute :Attr_113 .   # R1007 </t>
    </r>
    <r>
      <rPr>
        <sz val="10"/>
        <rFont val="Noto Sans CJK SC"/>
        <family val="2"/>
      </rPr>
      <t xml:space="preserve">氨水配制罐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氨水配制罐液位</t>
    </r>
  </si>
  <si>
    <r>
      <rPr>
        <sz val="10"/>
        <rFont val="Consolas"/>
        <family val="3"/>
      </rPr>
      <t xml:space="preserve">:AmmoniaPrepTank :hasAttribute :Attr_114 .   # R1008 </t>
    </r>
    <r>
      <rPr>
        <sz val="10"/>
        <rFont val="Noto Sans CJK SC"/>
        <family val="2"/>
      </rPr>
      <t xml:space="preserve">氨水配制罐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氨水配制软水流量</t>
    </r>
  </si>
  <si>
    <r>
      <rPr>
        <sz val="10"/>
        <rFont val="Consolas"/>
        <family val="3"/>
      </rPr>
      <t xml:space="preserve">:HydroAmmoniaBuffer :hasAttribute :Attr_115 .   # R1009 </t>
    </r>
    <r>
      <rPr>
        <sz val="10"/>
        <rFont val="Noto Sans CJK SC"/>
        <family val="2"/>
      </rPr>
      <t>水解氨水缓冲罐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稀氨水缓冲罐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氨水缓冲罐液位</t>
    </r>
  </si>
  <si>
    <r>
      <rPr>
        <sz val="10"/>
        <rFont val="Consolas"/>
        <family val="3"/>
      </rPr>
      <t xml:space="preserve">:ExtAmmoniaBuffer :hasAttribute :Attr_116 .   # R1010 </t>
    </r>
    <r>
      <rPr>
        <sz val="10"/>
        <rFont val="Noto Sans CJK SC"/>
        <family val="2"/>
      </rPr>
      <t>抽提氨水缓冲罐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氨水溢流罐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氨水溢流罐液位</t>
    </r>
  </si>
  <si>
    <r>
      <rPr>
        <sz val="10"/>
        <rFont val="Consolas"/>
        <family val="3"/>
      </rPr>
      <t xml:space="preserve">:BoricAcidPrep :hasAttribute :Attr_117 .   # R1011 </t>
    </r>
    <r>
      <rPr>
        <sz val="10"/>
        <rFont val="Noto Sans CJK SC"/>
        <family val="2"/>
      </rPr>
      <t>硼酸配制罐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真空上料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硼酸配制出料温度</t>
    </r>
  </si>
  <si>
    <r>
      <rPr>
        <sz val="10"/>
        <rFont val="Consolas"/>
        <family val="3"/>
      </rPr>
      <t xml:space="preserve">:BoricAcidTanks :hasAttribute :Attr_118 .   # R1012 </t>
    </r>
    <r>
      <rPr>
        <sz val="10"/>
        <rFont val="Noto Sans CJK SC"/>
        <family val="2"/>
      </rPr>
      <t>硼酸罐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硼酸缓冲罐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硼酸罐液位</t>
    </r>
  </si>
  <si>
    <r>
      <rPr>
        <sz val="10"/>
        <rFont val="Consolas"/>
        <family val="3"/>
      </rPr>
      <t xml:space="preserve">:BoricAcidTanks :hasAttribute :Attr_119 .   # R1013 </t>
    </r>
    <r>
      <rPr>
        <sz val="10"/>
        <rFont val="Noto Sans CJK SC"/>
        <family val="2"/>
      </rPr>
      <t>硼酸罐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硼酸缓冲罐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硼酸溶液温度</t>
    </r>
  </si>
  <si>
    <r>
      <rPr>
        <sz val="10"/>
        <rFont val="Consolas"/>
        <family val="3"/>
      </rPr>
      <t xml:space="preserve">:HydroHotWaterTank :hasAttribute :Attr_120 .   # R1014 </t>
    </r>
    <r>
      <rPr>
        <sz val="10"/>
        <rFont val="Noto Sans CJK SC"/>
        <family val="2"/>
      </rPr>
      <t xml:space="preserve">水解热水罐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水解热水罐温度</t>
    </r>
  </si>
  <si>
    <r>
      <rPr>
        <sz val="10"/>
        <rFont val="Consolas"/>
        <family val="3"/>
      </rPr>
      <t xml:space="preserve">:BoricAcidTanks :hasAttribute :Attr_267 .   # R1015 </t>
    </r>
    <r>
      <rPr>
        <sz val="10"/>
        <rFont val="Noto Sans CJK SC"/>
        <family val="2"/>
      </rPr>
      <t>硼酸罐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硼酸缓冲罐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硼酸缓冲容量</t>
    </r>
  </si>
  <si>
    <r>
      <rPr>
        <sz val="10"/>
        <rFont val="Consolas"/>
        <family val="3"/>
      </rPr>
      <t xml:space="preserve">:MS_Borate :hasAttribute :Attr_119 .   # R1016 </t>
    </r>
    <r>
      <rPr>
        <sz val="10"/>
        <rFont val="Noto Sans CJK SC"/>
        <family val="2"/>
      </rPr>
      <t xml:space="preserve">硼酸缓冲液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硼酸溶液温度</t>
    </r>
  </si>
  <si>
    <r>
      <rPr>
        <sz val="10"/>
        <rFont val="Consolas"/>
        <family val="3"/>
      </rPr>
      <t xml:space="preserve">:MS_Borate :hasAttribute :Attr_124 .   # R1017 </t>
    </r>
    <r>
      <rPr>
        <sz val="10"/>
        <rFont val="Noto Sans CJK SC"/>
        <family val="2"/>
      </rPr>
      <t xml:space="preserve">硼酸缓冲液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硼酸进料流量</t>
    </r>
  </si>
  <si>
    <r>
      <rPr>
        <sz val="10"/>
        <rFont val="Consolas"/>
        <family val="3"/>
      </rPr>
      <t xml:space="preserve">:MS_Ammonia_Hydro :hasAttribute :Attr_272 .   # R1018 </t>
    </r>
    <r>
      <rPr>
        <sz val="10"/>
        <rFont val="Noto Sans CJK SC"/>
        <family val="2"/>
      </rPr>
      <t xml:space="preserve">中和氨水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氨水累计加量</t>
    </r>
  </si>
  <si>
    <r>
      <rPr>
        <sz val="10"/>
        <rFont val="Consolas"/>
        <family val="3"/>
      </rPr>
      <t xml:space="preserve">:Attr_109 :boundToTag :Tag_LT_1316 .   # R1019 </t>
    </r>
    <r>
      <rPr>
        <sz val="10"/>
        <rFont val="Noto Sans CJK SC"/>
        <family val="2"/>
      </rPr>
      <t xml:space="preserve">水解软水罐液位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LT_1316</t>
    </r>
  </si>
  <si>
    <r>
      <rPr>
        <sz val="10"/>
        <rFont val="Consolas"/>
        <family val="3"/>
      </rPr>
      <t xml:space="preserve">:Attr_110 :boundToTag :Tag_LT_1307A .   # R1020 </t>
    </r>
    <r>
      <rPr>
        <sz val="10"/>
        <rFont val="Noto Sans CJK SC"/>
        <family val="2"/>
      </rPr>
      <t xml:space="preserve">液碱配制罐液位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LT_1307A</t>
    </r>
  </si>
  <si>
    <r>
      <rPr>
        <sz val="10"/>
        <rFont val="Consolas"/>
        <family val="3"/>
      </rPr>
      <t xml:space="preserve">:Attr_110 :boundToTag :Tag_LT_1307B .   # R1021 </t>
    </r>
    <r>
      <rPr>
        <sz val="10"/>
        <rFont val="Noto Sans CJK SC"/>
        <family val="2"/>
      </rPr>
      <t xml:space="preserve">液碱配制罐液位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LT_1307B</t>
    </r>
  </si>
  <si>
    <r>
      <rPr>
        <sz val="10"/>
        <rFont val="Consolas"/>
        <family val="3"/>
      </rPr>
      <t xml:space="preserve">:Attr_111 :boundToTag :Tag_FT_13NJ .   # R1022 </t>
    </r>
    <r>
      <rPr>
        <sz val="10"/>
        <rFont val="Noto Sans CJK SC"/>
        <family val="2"/>
      </rPr>
      <t xml:space="preserve">浓碱去萃取浓碱罐流量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FT_13NJ</t>
    </r>
  </si>
  <si>
    <r>
      <rPr>
        <sz val="10"/>
        <rFont val="Consolas"/>
        <family val="3"/>
      </rPr>
      <t xml:space="preserve">:Attr_112 :boundToTag :Tag_LT_1309 .   # R1023 </t>
    </r>
    <r>
      <rPr>
        <sz val="10"/>
        <rFont val="Noto Sans CJK SC"/>
        <family val="2"/>
      </rPr>
      <t xml:space="preserve">浓氨计量罐液位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LT_1309</t>
    </r>
  </si>
  <si>
    <r>
      <rPr>
        <sz val="10"/>
        <rFont val="Consolas"/>
        <family val="3"/>
      </rPr>
      <t xml:space="preserve">:Attr_113 :boundToTag :Tag_LT_1308 .   # R1024 </t>
    </r>
    <r>
      <rPr>
        <sz val="10"/>
        <rFont val="Noto Sans CJK SC"/>
        <family val="2"/>
      </rPr>
      <t xml:space="preserve">氨水配制罐液位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LT_1308</t>
    </r>
  </si>
  <si>
    <r>
      <rPr>
        <sz val="10"/>
        <rFont val="Consolas"/>
        <family val="3"/>
      </rPr>
      <t xml:space="preserve">:Attr_114 :boundToTag :Tag_SJ_NH3FLOW .   # R1025 </t>
    </r>
    <r>
      <rPr>
        <sz val="10"/>
        <rFont val="Noto Sans CJK SC"/>
        <family val="2"/>
      </rPr>
      <t xml:space="preserve">氨水配制软水流量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SJ_NH3FLOW</t>
    </r>
  </si>
  <si>
    <r>
      <rPr>
        <sz val="10"/>
        <rFont val="Consolas"/>
        <family val="3"/>
      </rPr>
      <t xml:space="preserve">:Attr_115 :boundToTag :Tag_LT_1310 .   # R1026 </t>
    </r>
    <r>
      <rPr>
        <sz val="10"/>
        <rFont val="Noto Sans CJK SC"/>
        <family val="2"/>
      </rPr>
      <t xml:space="preserve">氨水缓冲罐液位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LT_1310</t>
    </r>
  </si>
  <si>
    <r>
      <rPr>
        <sz val="10"/>
        <rFont val="Consolas"/>
        <family val="3"/>
      </rPr>
      <t xml:space="preserve">:Attr_116 :boundToTag :Tag_LT_1311 .   # R1027 </t>
    </r>
    <r>
      <rPr>
        <sz val="10"/>
        <rFont val="Noto Sans CJK SC"/>
        <family val="2"/>
      </rPr>
      <t xml:space="preserve">氨水溢流罐液位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LT_1311</t>
    </r>
  </si>
  <si>
    <r>
      <rPr>
        <sz val="10"/>
        <rFont val="Consolas"/>
        <family val="3"/>
      </rPr>
      <t xml:space="preserve">:Attr_117 :boundToTag :Tag_TI_1302 .   # R1028 </t>
    </r>
    <r>
      <rPr>
        <sz val="10"/>
        <rFont val="Noto Sans CJK SC"/>
        <family val="2"/>
      </rPr>
      <t xml:space="preserve">硼酸配制出料温度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TI_1302</t>
    </r>
  </si>
  <si>
    <r>
      <rPr>
        <sz val="10"/>
        <rFont val="Consolas"/>
        <family val="3"/>
      </rPr>
      <t xml:space="preserve">:Attr_118 :boundToTag :Tag_LT_1304A .   # R1029 </t>
    </r>
    <r>
      <rPr>
        <sz val="10"/>
        <rFont val="Noto Sans CJK SC"/>
        <family val="2"/>
      </rPr>
      <t xml:space="preserve">硼酸罐液位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LT_1304A</t>
    </r>
  </si>
  <si>
    <r>
      <rPr>
        <sz val="10"/>
        <rFont val="Consolas"/>
        <family val="3"/>
      </rPr>
      <t xml:space="preserve">:Attr_118 :boundToTag :Tag_LT_1304B .   # R1030 </t>
    </r>
    <r>
      <rPr>
        <sz val="10"/>
        <rFont val="Noto Sans CJK SC"/>
        <family val="2"/>
      </rPr>
      <t xml:space="preserve">硼酸罐液位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LT_1304B</t>
    </r>
  </si>
  <si>
    <r>
      <rPr>
        <sz val="10"/>
        <rFont val="Consolas"/>
        <family val="3"/>
      </rPr>
      <t xml:space="preserve">:Attr_119 :boundToTag :Tag_TE_9004 .   # R1031 </t>
    </r>
    <r>
      <rPr>
        <sz val="10"/>
        <rFont val="Noto Sans CJK SC"/>
        <family val="2"/>
      </rPr>
      <t xml:space="preserve">硼酸溶液温度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TE_9004</t>
    </r>
  </si>
  <si>
    <r>
      <rPr>
        <sz val="10"/>
        <rFont val="Consolas"/>
        <family val="3"/>
      </rPr>
      <t xml:space="preserve">:Attr_120 :boundToTag :Tag_TI_1304 .   # R1032 </t>
    </r>
    <r>
      <rPr>
        <sz val="10"/>
        <rFont val="Noto Sans CJK SC"/>
        <family val="2"/>
      </rPr>
      <t xml:space="preserve">水解热水罐温度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TI_1304</t>
    </r>
  </si>
  <si>
    <r>
      <rPr>
        <sz val="10"/>
        <rFont val="Consolas"/>
        <family val="3"/>
      </rPr>
      <t xml:space="preserve">:MS_SoftWater :flowsInto :HydroSoftWaterTank .   # R1033 </t>
    </r>
    <r>
      <rPr>
        <sz val="10"/>
        <rFont val="Noto Sans CJK SC"/>
        <family val="2"/>
      </rPr>
      <t xml:space="preserve">软水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水解软水罐</t>
    </r>
  </si>
  <si>
    <r>
      <rPr>
        <sz val="10"/>
        <rFont val="Consolas"/>
        <family val="3"/>
      </rPr>
      <t xml:space="preserve">:HydroSoftWaterTank :connectedToNext :CausticPrepTanks .   # R1034 </t>
    </r>
    <r>
      <rPr>
        <sz val="10"/>
        <rFont val="Noto Sans CJK SC"/>
        <family val="2"/>
      </rPr>
      <t xml:space="preserve">水解软水罐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萃取稀碱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液碱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>配制罐</t>
    </r>
  </si>
  <si>
    <r>
      <rPr>
        <sz val="10"/>
        <rFont val="Consolas"/>
        <family val="3"/>
      </rPr>
      <t xml:space="preserve">:ConcAlkaliTank :connectedToNext :CausticPrepTanks .   # R1035 </t>
    </r>
    <r>
      <rPr>
        <sz val="10"/>
        <rFont val="Noto Sans CJK SC"/>
        <family val="2"/>
      </rPr>
      <t>浓碱罐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液碱罐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萃取稀碱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液碱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>配制罐</t>
    </r>
  </si>
  <si>
    <r>
      <rPr>
        <sz val="10"/>
        <rFont val="Consolas"/>
        <family val="3"/>
      </rPr>
      <t xml:space="preserve">:CausticPrepTanks :produces :MS_Caustic .   # R1036 </t>
    </r>
    <r>
      <rPr>
        <sz val="10"/>
        <rFont val="Noto Sans CJK SC"/>
        <family val="2"/>
      </rPr>
      <t>萃取稀碱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液碱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 xml:space="preserve">配制罐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液碱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稀碱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</si>
  <si>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:ConcAmmoniaMeter :connectedToNext :AmmoniaPrepTank .   # R1037 </t>
    </r>
    <r>
      <rPr>
        <sz val="10"/>
        <rFont val="Noto Sans CJK SC"/>
        <family val="2"/>
      </rPr>
      <t xml:space="preserve">浓氨计量罐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氨水配制罐</t>
    </r>
  </si>
  <si>
    <r>
      <rPr>
        <sz val="10"/>
        <rFont val="Consolas"/>
        <family val="3"/>
      </rPr>
      <t xml:space="preserve">:MS_SoftWater :flowsInto :AmmoniaPrepTank .   # R1038 </t>
    </r>
    <r>
      <rPr>
        <sz val="10"/>
        <rFont val="Noto Sans CJK SC"/>
        <family val="2"/>
      </rPr>
      <t xml:space="preserve">软水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氨水配制罐</t>
    </r>
  </si>
  <si>
    <r>
      <rPr>
        <sz val="10"/>
        <rFont val="Consolas"/>
        <family val="3"/>
      </rPr>
      <t xml:space="preserve">:AmmoniaPrepTank :produces :MS_Ammonia_Hydro .   # R1039 </t>
    </r>
    <r>
      <rPr>
        <sz val="10"/>
        <rFont val="Noto Sans CJK SC"/>
        <family val="2"/>
      </rPr>
      <t xml:space="preserve">氨水配制罐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中和氨水</t>
    </r>
  </si>
  <si>
    <r>
      <rPr>
        <sz val="10"/>
        <rFont val="Consolas"/>
        <family val="3"/>
      </rPr>
      <t xml:space="preserve">:MS_Ammonia_Hydro :flowsInto :HydroAmmoniaBuffer .   # R1040 </t>
    </r>
    <r>
      <rPr>
        <sz val="10"/>
        <rFont val="Noto Sans CJK SC"/>
        <family val="2"/>
      </rPr>
      <t xml:space="preserve">中和氨水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水解氨水缓冲罐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稀氨水缓冲罐</t>
    </r>
  </si>
  <si>
    <r>
      <rPr>
        <sz val="10"/>
        <rFont val="Consolas"/>
        <family val="3"/>
      </rPr>
      <t xml:space="preserve">:MS_Ammonia_Hydro :flowsInto :ExtAmmoniaBuffer .   # R1041 </t>
    </r>
    <r>
      <rPr>
        <sz val="10"/>
        <rFont val="Noto Sans CJK SC"/>
        <family val="2"/>
      </rPr>
      <t xml:space="preserve">中和氨水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抽提氨水缓冲罐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氨水溢流罐</t>
    </r>
  </si>
  <si>
    <r>
      <rPr>
        <sz val="10"/>
        <rFont val="Consolas"/>
        <family val="3"/>
      </rPr>
      <t xml:space="preserve">:HydroAmmoniaBuffer :connectedToNext :AmmoniaMeterTanks .   # R1042 </t>
    </r>
    <r>
      <rPr>
        <sz val="10"/>
        <rFont val="Noto Sans CJK SC"/>
        <family val="2"/>
      </rPr>
      <t>水解氨水缓冲罐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稀氨水缓冲罐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水解氨水计量罐组</t>
    </r>
  </si>
  <si>
    <r>
      <rPr>
        <sz val="10"/>
        <rFont val="Consolas"/>
        <family val="3"/>
      </rPr>
      <t xml:space="preserve">:HydroHotWaterTank :connectedToNext :BoricAcidTanks .   # R1043 </t>
    </r>
    <r>
      <rPr>
        <sz val="10"/>
        <rFont val="Noto Sans CJK SC"/>
        <family val="2"/>
      </rPr>
      <t xml:space="preserve">水解热水罐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硼酸罐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硼酸缓冲罐</t>
    </r>
  </si>
  <si>
    <r>
      <rPr>
        <sz val="10"/>
        <rFont val="Consolas"/>
        <family val="3"/>
      </rPr>
      <t xml:space="preserve">:MS_Steam :suppliesUtility :HydroHotWaterTank .   # R1044 </t>
    </r>
    <r>
      <rPr>
        <sz val="10"/>
        <rFont val="Noto Sans CJK SC"/>
        <family val="2"/>
      </rPr>
      <t xml:space="preserve">蒸汽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供给介质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水解热水罐</t>
    </r>
  </si>
  <si>
    <r>
      <rPr>
        <sz val="10"/>
        <rFont val="Consolas"/>
        <family val="3"/>
      </rPr>
      <t xml:space="preserve">:BoricAcidPrep :produces :MS_Borate .   # R1045 </t>
    </r>
    <r>
      <rPr>
        <sz val="10"/>
        <rFont val="Noto Sans CJK SC"/>
        <family val="2"/>
      </rPr>
      <t>硼酸配制罐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真空上料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硼酸缓冲液</t>
    </r>
  </si>
  <si>
    <r>
      <rPr>
        <sz val="10"/>
        <rFont val="Consolas"/>
        <family val="3"/>
      </rPr>
      <t xml:space="preserve">:MS_Borate :flowsInto :BoricAcidTanks .   # R1046 </t>
    </r>
    <r>
      <rPr>
        <sz val="10"/>
        <rFont val="Noto Sans CJK SC"/>
        <family val="2"/>
      </rPr>
      <t xml:space="preserve">硼酸缓冲液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硼酸罐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硼酸缓冲罐</t>
    </r>
  </si>
  <si>
    <r>
      <rPr>
        <sz val="10"/>
        <rFont val="Consolas"/>
        <family val="3"/>
      </rPr>
      <t xml:space="preserve">:BoricAcidTanks :connectedToNext :HydrolysisReactorGroup .   # R1047 </t>
    </r>
    <r>
      <rPr>
        <sz val="10"/>
        <rFont val="Noto Sans CJK SC"/>
        <family val="2"/>
      </rPr>
      <t>硼酸罐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硼酸缓冲罐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</t>
    </r>
  </si>
  <si>
    <r>
      <rPr>
        <sz val="10"/>
        <rFont val="Consolas"/>
        <family val="3"/>
      </rPr>
      <t xml:space="preserve">:Attr_119 :positivelyAffects :Attr_125 .   # R1048 </t>
    </r>
    <r>
      <rPr>
        <sz val="10"/>
        <rFont val="Noto Sans CJK SC"/>
        <family val="2"/>
      </rPr>
      <t xml:space="preserve">硼酸溶液温度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釜内反应温度</t>
    </r>
  </si>
  <si>
    <r>
      <rPr>
        <sz val="10"/>
        <rFont val="Consolas"/>
        <family val="3"/>
      </rPr>
      <t xml:space="preserve">:Attr_267 :negativelyAffects :Attr_126 .   # R1049 </t>
    </r>
    <r>
      <rPr>
        <sz val="10"/>
        <rFont val="Noto Sans CJK SC"/>
        <family val="2"/>
      </rPr>
      <t xml:space="preserve">硼酸缓冲容量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</si>
  <si>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:Attr_120 :positivelyAffects :Attr_119 .   # R1050 </t>
    </r>
    <r>
      <rPr>
        <sz val="10"/>
        <rFont val="Noto Sans CJK SC"/>
        <family val="2"/>
      </rPr>
      <t xml:space="preserve">水解热水罐温度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硼酸溶液温度</t>
    </r>
  </si>
  <si>
    <r>
      <rPr>
        <sz val="10"/>
        <rFont val="Consolas"/>
        <family val="3"/>
      </rPr>
      <t xml:space="preserve">
# --- S11 </t>
    </r>
    <r>
      <rPr>
        <sz val="10"/>
        <rFont val="Noto Sans CJK SC"/>
        <family val="2"/>
      </rPr>
      <t xml:space="preserve">酶法水解 </t>
    </r>
    <r>
      <rPr>
        <sz val="10"/>
        <rFont val="Consolas"/>
        <family val="3"/>
      </rPr>
      <t>---</t>
    </r>
  </si>
  <si>
    <r>
      <rPr>
        <sz val="10"/>
        <rFont val="Consolas"/>
        <family val="3"/>
      </rPr>
      <t xml:space="preserve">:Area_S11_EnzymaticHydrolysis :connectedToNext :Area_S12_PAAExtraction .   # R1051 </t>
    </r>
    <r>
      <rPr>
        <sz val="10"/>
        <rFont val="Noto Sans CJK SC"/>
        <family val="2"/>
      </rPr>
      <t xml:space="preserve">酶法水解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萃取与反萃（苯乙酸分离）</t>
    </r>
  </si>
  <si>
    <r>
      <rPr>
        <sz val="10"/>
        <rFont val="Consolas"/>
        <family val="3"/>
      </rPr>
      <t xml:space="preserve">:Area_S11_EnzymaticHydrolysis :hasEquipment :HydrolysisReactorGroup .   # R1052 </t>
    </r>
    <r>
      <rPr>
        <sz val="10"/>
        <rFont val="Noto Sans CJK SC"/>
        <family val="2"/>
      </rPr>
      <t xml:space="preserve">酶法水解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</t>
    </r>
  </si>
  <si>
    <r>
      <rPr>
        <sz val="10"/>
        <rFont val="Consolas"/>
        <family val="3"/>
      </rPr>
      <t xml:space="preserve">:HydrolysisReactorGroup :hasMember :HydrolysisReactorGroup_M01 .   # R1053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</si>
  <si>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:HydrolysisReactorGroup :hasMember :HydrolysisReactorGroup_M02 .   # R1054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</si>
  <si>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:HydrolysisReactorGroup :hasMember :HydrolysisReactorGroup_M03 .   # R1055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C</t>
    </r>
  </si>
  <si>
    <r>
      <rPr>
        <sz val="10"/>
        <rFont val="Consolas"/>
        <family val="3"/>
      </rPr>
      <t xml:space="preserve">:HydrolysisReactorGroup :hasMember :HydrolysisReactorGroup_M04 .   # R1056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D</t>
    </r>
  </si>
  <si>
    <r>
      <rPr>
        <sz val="10"/>
        <rFont val="Consolas"/>
        <family val="3"/>
      </rPr>
      <t xml:space="preserve">:HydrolysisReactorGroup :hasMember :HydrolysisReactorGroup_M05 .   # R1057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E</t>
    </r>
  </si>
  <si>
    <r>
      <rPr>
        <sz val="10"/>
        <rFont val="Consolas"/>
        <family val="3"/>
      </rPr>
      <t xml:space="preserve">:HydrolysisReactorGroup :hasMember :HydrolysisReactorGroup_M06 .   # R1058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F</t>
    </r>
  </si>
  <si>
    <r>
      <rPr>
        <sz val="10"/>
        <rFont val="Consolas"/>
        <family val="3"/>
      </rPr>
      <t xml:space="preserve">:HydrolysisReactorGroup :hasMember :HydrolysisReactorGroup_M07 .   # R1059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G</t>
    </r>
  </si>
  <si>
    <r>
      <rPr>
        <sz val="10"/>
        <rFont val="Consolas"/>
        <family val="3"/>
      </rPr>
      <t xml:space="preserve">:HydrolysisReactorGroup :hasMember :HydrolysisReactorGroup_M08 .   # R1060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H</t>
    </r>
  </si>
  <si>
    <r>
      <rPr>
        <sz val="10"/>
        <rFont val="Consolas"/>
        <family val="3"/>
      </rPr>
      <t xml:space="preserve">:HydrolysisReactorGroup :hasMember :HydrolysisReactorGroup_M09 .   # R1061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I</t>
    </r>
  </si>
  <si>
    <r>
      <rPr>
        <sz val="10"/>
        <rFont val="Consolas"/>
        <family val="3"/>
      </rPr>
      <t xml:space="preserve">:HydrolysisReactorGroup :hasMember :HydrolysisReactorGroup_M10 .   # R1062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J</t>
    </r>
  </si>
  <si>
    <r>
      <rPr>
        <sz val="10"/>
        <rFont val="Consolas"/>
        <family val="3"/>
      </rPr>
      <t xml:space="preserve">:HydrolysisReactorGroup :hasMember :HydrolysisReactorGroup_M11 .   # R1063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K</t>
    </r>
  </si>
  <si>
    <r>
      <rPr>
        <sz val="10"/>
        <rFont val="Consolas"/>
        <family val="3"/>
      </rPr>
      <t xml:space="preserve">:HydrolysisReactorGroup :hasPart :HydrolysisReactorGroup_P01 .   # R1064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A–K)·</t>
    </r>
    <r>
      <rPr>
        <sz val="10"/>
        <rFont val="Noto Sans CJK SC"/>
        <family val="2"/>
      </rPr>
      <t>夹套换热系统</t>
    </r>
  </si>
  <si>
    <r>
      <rPr>
        <sz val="10"/>
        <rFont val="Consolas"/>
        <family val="3"/>
      </rPr>
      <t xml:space="preserve">:HydrolysisReactorGroup :hasPart :HydrolysisReactorGroup_P02 .   # R1065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A–K)·</t>
    </r>
    <r>
      <rPr>
        <sz val="10"/>
        <rFont val="Noto Sans CJK SC"/>
        <family val="2"/>
      </rPr>
      <t>机械搅拌装置</t>
    </r>
  </si>
  <si>
    <r>
      <rPr>
        <sz val="10"/>
        <rFont val="Consolas"/>
        <family val="3"/>
      </rPr>
      <t xml:space="preserve">:HydrolysisReactorGroup :hasPart :HydrolysisReactorGroup_P03 .   # R1066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A–K)·</t>
    </r>
    <r>
      <rPr>
        <sz val="10"/>
        <rFont val="Noto Sans CJK SC"/>
        <family val="2"/>
      </rPr>
      <t>固定化酶截留筛网</t>
    </r>
  </si>
  <si>
    <r>
      <rPr>
        <sz val="10"/>
        <rFont val="Consolas"/>
        <family val="3"/>
      </rPr>
      <t xml:space="preserve">:HydrolysisReactorGroup :hasPart :HydrolysisReactorGroup_P04 .   # R1067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A–K)·</t>
    </r>
    <r>
      <rPr>
        <sz val="10"/>
        <rFont val="Noto Sans CJK SC"/>
        <family val="2"/>
      </rPr>
      <t>双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电极</t>
    </r>
  </si>
  <si>
    <r>
      <rPr>
        <sz val="10"/>
        <rFont val="Consolas"/>
        <family val="3"/>
      </rPr>
      <t xml:space="preserve">:HydrolysisReactorGroup :hasPart :HydrolysisReactorGroup_P05 .   # R1068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A–K)·</t>
    </r>
    <r>
      <rPr>
        <sz val="10"/>
        <rFont val="Noto Sans CJK SC"/>
        <family val="2"/>
      </rPr>
      <t>温度计</t>
    </r>
  </si>
  <si>
    <r>
      <rPr>
        <sz val="10"/>
        <rFont val="Consolas"/>
        <family val="3"/>
      </rPr>
      <t xml:space="preserve">:HydrolysisReactorGroup :hasPart :HydrolysisReactorGroup_P06 .   # R1069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</si>
  <si>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:Area_S11_EnzymaticHydrolysis :hasEquipment :AmmoniaMeterTanks .   # R1070 </t>
    </r>
    <r>
      <rPr>
        <sz val="10"/>
        <rFont val="Noto Sans CJK SC"/>
        <family val="2"/>
      </rPr>
      <t xml:space="preserve">酶法水解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水解氨水计量罐组</t>
    </r>
  </si>
  <si>
    <r>
      <rPr>
        <sz val="10"/>
        <rFont val="Consolas"/>
        <family val="3"/>
      </rPr>
      <t xml:space="preserve">:AmmoniaMeterTanks :hasMember :AmmoniaMeterTanks_M01 .   # R1071 </t>
    </r>
    <r>
      <rPr>
        <sz val="10"/>
        <rFont val="Noto Sans CJK SC"/>
        <family val="2"/>
      </rPr>
      <t xml:space="preserve">水解氨水计量罐组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氨水计量罐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</si>
  <si>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:AmmoniaMeterTanks :hasMember :AmmoniaMeterTanks_M02 .   # R1072 </t>
    </r>
    <r>
      <rPr>
        <sz val="10"/>
        <rFont val="Noto Sans CJK SC"/>
        <family val="2"/>
      </rPr>
      <t xml:space="preserve">水解氨水计量罐组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氨水计量罐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</si>
  <si>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:AmmoniaMeterTanks :hasMember :AmmoniaMeterTanks_M03 .   # R1073 </t>
    </r>
    <r>
      <rPr>
        <sz val="10"/>
        <rFont val="Noto Sans CJK SC"/>
        <family val="2"/>
      </rPr>
      <t xml:space="preserve">水解氨水计量罐组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氨水计量罐</t>
    </r>
    <r>
      <rPr>
        <sz val="10"/>
        <rFont val="Consolas"/>
        <family val="3"/>
      </rPr>
      <t>C</t>
    </r>
  </si>
  <si>
    <r>
      <rPr>
        <sz val="10"/>
        <rFont val="Consolas"/>
        <family val="3"/>
      </rPr>
      <t xml:space="preserve">:AmmoniaMeterTanks :hasMember :AmmoniaMeterTanks_M04 .   # R1074 </t>
    </r>
    <r>
      <rPr>
        <sz val="10"/>
        <rFont val="Noto Sans CJK SC"/>
        <family val="2"/>
      </rPr>
      <t xml:space="preserve">水解氨水计量罐组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氨水计量罐</t>
    </r>
    <r>
      <rPr>
        <sz val="10"/>
        <rFont val="Consolas"/>
        <family val="3"/>
      </rPr>
      <t>D</t>
    </r>
  </si>
  <si>
    <r>
      <rPr>
        <sz val="10"/>
        <rFont val="Consolas"/>
        <family val="3"/>
      </rPr>
      <t xml:space="preserve">:AmmoniaMeterTanks :hasMember :AmmoniaMeterTanks_M05 .   # R1075 </t>
    </r>
    <r>
      <rPr>
        <sz val="10"/>
        <rFont val="Noto Sans CJK SC"/>
        <family val="2"/>
      </rPr>
      <t xml:space="preserve">水解氨水计量罐组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氨水计量罐</t>
    </r>
    <r>
      <rPr>
        <sz val="10"/>
        <rFont val="Consolas"/>
        <family val="3"/>
      </rPr>
      <t>E</t>
    </r>
  </si>
  <si>
    <r>
      <rPr>
        <sz val="10"/>
        <rFont val="Consolas"/>
        <family val="3"/>
      </rPr>
      <t xml:space="preserve">:AmmoniaMeterTanks :hasMember :AmmoniaMeterTanks_M06 .   # R1076 </t>
    </r>
    <r>
      <rPr>
        <sz val="10"/>
        <rFont val="Noto Sans CJK SC"/>
        <family val="2"/>
      </rPr>
      <t xml:space="preserve">水解氨水计量罐组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氨水计量罐</t>
    </r>
    <r>
      <rPr>
        <sz val="10"/>
        <rFont val="Consolas"/>
        <family val="3"/>
      </rPr>
      <t>F</t>
    </r>
  </si>
  <si>
    <r>
      <rPr>
        <sz val="10"/>
        <rFont val="Consolas"/>
        <family val="3"/>
      </rPr>
      <t xml:space="preserve">:AmmoniaMeterTanks :hasMember :AmmoniaMeterTanks_M07 .   # R1077 </t>
    </r>
    <r>
      <rPr>
        <sz val="10"/>
        <rFont val="Noto Sans CJK SC"/>
        <family val="2"/>
      </rPr>
      <t xml:space="preserve">水解氨水计量罐组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氨水计量罐</t>
    </r>
    <r>
      <rPr>
        <sz val="10"/>
        <rFont val="Consolas"/>
        <family val="3"/>
      </rPr>
      <t>G</t>
    </r>
  </si>
  <si>
    <r>
      <rPr>
        <sz val="10"/>
        <rFont val="Consolas"/>
        <family val="3"/>
      </rPr>
      <t xml:space="preserve">:AmmoniaMeterTanks :hasMember :AmmoniaMeterTanks_M08 .   # R1078 </t>
    </r>
    <r>
      <rPr>
        <sz val="10"/>
        <rFont val="Noto Sans CJK SC"/>
        <family val="2"/>
      </rPr>
      <t xml:space="preserve">水解氨水计量罐组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氨水计量罐</t>
    </r>
    <r>
      <rPr>
        <sz val="10"/>
        <rFont val="Consolas"/>
        <family val="3"/>
      </rPr>
      <t>H</t>
    </r>
  </si>
  <si>
    <r>
      <rPr>
        <sz val="10"/>
        <rFont val="Consolas"/>
        <family val="3"/>
      </rPr>
      <t xml:space="preserve">:AmmoniaMeterTanks :hasMember :AmmoniaMeterTanks_M09 .   # R1079 </t>
    </r>
    <r>
      <rPr>
        <sz val="10"/>
        <rFont val="Noto Sans CJK SC"/>
        <family val="2"/>
      </rPr>
      <t xml:space="preserve">水解氨水计量罐组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氨水计量罐</t>
    </r>
    <r>
      <rPr>
        <sz val="10"/>
        <rFont val="Consolas"/>
        <family val="3"/>
      </rPr>
      <t>J</t>
    </r>
  </si>
  <si>
    <r>
      <rPr>
        <sz val="10"/>
        <rFont val="Consolas"/>
        <family val="3"/>
      </rPr>
      <t xml:space="preserve">:AmmoniaMeterTanks :hasMember :AmmoniaMeterTanks_M10 .   # R1080 </t>
    </r>
    <r>
      <rPr>
        <sz val="10"/>
        <rFont val="Noto Sans CJK SC"/>
        <family val="2"/>
      </rPr>
      <t xml:space="preserve">水解氨水计量罐组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氨水计量罐</t>
    </r>
    <r>
      <rPr>
        <sz val="10"/>
        <rFont val="Consolas"/>
        <family val="3"/>
      </rPr>
      <t>K</t>
    </r>
  </si>
  <si>
    <r>
      <rPr>
        <sz val="10"/>
        <rFont val="Consolas"/>
        <family val="3"/>
      </rPr>
      <t xml:space="preserve">:AmmoniaMeterTanks :hasMember :AmmoniaMeterTanks_M11 .   # R1081 </t>
    </r>
    <r>
      <rPr>
        <sz val="10"/>
        <rFont val="Noto Sans CJK SC"/>
        <family val="2"/>
      </rPr>
      <t xml:space="preserve">水解氨水计量罐组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氨水计量罐</t>
    </r>
    <r>
      <rPr>
        <sz val="10"/>
        <rFont val="Consolas"/>
        <family val="3"/>
      </rPr>
      <t>L</t>
    </r>
  </si>
  <si>
    <r>
      <rPr>
        <sz val="10"/>
        <rFont val="Consolas"/>
        <family val="3"/>
      </rPr>
      <t xml:space="preserve">:AmmoniaMeterTanks :hasPart :AmmoniaMeterTanks_P01 .   # R1082 </t>
    </r>
    <r>
      <rPr>
        <sz val="10"/>
        <rFont val="Noto Sans CJK SC"/>
        <family val="2"/>
      </rPr>
      <t xml:space="preserve">水解氨水计量罐组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水解氨水计量罐组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</si>
  <si>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:AmmoniaMeterTanks :hasPart :AmmoniaMeterTanks_P02 .   # R1083 </t>
    </r>
    <r>
      <rPr>
        <sz val="10"/>
        <rFont val="Noto Sans CJK SC"/>
        <family val="2"/>
      </rPr>
      <t xml:space="preserve">水解氨水计量罐组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水解氨水计量罐组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加氨阀</t>
    </r>
  </si>
  <si>
    <r>
      <rPr>
        <sz val="10"/>
        <rFont val="Consolas"/>
        <family val="3"/>
      </rPr>
      <t xml:space="preserve">:Area_S11_EnzymaticHydrolysis :hasEquipment :RBStorageHydro .   # R1084 </t>
    </r>
    <r>
      <rPr>
        <sz val="10"/>
        <rFont val="Noto Sans CJK SC"/>
        <family val="2"/>
      </rPr>
      <t xml:space="preserve">酶法水解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储罐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>（水解进料）</t>
    </r>
  </si>
  <si>
    <r>
      <rPr>
        <sz val="10"/>
        <rFont val="Consolas"/>
        <family val="3"/>
      </rPr>
      <t>:RBStorageHydro :hasMember :RBStorageHydro_M01 .   # R1085 RB</t>
    </r>
    <r>
      <rPr>
        <sz val="10"/>
        <rFont val="Noto Sans CJK SC"/>
        <family val="2"/>
      </rPr>
      <t>储罐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 xml:space="preserve">（水解进料）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储罐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</si>
  <si>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>:RBStorageHydro :hasMember :RBStorageHydro_M02 .   # R1086 RB</t>
    </r>
    <r>
      <rPr>
        <sz val="10"/>
        <rFont val="Noto Sans CJK SC"/>
        <family val="2"/>
      </rPr>
      <t>储罐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 xml:space="preserve">（水解进料）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储罐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</si>
  <si>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>:RBStorageHydro :hasPart :RBStorageHydro_P01 .   # R1087 RB</t>
    </r>
    <r>
      <rPr>
        <sz val="10"/>
        <rFont val="Noto Sans CJK SC"/>
        <family val="2"/>
      </rPr>
      <t>储罐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 xml:space="preserve">（水解进料）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储罐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>（水解进料）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</si>
  <si>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:Area_S11_EnzymaticHydrolysis :hasEquipment :HydrolysateBuffer .   # R1088 </t>
    </r>
    <r>
      <rPr>
        <sz val="10"/>
        <rFont val="Noto Sans CJK SC"/>
        <family val="2"/>
      </rPr>
      <t xml:space="preserve">酶法水解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水解液缓冲罐</t>
    </r>
  </si>
  <si>
    <r>
      <rPr>
        <sz val="10"/>
        <rFont val="Consolas"/>
        <family val="3"/>
      </rPr>
      <t xml:space="preserve">:HydrolysateBuffer :hasPart :HydrolysateBuffer_P01 .   # R1089 </t>
    </r>
    <r>
      <rPr>
        <sz val="10"/>
        <rFont val="Noto Sans CJK SC"/>
        <family val="2"/>
      </rPr>
      <t xml:space="preserve">水解液缓冲罐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水解液缓冲罐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</si>
  <si>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:HydrolysateBuffer :hasPart :HydrolysateBuffer_P02 .   # R1090 </t>
    </r>
    <r>
      <rPr>
        <sz val="10"/>
        <rFont val="Noto Sans CJK SC"/>
        <family val="2"/>
      </rPr>
      <t xml:space="preserve">水解液缓冲罐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水解液缓冲罐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高位报警</t>
    </r>
  </si>
  <si>
    <r>
      <rPr>
        <sz val="10"/>
        <rFont val="Consolas"/>
        <family val="3"/>
      </rPr>
      <t>:RBStorageHydro :hasAttribute :Attr_121 .   # R1091 RB</t>
    </r>
    <r>
      <rPr>
        <sz val="10"/>
        <rFont val="Noto Sans CJK SC"/>
        <family val="2"/>
      </rPr>
      <t>储罐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 xml:space="preserve">（水解进料）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储罐液位</t>
    </r>
  </si>
  <si>
    <r>
      <rPr>
        <sz val="10"/>
        <rFont val="Consolas"/>
        <family val="3"/>
      </rPr>
      <t>:RBStorageHydro :hasAttribute :Attr_122 .   # R1092 RB</t>
    </r>
    <r>
      <rPr>
        <sz val="10"/>
        <rFont val="Noto Sans CJK SC"/>
        <family val="2"/>
      </rPr>
      <t>储罐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 xml:space="preserve">（水解进料）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进料温度</t>
    </r>
  </si>
  <si>
    <r>
      <rPr>
        <sz val="10"/>
        <rFont val="Consolas"/>
        <family val="3"/>
      </rPr>
      <t xml:space="preserve">:HydrolysisReactorGroup :hasAttribute :Attr_123 .   # R1093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进料流量</t>
    </r>
  </si>
  <si>
    <r>
      <rPr>
        <sz val="10"/>
        <rFont val="Consolas"/>
        <family val="3"/>
      </rPr>
      <t xml:space="preserve">:HydrolysisReactorGroup :hasAttribute :Attr_124 .   # R1094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硼酸进料流量</t>
    </r>
  </si>
  <si>
    <r>
      <rPr>
        <sz val="10"/>
        <rFont val="Consolas"/>
        <family val="3"/>
      </rPr>
      <t xml:space="preserve">:HydrolysisReactorGroup :hasAttribute :Attr_125 .   # R1095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釜内反应温度</t>
    </r>
  </si>
  <si>
    <r>
      <rPr>
        <sz val="10"/>
        <rFont val="Consolas"/>
        <family val="3"/>
      </rPr>
      <t xml:space="preserve">:HydrolysisReactorGroup :hasAttribute :Attr_126 .   # R1096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</si>
  <si>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:HydrolysisReactorGroup :hasAttribute :Attr_127 .   # R1097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釜内反应液位</t>
    </r>
  </si>
  <si>
    <r>
      <rPr>
        <sz val="10"/>
        <rFont val="Consolas"/>
        <family val="3"/>
      </rPr>
      <t xml:space="preserve">:HydrolysisReactorGroup :hasAttribute :Attr_128 .   # R1098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搅拌运行状态</t>
    </r>
  </si>
  <si>
    <r>
      <rPr>
        <sz val="10"/>
        <rFont val="Consolas"/>
        <family val="3"/>
      </rPr>
      <t xml:space="preserve">:AmmoniaMeterTanks :hasAttribute :Attr_129 .   # R1099 </t>
    </r>
    <r>
      <rPr>
        <sz val="10"/>
        <rFont val="Noto Sans CJK SC"/>
        <family val="2"/>
      </rPr>
      <t xml:space="preserve">水解氨水计量罐组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氨水计量罐液位</t>
    </r>
  </si>
  <si>
    <r>
      <rPr>
        <sz val="10"/>
        <rFont val="Consolas"/>
        <family val="3"/>
      </rPr>
      <t xml:space="preserve">:HydrolysisReactorGroup :hasAttribute :Attr_130 .   # R1100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压缩空气总管压力</t>
    </r>
  </si>
  <si>
    <r>
      <rPr>
        <sz val="10"/>
        <rFont val="Consolas"/>
        <family val="3"/>
      </rPr>
      <t xml:space="preserve">:HydrolysateBuffer :hasAttribute :Attr_131 .   # R1101 </t>
    </r>
    <r>
      <rPr>
        <sz val="10"/>
        <rFont val="Noto Sans CJK SC"/>
        <family val="2"/>
      </rPr>
      <t xml:space="preserve">水解液缓冲罐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水解液缓冲罐液位</t>
    </r>
  </si>
  <si>
    <r>
      <rPr>
        <sz val="10"/>
        <rFont val="Consolas"/>
        <family val="3"/>
      </rPr>
      <t xml:space="preserve">:HydrolysateBuffer :hasAttribute :Attr_132 .   # R1102 </t>
    </r>
    <r>
      <rPr>
        <sz val="10"/>
        <rFont val="Noto Sans CJK SC"/>
        <family val="2"/>
      </rPr>
      <t xml:space="preserve">水解液缓冲罐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水解液泵出口压力</t>
    </r>
  </si>
  <si>
    <r>
      <rPr>
        <sz val="10"/>
        <rFont val="Consolas"/>
        <family val="3"/>
      </rPr>
      <t xml:space="preserve">:HydrolysisReactorGroup :hasAttribute :Attr_268 .   # R1103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固定化酶活力稳定性</t>
    </r>
  </si>
  <si>
    <r>
      <rPr>
        <sz val="10"/>
        <rFont val="Consolas"/>
        <family val="3"/>
      </rPr>
      <t xml:space="preserve">:HydrolysisReactorGroup :hasAttribute :Attr_269 .   # R1104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酶催化水解反应速率</t>
    </r>
  </si>
  <si>
    <r>
      <rPr>
        <sz val="10"/>
        <rFont val="Consolas"/>
        <family val="3"/>
      </rPr>
      <t xml:space="preserve">:HydrolysisReactorGroup :hasAttribute :Attr_270 .   # R1105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固液传质速率</t>
    </r>
  </si>
  <si>
    <r>
      <rPr>
        <sz val="10"/>
        <rFont val="Consolas"/>
        <family val="3"/>
      </rPr>
      <t xml:space="preserve">:HydrolysisReactorGroup :hasAttribute :Attr_271 .   # R1106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固定化酶载体寿命</t>
    </r>
  </si>
  <si>
    <r>
      <rPr>
        <sz val="10"/>
        <rFont val="Consolas"/>
        <family val="3"/>
      </rPr>
      <t xml:space="preserve">:AmmoniaMeterTanks :hasAttribute :Attr_272 .   # R1107 </t>
    </r>
    <r>
      <rPr>
        <sz val="10"/>
        <rFont val="Noto Sans CJK SC"/>
        <family val="2"/>
      </rPr>
      <t xml:space="preserve">水解氨水计量罐组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氨水累计加量</t>
    </r>
  </si>
  <si>
    <r>
      <rPr>
        <sz val="10"/>
        <rFont val="Consolas"/>
        <family val="3"/>
      </rPr>
      <t xml:space="preserve">:HydrolysisReactorGroup :hasAttribute :Attr_273 .   # R1108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水解终点判定</t>
    </r>
  </si>
  <si>
    <r>
      <rPr>
        <sz val="10"/>
        <rFont val="Consolas"/>
        <family val="3"/>
      </rPr>
      <t xml:space="preserve">:HydrolysisReactorGroup :hasAttribute :QKPI_274 .   # R1109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水解酶解转化率</t>
    </r>
  </si>
  <si>
    <r>
      <rPr>
        <sz val="10"/>
        <rFont val="Consolas"/>
        <family val="3"/>
      </rPr>
      <t xml:space="preserve">:HydrolysisReactorGroup :hasAttribute :QKPI_275 .   # R1110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6-APA</t>
    </r>
    <r>
      <rPr>
        <sz val="10"/>
        <rFont val="Noto Sans CJK SC"/>
        <family val="2"/>
      </rPr>
      <t>热降解损失率</t>
    </r>
  </si>
  <si>
    <r>
      <rPr>
        <sz val="10"/>
        <rFont val="Consolas"/>
        <family val="3"/>
      </rPr>
      <t xml:space="preserve">:HydrolysisReactorGroup :hasAttribute :Attr_311 .   # R1111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夹套热水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蒸汽加热量</t>
    </r>
  </si>
  <si>
    <r>
      <rPr>
        <sz val="10"/>
        <rFont val="Consolas"/>
        <family val="3"/>
      </rPr>
      <t xml:space="preserve">:MS_Hydrolysate :hasAttribute :Attr_137 .   # R1112 </t>
    </r>
    <r>
      <rPr>
        <sz val="10"/>
        <rFont val="Noto Sans CJK SC"/>
        <family val="2"/>
      </rPr>
      <t xml:space="preserve">酶解水解反应液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水解液进料流量</t>
    </r>
  </si>
  <si>
    <r>
      <rPr>
        <sz val="10"/>
        <rFont val="Consolas"/>
        <family val="3"/>
      </rPr>
      <t xml:space="preserve">:MS_Hydrolysate :hasAttribute :Attr_133 .   # R1113 </t>
    </r>
    <r>
      <rPr>
        <sz val="10"/>
        <rFont val="Noto Sans CJK SC"/>
        <family val="2"/>
      </rPr>
      <t xml:space="preserve">酶解水解反应液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水解进料换热温度</t>
    </r>
  </si>
  <si>
    <r>
      <rPr>
        <sz val="10"/>
        <rFont val="Consolas"/>
        <family val="3"/>
      </rPr>
      <t>:Attr_121 :boundToTag :Tag_LT_1301A .   # R1114 RB</t>
    </r>
    <r>
      <rPr>
        <sz val="10"/>
        <rFont val="Noto Sans CJK SC"/>
        <family val="2"/>
      </rPr>
      <t xml:space="preserve">储罐液位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LT_1301A</t>
    </r>
  </si>
  <si>
    <r>
      <rPr>
        <sz val="10"/>
        <rFont val="Consolas"/>
        <family val="3"/>
      </rPr>
      <t>:Attr_121 :boundToTag :Tag_LT_1301B .   # R1115 RB</t>
    </r>
    <r>
      <rPr>
        <sz val="10"/>
        <rFont val="Noto Sans CJK SC"/>
        <family val="2"/>
      </rPr>
      <t xml:space="preserve">储罐液位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LT_1301B</t>
    </r>
  </si>
  <si>
    <r>
      <rPr>
        <sz val="10"/>
        <rFont val="Consolas"/>
        <family val="3"/>
      </rPr>
      <t>:Attr_122 :boundToTag :Tag_TI_1303 .   # R1116 RB</t>
    </r>
    <r>
      <rPr>
        <sz val="10"/>
        <rFont val="Noto Sans CJK SC"/>
        <family val="2"/>
      </rPr>
      <t xml:space="preserve">进料温度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TI_1303</t>
    </r>
  </si>
  <si>
    <r>
      <rPr>
        <sz val="10"/>
        <rFont val="Consolas"/>
        <family val="3"/>
      </rPr>
      <t>:Attr_123 :boundToTag :Tag_FT_1302A .   # R1117 RB</t>
    </r>
    <r>
      <rPr>
        <sz val="10"/>
        <rFont val="Noto Sans CJK SC"/>
        <family val="2"/>
      </rPr>
      <t xml:space="preserve">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FT_1302A</t>
    </r>
  </si>
  <si>
    <r>
      <rPr>
        <sz val="10"/>
        <rFont val="Consolas"/>
        <family val="3"/>
      </rPr>
      <t>:Attr_123 :boundToTag :Tag_FT_1302B .   # R1118 RB</t>
    </r>
    <r>
      <rPr>
        <sz val="10"/>
        <rFont val="Noto Sans CJK SC"/>
        <family val="2"/>
      </rPr>
      <t xml:space="preserve">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FT_1302B</t>
    </r>
  </si>
  <si>
    <r>
      <rPr>
        <sz val="10"/>
        <rFont val="Consolas"/>
        <family val="3"/>
      </rPr>
      <t xml:space="preserve">:Attr_124 :boundToTag :Tag_FT_1301A .   # R1119 </t>
    </r>
    <r>
      <rPr>
        <sz val="10"/>
        <rFont val="Noto Sans CJK SC"/>
        <family val="2"/>
      </rPr>
      <t xml:space="preserve">硼酸进料流量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FT_1301A</t>
    </r>
  </si>
  <si>
    <r>
      <rPr>
        <sz val="10"/>
        <rFont val="Consolas"/>
        <family val="3"/>
      </rPr>
      <t xml:space="preserve">:Attr_124 :boundToTag :Tag_FT_1301B .   # R1120 </t>
    </r>
    <r>
      <rPr>
        <sz val="10"/>
        <rFont val="Noto Sans CJK SC"/>
        <family val="2"/>
      </rPr>
      <t xml:space="preserve">硼酸进料流量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FT_1301B</t>
    </r>
  </si>
  <si>
    <r>
      <rPr>
        <sz val="10"/>
        <rFont val="Consolas"/>
        <family val="3"/>
      </rPr>
      <t xml:space="preserve">:Attr_125 :boundToTag :Tag_TI_1301A .   # R1121 </t>
    </r>
    <r>
      <rPr>
        <sz val="10"/>
        <rFont val="Noto Sans CJK SC"/>
        <family val="2"/>
      </rPr>
      <t xml:space="preserve">釜内反应温度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TI_1301A</t>
    </r>
  </si>
  <si>
    <r>
      <rPr>
        <sz val="10"/>
        <rFont val="Consolas"/>
        <family val="3"/>
      </rPr>
      <t xml:space="preserve">:Attr_125 :boundToTag :Tag_TI_1301B .   # R1122 </t>
    </r>
    <r>
      <rPr>
        <sz val="10"/>
        <rFont val="Noto Sans CJK SC"/>
        <family val="2"/>
      </rPr>
      <t xml:space="preserve">釜内反应温度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TI_1301B</t>
    </r>
  </si>
  <si>
    <r>
      <rPr>
        <sz val="10"/>
        <rFont val="Consolas"/>
        <family val="3"/>
      </rPr>
      <t xml:space="preserve">:Attr_125 :boundToTag :Tag_TI_1301C .   # R1123 </t>
    </r>
    <r>
      <rPr>
        <sz val="10"/>
        <rFont val="Noto Sans CJK SC"/>
        <family val="2"/>
      </rPr>
      <t xml:space="preserve">釜内反应温度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TI_1301C</t>
    </r>
  </si>
  <si>
    <r>
      <rPr>
        <sz val="10"/>
        <rFont val="Consolas"/>
        <family val="3"/>
      </rPr>
      <t xml:space="preserve">:Attr_125 :boundToTag :Tag_TI_1301D .   # R1124 </t>
    </r>
    <r>
      <rPr>
        <sz val="10"/>
        <rFont val="Noto Sans CJK SC"/>
        <family val="2"/>
      </rPr>
      <t xml:space="preserve">釜内反应温度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TI_1301D</t>
    </r>
  </si>
  <si>
    <r>
      <rPr>
        <sz val="10"/>
        <rFont val="Consolas"/>
        <family val="3"/>
      </rPr>
      <t xml:space="preserve">:Attr_125 :boundToTag :Tag_TI_1301E .   # R1125 </t>
    </r>
    <r>
      <rPr>
        <sz val="10"/>
        <rFont val="Noto Sans CJK SC"/>
        <family val="2"/>
      </rPr>
      <t xml:space="preserve">釜内反应温度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TI_1301E</t>
    </r>
  </si>
  <si>
    <r>
      <rPr>
        <sz val="10"/>
        <rFont val="Consolas"/>
        <family val="3"/>
      </rPr>
      <t xml:space="preserve">:Attr_125 :boundToTag :Tag_TI_1301F .   # R1126 </t>
    </r>
    <r>
      <rPr>
        <sz val="10"/>
        <rFont val="Noto Sans CJK SC"/>
        <family val="2"/>
      </rPr>
      <t xml:space="preserve">釜内反应温度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TI_1301F</t>
    </r>
  </si>
  <si>
    <r>
      <rPr>
        <sz val="10"/>
        <rFont val="Consolas"/>
        <family val="3"/>
      </rPr>
      <t xml:space="preserve">:Attr_125 :boundToTag :Tag_TI_1301G .   # R1127 </t>
    </r>
    <r>
      <rPr>
        <sz val="10"/>
        <rFont val="Noto Sans CJK SC"/>
        <family val="2"/>
      </rPr>
      <t xml:space="preserve">釜内反应温度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TI_1301G</t>
    </r>
  </si>
  <si>
    <r>
      <rPr>
        <sz val="10"/>
        <rFont val="Consolas"/>
        <family val="3"/>
      </rPr>
      <t xml:space="preserve">:Attr_125 :boundToTag :Tag_TI_1301H .   # R1128 </t>
    </r>
    <r>
      <rPr>
        <sz val="10"/>
        <rFont val="Noto Sans CJK SC"/>
        <family val="2"/>
      </rPr>
      <t xml:space="preserve">釜内反应温度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TI_1301H</t>
    </r>
  </si>
  <si>
    <r>
      <rPr>
        <sz val="10"/>
        <rFont val="Consolas"/>
        <family val="3"/>
      </rPr>
      <t xml:space="preserve">:Attr_125 :boundToTag :Tag_TI_1301J .   # R1129 </t>
    </r>
    <r>
      <rPr>
        <sz val="10"/>
        <rFont val="Noto Sans CJK SC"/>
        <family val="2"/>
      </rPr>
      <t xml:space="preserve">釜内反应温度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TI_1301J</t>
    </r>
  </si>
  <si>
    <r>
      <rPr>
        <sz val="10"/>
        <rFont val="Consolas"/>
        <family val="3"/>
      </rPr>
      <t xml:space="preserve">:Attr_125 :boundToTag :Tag_TI_1301K .   # R1130 </t>
    </r>
    <r>
      <rPr>
        <sz val="10"/>
        <rFont val="Noto Sans CJK SC"/>
        <family val="2"/>
      </rPr>
      <t xml:space="preserve">釜内反应温度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TI_1301K</t>
    </r>
  </si>
  <si>
    <r>
      <rPr>
        <sz val="10"/>
        <rFont val="Consolas"/>
        <family val="3"/>
      </rPr>
      <t xml:space="preserve">:Attr_125 :boundToTag :Tag_TI_1301L .   # R1131 </t>
    </r>
    <r>
      <rPr>
        <sz val="10"/>
        <rFont val="Noto Sans CJK SC"/>
        <family val="2"/>
      </rPr>
      <t xml:space="preserve">釜内反应温度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TI_1301L</t>
    </r>
  </si>
  <si>
    <r>
      <rPr>
        <sz val="10"/>
        <rFont val="Consolas"/>
        <family val="3"/>
      </rPr>
      <t xml:space="preserve">:Attr_126 :boundToTag :Tag_AT_1301A1 .   # R1132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AT_1301A1</t>
    </r>
  </si>
  <si>
    <r>
      <rPr>
        <sz val="10"/>
        <rFont val="Consolas"/>
        <family val="3"/>
      </rPr>
      <t xml:space="preserve">:Attr_126 :boundToTag :Tag_AT_1301A2 .   # R1133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AT_1301A2</t>
    </r>
  </si>
  <si>
    <r>
      <rPr>
        <sz val="10"/>
        <rFont val="Consolas"/>
        <family val="3"/>
      </rPr>
      <t xml:space="preserve">:Attr_126 :boundToTag :Tag_AT_1301B1 .   # R1134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AT_1301B1</t>
    </r>
  </si>
  <si>
    <r>
      <rPr>
        <sz val="10"/>
        <rFont val="Consolas"/>
        <family val="3"/>
      </rPr>
      <t xml:space="preserve">:Attr_126 :boundToTag :Tag_AT_1301B2 .   # R1135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AT_1301B2</t>
    </r>
  </si>
  <si>
    <r>
      <rPr>
        <sz val="10"/>
        <rFont val="Consolas"/>
        <family val="3"/>
      </rPr>
      <t xml:space="preserve">:Attr_126 :boundToTag :Tag_AT_1301C1 .   # R1136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AT_1301C1</t>
    </r>
  </si>
  <si>
    <r>
      <rPr>
        <sz val="10"/>
        <rFont val="Consolas"/>
        <family val="3"/>
      </rPr>
      <t xml:space="preserve">:Attr_126 :boundToTag :Tag_AT_1301C2 .   # R1137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AT_1301C2</t>
    </r>
  </si>
  <si>
    <r>
      <rPr>
        <sz val="10"/>
        <rFont val="Consolas"/>
        <family val="3"/>
      </rPr>
      <t xml:space="preserve">:Attr_126 :boundToTag :Tag_AT_1301D1 .   # R1138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AT_1301D1</t>
    </r>
  </si>
  <si>
    <r>
      <rPr>
        <sz val="10"/>
        <rFont val="Consolas"/>
        <family val="3"/>
      </rPr>
      <t xml:space="preserve">:Attr_126 :boundToTag :Tag_AT_1301D2 .   # R1139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AT_1301D2</t>
    </r>
  </si>
  <si>
    <r>
      <rPr>
        <sz val="10"/>
        <rFont val="Consolas"/>
        <family val="3"/>
      </rPr>
      <t xml:space="preserve">:Attr_126 :boundToTag :Tag_AT_1301E1 .   # R1140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AT_1301E1</t>
    </r>
  </si>
  <si>
    <r>
      <rPr>
        <sz val="10"/>
        <rFont val="Consolas"/>
        <family val="3"/>
      </rPr>
      <t xml:space="preserve">:Attr_126 :boundToTag :Tag_AT_1301E2 .   # R1141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AT_1301E2</t>
    </r>
  </si>
  <si>
    <r>
      <rPr>
        <sz val="10"/>
        <rFont val="Consolas"/>
        <family val="3"/>
      </rPr>
      <t xml:space="preserve">:Attr_126 :boundToTag :Tag_AT_1301F1 .   # R1142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AT_1301F1</t>
    </r>
  </si>
  <si>
    <r>
      <rPr>
        <sz val="10"/>
        <rFont val="Consolas"/>
        <family val="3"/>
      </rPr>
      <t xml:space="preserve">:Attr_126 :boundToTag :Tag_AT_1301F2 .   # R1143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AT_1301F2</t>
    </r>
  </si>
  <si>
    <r>
      <rPr>
        <sz val="10"/>
        <rFont val="Consolas"/>
        <family val="3"/>
      </rPr>
      <t xml:space="preserve">:Attr_126 :boundToTag :Tag_AT_1301G1 .   # R1144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AT_1301G1</t>
    </r>
  </si>
  <si>
    <r>
      <rPr>
        <sz val="10"/>
        <rFont val="Consolas"/>
        <family val="3"/>
      </rPr>
      <t xml:space="preserve">:Attr_126 :boundToTag :Tag_AT_1301G2 .   # R1145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AT_1301G2</t>
    </r>
  </si>
  <si>
    <r>
      <rPr>
        <sz val="10"/>
        <rFont val="Consolas"/>
        <family val="3"/>
      </rPr>
      <t xml:space="preserve">:Attr_126 :boundToTag :Tag_AT_1301H1 .   # R1146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AT_1301H1</t>
    </r>
  </si>
  <si>
    <r>
      <rPr>
        <sz val="10"/>
        <rFont val="Consolas"/>
        <family val="3"/>
      </rPr>
      <t xml:space="preserve">:Attr_126 :boundToTag :Tag_AT_1301H2 .   # R1147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AT_1301H2</t>
    </r>
  </si>
  <si>
    <r>
      <rPr>
        <sz val="10"/>
        <rFont val="Consolas"/>
        <family val="3"/>
      </rPr>
      <t xml:space="preserve">:Attr_126 :boundToTag :Tag_AT_1301J1 .   # R1148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AT_1301J1</t>
    </r>
  </si>
  <si>
    <r>
      <rPr>
        <sz val="10"/>
        <rFont val="Consolas"/>
        <family val="3"/>
      </rPr>
      <t xml:space="preserve">:Attr_126 :boundToTag :Tag_AT_1301J2 .   # R1149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AT_1301J2</t>
    </r>
  </si>
  <si>
    <r>
      <rPr>
        <sz val="10"/>
        <rFont val="Consolas"/>
        <family val="3"/>
      </rPr>
      <t xml:space="preserve">:Attr_126 :boundToTag :Tag_AT_1301K1 .   # R1150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AT_1301K1</t>
    </r>
  </si>
  <si>
    <r>
      <rPr>
        <sz val="10"/>
        <rFont val="Consolas"/>
        <family val="3"/>
      </rPr>
      <t xml:space="preserve">:Attr_126 :boundToTag :Tag_AT_1301K2 .   # R1151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AT_1301K2</t>
    </r>
  </si>
  <si>
    <r>
      <rPr>
        <sz val="10"/>
        <rFont val="Consolas"/>
        <family val="3"/>
      </rPr>
      <t xml:space="preserve">:Attr_126 :boundToTag :Tag_AT_1301L1 .   # R1152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AT_1301L1</t>
    </r>
  </si>
  <si>
    <r>
      <rPr>
        <sz val="10"/>
        <rFont val="Consolas"/>
        <family val="3"/>
      </rPr>
      <t xml:space="preserve">:Attr_126 :boundToTag :Tag_AT_1301L2 .   # R1153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AT_1301L2</t>
    </r>
  </si>
  <si>
    <r>
      <rPr>
        <sz val="10"/>
        <rFont val="Consolas"/>
        <family val="3"/>
      </rPr>
      <t xml:space="preserve">:Attr_127 :boundToTag :Tag_SJGYW_A .   # R1154 </t>
    </r>
    <r>
      <rPr>
        <sz val="10"/>
        <rFont val="Noto Sans CJK SC"/>
        <family val="2"/>
      </rPr>
      <t xml:space="preserve">釜内反应液位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SJGYW_A</t>
    </r>
  </si>
  <si>
    <r>
      <rPr>
        <sz val="10"/>
        <rFont val="Consolas"/>
        <family val="3"/>
      </rPr>
      <t xml:space="preserve">:Attr_127 :boundToTag :Tag_SJGYW_B .   # R1155 </t>
    </r>
    <r>
      <rPr>
        <sz val="10"/>
        <rFont val="Noto Sans CJK SC"/>
        <family val="2"/>
      </rPr>
      <t xml:space="preserve">釜内反应液位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SJGYW_B</t>
    </r>
  </si>
  <si>
    <r>
      <rPr>
        <sz val="10"/>
        <rFont val="Consolas"/>
        <family val="3"/>
      </rPr>
      <t xml:space="preserve">:Attr_127 :boundToTag :Tag_SJGYW_C .   # R1156 </t>
    </r>
    <r>
      <rPr>
        <sz val="10"/>
        <rFont val="Noto Sans CJK SC"/>
        <family val="2"/>
      </rPr>
      <t xml:space="preserve">釜内反应液位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SJGYW_C</t>
    </r>
  </si>
  <si>
    <r>
      <rPr>
        <sz val="10"/>
        <rFont val="Consolas"/>
        <family val="3"/>
      </rPr>
      <t xml:space="preserve">:Attr_127 :boundToTag :Tag_SJGYW_D .   # R1157 </t>
    </r>
    <r>
      <rPr>
        <sz val="10"/>
        <rFont val="Noto Sans CJK SC"/>
        <family val="2"/>
      </rPr>
      <t xml:space="preserve">釜内反应液位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SJGYW_D</t>
    </r>
  </si>
  <si>
    <r>
      <rPr>
        <sz val="10"/>
        <rFont val="Consolas"/>
        <family val="3"/>
      </rPr>
      <t xml:space="preserve">:Attr_127 :boundToTag :Tag_SJGYW_E .   # R1158 </t>
    </r>
    <r>
      <rPr>
        <sz val="10"/>
        <rFont val="Noto Sans CJK SC"/>
        <family val="2"/>
      </rPr>
      <t xml:space="preserve">釜内反应液位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SJGYW_E</t>
    </r>
  </si>
  <si>
    <r>
      <rPr>
        <sz val="10"/>
        <rFont val="Consolas"/>
        <family val="3"/>
      </rPr>
      <t xml:space="preserve">:Attr_127 :boundToTag :Tag_SJGYW_F .   # R1159 </t>
    </r>
    <r>
      <rPr>
        <sz val="10"/>
        <rFont val="Noto Sans CJK SC"/>
        <family val="2"/>
      </rPr>
      <t xml:space="preserve">釜内反应液位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SJGYW_F</t>
    </r>
  </si>
  <si>
    <r>
      <rPr>
        <sz val="10"/>
        <rFont val="Consolas"/>
        <family val="3"/>
      </rPr>
      <t xml:space="preserve">:Attr_128 :boundToTag :Tag_P_1303A_RUN .   # R1160 </t>
    </r>
    <r>
      <rPr>
        <sz val="10"/>
        <rFont val="Noto Sans CJK SC"/>
        <family val="2"/>
      </rPr>
      <t xml:space="preserve">搅拌运行状态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P_1303A_RUN</t>
    </r>
  </si>
  <si>
    <r>
      <rPr>
        <sz val="10"/>
        <rFont val="Consolas"/>
        <family val="3"/>
      </rPr>
      <t xml:space="preserve">:Attr_128 :boundToTag :Tag_P_1303B_RUN .   # R1161 </t>
    </r>
    <r>
      <rPr>
        <sz val="10"/>
        <rFont val="Noto Sans CJK SC"/>
        <family val="2"/>
      </rPr>
      <t xml:space="preserve">搅拌运行状态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P_1303B_RUN</t>
    </r>
  </si>
  <si>
    <r>
      <rPr>
        <sz val="10"/>
        <rFont val="Consolas"/>
        <family val="3"/>
      </rPr>
      <t xml:space="preserve">:Attr_128 :boundToTag :Tag_P_1303C_RUN .   # R1162 </t>
    </r>
    <r>
      <rPr>
        <sz val="10"/>
        <rFont val="Noto Sans CJK SC"/>
        <family val="2"/>
      </rPr>
      <t xml:space="preserve">搅拌运行状态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P_1303C_RUN</t>
    </r>
  </si>
  <si>
    <r>
      <rPr>
        <sz val="10"/>
        <rFont val="Consolas"/>
        <family val="3"/>
      </rPr>
      <t xml:space="preserve">:Attr_128 :boundToTag :Tag_P_1303D_RUN .   # R1163 </t>
    </r>
    <r>
      <rPr>
        <sz val="10"/>
        <rFont val="Noto Sans CJK SC"/>
        <family val="2"/>
      </rPr>
      <t xml:space="preserve">搅拌运行状态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P_1303D_RUN</t>
    </r>
  </si>
  <si>
    <r>
      <rPr>
        <sz val="10"/>
        <rFont val="Consolas"/>
        <family val="3"/>
      </rPr>
      <t xml:space="preserve">:Attr_128 :boundToTag :Tag_P_1303E_RUN .   # R1164 </t>
    </r>
    <r>
      <rPr>
        <sz val="10"/>
        <rFont val="Noto Sans CJK SC"/>
        <family val="2"/>
      </rPr>
      <t xml:space="preserve">搅拌运行状态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P_1303E_RUN</t>
    </r>
  </si>
  <si>
    <r>
      <rPr>
        <sz val="10"/>
        <rFont val="Consolas"/>
        <family val="3"/>
      </rPr>
      <t xml:space="preserve">:Attr_128 :boundToTag :Tag_P_1303F_RUN .   # R1165 </t>
    </r>
    <r>
      <rPr>
        <sz val="10"/>
        <rFont val="Noto Sans CJK SC"/>
        <family val="2"/>
      </rPr>
      <t xml:space="preserve">搅拌运行状态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P_1303F_RUN</t>
    </r>
  </si>
  <si>
    <r>
      <rPr>
        <sz val="10"/>
        <rFont val="Consolas"/>
        <family val="3"/>
      </rPr>
      <t xml:space="preserve">:Attr_129 :boundToTag :Tag_LT_1302A .   # R1166 </t>
    </r>
    <r>
      <rPr>
        <sz val="10"/>
        <rFont val="Noto Sans CJK SC"/>
        <family val="2"/>
      </rPr>
      <t xml:space="preserve">氨水计量罐液位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LT_1302A</t>
    </r>
  </si>
  <si>
    <r>
      <rPr>
        <sz val="10"/>
        <rFont val="Consolas"/>
        <family val="3"/>
      </rPr>
      <t xml:space="preserve">:Attr_129 :boundToTag :Tag_LT_1302B .   # R1167 </t>
    </r>
    <r>
      <rPr>
        <sz val="10"/>
        <rFont val="Noto Sans CJK SC"/>
        <family val="2"/>
      </rPr>
      <t xml:space="preserve">氨水计量罐液位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LT_1302B</t>
    </r>
  </si>
  <si>
    <r>
      <rPr>
        <sz val="10"/>
        <rFont val="Consolas"/>
        <family val="3"/>
      </rPr>
      <t xml:space="preserve">:Attr_129 :boundToTag :Tag_LT_1302C .   # R1168 </t>
    </r>
    <r>
      <rPr>
        <sz val="10"/>
        <rFont val="Noto Sans CJK SC"/>
        <family val="2"/>
      </rPr>
      <t xml:space="preserve">氨水计量罐液位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LT_1302C</t>
    </r>
  </si>
  <si>
    <r>
      <rPr>
        <sz val="10"/>
        <rFont val="Consolas"/>
        <family val="3"/>
      </rPr>
      <t xml:space="preserve">:Attr_129 :boundToTag :Tag_LT_1302D .   # R1169 </t>
    </r>
    <r>
      <rPr>
        <sz val="10"/>
        <rFont val="Noto Sans CJK SC"/>
        <family val="2"/>
      </rPr>
      <t xml:space="preserve">氨水计量罐液位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LT_1302D</t>
    </r>
  </si>
  <si>
    <r>
      <rPr>
        <sz val="10"/>
        <rFont val="Consolas"/>
        <family val="3"/>
      </rPr>
      <t xml:space="preserve">:Attr_129 :boundToTag :Tag_LT_1302E .   # R1170 </t>
    </r>
    <r>
      <rPr>
        <sz val="10"/>
        <rFont val="Noto Sans CJK SC"/>
        <family val="2"/>
      </rPr>
      <t xml:space="preserve">氨水计量罐液位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LT_1302E</t>
    </r>
  </si>
  <si>
    <r>
      <rPr>
        <sz val="10"/>
        <rFont val="Consolas"/>
        <family val="3"/>
      </rPr>
      <t xml:space="preserve">:Attr_129 :boundToTag :Tag_LT_1302F .   # R1171 </t>
    </r>
    <r>
      <rPr>
        <sz val="10"/>
        <rFont val="Noto Sans CJK SC"/>
        <family val="2"/>
      </rPr>
      <t xml:space="preserve">氨水计量罐液位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LT_1302F</t>
    </r>
  </si>
  <si>
    <r>
      <rPr>
        <sz val="10"/>
        <rFont val="Consolas"/>
        <family val="3"/>
      </rPr>
      <t xml:space="preserve">:Attr_129 :boundToTag :Tag_LT_1302G .   # R1172 </t>
    </r>
    <r>
      <rPr>
        <sz val="10"/>
        <rFont val="Noto Sans CJK SC"/>
        <family val="2"/>
      </rPr>
      <t xml:space="preserve">氨水计量罐液位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LT_1302G</t>
    </r>
  </si>
  <si>
    <r>
      <rPr>
        <sz val="10"/>
        <rFont val="Consolas"/>
        <family val="3"/>
      </rPr>
      <t xml:space="preserve">:Attr_129 :boundToTag :Tag_LT_1302H .   # R1173 </t>
    </r>
    <r>
      <rPr>
        <sz val="10"/>
        <rFont val="Noto Sans CJK SC"/>
        <family val="2"/>
      </rPr>
      <t xml:space="preserve">氨水计量罐液位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LT_1302H</t>
    </r>
  </si>
  <si>
    <r>
      <rPr>
        <sz val="10"/>
        <rFont val="Consolas"/>
        <family val="3"/>
      </rPr>
      <t xml:space="preserve">:Attr_129 :boundToTag :Tag_LT_1302J .   # R1174 </t>
    </r>
    <r>
      <rPr>
        <sz val="10"/>
        <rFont val="Noto Sans CJK SC"/>
        <family val="2"/>
      </rPr>
      <t xml:space="preserve">氨水计量罐液位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LT_1302J</t>
    </r>
  </si>
  <si>
    <r>
      <rPr>
        <sz val="10"/>
        <rFont val="Consolas"/>
        <family val="3"/>
      </rPr>
      <t xml:space="preserve">:Attr_129 :boundToTag :Tag_LT_1302K .   # R1175 </t>
    </r>
    <r>
      <rPr>
        <sz val="10"/>
        <rFont val="Noto Sans CJK SC"/>
        <family val="2"/>
      </rPr>
      <t xml:space="preserve">氨水计量罐液位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LT_1302K</t>
    </r>
  </si>
  <si>
    <r>
      <rPr>
        <sz val="10"/>
        <rFont val="Consolas"/>
        <family val="3"/>
      </rPr>
      <t xml:space="preserve">:Attr_129 :boundToTag :Tag_LT_1302L .   # R1176 </t>
    </r>
    <r>
      <rPr>
        <sz val="10"/>
        <rFont val="Noto Sans CJK SC"/>
        <family val="2"/>
      </rPr>
      <t xml:space="preserve">氨水计量罐液位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LT_1302L</t>
    </r>
  </si>
  <si>
    <r>
      <rPr>
        <sz val="10"/>
        <rFont val="Consolas"/>
        <family val="3"/>
      </rPr>
      <t xml:space="preserve">:Attr_130 :boundToTag :Tag_PT_1301 .   # R1177 </t>
    </r>
    <r>
      <rPr>
        <sz val="10"/>
        <rFont val="Noto Sans CJK SC"/>
        <family val="2"/>
      </rPr>
      <t xml:space="preserve">压缩空气总管压力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PT_1301</t>
    </r>
  </si>
  <si>
    <r>
      <rPr>
        <sz val="10"/>
        <rFont val="Consolas"/>
        <family val="3"/>
      </rPr>
      <t xml:space="preserve">:Attr_131 :boundToTag :Tag_LT_1303 .   # R1178 </t>
    </r>
    <r>
      <rPr>
        <sz val="10"/>
        <rFont val="Noto Sans CJK SC"/>
        <family val="2"/>
      </rPr>
      <t xml:space="preserve">水解液缓冲罐液位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LT_1303</t>
    </r>
  </si>
  <si>
    <r>
      <rPr>
        <sz val="10"/>
        <rFont val="Consolas"/>
        <family val="3"/>
      </rPr>
      <t xml:space="preserve">:Attr_132 :boundToTag :Tag_SJGAB_PT .   # R1179 </t>
    </r>
    <r>
      <rPr>
        <sz val="10"/>
        <rFont val="Noto Sans CJK SC"/>
        <family val="2"/>
      </rPr>
      <t xml:space="preserve">水解液泵出口压力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SJGAB_PT</t>
    </r>
  </si>
  <si>
    <r>
      <rPr>
        <sz val="10"/>
        <rFont val="Consolas"/>
        <family val="3"/>
      </rPr>
      <t xml:space="preserve">:Attr_132 :boundToTag :Tag_SJGCD_PT .   # R1180 </t>
    </r>
    <r>
      <rPr>
        <sz val="10"/>
        <rFont val="Noto Sans CJK SC"/>
        <family val="2"/>
      </rPr>
      <t xml:space="preserve">水解液泵出口压力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SJGCD_PT</t>
    </r>
  </si>
  <si>
    <r>
      <rPr>
        <sz val="10"/>
        <rFont val="Consolas"/>
        <family val="3"/>
      </rPr>
      <t xml:space="preserve">:Attr_132 :boundToTag :Tag_PT_1020 .   # R1181 </t>
    </r>
    <r>
      <rPr>
        <sz val="10"/>
        <rFont val="Noto Sans CJK SC"/>
        <family val="2"/>
      </rPr>
      <t xml:space="preserve">水解液泵出口压力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PT_1020</t>
    </r>
  </si>
  <si>
    <r>
      <rPr>
        <sz val="10"/>
        <rFont val="Consolas"/>
        <family val="3"/>
      </rPr>
      <t xml:space="preserve">:Ctrl_025 :controls :Act_025 .   # R1182 </t>
    </r>
    <r>
      <rPr>
        <sz val="10"/>
        <rFont val="Noto Sans CJK SC"/>
        <family val="2"/>
      </rPr>
      <t>水解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指示控制器</t>
    </r>
    <r>
      <rPr>
        <sz val="10"/>
        <rFont val="Consolas"/>
        <family val="3"/>
      </rPr>
      <t>(AIC-1301)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氨水调节阀</t>
    </r>
    <r>
      <rPr>
        <sz val="10"/>
        <rFont val="Consolas"/>
        <family val="3"/>
      </rPr>
      <t>HV_1302</t>
    </r>
  </si>
  <si>
    <r>
      <rPr>
        <sz val="10"/>
        <rFont val="Consolas"/>
        <family val="3"/>
      </rPr>
      <t xml:space="preserve">:Attr_126 :feedbackTo :Ctrl_025 .   # R1183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指示控制器</t>
    </r>
    <r>
      <rPr>
        <sz val="10"/>
        <rFont val="Consolas"/>
        <family val="3"/>
      </rPr>
      <t>(AIC-1301)</t>
    </r>
  </si>
  <si>
    <r>
      <rPr>
        <sz val="10"/>
        <rFont val="Consolas"/>
        <family val="3"/>
      </rPr>
      <t xml:space="preserve">:Act_025 :affects :Attr_126 .   # R1184 </t>
    </r>
    <r>
      <rPr>
        <sz val="10"/>
        <rFont val="Noto Sans CJK SC"/>
        <family val="2"/>
      </rPr>
      <t>氨水调节阀</t>
    </r>
    <r>
      <rPr>
        <sz val="10"/>
        <rFont val="Consolas"/>
        <family val="3"/>
      </rPr>
      <t>HV_1302 -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</si>
  <si>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:Ctrl_026 :controls :Act_026 .   # R1185 </t>
    </r>
    <r>
      <rPr>
        <sz val="10"/>
        <rFont val="Noto Sans CJK SC"/>
        <family val="2"/>
      </rPr>
      <t>水解温度指示控制器</t>
    </r>
    <r>
      <rPr>
        <sz val="10"/>
        <rFont val="Consolas"/>
        <family val="3"/>
      </rPr>
      <t>(TIC-1301)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热水阀</t>
    </r>
    <r>
      <rPr>
        <sz val="10"/>
        <rFont val="Consolas"/>
        <family val="3"/>
      </rPr>
      <t>HV_1301</t>
    </r>
  </si>
  <si>
    <r>
      <rPr>
        <sz val="10"/>
        <rFont val="Consolas"/>
        <family val="3"/>
      </rPr>
      <t xml:space="preserve">:Attr_125 :feedbackTo :Ctrl_026 .   # R1186 </t>
    </r>
    <r>
      <rPr>
        <sz val="10"/>
        <rFont val="Noto Sans CJK SC"/>
        <family val="2"/>
      </rPr>
      <t xml:space="preserve">釜内反应温度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水解温度指示控制器</t>
    </r>
    <r>
      <rPr>
        <sz val="10"/>
        <rFont val="Consolas"/>
        <family val="3"/>
      </rPr>
      <t>(TIC-1301)</t>
    </r>
  </si>
  <si>
    <r>
      <rPr>
        <sz val="10"/>
        <rFont val="Consolas"/>
        <family val="3"/>
      </rPr>
      <t xml:space="preserve">:Act_026 :affects :Attr_125 .   # R1187 </t>
    </r>
    <r>
      <rPr>
        <sz val="10"/>
        <rFont val="Noto Sans CJK SC"/>
        <family val="2"/>
      </rPr>
      <t>热水阀</t>
    </r>
    <r>
      <rPr>
        <sz val="10"/>
        <rFont val="Consolas"/>
        <family val="3"/>
      </rPr>
      <t>HV_1301 -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釜内反应温度</t>
    </r>
  </si>
  <si>
    <r>
      <rPr>
        <sz val="10"/>
        <rFont val="Consolas"/>
        <family val="3"/>
      </rPr>
      <t xml:space="preserve">:Ctrl_027 :controls :Act_027 .   # R1188 </t>
    </r>
    <r>
      <rPr>
        <sz val="10"/>
        <rFont val="Noto Sans CJK SC"/>
        <family val="2"/>
      </rPr>
      <t>北排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进料控制器</t>
    </r>
    <r>
      <rPr>
        <sz val="10"/>
        <rFont val="Consolas"/>
        <family val="3"/>
      </rPr>
      <t>(FIC-1302A)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北排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调节阀</t>
    </r>
    <r>
      <rPr>
        <sz val="10"/>
        <rFont val="Consolas"/>
        <family val="3"/>
      </rPr>
      <t>HV_1308</t>
    </r>
  </si>
  <si>
    <r>
      <rPr>
        <sz val="10"/>
        <rFont val="Consolas"/>
        <family val="3"/>
      </rPr>
      <t>:Attr_123 :feedbackTo :Ctrl_027 .   # R1189 RB</t>
    </r>
    <r>
      <rPr>
        <sz val="10"/>
        <rFont val="Noto Sans CJK SC"/>
        <family val="2"/>
      </rPr>
      <t xml:space="preserve">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北排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进料控制器</t>
    </r>
    <r>
      <rPr>
        <sz val="10"/>
        <rFont val="Consolas"/>
        <family val="3"/>
      </rPr>
      <t>(FIC-1302A)</t>
    </r>
  </si>
  <si>
    <r>
      <rPr>
        <sz val="10"/>
        <rFont val="Consolas"/>
        <family val="3"/>
      </rPr>
      <t xml:space="preserve">:Act_027 :affects :Attr_123 .   # R1190 </t>
    </r>
    <r>
      <rPr>
        <sz val="10"/>
        <rFont val="Noto Sans CJK SC"/>
        <family val="2"/>
      </rPr>
      <t>北排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调节阀</t>
    </r>
    <r>
      <rPr>
        <sz val="10"/>
        <rFont val="Consolas"/>
        <family val="3"/>
      </rPr>
      <t>HV_1308 -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进料流量</t>
    </r>
  </si>
  <si>
    <r>
      <rPr>
        <sz val="10"/>
        <rFont val="Consolas"/>
        <family val="3"/>
      </rPr>
      <t xml:space="preserve">:Ctrl_028 :controls :Act_028 .   # R1191 </t>
    </r>
    <r>
      <rPr>
        <sz val="10"/>
        <rFont val="Noto Sans CJK SC"/>
        <family val="2"/>
      </rPr>
      <t>南排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进料控制器</t>
    </r>
    <r>
      <rPr>
        <sz val="10"/>
        <rFont val="Consolas"/>
        <family val="3"/>
      </rPr>
      <t>(FIC-1302B)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南排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调节阀</t>
    </r>
    <r>
      <rPr>
        <sz val="10"/>
        <rFont val="Consolas"/>
        <family val="3"/>
      </rPr>
      <t>HV_1309</t>
    </r>
  </si>
  <si>
    <r>
      <rPr>
        <sz val="10"/>
        <rFont val="Consolas"/>
        <family val="3"/>
      </rPr>
      <t>:Attr_123 :feedbackTo :Ctrl_028 .   # R1192 RB</t>
    </r>
    <r>
      <rPr>
        <sz val="10"/>
        <rFont val="Noto Sans CJK SC"/>
        <family val="2"/>
      </rPr>
      <t xml:space="preserve">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南排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进料控制器</t>
    </r>
    <r>
      <rPr>
        <sz val="10"/>
        <rFont val="Consolas"/>
        <family val="3"/>
      </rPr>
      <t>(FIC-1302B)</t>
    </r>
  </si>
  <si>
    <r>
      <rPr>
        <sz val="10"/>
        <rFont val="Consolas"/>
        <family val="3"/>
      </rPr>
      <t xml:space="preserve">:Act_028 :affects :Attr_123 .   # R1193 </t>
    </r>
    <r>
      <rPr>
        <sz val="10"/>
        <rFont val="Noto Sans CJK SC"/>
        <family val="2"/>
      </rPr>
      <t>南排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调节阀</t>
    </r>
    <r>
      <rPr>
        <sz val="10"/>
        <rFont val="Consolas"/>
        <family val="3"/>
      </rPr>
      <t>HV_1309 -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进料流量</t>
    </r>
  </si>
  <si>
    <r>
      <rPr>
        <sz val="10"/>
        <rFont val="Consolas"/>
        <family val="3"/>
      </rPr>
      <t xml:space="preserve">:Ctrl_029 :controls :Act_029 .   # R1194 </t>
    </r>
    <r>
      <rPr>
        <sz val="10"/>
        <rFont val="Noto Sans CJK SC"/>
        <family val="2"/>
      </rPr>
      <t>北排硼酸进料控制器</t>
    </r>
    <r>
      <rPr>
        <sz val="10"/>
        <rFont val="Consolas"/>
        <family val="3"/>
      </rPr>
      <t>(FIC-1301A)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北排硼酸调节阀</t>
    </r>
    <r>
      <rPr>
        <sz val="10"/>
        <rFont val="Consolas"/>
        <family val="3"/>
      </rPr>
      <t>HV_1310</t>
    </r>
  </si>
  <si>
    <r>
      <rPr>
        <sz val="10"/>
        <rFont val="Consolas"/>
        <family val="3"/>
      </rPr>
      <t xml:space="preserve">:Attr_124 :feedbackTo :Ctrl_029 .   # R1195 </t>
    </r>
    <r>
      <rPr>
        <sz val="10"/>
        <rFont val="Noto Sans CJK SC"/>
        <family val="2"/>
      </rPr>
      <t xml:space="preserve">硼酸进料流量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北排硼酸进料控制器</t>
    </r>
    <r>
      <rPr>
        <sz val="10"/>
        <rFont val="Consolas"/>
        <family val="3"/>
      </rPr>
      <t>(FIC-1301A)</t>
    </r>
  </si>
  <si>
    <r>
      <rPr>
        <sz val="10"/>
        <rFont val="Consolas"/>
        <family val="3"/>
      </rPr>
      <t xml:space="preserve">:Act_029 :affects :Attr_124 .   # R1196 </t>
    </r>
    <r>
      <rPr>
        <sz val="10"/>
        <rFont val="Noto Sans CJK SC"/>
        <family val="2"/>
      </rPr>
      <t>北排硼酸调节阀</t>
    </r>
    <r>
      <rPr>
        <sz val="10"/>
        <rFont val="Consolas"/>
        <family val="3"/>
      </rPr>
      <t>HV_1310 -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硼酸进料流量</t>
    </r>
  </si>
  <si>
    <r>
      <rPr>
        <sz val="10"/>
        <rFont val="Consolas"/>
        <family val="3"/>
      </rPr>
      <t xml:space="preserve">:Ctrl_030 :controls :Act_030 .   # R1197 </t>
    </r>
    <r>
      <rPr>
        <sz val="10"/>
        <rFont val="Noto Sans CJK SC"/>
        <family val="2"/>
      </rPr>
      <t>南排硼酸进料控制器</t>
    </r>
    <r>
      <rPr>
        <sz val="10"/>
        <rFont val="Consolas"/>
        <family val="3"/>
      </rPr>
      <t>(FIC-1301B)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南排硼酸调节阀</t>
    </r>
    <r>
      <rPr>
        <sz val="10"/>
        <rFont val="Consolas"/>
        <family val="3"/>
      </rPr>
      <t>HV_1311</t>
    </r>
  </si>
  <si>
    <r>
      <rPr>
        <sz val="10"/>
        <rFont val="Consolas"/>
        <family val="3"/>
      </rPr>
      <t xml:space="preserve">:Attr_124 :feedbackTo :Ctrl_030 .   # R1198 </t>
    </r>
    <r>
      <rPr>
        <sz val="10"/>
        <rFont val="Noto Sans CJK SC"/>
        <family val="2"/>
      </rPr>
      <t xml:space="preserve">硼酸进料流量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南排硼酸进料控制器</t>
    </r>
    <r>
      <rPr>
        <sz val="10"/>
        <rFont val="Consolas"/>
        <family val="3"/>
      </rPr>
      <t>(FIC-1301B)</t>
    </r>
  </si>
  <si>
    <r>
      <rPr>
        <sz val="10"/>
        <rFont val="Consolas"/>
        <family val="3"/>
      </rPr>
      <t xml:space="preserve">:Act_030 :affects :Attr_124 .   # R1199 </t>
    </r>
    <r>
      <rPr>
        <sz val="10"/>
        <rFont val="Noto Sans CJK SC"/>
        <family val="2"/>
      </rPr>
      <t>南排硼酸调节阀</t>
    </r>
    <r>
      <rPr>
        <sz val="10"/>
        <rFont val="Consolas"/>
        <family val="3"/>
      </rPr>
      <t>HV_1311 -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硼酸进料流量</t>
    </r>
  </si>
  <si>
    <r>
      <rPr>
        <sz val="10"/>
        <rFont val="Consolas"/>
        <family val="3"/>
      </rPr>
      <t xml:space="preserve">:Ctrl_031 :controls :Act_031 .   # R1200 </t>
    </r>
    <r>
      <rPr>
        <sz val="10"/>
        <rFont val="Noto Sans CJK SC"/>
        <family val="2"/>
      </rPr>
      <t xml:space="preserve">水解液出料控制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水解液泵调节阀</t>
    </r>
    <r>
      <rPr>
        <sz val="10"/>
        <rFont val="Consolas"/>
        <family val="3"/>
      </rPr>
      <t>SJGAB/SJGCD/SJGEF</t>
    </r>
  </si>
  <si>
    <r>
      <rPr>
        <sz val="10"/>
        <rFont val="Consolas"/>
        <family val="3"/>
      </rPr>
      <t xml:space="preserve">:Attr_131 :feedbackTo :Ctrl_031 .   # R1201 </t>
    </r>
    <r>
      <rPr>
        <sz val="10"/>
        <rFont val="Noto Sans CJK SC"/>
        <family val="2"/>
      </rPr>
      <t xml:space="preserve">水解液缓冲罐液位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水解液出料控制</t>
    </r>
  </si>
  <si>
    <r>
      <rPr>
        <sz val="10"/>
        <rFont val="Consolas"/>
        <family val="3"/>
      </rPr>
      <t xml:space="preserve">:Act_031 :affects :Attr_131 .   # R1202 </t>
    </r>
    <r>
      <rPr>
        <sz val="10"/>
        <rFont val="Noto Sans CJK SC"/>
        <family val="2"/>
      </rPr>
      <t>水解液泵调节阀</t>
    </r>
    <r>
      <rPr>
        <sz val="10"/>
        <rFont val="Consolas"/>
        <family val="3"/>
      </rPr>
      <t>SJGAB/SJGCD/SJGEF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水解液缓冲罐液位</t>
    </r>
  </si>
  <si>
    <r>
      <rPr>
        <sz val="10"/>
        <rFont val="Consolas"/>
        <family val="3"/>
      </rPr>
      <t xml:space="preserve">:Act_S06_1157 :isControlledBy :Seq_06 .   # R1203 </t>
    </r>
    <r>
      <rPr>
        <sz val="10"/>
        <rFont val="Noto Sans CJK SC"/>
        <family val="2"/>
      </rPr>
      <t xml:space="preserve">水解罐进出料气动切断阀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被控制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连续水解批次调度程序</t>
    </r>
    <r>
      <rPr>
        <sz val="10"/>
        <rFont val="Consolas"/>
        <family val="3"/>
      </rPr>
      <t>(SFC)</t>
    </r>
  </si>
  <si>
    <r>
      <rPr>
        <sz val="10"/>
        <rFont val="Consolas"/>
        <family val="3"/>
      </rPr>
      <t xml:space="preserve">:Act_027 :isControlledBy :Seq_06 .   # R1204 </t>
    </r>
    <r>
      <rPr>
        <sz val="10"/>
        <rFont val="Noto Sans CJK SC"/>
        <family val="2"/>
      </rPr>
      <t>北排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调节阀</t>
    </r>
    <r>
      <rPr>
        <sz val="10"/>
        <rFont val="Consolas"/>
        <family val="3"/>
      </rPr>
      <t>HV_1308 -</t>
    </r>
    <r>
      <rPr>
        <sz val="10"/>
        <rFont val="Noto Sans CJK SC"/>
        <family val="2"/>
      </rPr>
      <t>被控制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连续水解批次调度程序</t>
    </r>
    <r>
      <rPr>
        <sz val="10"/>
        <rFont val="Consolas"/>
        <family val="3"/>
      </rPr>
      <t>(SFC)</t>
    </r>
  </si>
  <si>
    <r>
      <rPr>
        <sz val="10"/>
        <rFont val="Consolas"/>
        <family val="3"/>
      </rPr>
      <t xml:space="preserve">:Act_028 :isControlledBy :Seq_06 .   # R1205 </t>
    </r>
    <r>
      <rPr>
        <sz val="10"/>
        <rFont val="Noto Sans CJK SC"/>
        <family val="2"/>
      </rPr>
      <t>南排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调节阀</t>
    </r>
    <r>
      <rPr>
        <sz val="10"/>
        <rFont val="Consolas"/>
        <family val="3"/>
      </rPr>
      <t>HV_1309 -</t>
    </r>
    <r>
      <rPr>
        <sz val="10"/>
        <rFont val="Noto Sans CJK SC"/>
        <family val="2"/>
      </rPr>
      <t>被控制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连续水解批次调度程序</t>
    </r>
    <r>
      <rPr>
        <sz val="10"/>
        <rFont val="Consolas"/>
        <family val="3"/>
      </rPr>
      <t>(SFC)</t>
    </r>
  </si>
  <si>
    <r>
      <rPr>
        <sz val="10"/>
        <rFont val="Consolas"/>
        <family val="3"/>
      </rPr>
      <t xml:space="preserve">:Attr_131 :triggersAlarm :Alarm_09 .   # R1206 </t>
    </r>
    <r>
      <rPr>
        <sz val="10"/>
        <rFont val="Noto Sans CJK SC"/>
        <family val="2"/>
      </rPr>
      <t xml:space="preserve">水解液缓冲罐液位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触发报警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水解液缓冲罐高位报警</t>
    </r>
  </si>
  <si>
    <r>
      <rPr>
        <sz val="10"/>
        <rFont val="Consolas"/>
        <family val="3"/>
      </rPr>
      <t xml:space="preserve">:Attr_130 :triggersAlarm :Alarm_10 .   # R1207 </t>
    </r>
    <r>
      <rPr>
        <sz val="10"/>
        <rFont val="Noto Sans CJK SC"/>
        <family val="2"/>
      </rPr>
      <t xml:space="preserve">压缩空气总管压力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触发报警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压缩空气压力低出料注意</t>
    </r>
  </si>
  <si>
    <r>
      <rPr>
        <sz val="10"/>
        <rFont val="Consolas"/>
        <family val="3"/>
      </rPr>
      <t xml:space="preserve">:Attr_126 :triggersAlarm :Alarm_11 .   # R1208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触发报警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不合格</t>
    </r>
  </si>
  <si>
    <r>
      <rPr>
        <sz val="10"/>
        <rFont val="Consolas"/>
        <family val="3"/>
      </rPr>
      <t xml:space="preserve">:MS_RB_Desolv :flowsInto :RBStorageHydro .   # R1209 </t>
    </r>
    <r>
      <rPr>
        <sz val="10"/>
        <rFont val="Noto Sans CJK SC"/>
        <family val="2"/>
      </rPr>
      <t>脱溶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 xml:space="preserve">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储罐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>（水解进料）</t>
    </r>
  </si>
  <si>
    <r>
      <rPr>
        <sz val="10"/>
        <rFont val="Consolas"/>
        <family val="3"/>
      </rPr>
      <t>:RBStorageHydro :connectedToNext :HydrolysisReactorGroup .   # R1210 RB</t>
    </r>
    <r>
      <rPr>
        <sz val="10"/>
        <rFont val="Noto Sans CJK SC"/>
        <family val="2"/>
      </rPr>
      <t>储罐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 xml:space="preserve">（水解进料）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</t>
    </r>
  </si>
  <si>
    <r>
      <rPr>
        <sz val="10"/>
        <rFont val="Consolas"/>
        <family val="3"/>
      </rPr>
      <t xml:space="preserve">:MS_RB_Desolv :flowsInto :HydrolysisReactorGroup .   # R1211 </t>
    </r>
    <r>
      <rPr>
        <sz val="10"/>
        <rFont val="Noto Sans CJK SC"/>
        <family val="2"/>
      </rPr>
      <t>脱溶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 xml:space="preserve">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</t>
    </r>
  </si>
  <si>
    <r>
      <rPr>
        <sz val="10"/>
        <rFont val="Consolas"/>
        <family val="3"/>
      </rPr>
      <t xml:space="preserve">:MS_Borate :flowsInto :HydrolysisReactorGroup .   # R1212 </t>
    </r>
    <r>
      <rPr>
        <sz val="10"/>
        <rFont val="Noto Sans CJK SC"/>
        <family val="2"/>
      </rPr>
      <t xml:space="preserve">硼酸缓冲液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</t>
    </r>
  </si>
  <si>
    <r>
      <rPr>
        <sz val="10"/>
        <rFont val="Consolas"/>
        <family val="3"/>
      </rPr>
      <t xml:space="preserve">:MS_Ammonia_Hydro :dosedInto :HydrolysisReactorGroup .   # R1213 </t>
    </r>
    <r>
      <rPr>
        <sz val="10"/>
        <rFont val="Noto Sans CJK SC"/>
        <family val="2"/>
      </rPr>
      <t xml:space="preserve">中和氨水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滴加入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</t>
    </r>
  </si>
  <si>
    <r>
      <rPr>
        <sz val="10"/>
        <rFont val="Consolas"/>
        <family val="3"/>
      </rPr>
      <t xml:space="preserve">:MS_CompAir :suppliesUtility :HydrolysisReactorGroup .   # R1214 </t>
    </r>
    <r>
      <rPr>
        <sz val="10"/>
        <rFont val="Noto Sans CJK SC"/>
        <family val="2"/>
      </rPr>
      <t>压缩空气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仪表气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供给介质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</t>
    </r>
  </si>
  <si>
    <r>
      <rPr>
        <sz val="10"/>
        <rFont val="Consolas"/>
        <family val="3"/>
      </rPr>
      <t xml:space="preserve">:MS_HotWater :suppliesUtility :HydrolysisReactorGroup .   # R1215 </t>
    </r>
    <r>
      <rPr>
        <sz val="10"/>
        <rFont val="Noto Sans CJK SC"/>
        <family val="2"/>
      </rPr>
      <t xml:space="preserve">热水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供给介质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</t>
    </r>
  </si>
  <si>
    <r>
      <rPr>
        <sz val="10"/>
        <rFont val="Consolas"/>
        <family val="3"/>
      </rPr>
      <t xml:space="preserve">:HydrolysisReactorGroup :produces :MS_Hydrolysate .   # R1216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酶解水解反应液</t>
    </r>
  </si>
  <si>
    <r>
      <rPr>
        <sz val="10"/>
        <rFont val="Consolas"/>
        <family val="3"/>
      </rPr>
      <t xml:space="preserve">:MS_Hydrolysate :flowsInto :HydrolysateBuffer .   # R1217 </t>
    </r>
    <r>
      <rPr>
        <sz val="10"/>
        <rFont val="Noto Sans CJK SC"/>
        <family val="2"/>
      </rPr>
      <t xml:space="preserve">酶解水解反应液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水解液缓冲罐</t>
    </r>
  </si>
  <si>
    <r>
      <rPr>
        <sz val="10"/>
        <rFont val="Consolas"/>
        <family val="3"/>
      </rPr>
      <t xml:space="preserve">:MS_MLRework :flowsInto :HydrolysisReactorGroup .   # R1218 </t>
    </r>
    <r>
      <rPr>
        <sz val="10"/>
        <rFont val="Noto Sans CJK SC"/>
        <family val="2"/>
      </rPr>
      <t xml:space="preserve">母液返工料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</t>
    </r>
  </si>
  <si>
    <r>
      <rPr>
        <sz val="10"/>
        <rFont val="Consolas"/>
        <family val="3"/>
      </rPr>
      <t xml:space="preserve">:Attr_106 :positivelyAffects :Attr_122 .   # R1219 </t>
    </r>
    <r>
      <rPr>
        <sz val="10"/>
        <rFont val="Noto Sans CJK SC"/>
        <family val="2"/>
      </rPr>
      <t xml:space="preserve">热水罐出水温度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>-&gt; RB</t>
    </r>
    <r>
      <rPr>
        <sz val="10"/>
        <rFont val="Noto Sans CJK SC"/>
        <family val="2"/>
      </rPr>
      <t>进料温度</t>
    </r>
  </si>
  <si>
    <r>
      <rPr>
        <sz val="10"/>
        <rFont val="Consolas"/>
        <family val="3"/>
      </rPr>
      <t>:Attr_122 :positivelyAffects :Attr_125 .   # R1220 RB</t>
    </r>
    <r>
      <rPr>
        <sz val="10"/>
        <rFont val="Noto Sans CJK SC"/>
        <family val="2"/>
      </rPr>
      <t xml:space="preserve">进料温度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釜内反应温度</t>
    </r>
  </si>
  <si>
    <r>
      <rPr>
        <sz val="10"/>
        <rFont val="Consolas"/>
        <family val="3"/>
      </rPr>
      <t xml:space="preserve">:Attr_125 :negativelyAffects :Attr_268 .   # R1221 </t>
    </r>
    <r>
      <rPr>
        <sz val="10"/>
        <rFont val="Noto Sans CJK SC"/>
        <family val="2"/>
      </rPr>
      <t xml:space="preserve">釜内反应温度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固定化酶活力稳定性</t>
    </r>
  </si>
  <si>
    <r>
      <rPr>
        <sz val="10"/>
        <rFont val="Consolas"/>
        <family val="3"/>
      </rPr>
      <t xml:space="preserve">:Attr_125 :negativelyAffects :QKPI_275 .   # R1222 </t>
    </r>
    <r>
      <rPr>
        <sz val="10"/>
        <rFont val="Noto Sans CJK SC"/>
        <family val="2"/>
      </rPr>
      <t xml:space="preserve">釜内反应温度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>-&gt; 6-APA</t>
    </r>
    <r>
      <rPr>
        <sz val="10"/>
        <rFont val="Noto Sans CJK SC"/>
        <family val="2"/>
      </rPr>
      <t>热降解损失率</t>
    </r>
  </si>
  <si>
    <r>
      <rPr>
        <sz val="10"/>
        <rFont val="Consolas"/>
        <family val="3"/>
      </rPr>
      <t xml:space="preserve">:Attr_125 :positivelyAffects :Attr_269 .   # R1223 </t>
    </r>
    <r>
      <rPr>
        <sz val="10"/>
        <rFont val="Noto Sans CJK SC"/>
        <family val="2"/>
      </rPr>
      <t xml:space="preserve">釜内反应温度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酶催化水解反应速率</t>
    </r>
  </si>
  <si>
    <r>
      <rPr>
        <sz val="10"/>
        <rFont val="Consolas"/>
        <family val="3"/>
      </rPr>
      <t xml:space="preserve">:Attr_126 :affects :Attr_269 .   # R1224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酶催化水解反应速率</t>
    </r>
  </si>
  <si>
    <r>
      <rPr>
        <sz val="10"/>
        <rFont val="Consolas"/>
        <family val="3"/>
      </rPr>
      <t xml:space="preserve">:Attr_126 :affects :QKPI_275 .   # R1225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>-&gt; 6-APA</t>
    </r>
    <r>
      <rPr>
        <sz val="10"/>
        <rFont val="Noto Sans CJK SC"/>
        <family val="2"/>
      </rPr>
      <t>热降解损失率</t>
    </r>
  </si>
  <si>
    <r>
      <rPr>
        <sz val="10"/>
        <rFont val="Consolas"/>
        <family val="3"/>
      </rPr>
      <t xml:space="preserve">:Attr_272 :positivelyAffects :Attr_126 .   # R1226 </t>
    </r>
    <r>
      <rPr>
        <sz val="10"/>
        <rFont val="Noto Sans CJK SC"/>
        <family val="2"/>
      </rPr>
      <t xml:space="preserve">氨水累计加量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反应体系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</si>
  <si>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:Attr_129 :negativelyAffects :Attr_272 .   # R1227 </t>
    </r>
    <r>
      <rPr>
        <sz val="10"/>
        <rFont val="Noto Sans CJK SC"/>
        <family val="2"/>
      </rPr>
      <t xml:space="preserve">氨水计量罐液位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氨水累计加量</t>
    </r>
  </si>
  <si>
    <r>
      <rPr>
        <sz val="10"/>
        <rFont val="Consolas"/>
        <family val="3"/>
      </rPr>
      <t xml:space="preserve">:Attr_269 :positivelyAffects :Attr_272 .   # R1228 </t>
    </r>
    <r>
      <rPr>
        <sz val="10"/>
        <rFont val="Noto Sans CJK SC"/>
        <family val="2"/>
      </rPr>
      <t xml:space="preserve">酶催化水解反应速率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氨水累计加量</t>
    </r>
  </si>
  <si>
    <r>
      <rPr>
        <sz val="10"/>
        <rFont val="Consolas"/>
        <family val="3"/>
      </rPr>
      <t xml:space="preserve">:Attr_272 :affects :Attr_273 .   # R1229 </t>
    </r>
    <r>
      <rPr>
        <sz val="10"/>
        <rFont val="Noto Sans CJK SC"/>
        <family val="2"/>
      </rPr>
      <t xml:space="preserve">氨水累计加量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水解终点判定</t>
    </r>
  </si>
  <si>
    <r>
      <rPr>
        <sz val="10"/>
        <rFont val="Consolas"/>
        <family val="3"/>
      </rPr>
      <t xml:space="preserve">:Attr_128 :positivelyAffects :Attr_270 .   # R1230 </t>
    </r>
    <r>
      <rPr>
        <sz val="10"/>
        <rFont val="Noto Sans CJK SC"/>
        <family val="2"/>
      </rPr>
      <t xml:space="preserve">搅拌运行状态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固液传质速率</t>
    </r>
  </si>
  <si>
    <r>
      <rPr>
        <sz val="10"/>
        <rFont val="Consolas"/>
        <family val="3"/>
      </rPr>
      <t xml:space="preserve">:Attr_128 :negativelyAffects :Attr_271 .   # R1231 </t>
    </r>
    <r>
      <rPr>
        <sz val="10"/>
        <rFont val="Noto Sans CJK SC"/>
        <family val="2"/>
      </rPr>
      <t xml:space="preserve">搅拌运行状态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固定化酶载体寿命</t>
    </r>
  </si>
  <si>
    <r>
      <rPr>
        <sz val="10"/>
        <rFont val="Consolas"/>
        <family val="3"/>
      </rPr>
      <t xml:space="preserve">:Attr_270 :positivelyAffects :Attr_269 .   # R1232 </t>
    </r>
    <r>
      <rPr>
        <sz val="10"/>
        <rFont val="Noto Sans CJK SC"/>
        <family val="2"/>
      </rPr>
      <t xml:space="preserve">固液传质速率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酶催化水解反应速率</t>
    </r>
  </si>
  <si>
    <r>
      <rPr>
        <sz val="10"/>
        <rFont val="Consolas"/>
        <family val="3"/>
      </rPr>
      <t>:Attr_123 :affects :Attr_127 .   # R1233 RB</t>
    </r>
    <r>
      <rPr>
        <sz val="10"/>
        <rFont val="Noto Sans CJK SC"/>
        <family val="2"/>
      </rPr>
      <t xml:space="preserve">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釜内反应液位</t>
    </r>
  </si>
  <si>
    <r>
      <rPr>
        <sz val="10"/>
        <rFont val="Consolas"/>
        <family val="3"/>
      </rPr>
      <t xml:space="preserve">:Attr_130 :affects :Attr_132 .   # R1234 </t>
    </r>
    <r>
      <rPr>
        <sz val="10"/>
        <rFont val="Noto Sans CJK SC"/>
        <family val="2"/>
      </rPr>
      <t xml:space="preserve">压缩空气总管压力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水解液泵出口压力</t>
    </r>
  </si>
  <si>
    <r>
      <rPr>
        <sz val="10"/>
        <rFont val="Consolas"/>
        <family val="3"/>
      </rPr>
      <t xml:space="preserve">:Attr_311 :positivelyAffects :Attr_125 .   # R1235 </t>
    </r>
    <r>
      <rPr>
        <sz val="10"/>
        <rFont val="Noto Sans CJK SC"/>
        <family val="2"/>
      </rPr>
      <t>夹套热水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蒸汽加热量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釜内反应温度</t>
    </r>
  </si>
  <si>
    <r>
      <rPr>
        <sz val="10"/>
        <rFont val="Consolas"/>
        <family val="3"/>
      </rPr>
      <t xml:space="preserve">:Attr_269 :positivelyAffects :QKPI_274 .   # R1236 </t>
    </r>
    <r>
      <rPr>
        <sz val="10"/>
        <rFont val="Noto Sans CJK SC"/>
        <family val="2"/>
      </rPr>
      <t xml:space="preserve">酶催化水解反应速率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水解酶解转化率</t>
    </r>
  </si>
  <si>
    <r>
      <rPr>
        <sz val="10"/>
        <rFont val="Consolas"/>
        <family val="3"/>
      </rPr>
      <t xml:space="preserve">:Attr_268 :positivelyAffects :QKPI_274 .   # R1237 </t>
    </r>
    <r>
      <rPr>
        <sz val="10"/>
        <rFont val="Noto Sans CJK SC"/>
        <family val="2"/>
      </rPr>
      <t xml:space="preserve">固定化酶活力稳定性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水解酶解转化率</t>
    </r>
  </si>
  <si>
    <r>
      <rPr>
        <sz val="10"/>
        <rFont val="Consolas"/>
        <family val="3"/>
      </rPr>
      <t xml:space="preserve">:Attr_271 :positivelyAffects :BKPI_305 .   # R1238 </t>
    </r>
    <r>
      <rPr>
        <sz val="10"/>
        <rFont val="Noto Sans CJK SC"/>
        <family val="2"/>
      </rPr>
      <t xml:space="preserve">固定化酶载体寿命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>-&gt; 6-APA</t>
    </r>
    <r>
      <rPr>
        <sz val="10"/>
        <rFont val="Noto Sans CJK SC"/>
        <family val="2"/>
      </rPr>
      <t>单位能耗</t>
    </r>
  </si>
  <si>
    <r>
      <rPr>
        <sz val="10"/>
        <rFont val="Consolas"/>
        <family val="3"/>
      </rPr>
      <t xml:space="preserve">:QKPI_274 :positivelyAffects :BKPI_303 .   # R1239 </t>
    </r>
    <r>
      <rPr>
        <sz val="10"/>
        <rFont val="Noto Sans CJK SC"/>
        <family val="2"/>
      </rPr>
      <t xml:space="preserve">水解酶解转化率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产品批次提取收率</t>
    </r>
  </si>
  <si>
    <r>
      <rPr>
        <sz val="10"/>
        <rFont val="Consolas"/>
        <family val="3"/>
      </rPr>
      <t>:QKPI_275 :negativelyAffects :BKPI_303 .   # R1240 6-APA</t>
    </r>
    <r>
      <rPr>
        <sz val="10"/>
        <rFont val="Noto Sans CJK SC"/>
        <family val="2"/>
      </rPr>
      <t xml:space="preserve">热降解损失率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产品批次提取收率</t>
    </r>
  </si>
  <si>
    <r>
      <rPr>
        <sz val="10"/>
        <rFont val="Consolas"/>
        <family val="3"/>
      </rPr>
      <t xml:space="preserve">
# --- S12 </t>
    </r>
    <r>
      <rPr>
        <sz val="10"/>
        <rFont val="Noto Sans CJK SC"/>
        <family val="2"/>
      </rPr>
      <t xml:space="preserve">萃取与反萃（苯乙酸分离） </t>
    </r>
    <r>
      <rPr>
        <sz val="10"/>
        <rFont val="Consolas"/>
        <family val="3"/>
      </rPr>
      <t>---</t>
    </r>
  </si>
  <si>
    <r>
      <rPr>
        <sz val="10"/>
        <rFont val="Consolas"/>
        <family val="3"/>
      </rPr>
      <t xml:space="preserve">:Area_S12_PAAExtraction :connectedToNext :Area_S13_BatchCrystallization .   # R1241 </t>
    </r>
    <r>
      <rPr>
        <sz val="10"/>
        <rFont val="Noto Sans CJK SC"/>
        <family val="2"/>
      </rPr>
      <t xml:space="preserve">萃取与反萃（苯乙酸分离）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批次结晶与离心</t>
    </r>
  </si>
  <si>
    <r>
      <rPr>
        <sz val="10"/>
        <rFont val="Consolas"/>
        <family val="3"/>
      </rPr>
      <t xml:space="preserve">:Area_S12_PAAExtraction :connectedToNext :Area_S14_ContinuousCrystallization .   # R1242 </t>
    </r>
    <r>
      <rPr>
        <sz val="10"/>
        <rFont val="Noto Sans CJK SC"/>
        <family val="2"/>
      </rPr>
      <t xml:space="preserve">萃取与反萃（苯乙酸分离）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连续结晶</t>
    </r>
  </si>
  <si>
    <r>
      <rPr>
        <sz val="10"/>
        <rFont val="Consolas"/>
        <family val="3"/>
      </rPr>
      <t xml:space="preserve">:Area_S12_PAAExtraction :connectedToNext :Area_S19_PAARecovery .   # R1243 </t>
    </r>
    <r>
      <rPr>
        <sz val="10"/>
        <rFont val="Noto Sans CJK SC"/>
        <family val="2"/>
      </rPr>
      <t xml:space="preserve">萃取与反萃（苯乙酸分离）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苯乙酸回收与混合溶媒配制</t>
    </r>
  </si>
  <si>
    <r>
      <rPr>
        <sz val="10"/>
        <rFont val="Consolas"/>
        <family val="3"/>
      </rPr>
      <t xml:space="preserve">:Area_S12_PAAExtraction :connectedToNext :Area_S18_SolventDistillation .   # R1244 </t>
    </r>
    <r>
      <rPr>
        <sz val="10"/>
        <rFont val="Noto Sans CJK SC"/>
        <family val="2"/>
      </rPr>
      <t xml:space="preserve">萃取与反萃（苯乙酸分离）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丁酯精馏（溶媒回收）</t>
    </r>
  </si>
  <si>
    <r>
      <rPr>
        <sz val="10"/>
        <rFont val="Consolas"/>
        <family val="3"/>
      </rPr>
      <t xml:space="preserve">:Area_S12_PAAExtraction :hasEquipment :HydrolysateCoolers .   # R1245 </t>
    </r>
    <r>
      <rPr>
        <sz val="10"/>
        <rFont val="Noto Sans CJK SC"/>
        <family val="2"/>
      </rPr>
      <t xml:space="preserve">萃取与反萃（苯乙酸分离）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水解液换热器组</t>
    </r>
  </si>
  <si>
    <r>
      <rPr>
        <sz val="10"/>
        <rFont val="Consolas"/>
        <family val="3"/>
      </rPr>
      <t xml:space="preserve">:HydrolysateCoolers :hasMember :HydrolysateCoolers_M01 .   # R1246 </t>
    </r>
    <r>
      <rPr>
        <sz val="10"/>
        <rFont val="Noto Sans CJK SC"/>
        <family val="2"/>
      </rPr>
      <t xml:space="preserve">水解液换热器组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水解液缓冲罐回流换热器</t>
    </r>
  </si>
  <si>
    <r>
      <rPr>
        <sz val="10"/>
        <rFont val="Consolas"/>
        <family val="3"/>
      </rPr>
      <t xml:space="preserve">:HydrolysateCoolers :hasMember :HydrolysateCoolers_M02 .   # R1247 </t>
    </r>
    <r>
      <rPr>
        <sz val="10"/>
        <rFont val="Noto Sans CJK SC"/>
        <family val="2"/>
      </rPr>
      <t xml:space="preserve">水解液换热器组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水解液缓冲罐去萃取换热器</t>
    </r>
  </si>
  <si>
    <r>
      <rPr>
        <sz val="10"/>
        <rFont val="Consolas"/>
        <family val="3"/>
      </rPr>
      <t xml:space="preserve">:HydrolysateCoolers :hasPart :HydrolysateCoolers_P01 .   # R1248 </t>
    </r>
    <r>
      <rPr>
        <sz val="10"/>
        <rFont val="Noto Sans CJK SC"/>
        <family val="2"/>
      </rPr>
      <t xml:space="preserve">水解液换热器组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水解液换热器组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冷盐水调节阀</t>
    </r>
    <r>
      <rPr>
        <sz val="10"/>
        <rFont val="Consolas"/>
        <family val="3"/>
      </rPr>
      <t>HV_1016/1017/1018</t>
    </r>
  </si>
  <si>
    <r>
      <rPr>
        <sz val="10"/>
        <rFont val="Consolas"/>
        <family val="3"/>
      </rPr>
      <t xml:space="preserve">:Area_S12_PAAExtraction :hasEquipment :HClBufferTank .   # R1249 </t>
    </r>
    <r>
      <rPr>
        <sz val="10"/>
        <rFont val="Noto Sans CJK SC"/>
        <family val="2"/>
      </rPr>
      <t xml:space="preserve">萃取与反萃（苯乙酸分离）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盐酸缓冲罐</t>
    </r>
  </si>
  <si>
    <r>
      <rPr>
        <sz val="10"/>
        <rFont val="Consolas"/>
        <family val="3"/>
      </rPr>
      <t xml:space="preserve">:HClBufferTank :hasPart :HClBufferTank_P01 .   # R1250 </t>
    </r>
    <r>
      <rPr>
        <sz val="10"/>
        <rFont val="Noto Sans CJK SC"/>
        <family val="2"/>
      </rPr>
      <t xml:space="preserve">盐酸缓冲罐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盐酸缓冲罐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输送泵</t>
    </r>
  </si>
  <si>
    <r>
      <rPr>
        <sz val="10"/>
        <rFont val="Consolas"/>
        <family val="3"/>
      </rPr>
      <t xml:space="preserve">:Area_S12_PAAExtraction :hasEquipment :ExtractionEjector .   # R1251 </t>
    </r>
    <r>
      <rPr>
        <sz val="10"/>
        <rFont val="Noto Sans CJK SC"/>
        <family val="2"/>
      </rPr>
      <t xml:space="preserve">萃取与反萃（苯乙酸分离）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萃取喷射器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酸化混合器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</si>
  <si>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:ExtractionEjector :hasMember :ExtractionEjector_M01 .   # R1252 </t>
    </r>
    <r>
      <rPr>
        <sz val="10"/>
        <rFont val="Noto Sans CJK SC"/>
        <family val="2"/>
      </rPr>
      <t>萃取喷射器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酸化混合器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萃取喷射器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</si>
  <si>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:ExtractionEjector :hasMember :ExtractionEjector_M02 .   # R1253 </t>
    </r>
    <r>
      <rPr>
        <sz val="10"/>
        <rFont val="Noto Sans CJK SC"/>
        <family val="2"/>
      </rPr>
      <t>萃取喷射器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酸化混合器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萃取喷射器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</si>
  <si>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:ExtractionEjector :hasMember :ExtractionEjector_M03 .   # R1254 </t>
    </r>
    <r>
      <rPr>
        <sz val="10"/>
        <rFont val="Noto Sans CJK SC"/>
        <family val="2"/>
      </rPr>
      <t>萃取喷射器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酸化混合器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萃取喷射器</t>
    </r>
    <r>
      <rPr>
        <sz val="10"/>
        <rFont val="Consolas"/>
        <family val="3"/>
      </rPr>
      <t>C</t>
    </r>
  </si>
  <si>
    <r>
      <rPr>
        <sz val="10"/>
        <rFont val="Consolas"/>
        <family val="3"/>
      </rPr>
      <t xml:space="preserve">:ExtractionEjector :hasMember :ExtractionEjector_M04 .   # R1255 </t>
    </r>
    <r>
      <rPr>
        <sz val="10"/>
        <rFont val="Noto Sans CJK SC"/>
        <family val="2"/>
      </rPr>
      <t>萃取喷射器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酸化混合器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萃取喷射器</t>
    </r>
    <r>
      <rPr>
        <sz val="10"/>
        <rFont val="Consolas"/>
        <family val="3"/>
      </rPr>
      <t>D</t>
    </r>
  </si>
  <si>
    <r>
      <rPr>
        <sz val="10"/>
        <rFont val="Consolas"/>
        <family val="3"/>
      </rPr>
      <t xml:space="preserve">:Area_S12_PAAExtraction :hasEquipment :MixedSolventTank .   # R1256 </t>
    </r>
    <r>
      <rPr>
        <sz val="10"/>
        <rFont val="Noto Sans CJK SC"/>
        <family val="2"/>
      </rPr>
      <t xml:space="preserve">萃取与反萃（苯乙酸分离）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混合溶媒罐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缓冲罐</t>
    </r>
  </si>
  <si>
    <r>
      <rPr>
        <sz val="10"/>
        <rFont val="Consolas"/>
        <family val="3"/>
      </rPr>
      <t xml:space="preserve">:MixedSolventTank :hasMember :MixedSolventTank_M01 .   # R1257 </t>
    </r>
    <r>
      <rPr>
        <sz val="10"/>
        <rFont val="Noto Sans CJK SC"/>
        <family val="2"/>
      </rPr>
      <t>混合溶媒罐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混合溶媒罐</t>
    </r>
  </si>
  <si>
    <r>
      <rPr>
        <sz val="10"/>
        <rFont val="Consolas"/>
        <family val="3"/>
      </rPr>
      <t xml:space="preserve">:MixedSolventTank :hasMember :MixedSolventTank_M02 .   # R1258 </t>
    </r>
    <r>
      <rPr>
        <sz val="10"/>
        <rFont val="Noto Sans CJK SC"/>
        <family val="2"/>
      </rPr>
      <t>混合溶媒罐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混合溶媒缓冲罐</t>
    </r>
  </si>
  <si>
    <r>
      <rPr>
        <sz val="10"/>
        <rFont val="Consolas"/>
        <family val="3"/>
      </rPr>
      <t xml:space="preserve">:MixedSolventTank :hasMember :MixedSolventTank_M03 .   # R1259 </t>
    </r>
    <r>
      <rPr>
        <sz val="10"/>
        <rFont val="Noto Sans CJK SC"/>
        <family val="2"/>
      </rPr>
      <t>混合溶媒罐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混合溶媒储罐卧罐</t>
    </r>
  </si>
  <si>
    <r>
      <rPr>
        <sz val="10"/>
        <rFont val="Consolas"/>
        <family val="3"/>
      </rPr>
      <t xml:space="preserve">:MixedSolventTank :hasPart :MixedSolventTank_P01 .   # R1260 </t>
    </r>
    <r>
      <rPr>
        <sz val="10"/>
        <rFont val="Noto Sans CJK SC"/>
        <family val="2"/>
      </rPr>
      <t>混合溶媒罐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混合溶媒罐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换热器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冷盐水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</si>
  <si>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:MixedSolventTank :hasPart :MixedSolventTank_P02 .   # R1261 </t>
    </r>
    <r>
      <rPr>
        <sz val="10"/>
        <rFont val="Noto Sans CJK SC"/>
        <family val="2"/>
      </rPr>
      <t>混合溶媒罐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混合溶媒罐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</si>
  <si>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:Area_S12_PAAExtraction :hasEquipment :ExtCentrifuge1 .   # R1262 </t>
    </r>
    <r>
      <rPr>
        <sz val="10"/>
        <rFont val="Noto Sans CJK SC"/>
        <family val="2"/>
      </rPr>
      <t xml:space="preserve">萃取与反萃（苯乙酸分离）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一萃离心机组</t>
    </r>
  </si>
  <si>
    <r>
      <rPr>
        <sz val="10"/>
        <rFont val="Consolas"/>
        <family val="3"/>
      </rPr>
      <t xml:space="preserve">:ExtCentrifuge1 :hasMember :ExtCentrifuge1_M01 .   # R1263 </t>
    </r>
    <r>
      <rPr>
        <sz val="10"/>
        <rFont val="Noto Sans CJK SC"/>
        <family val="2"/>
      </rPr>
      <t xml:space="preserve">一萃离心机组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萃取离心机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</si>
  <si>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:ExtCentrifuge1 :hasMember :ExtCentrifuge1_M02 .   # R1264 </t>
    </r>
    <r>
      <rPr>
        <sz val="10"/>
        <rFont val="Noto Sans CJK SC"/>
        <family val="2"/>
      </rPr>
      <t xml:space="preserve">一萃离心机组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萃取离心机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</si>
  <si>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:ExtCentrifuge1 :hasMember :ExtCentrifuge1_M03 .   # R1265 </t>
    </r>
    <r>
      <rPr>
        <sz val="10"/>
        <rFont val="Noto Sans CJK SC"/>
        <family val="2"/>
      </rPr>
      <t xml:space="preserve">一萃离心机组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萃取离心机</t>
    </r>
    <r>
      <rPr>
        <sz val="10"/>
        <rFont val="Consolas"/>
        <family val="3"/>
      </rPr>
      <t>C</t>
    </r>
  </si>
  <si>
    <r>
      <rPr>
        <sz val="10"/>
        <rFont val="Consolas"/>
        <family val="3"/>
      </rPr>
      <t xml:space="preserve">:ExtCentrifuge1 :hasMember :ExtCentrifuge1_M04 .   # R1266 </t>
    </r>
    <r>
      <rPr>
        <sz val="10"/>
        <rFont val="Noto Sans CJK SC"/>
        <family val="2"/>
      </rPr>
      <t xml:space="preserve">一萃离心机组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萃取离心机</t>
    </r>
    <r>
      <rPr>
        <sz val="10"/>
        <rFont val="Consolas"/>
        <family val="3"/>
      </rPr>
      <t>D</t>
    </r>
  </si>
  <si>
    <r>
      <rPr>
        <sz val="10"/>
        <rFont val="Consolas"/>
        <family val="3"/>
      </rPr>
      <t xml:space="preserve">:ExtCentrifuge1 :hasPart :ExtCentrifuge1_P01 .   # R1267 </t>
    </r>
    <r>
      <rPr>
        <sz val="10"/>
        <rFont val="Noto Sans CJK SC"/>
        <family val="2"/>
      </rPr>
      <t xml:space="preserve">一萃离心机组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一萃离心机组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碟片分离转鼓</t>
    </r>
  </si>
  <si>
    <r>
      <rPr>
        <sz val="10"/>
        <rFont val="Consolas"/>
        <family val="3"/>
      </rPr>
      <t xml:space="preserve">:ExtCentrifuge1 :hasPart :ExtCentrifuge1_P02 .   # R1268 </t>
    </r>
    <r>
      <rPr>
        <sz val="10"/>
        <rFont val="Noto Sans CJK SC"/>
        <family val="2"/>
      </rPr>
      <t xml:space="preserve">一萃离心机组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一萃离心机组</t>
    </r>
    <r>
      <rPr>
        <sz val="10"/>
        <rFont val="Consolas"/>
        <family val="3"/>
      </rPr>
      <t>·pH</t>
    </r>
    <r>
      <rPr>
        <sz val="10"/>
        <rFont val="Noto Sans CJK SC"/>
        <family val="2"/>
      </rPr>
      <t>开关阀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保护阀</t>
    </r>
    <r>
      <rPr>
        <sz val="10"/>
        <rFont val="Consolas"/>
        <family val="3"/>
      </rPr>
      <t>XV_1314</t>
    </r>
  </si>
  <si>
    <r>
      <rPr>
        <sz val="10"/>
        <rFont val="Consolas"/>
        <family val="3"/>
      </rPr>
      <t xml:space="preserve">:Area_S12_PAAExtraction :hasEquipment :ExtCentrifuge2 .   # R1269 </t>
    </r>
    <r>
      <rPr>
        <sz val="10"/>
        <rFont val="Noto Sans CJK SC"/>
        <family val="2"/>
      </rPr>
      <t xml:space="preserve">萃取与反萃（苯乙酸分离）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二萃离心机组</t>
    </r>
  </si>
  <si>
    <r>
      <rPr>
        <sz val="10"/>
        <rFont val="Consolas"/>
        <family val="3"/>
      </rPr>
      <t xml:space="preserve">:ExtCentrifuge2 :hasMember :ExtCentrifuge2_M01 .   # R1270 </t>
    </r>
    <r>
      <rPr>
        <sz val="10"/>
        <rFont val="Noto Sans CJK SC"/>
        <family val="2"/>
      </rPr>
      <t xml:space="preserve">二萃离心机组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萃取离心机</t>
    </r>
    <r>
      <rPr>
        <sz val="10"/>
        <rFont val="Consolas"/>
        <family val="3"/>
      </rPr>
      <t>E</t>
    </r>
  </si>
  <si>
    <r>
      <rPr>
        <sz val="10"/>
        <rFont val="Consolas"/>
        <family val="3"/>
      </rPr>
      <t xml:space="preserve">:ExtCentrifuge2 :hasMember :ExtCentrifuge2_M02 .   # R1271 </t>
    </r>
    <r>
      <rPr>
        <sz val="10"/>
        <rFont val="Noto Sans CJK SC"/>
        <family val="2"/>
      </rPr>
      <t xml:space="preserve">二萃离心机组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萃取离心机</t>
    </r>
    <r>
      <rPr>
        <sz val="10"/>
        <rFont val="Consolas"/>
        <family val="3"/>
      </rPr>
      <t>F</t>
    </r>
  </si>
  <si>
    <r>
      <rPr>
        <sz val="10"/>
        <rFont val="Consolas"/>
        <family val="3"/>
      </rPr>
      <t xml:space="preserve">:ExtCentrifuge2 :hasMember :ExtCentrifuge2_M03 .   # R1272 </t>
    </r>
    <r>
      <rPr>
        <sz val="10"/>
        <rFont val="Noto Sans CJK SC"/>
        <family val="2"/>
      </rPr>
      <t xml:space="preserve">二萃离心机组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萃取离心机</t>
    </r>
    <r>
      <rPr>
        <sz val="10"/>
        <rFont val="Consolas"/>
        <family val="3"/>
      </rPr>
      <t>G</t>
    </r>
  </si>
  <si>
    <r>
      <rPr>
        <sz val="10"/>
        <rFont val="Consolas"/>
        <family val="3"/>
      </rPr>
      <t xml:space="preserve">:ExtCentrifuge2 :hasMember :ExtCentrifuge2_M04 .   # R1273 </t>
    </r>
    <r>
      <rPr>
        <sz val="10"/>
        <rFont val="Noto Sans CJK SC"/>
        <family val="2"/>
      </rPr>
      <t xml:space="preserve">二萃离心机组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萃取离心机</t>
    </r>
    <r>
      <rPr>
        <sz val="10"/>
        <rFont val="Consolas"/>
        <family val="3"/>
      </rPr>
      <t>H</t>
    </r>
  </si>
  <si>
    <r>
      <rPr>
        <sz val="10"/>
        <rFont val="Consolas"/>
        <family val="3"/>
      </rPr>
      <t xml:space="preserve">:ExtCentrifuge2 :hasPart :ExtCentrifuge2_P01 .   # R1274 </t>
    </r>
    <r>
      <rPr>
        <sz val="10"/>
        <rFont val="Noto Sans CJK SC"/>
        <family val="2"/>
      </rPr>
      <t xml:space="preserve">二萃离心机组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二萃离心机组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碟片分离转鼓</t>
    </r>
  </si>
  <si>
    <r>
      <rPr>
        <sz val="10"/>
        <rFont val="Consolas"/>
        <family val="3"/>
      </rPr>
      <t xml:space="preserve">:ExtCentrifuge2 :hasPart :ExtCentrifuge2_P02 .   # R1275 </t>
    </r>
    <r>
      <rPr>
        <sz val="10"/>
        <rFont val="Noto Sans CJK SC"/>
        <family val="2"/>
      </rPr>
      <t xml:space="preserve">二萃离心机组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二萃离心机组</t>
    </r>
    <r>
      <rPr>
        <sz val="10"/>
        <rFont val="Consolas"/>
        <family val="3"/>
      </rPr>
      <t>·pH</t>
    </r>
    <r>
      <rPr>
        <sz val="10"/>
        <rFont val="Noto Sans CJK SC"/>
        <family val="2"/>
      </rPr>
      <t>开关阀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保护阀</t>
    </r>
    <r>
      <rPr>
        <sz val="10"/>
        <rFont val="Consolas"/>
        <family val="3"/>
      </rPr>
      <t>XV_1315</t>
    </r>
  </si>
  <si>
    <r>
      <rPr>
        <sz val="10"/>
        <rFont val="Consolas"/>
        <family val="3"/>
      </rPr>
      <t xml:space="preserve">:Area_S12_PAAExtraction :hasEquipment :BackExtCentrifugeR .   # R1276 </t>
    </r>
    <r>
      <rPr>
        <sz val="10"/>
        <rFont val="Noto Sans CJK SC"/>
        <family val="2"/>
      </rPr>
      <t xml:space="preserve">萃取与反萃（苯乙酸分离）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反萃离心机组</t>
    </r>
  </si>
  <si>
    <r>
      <rPr>
        <sz val="10"/>
        <rFont val="Consolas"/>
        <family val="3"/>
      </rPr>
      <t xml:space="preserve">:BackExtCentrifugeR :hasMember :BackExtCentrifugeR_M01 .   # R1277 </t>
    </r>
    <r>
      <rPr>
        <sz val="10"/>
        <rFont val="Noto Sans CJK SC"/>
        <family val="2"/>
      </rPr>
      <t xml:space="preserve">反萃离心机组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萃取离心机</t>
    </r>
    <r>
      <rPr>
        <sz val="10"/>
        <rFont val="Consolas"/>
        <family val="3"/>
      </rPr>
      <t>I</t>
    </r>
  </si>
  <si>
    <r>
      <rPr>
        <sz val="10"/>
        <rFont val="Consolas"/>
        <family val="3"/>
      </rPr>
      <t xml:space="preserve">:BackExtCentrifugeR :hasMember :BackExtCentrifugeR_M02 .   # R1278 </t>
    </r>
    <r>
      <rPr>
        <sz val="10"/>
        <rFont val="Noto Sans CJK SC"/>
        <family val="2"/>
      </rPr>
      <t xml:space="preserve">反萃离心机组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萃取离心机</t>
    </r>
    <r>
      <rPr>
        <sz val="10"/>
        <rFont val="Consolas"/>
        <family val="3"/>
      </rPr>
      <t>J</t>
    </r>
  </si>
  <si>
    <r>
      <rPr>
        <sz val="10"/>
        <rFont val="Consolas"/>
        <family val="3"/>
      </rPr>
      <t xml:space="preserve">:BackExtCentrifugeR :hasPart :BackExtCentrifugeR_P01 .   # R1279 </t>
    </r>
    <r>
      <rPr>
        <sz val="10"/>
        <rFont val="Noto Sans CJK SC"/>
        <family val="2"/>
      </rPr>
      <t xml:space="preserve">反萃离心机组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反萃离心机组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碟片分离转鼓</t>
    </r>
  </si>
  <si>
    <r>
      <rPr>
        <sz val="10"/>
        <rFont val="Consolas"/>
        <family val="3"/>
      </rPr>
      <t xml:space="preserve">:Area_S12_PAAExtraction :hasEquipment :PhaseSeparator .   # R1280 </t>
    </r>
    <r>
      <rPr>
        <sz val="10"/>
        <rFont val="Noto Sans CJK SC"/>
        <family val="2"/>
      </rPr>
      <t xml:space="preserve">萃取与反萃（苯乙酸分离）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萃取分相罐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室外分相罐</t>
    </r>
  </si>
  <si>
    <r>
      <rPr>
        <sz val="10"/>
        <rFont val="Consolas"/>
        <family val="3"/>
      </rPr>
      <t xml:space="preserve">:PhaseSeparator :hasPart :PhaseSeparator_P01 .   # R1281 </t>
    </r>
    <r>
      <rPr>
        <sz val="10"/>
        <rFont val="Noto Sans CJK SC"/>
        <family val="2"/>
      </rPr>
      <t>萃取分相罐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室外分相罐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萃取分相罐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室外分相罐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</si>
  <si>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:PhaseSeparator :hasPart :PhaseSeparator_P02 .   # R1282 </t>
    </r>
    <r>
      <rPr>
        <sz val="10"/>
        <rFont val="Noto Sans CJK SC"/>
        <family val="2"/>
      </rPr>
      <t>萃取分相罐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室外分相罐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萃取分相罐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室外分相罐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温度计</t>
    </r>
  </si>
  <si>
    <r>
      <rPr>
        <sz val="10"/>
        <rFont val="Consolas"/>
        <family val="3"/>
      </rPr>
      <t xml:space="preserve">:PhaseSeparator :hasPart :PhaseSeparator_P03 .   # R1283 </t>
    </r>
    <r>
      <rPr>
        <sz val="10"/>
        <rFont val="Noto Sans CJK SC"/>
        <family val="2"/>
      </rPr>
      <t>萃取分相罐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室外分相罐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萃取分相罐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室外分相罐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出料调节阀</t>
    </r>
  </si>
  <si>
    <r>
      <rPr>
        <sz val="10"/>
        <rFont val="Consolas"/>
        <family val="3"/>
      </rPr>
      <t xml:space="preserve">:Area_S12_PAAExtraction :hasEquipment :HeavyLiquorBuffer .   # R1284 </t>
    </r>
    <r>
      <rPr>
        <sz val="10"/>
        <rFont val="Noto Sans CJK SC"/>
        <family val="2"/>
      </rPr>
      <t xml:space="preserve">萃取与反萃（苯乙酸分离）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重液缓冲罐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萃取离心机重相缓冲罐</t>
    </r>
  </si>
  <si>
    <r>
      <rPr>
        <sz val="10"/>
        <rFont val="Consolas"/>
        <family val="3"/>
      </rPr>
      <t xml:space="preserve">:HeavyLiquorBuffer :hasMember :HeavyLiquorBuffer_M01 .   # R1285 </t>
    </r>
    <r>
      <rPr>
        <sz val="10"/>
        <rFont val="Noto Sans CJK SC"/>
        <family val="2"/>
      </rPr>
      <t>重液缓冲罐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萃取离心机重相缓冲罐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重液缓冲罐</t>
    </r>
  </si>
  <si>
    <r>
      <rPr>
        <sz val="10"/>
        <rFont val="Consolas"/>
        <family val="3"/>
      </rPr>
      <t xml:space="preserve">:HeavyLiquorBuffer :hasMember :HeavyLiquorBuffer_M02 .   # R1286 </t>
    </r>
    <r>
      <rPr>
        <sz val="10"/>
        <rFont val="Noto Sans CJK SC"/>
        <family val="2"/>
      </rPr>
      <t>重液缓冲罐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萃取离心机重相缓冲罐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萃取离心机重相缓冲罐</t>
    </r>
  </si>
  <si>
    <r>
      <rPr>
        <sz val="10"/>
        <rFont val="Consolas"/>
        <family val="3"/>
      </rPr>
      <t xml:space="preserve">:HeavyLiquorBuffer :hasMember :HeavyLiquorBuffer_M03 .   # R1287 </t>
    </r>
    <r>
      <rPr>
        <sz val="10"/>
        <rFont val="Noto Sans CJK SC"/>
        <family val="2"/>
      </rPr>
      <t>重液缓冲罐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萃取离心机重相缓冲罐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重相缓冲罐</t>
    </r>
  </si>
  <si>
    <r>
      <rPr>
        <sz val="10"/>
        <rFont val="Consolas"/>
        <family val="3"/>
      </rPr>
      <t xml:space="preserve">:HeavyLiquorBuffer :hasPart :HeavyLiquorBuffer_P01 .   # R1288 </t>
    </r>
    <r>
      <rPr>
        <sz val="10"/>
        <rFont val="Noto Sans CJK SC"/>
        <family val="2"/>
      </rPr>
      <t>重液缓冲罐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萃取离心机重相缓冲罐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重液缓冲罐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萃取离心机重相缓冲罐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回流换热器</t>
    </r>
  </si>
  <si>
    <r>
      <rPr>
        <sz val="10"/>
        <rFont val="Consolas"/>
        <family val="3"/>
      </rPr>
      <t xml:space="preserve">:HeavyLiquorBuffer :hasPart :HeavyLiquorBuffer_P02 .   # R1289 </t>
    </r>
    <r>
      <rPr>
        <sz val="10"/>
        <rFont val="Noto Sans CJK SC"/>
        <family val="2"/>
      </rPr>
      <t>重液缓冲罐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萃取离心机重相缓冲罐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重液缓冲罐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萃取离心机重相缓冲罐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去结晶换热器</t>
    </r>
  </si>
  <si>
    <r>
      <rPr>
        <sz val="10"/>
        <rFont val="Consolas"/>
        <family val="3"/>
      </rPr>
      <t xml:space="preserve">:Area_S12_PAAExtraction :hasEquipment :HeavyLiquorFilter .   # R1290 </t>
    </r>
    <r>
      <rPr>
        <sz val="10"/>
        <rFont val="Noto Sans CJK SC"/>
        <family val="2"/>
      </rPr>
      <t xml:space="preserve">萃取与反萃（苯乙酸分离）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萃取重液过滤器</t>
    </r>
  </si>
  <si>
    <r>
      <rPr>
        <sz val="10"/>
        <rFont val="Consolas"/>
        <family val="3"/>
      </rPr>
      <t xml:space="preserve">:HeavyLiquorFilter :hasMember :HeavyLiquorFilter_M01 .   # R1291 </t>
    </r>
    <r>
      <rPr>
        <sz val="10"/>
        <rFont val="Noto Sans CJK SC"/>
        <family val="2"/>
      </rPr>
      <t xml:space="preserve">萃取重液过滤器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过滤器</t>
    </r>
    <r>
      <rPr>
        <sz val="10"/>
        <rFont val="Consolas"/>
        <family val="3"/>
      </rPr>
      <t>1#–6#</t>
    </r>
  </si>
  <si>
    <r>
      <rPr>
        <sz val="10"/>
        <rFont val="Consolas"/>
        <family val="3"/>
      </rPr>
      <t xml:space="preserve">:Area_S12_PAAExtraction :hasEquipment :ExtLightTank .   # R1292 </t>
    </r>
    <r>
      <rPr>
        <sz val="10"/>
        <rFont val="Noto Sans CJK SC"/>
        <family val="2"/>
      </rPr>
      <t xml:space="preserve">萃取与反萃（苯乙酸分离）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萃取轻相罐</t>
    </r>
  </si>
  <si>
    <r>
      <rPr>
        <sz val="10"/>
        <rFont val="Consolas"/>
        <family val="3"/>
      </rPr>
      <t xml:space="preserve">:ExtLightTank :hasMember :ExtLightTank_M01 .   # R1293 </t>
    </r>
    <r>
      <rPr>
        <sz val="10"/>
        <rFont val="Noto Sans CJK SC"/>
        <family val="2"/>
      </rPr>
      <t xml:space="preserve">萃取轻相罐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萃取轻相罐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</si>
  <si>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:ExtLightTank :hasMember :ExtLightTank_M02 .   # R1294 </t>
    </r>
    <r>
      <rPr>
        <sz val="10"/>
        <rFont val="Noto Sans CJK SC"/>
        <family val="2"/>
      </rPr>
      <t xml:space="preserve">萃取轻相罐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萃取轻相罐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</si>
  <si>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:ExtLightTank :hasPart :ExtLightTank_P01 .   # R1295 </t>
    </r>
    <r>
      <rPr>
        <sz val="10"/>
        <rFont val="Noto Sans CJK SC"/>
        <family val="2"/>
      </rPr>
      <t xml:space="preserve">萃取轻相罐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萃取轻相罐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</si>
  <si>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:Area_S12_PAAExtraction :hasEquipment :BackExtLightTank .   # R1296 </t>
    </r>
    <r>
      <rPr>
        <sz val="10"/>
        <rFont val="Noto Sans CJK SC"/>
        <family val="2"/>
      </rPr>
      <t xml:space="preserve">萃取与反萃（苯乙酸分离）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反萃取轻相罐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反萃轻相缓冲罐</t>
    </r>
  </si>
  <si>
    <r>
      <rPr>
        <sz val="10"/>
        <rFont val="Consolas"/>
        <family val="3"/>
      </rPr>
      <t xml:space="preserve">:BackExtLightTank :hasPart :BackExtLightTank_P01 .   # R1297 </t>
    </r>
    <r>
      <rPr>
        <sz val="10"/>
        <rFont val="Noto Sans CJK SC"/>
        <family val="2"/>
      </rPr>
      <t>反萃取轻相罐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反萃轻相缓冲罐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反萃取轻相罐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反萃轻相缓冲罐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密度计</t>
    </r>
  </si>
  <si>
    <r>
      <rPr>
        <sz val="10"/>
        <rFont val="Consolas"/>
        <family val="3"/>
      </rPr>
      <t xml:space="preserve">:BackExtLightTank :hasPart :BackExtLightTank_P02 .   # R1298 </t>
    </r>
    <r>
      <rPr>
        <sz val="10"/>
        <rFont val="Noto Sans CJK SC"/>
        <family val="2"/>
      </rPr>
      <t>反萃取轻相罐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反萃轻相缓冲罐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反萃取轻相罐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反萃轻相缓冲罐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去回收调节阀</t>
    </r>
    <r>
      <rPr>
        <sz val="10"/>
        <rFont val="Consolas"/>
        <family val="3"/>
      </rPr>
      <t>HV_1026</t>
    </r>
  </si>
  <si>
    <r>
      <rPr>
        <sz val="10"/>
        <rFont val="Consolas"/>
        <family val="3"/>
      </rPr>
      <t xml:space="preserve">:HydrolysateCoolers :hasAttribute :Attr_133 .   # R1299 </t>
    </r>
    <r>
      <rPr>
        <sz val="10"/>
        <rFont val="Noto Sans CJK SC"/>
        <family val="2"/>
      </rPr>
      <t xml:space="preserve">水解液换热器组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水解进料换热温度</t>
    </r>
  </si>
  <si>
    <r>
      <rPr>
        <sz val="10"/>
        <rFont val="Consolas"/>
        <family val="3"/>
      </rPr>
      <t xml:space="preserve">:HydrolysateCoolers :hasAttribute :Attr_134 .   # R1300 </t>
    </r>
    <r>
      <rPr>
        <sz val="10"/>
        <rFont val="Noto Sans CJK SC"/>
        <family val="2"/>
      </rPr>
      <t xml:space="preserve">水解液换热器组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回流换热器出口温度</t>
    </r>
  </si>
  <si>
    <r>
      <rPr>
        <sz val="10"/>
        <rFont val="Consolas"/>
        <family val="3"/>
      </rPr>
      <t xml:space="preserve">:ExtractionEjector :hasAttribute :Attr_135 .   # R1301 </t>
    </r>
    <r>
      <rPr>
        <sz val="10"/>
        <rFont val="Noto Sans CJK SC"/>
        <family val="2"/>
      </rPr>
      <t>萃取喷射器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酸化混合器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酸化体系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</si>
  <si>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:ExtractionEjector :hasAttribute :Attr_136 .   # R1302 </t>
    </r>
    <r>
      <rPr>
        <sz val="10"/>
        <rFont val="Noto Sans CJK SC"/>
        <family val="2"/>
      </rPr>
      <t>萃取喷射器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酸化混合器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萃取混合液温度</t>
    </r>
  </si>
  <si>
    <r>
      <rPr>
        <sz val="10"/>
        <rFont val="Consolas"/>
        <family val="3"/>
      </rPr>
      <t xml:space="preserve">:ExtCentrifuge1 :hasAttribute :Attr_137 .   # R1303 </t>
    </r>
    <r>
      <rPr>
        <sz val="10"/>
        <rFont val="Noto Sans CJK SC"/>
        <family val="2"/>
      </rPr>
      <t xml:space="preserve">一萃离心机组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水解液进料流量</t>
    </r>
  </si>
  <si>
    <r>
      <rPr>
        <sz val="10"/>
        <rFont val="Consolas"/>
        <family val="3"/>
      </rPr>
      <t xml:space="preserve">:ExtCentrifuge1 :hasAttribute :Attr_138 .   # R1304 </t>
    </r>
    <r>
      <rPr>
        <sz val="10"/>
        <rFont val="Noto Sans CJK SC"/>
        <family val="2"/>
      </rPr>
      <t xml:space="preserve">一萃离心机组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盐酸进料流量</t>
    </r>
  </si>
  <si>
    <r>
      <rPr>
        <sz val="10"/>
        <rFont val="Consolas"/>
        <family val="3"/>
      </rPr>
      <t xml:space="preserve">:ExtCentrifuge1 :hasAttribute :Attr_139 .   # R1305 </t>
    </r>
    <r>
      <rPr>
        <sz val="10"/>
        <rFont val="Noto Sans CJK SC"/>
        <family val="2"/>
      </rPr>
      <t xml:space="preserve">一萃离心机组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混合溶媒进料流量</t>
    </r>
  </si>
  <si>
    <r>
      <rPr>
        <sz val="10"/>
        <rFont val="Consolas"/>
        <family val="3"/>
      </rPr>
      <t xml:space="preserve">:ExtCentrifuge1 :hasAttribute :Attr_140 .   # R1306 </t>
    </r>
    <r>
      <rPr>
        <sz val="10"/>
        <rFont val="Noto Sans CJK SC"/>
        <family val="2"/>
      </rPr>
      <t xml:space="preserve">一萃离心机组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回流混合溶媒流量</t>
    </r>
  </si>
  <si>
    <r>
      <rPr>
        <sz val="10"/>
        <rFont val="Consolas"/>
        <family val="3"/>
      </rPr>
      <t xml:space="preserve">:ExtCentrifuge2 :hasAttribute :Attr_141 .   # R1307 </t>
    </r>
    <r>
      <rPr>
        <sz val="10"/>
        <rFont val="Noto Sans CJK SC"/>
        <family val="2"/>
      </rPr>
      <t xml:space="preserve">二萃离心机组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一萃重液流量</t>
    </r>
  </si>
  <si>
    <r>
      <rPr>
        <sz val="10"/>
        <rFont val="Consolas"/>
        <family val="3"/>
      </rPr>
      <t xml:space="preserve">:ExtCentrifuge2 :hasAttribute :Attr_142 .   # R1308 </t>
    </r>
    <r>
      <rPr>
        <sz val="10"/>
        <rFont val="Noto Sans CJK SC"/>
        <family val="2"/>
      </rPr>
      <t xml:space="preserve">二萃离心机组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二萃溶媒流量</t>
    </r>
  </si>
  <si>
    <r>
      <rPr>
        <sz val="10"/>
        <rFont val="Consolas"/>
        <family val="3"/>
      </rPr>
      <t xml:space="preserve">:ExtCentrifuge2 :hasAttribute :Attr_143 .   # R1309 </t>
    </r>
    <r>
      <rPr>
        <sz val="10"/>
        <rFont val="Noto Sans CJK SC"/>
        <family val="2"/>
      </rPr>
      <t xml:space="preserve">二萃离心机组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萃取出料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</si>
  <si>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:BackExtCentrifugeR :hasAttribute :Attr_144 .   # R1310 </t>
    </r>
    <r>
      <rPr>
        <sz val="10"/>
        <rFont val="Noto Sans CJK SC"/>
        <family val="2"/>
      </rPr>
      <t xml:space="preserve">反萃离心机组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反萃液碱流量</t>
    </r>
  </si>
  <si>
    <r>
      <rPr>
        <sz val="10"/>
        <rFont val="Consolas"/>
        <family val="3"/>
      </rPr>
      <t xml:space="preserve">:BackExtCentrifugeR :hasAttribute :Attr_145 .   # R1311 </t>
    </r>
    <r>
      <rPr>
        <sz val="10"/>
        <rFont val="Noto Sans CJK SC"/>
        <family val="2"/>
      </rPr>
      <t xml:space="preserve">反萃离心机组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反萃混合流量</t>
    </r>
  </si>
  <si>
    <r>
      <rPr>
        <sz val="10"/>
        <rFont val="Consolas"/>
        <family val="3"/>
      </rPr>
      <t xml:space="preserve">:BackExtCentrifugeR :hasAttribute :Attr_146 .   # R1312 </t>
    </r>
    <r>
      <rPr>
        <sz val="10"/>
        <rFont val="Noto Sans CJK SC"/>
        <family val="2"/>
      </rPr>
      <t xml:space="preserve">反萃离心机组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反萃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</si>
  <si>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:PhaseSeparator :hasAttribute :Attr_147 .   # R1313 </t>
    </r>
    <r>
      <rPr>
        <sz val="10"/>
        <rFont val="Noto Sans CJK SC"/>
        <family val="2"/>
      </rPr>
      <t>萃取分相罐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室外分相罐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分相罐液位</t>
    </r>
  </si>
  <si>
    <r>
      <rPr>
        <sz val="10"/>
        <rFont val="Consolas"/>
        <family val="3"/>
      </rPr>
      <t xml:space="preserve">:PhaseSeparator :hasAttribute :Attr_148 .   # R1314 </t>
    </r>
    <r>
      <rPr>
        <sz val="10"/>
        <rFont val="Noto Sans CJK SC"/>
        <family val="2"/>
      </rPr>
      <t>萃取分相罐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室外分相罐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分相罐温度</t>
    </r>
  </si>
  <si>
    <r>
      <rPr>
        <sz val="10"/>
        <rFont val="Consolas"/>
        <family val="3"/>
      </rPr>
      <t xml:space="preserve">:PhaseSeparator :hasAttribute :Attr_149 .   # R1315 </t>
    </r>
    <r>
      <rPr>
        <sz val="10"/>
        <rFont val="Noto Sans CJK SC"/>
        <family val="2"/>
      </rPr>
      <t>萃取分相罐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室外分相罐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分相罐重相流量</t>
    </r>
  </si>
  <si>
    <r>
      <rPr>
        <sz val="10"/>
        <rFont val="Consolas"/>
        <family val="3"/>
      </rPr>
      <t xml:space="preserve">:HeavyLiquorBuffer :hasAttribute :Attr_150 .   # R1316 </t>
    </r>
    <r>
      <rPr>
        <sz val="10"/>
        <rFont val="Noto Sans CJK SC"/>
        <family val="2"/>
      </rPr>
      <t>重液缓冲罐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萃取离心机重相缓冲罐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重液缓冲罐液位</t>
    </r>
  </si>
  <si>
    <r>
      <rPr>
        <sz val="10"/>
        <rFont val="Consolas"/>
        <family val="3"/>
      </rPr>
      <t xml:space="preserve">:HeavyLiquorBuffer :hasAttribute :Attr_151 .   # R1317 </t>
    </r>
    <r>
      <rPr>
        <sz val="10"/>
        <rFont val="Noto Sans CJK SC"/>
        <family val="2"/>
      </rPr>
      <t>重液缓冲罐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萃取离心机重相缓冲罐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重液去结晶温度</t>
    </r>
  </si>
  <si>
    <r>
      <rPr>
        <sz val="10"/>
        <rFont val="Consolas"/>
        <family val="3"/>
      </rPr>
      <t xml:space="preserve">:HeavyLiquorBuffer :hasAttribute :Attr_152 .   # R1318 </t>
    </r>
    <r>
      <rPr>
        <sz val="10"/>
        <rFont val="Noto Sans CJK SC"/>
        <family val="2"/>
      </rPr>
      <t>重液缓冲罐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萃取离心机重相缓冲罐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重液去结晶流量</t>
    </r>
  </si>
  <si>
    <r>
      <rPr>
        <sz val="10"/>
        <rFont val="Consolas"/>
        <family val="3"/>
      </rPr>
      <t xml:space="preserve">:ExtLightTank :hasAttribute :Attr_153 .   # R1319 </t>
    </r>
    <r>
      <rPr>
        <sz val="10"/>
        <rFont val="Noto Sans CJK SC"/>
        <family val="2"/>
      </rPr>
      <t xml:space="preserve">萃取轻相罐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萃取轻相罐液位</t>
    </r>
  </si>
  <si>
    <r>
      <rPr>
        <sz val="10"/>
        <rFont val="Consolas"/>
        <family val="3"/>
      </rPr>
      <t xml:space="preserve">:BackExtLightTank :hasAttribute :Attr_154 .   # R1320 </t>
    </r>
    <r>
      <rPr>
        <sz val="10"/>
        <rFont val="Noto Sans CJK SC"/>
        <family val="2"/>
      </rPr>
      <t>反萃取轻相罐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反萃轻相缓冲罐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反萃轻相罐液位</t>
    </r>
  </si>
  <si>
    <r>
      <rPr>
        <sz val="10"/>
        <rFont val="Consolas"/>
        <family val="3"/>
      </rPr>
      <t xml:space="preserve">:BackExtLightTank :hasAttribute :Attr_155 .   # R1321 </t>
    </r>
    <r>
      <rPr>
        <sz val="10"/>
        <rFont val="Noto Sans CJK SC"/>
        <family val="2"/>
      </rPr>
      <t>反萃取轻相罐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反萃轻相缓冲罐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反萃轻相密度</t>
    </r>
  </si>
  <si>
    <r>
      <rPr>
        <sz val="10"/>
        <rFont val="Consolas"/>
        <family val="3"/>
      </rPr>
      <t xml:space="preserve">:MixedSolventTank :hasAttribute :Attr_156 .   # R1322 </t>
    </r>
    <r>
      <rPr>
        <sz val="10"/>
        <rFont val="Noto Sans CJK SC"/>
        <family val="2"/>
      </rPr>
      <t>混合溶媒罐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混合溶媒罐液位</t>
    </r>
  </si>
  <si>
    <r>
      <rPr>
        <sz val="10"/>
        <rFont val="Consolas"/>
        <family val="3"/>
      </rPr>
      <t xml:space="preserve">:MixedSolventTank :hasAttribute :Attr_157 .   # R1323 </t>
    </r>
    <r>
      <rPr>
        <sz val="10"/>
        <rFont val="Noto Sans CJK SC"/>
        <family val="2"/>
      </rPr>
      <t>混合溶媒罐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混合溶媒温度</t>
    </r>
  </si>
  <si>
    <r>
      <rPr>
        <sz val="10"/>
        <rFont val="Consolas"/>
        <family val="3"/>
      </rPr>
      <t xml:space="preserve">:MixedSolventTank :hasAttribute :Attr_158 .   # R1324 </t>
    </r>
    <r>
      <rPr>
        <sz val="10"/>
        <rFont val="Noto Sans CJK SC"/>
        <family val="2"/>
      </rPr>
      <t>混合溶媒罐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来自回收溶媒流量</t>
    </r>
  </si>
  <si>
    <r>
      <rPr>
        <sz val="10"/>
        <rFont val="Consolas"/>
        <family val="3"/>
      </rPr>
      <t xml:space="preserve">:ExtCentrifuge1 :hasAttribute :Attr_276 .   # R1325 </t>
    </r>
    <r>
      <rPr>
        <sz val="10"/>
        <rFont val="Noto Sans CJK SC"/>
        <family val="2"/>
      </rPr>
      <t xml:space="preserve">一萃离心机组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苯乙酸两相分配系数</t>
    </r>
  </si>
  <si>
    <r>
      <rPr>
        <sz val="10"/>
        <rFont val="Consolas"/>
        <family val="3"/>
      </rPr>
      <t xml:space="preserve">:ExtCentrifuge1 :hasAttribute :Attr_277 .   # R1326 </t>
    </r>
    <r>
      <rPr>
        <sz val="10"/>
        <rFont val="Noto Sans CJK SC"/>
        <family val="2"/>
      </rPr>
      <t xml:space="preserve">一萃离心机组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有机水相相比</t>
    </r>
    <r>
      <rPr>
        <sz val="10"/>
        <rFont val="Consolas"/>
        <family val="3"/>
      </rPr>
      <t>(O/A</t>
    </r>
    <r>
      <rPr>
        <sz val="10"/>
        <rFont val="Noto Sans CJK SC"/>
        <family val="2"/>
      </rPr>
      <t>比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</si>
  <si>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:ExtCentrifuge1 :hasAttribute :Attr_278 .   # R1327 </t>
    </r>
    <r>
      <rPr>
        <sz val="10"/>
        <rFont val="Noto Sans CJK SC"/>
        <family val="2"/>
      </rPr>
      <t xml:space="preserve">一萃离心机组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萃取分配平衡度</t>
    </r>
  </si>
  <si>
    <r>
      <rPr>
        <sz val="10"/>
        <rFont val="Consolas"/>
        <family val="3"/>
      </rPr>
      <t xml:space="preserve">:ExtCentrifuge1 :hasAttribute :Attr_279 .   # R1328 </t>
    </r>
    <r>
      <rPr>
        <sz val="10"/>
        <rFont val="Noto Sans CJK SC"/>
        <family val="2"/>
      </rPr>
      <t xml:space="preserve">一萃离心机组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相界面热乳化程度</t>
    </r>
  </si>
  <si>
    <r>
      <rPr>
        <sz val="10"/>
        <rFont val="Consolas"/>
        <family val="3"/>
      </rPr>
      <t xml:space="preserve">:ExtCentrifuge2 :hasAttribute :QKPI_280 .   # R1329 </t>
    </r>
    <r>
      <rPr>
        <sz val="10"/>
        <rFont val="Noto Sans CJK SC"/>
        <family val="2"/>
      </rPr>
      <t xml:space="preserve">二萃离心机组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离心分相澄清度</t>
    </r>
  </si>
  <si>
    <r>
      <rPr>
        <sz val="10"/>
        <rFont val="Consolas"/>
        <family val="3"/>
      </rPr>
      <t xml:space="preserve">:HeavyLiquorBuffer :hasAttribute :Attr_281 .   # R1330 </t>
    </r>
    <r>
      <rPr>
        <sz val="10"/>
        <rFont val="Noto Sans CJK SC"/>
        <family val="2"/>
      </rPr>
      <t>重液缓冲罐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萃取离心机重相缓冲罐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酸性降解速率</t>
    </r>
  </si>
  <si>
    <r>
      <rPr>
        <sz val="10"/>
        <rFont val="Consolas"/>
        <family val="3"/>
      </rPr>
      <t xml:space="preserve">:HeavyLiquorBuffer :hasAttribute :QKPI_282 .   # R1331 </t>
    </r>
    <r>
      <rPr>
        <sz val="10"/>
        <rFont val="Noto Sans CJK SC"/>
        <family val="2"/>
      </rPr>
      <t>重液缓冲罐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萃取离心机重相缓冲罐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重液苯乙酸残留</t>
    </r>
  </si>
  <si>
    <r>
      <rPr>
        <sz val="10"/>
        <rFont val="Consolas"/>
        <family val="3"/>
      </rPr>
      <t xml:space="preserve">:ExtLightTank :hasAttribute :QKPI_283 .   # R1332 </t>
    </r>
    <r>
      <rPr>
        <sz val="10"/>
        <rFont val="Noto Sans CJK SC"/>
        <family val="2"/>
      </rPr>
      <t xml:space="preserve">萃取轻相罐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废有机相</t>
    </r>
    <r>
      <rPr>
        <sz val="10"/>
        <rFont val="Consolas"/>
        <family val="3"/>
      </rPr>
      <t>6-APA</t>
    </r>
    <r>
      <rPr>
        <sz val="10"/>
        <rFont val="Noto Sans CJK SC"/>
        <family val="2"/>
      </rPr>
      <t>夹带残效</t>
    </r>
  </si>
  <si>
    <r>
      <rPr>
        <sz val="10"/>
        <rFont val="Consolas"/>
        <family val="3"/>
      </rPr>
      <t xml:space="preserve">:BackExtLightTank :hasAttribute :QKPI_284 .   # R1333 </t>
    </r>
    <r>
      <rPr>
        <sz val="10"/>
        <rFont val="Noto Sans CJK SC"/>
        <family val="2"/>
      </rPr>
      <t>反萃取轻相罐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反萃轻相缓冲罐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溶媒再生率</t>
    </r>
  </si>
  <si>
    <r>
      <rPr>
        <sz val="10"/>
        <rFont val="Consolas"/>
        <family val="3"/>
      </rPr>
      <t xml:space="preserve">:ExtCentrifuge1 :hasAttribute :Attr_306 .   # R1334 </t>
    </r>
    <r>
      <rPr>
        <sz val="10"/>
        <rFont val="Noto Sans CJK SC"/>
        <family val="2"/>
      </rPr>
      <t xml:space="preserve">一萃离心机组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萃取离心机转速</t>
    </r>
  </si>
  <si>
    <r>
      <rPr>
        <sz val="10"/>
        <rFont val="Consolas"/>
        <family val="3"/>
      </rPr>
      <t xml:space="preserve">:ExtCentrifuge1 :hasAttribute :Attr_307 .   # R1335 </t>
    </r>
    <r>
      <rPr>
        <sz val="10"/>
        <rFont val="Noto Sans CJK SC"/>
        <family val="2"/>
      </rPr>
      <t xml:space="preserve">一萃离心机组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萃取离心机轻相背压</t>
    </r>
  </si>
  <si>
    <r>
      <rPr>
        <sz val="10"/>
        <rFont val="Consolas"/>
        <family val="3"/>
      </rPr>
      <t xml:space="preserve">:ExtCentrifuge1 :hasAttribute :Attr_308 .   # R1336 </t>
    </r>
    <r>
      <rPr>
        <sz val="10"/>
        <rFont val="Noto Sans CJK SC"/>
        <family val="2"/>
      </rPr>
      <t xml:space="preserve">一萃离心机组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萃取离心机重相背压</t>
    </r>
  </si>
  <si>
    <r>
      <rPr>
        <sz val="10"/>
        <rFont val="Consolas"/>
        <family val="3"/>
      </rPr>
      <t xml:space="preserve">:ExtCentrifuge1 :hasAttribute :Attr_309 .   # R1337 </t>
    </r>
    <r>
      <rPr>
        <sz val="10"/>
        <rFont val="Noto Sans CJK SC"/>
        <family val="2"/>
      </rPr>
      <t xml:space="preserve">一萃离心机组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萃取离心机轻重相背压差</t>
    </r>
  </si>
  <si>
    <r>
      <rPr>
        <sz val="10"/>
        <rFont val="Consolas"/>
        <family val="3"/>
      </rPr>
      <t xml:space="preserve">:HydrolysateCoolers :hasAttribute :Attr_310 .   # R1338 </t>
    </r>
    <r>
      <rPr>
        <sz val="10"/>
        <rFont val="Noto Sans CJK SC"/>
        <family val="2"/>
      </rPr>
      <t xml:space="preserve">水解液换热器组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冷盐水流量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水解液换热器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</si>
  <si>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:MS_MixedSolvent :hasAttribute :Attr_139 .   # R1339 </t>
    </r>
    <r>
      <rPr>
        <sz val="10"/>
        <rFont val="Noto Sans CJK SC"/>
        <family val="2"/>
      </rPr>
      <t xml:space="preserve">混合溶媒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混合溶媒进料流量</t>
    </r>
  </si>
  <si>
    <r>
      <rPr>
        <sz val="10"/>
        <rFont val="Consolas"/>
        <family val="3"/>
      </rPr>
      <t>:MS_HeavyLiquor :hasAttribute :Attr_152 .   # R1340 6APA</t>
    </r>
    <r>
      <rPr>
        <sz val="10"/>
        <rFont val="Noto Sans CJK SC"/>
        <family val="2"/>
      </rPr>
      <t xml:space="preserve">重液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重液去结晶流量</t>
    </r>
  </si>
  <si>
    <r>
      <rPr>
        <sz val="10"/>
        <rFont val="Consolas"/>
        <family val="3"/>
      </rPr>
      <t>:MS_HeavyLiquor :hasAttribute :Attr_151 .   # R1341 6APA</t>
    </r>
    <r>
      <rPr>
        <sz val="10"/>
        <rFont val="Noto Sans CJK SC"/>
        <family val="2"/>
      </rPr>
      <t xml:space="preserve">重液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重液去结晶温度</t>
    </r>
  </si>
  <si>
    <r>
      <rPr>
        <sz val="10"/>
        <rFont val="Consolas"/>
        <family val="3"/>
      </rPr>
      <t>:MS_HeavyLiquor :hasAttribute :QKPI_282 .   # R1342 6APA</t>
    </r>
    <r>
      <rPr>
        <sz val="10"/>
        <rFont val="Noto Sans CJK SC"/>
        <family val="2"/>
      </rPr>
      <t xml:space="preserve">重液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重液苯乙酸残留</t>
    </r>
  </si>
  <si>
    <r>
      <rPr>
        <sz val="10"/>
        <rFont val="Consolas"/>
        <family val="3"/>
      </rPr>
      <t xml:space="preserve">:Attr_133 :boundToTag :Tag_TI_1006A .   # R1343 </t>
    </r>
    <r>
      <rPr>
        <sz val="10"/>
        <rFont val="Noto Sans CJK SC"/>
        <family val="2"/>
      </rPr>
      <t xml:space="preserve">水解进料换热温度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TI_1006A</t>
    </r>
  </si>
  <si>
    <r>
      <rPr>
        <sz val="10"/>
        <rFont val="Consolas"/>
        <family val="3"/>
      </rPr>
      <t xml:space="preserve">:Attr_133 :boundToTag :Tag_TI_1006B .   # R1344 </t>
    </r>
    <r>
      <rPr>
        <sz val="10"/>
        <rFont val="Noto Sans CJK SC"/>
        <family val="2"/>
      </rPr>
      <t xml:space="preserve">水解进料换热温度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TI_1006B</t>
    </r>
  </si>
  <si>
    <r>
      <rPr>
        <sz val="10"/>
        <rFont val="Consolas"/>
        <family val="3"/>
      </rPr>
      <t xml:space="preserve">:Attr_133 :boundToTag :Tag_TI_1006C .   # R1345 </t>
    </r>
    <r>
      <rPr>
        <sz val="10"/>
        <rFont val="Noto Sans CJK SC"/>
        <family val="2"/>
      </rPr>
      <t xml:space="preserve">水解进料换热温度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TI_1006C</t>
    </r>
  </si>
  <si>
    <r>
      <rPr>
        <sz val="10"/>
        <rFont val="Consolas"/>
        <family val="3"/>
      </rPr>
      <t xml:space="preserve">:Attr_133 :boundToTag :Tag_TI_1307D .   # R1346 </t>
    </r>
    <r>
      <rPr>
        <sz val="10"/>
        <rFont val="Noto Sans CJK SC"/>
        <family val="2"/>
      </rPr>
      <t xml:space="preserve">水解进料换热温度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TI_1307D</t>
    </r>
  </si>
  <si>
    <r>
      <rPr>
        <sz val="10"/>
        <rFont val="Consolas"/>
        <family val="3"/>
      </rPr>
      <t xml:space="preserve">:Attr_134 :boundToTag :Tag_TI_1005A .   # R1347 </t>
    </r>
    <r>
      <rPr>
        <sz val="10"/>
        <rFont val="Noto Sans CJK SC"/>
        <family val="2"/>
      </rPr>
      <t xml:space="preserve">回流换热器出口温度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TI_1005A</t>
    </r>
  </si>
  <si>
    <r>
      <rPr>
        <sz val="10"/>
        <rFont val="Consolas"/>
        <family val="3"/>
      </rPr>
      <t xml:space="preserve">:Attr_134 :boundToTag :Tag_TI_1005B .   # R1348 </t>
    </r>
    <r>
      <rPr>
        <sz val="10"/>
        <rFont val="Noto Sans CJK SC"/>
        <family val="2"/>
      </rPr>
      <t xml:space="preserve">回流换热器出口温度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TI_1005B</t>
    </r>
  </si>
  <si>
    <r>
      <rPr>
        <sz val="10"/>
        <rFont val="Consolas"/>
        <family val="3"/>
      </rPr>
      <t xml:space="preserve">:Attr_134 :boundToTag :Tag_TI_1307C .   # R1349 </t>
    </r>
    <r>
      <rPr>
        <sz val="10"/>
        <rFont val="Noto Sans CJK SC"/>
        <family val="2"/>
      </rPr>
      <t xml:space="preserve">回流换热器出口温度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TI_1307C</t>
    </r>
  </si>
  <si>
    <r>
      <rPr>
        <sz val="10"/>
        <rFont val="Consolas"/>
        <family val="3"/>
      </rPr>
      <t xml:space="preserve">:Attr_135 :boundToTag :Tag_AT_1302 .   # R1350 </t>
    </r>
    <r>
      <rPr>
        <sz val="10"/>
        <rFont val="Noto Sans CJK SC"/>
        <family val="2"/>
      </rPr>
      <t>酸化体系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AT_1302</t>
    </r>
  </si>
  <si>
    <r>
      <rPr>
        <sz val="10"/>
        <rFont val="Consolas"/>
        <family val="3"/>
      </rPr>
      <t xml:space="preserve">:Attr_136 :boundToTag :Tag_TI_CQ01 .   # R1351 </t>
    </r>
    <r>
      <rPr>
        <sz val="10"/>
        <rFont val="Noto Sans CJK SC"/>
        <family val="2"/>
      </rPr>
      <t xml:space="preserve">萃取混合液温度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TI_CQ01</t>
    </r>
  </si>
  <si>
    <r>
      <rPr>
        <sz val="10"/>
        <rFont val="Consolas"/>
        <family val="3"/>
      </rPr>
      <t xml:space="preserve">:Attr_136 :boundToTag :Tag_TI_CQ02 .   # R1352 </t>
    </r>
    <r>
      <rPr>
        <sz val="10"/>
        <rFont val="Noto Sans CJK SC"/>
        <family val="2"/>
      </rPr>
      <t xml:space="preserve">萃取混合液温度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TI_CQ02</t>
    </r>
  </si>
  <si>
    <r>
      <rPr>
        <sz val="10"/>
        <rFont val="Consolas"/>
        <family val="3"/>
      </rPr>
      <t xml:space="preserve">:Attr_137 :boundToTag :Tag_FT_1304 .   # R1353 </t>
    </r>
    <r>
      <rPr>
        <sz val="10"/>
        <rFont val="Noto Sans CJK SC"/>
        <family val="2"/>
      </rPr>
      <t xml:space="preserve">水解液进料流量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FT_1304</t>
    </r>
  </si>
  <si>
    <r>
      <rPr>
        <sz val="10"/>
        <rFont val="Consolas"/>
        <family val="3"/>
      </rPr>
      <t xml:space="preserve">:Attr_138 :boundToTag :Tag_FT_1305 .   # R1354 </t>
    </r>
    <r>
      <rPr>
        <sz val="10"/>
        <rFont val="Noto Sans CJK SC"/>
        <family val="2"/>
      </rPr>
      <t xml:space="preserve">盐酸进料流量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FT_1305</t>
    </r>
  </si>
  <si>
    <r>
      <rPr>
        <sz val="10"/>
        <rFont val="Consolas"/>
        <family val="3"/>
      </rPr>
      <t xml:space="preserve">:Attr_139 :boundToTag :Tag_FT_1303 .   # R1355 </t>
    </r>
    <r>
      <rPr>
        <sz val="10"/>
        <rFont val="Noto Sans CJK SC"/>
        <family val="2"/>
      </rPr>
      <t xml:space="preserve">混合溶媒进料流量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FT_1303</t>
    </r>
  </si>
  <si>
    <r>
      <rPr>
        <sz val="10"/>
        <rFont val="Consolas"/>
        <family val="3"/>
      </rPr>
      <t xml:space="preserve">:Attr_140 :boundToTag :Tag_FT_1003 .   # R1356 </t>
    </r>
    <r>
      <rPr>
        <sz val="10"/>
        <rFont val="Noto Sans CJK SC"/>
        <family val="2"/>
      </rPr>
      <t xml:space="preserve">回流混合溶媒流量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FT_1003</t>
    </r>
  </si>
  <si>
    <r>
      <rPr>
        <sz val="10"/>
        <rFont val="Consolas"/>
        <family val="3"/>
      </rPr>
      <t xml:space="preserve">:Attr_141 :boundToTag :Tag_FT_1307 .   # R1357 </t>
    </r>
    <r>
      <rPr>
        <sz val="10"/>
        <rFont val="Noto Sans CJK SC"/>
        <family val="2"/>
      </rPr>
      <t xml:space="preserve">一萃重液流量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FT_1307</t>
    </r>
  </si>
  <si>
    <r>
      <rPr>
        <sz val="10"/>
        <rFont val="Consolas"/>
        <family val="3"/>
      </rPr>
      <t xml:space="preserve">:Attr_142 :boundToTag :Tag_FT_1306 .   # R1358 </t>
    </r>
    <r>
      <rPr>
        <sz val="10"/>
        <rFont val="Noto Sans CJK SC"/>
        <family val="2"/>
      </rPr>
      <t xml:space="preserve">二萃溶媒流量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FT_1306</t>
    </r>
  </si>
  <si>
    <r>
      <rPr>
        <sz val="10"/>
        <rFont val="Consolas"/>
        <family val="3"/>
      </rPr>
      <t xml:space="preserve">:Attr_143 :boundToTag :Tag_AT_1304 .   # R1359 </t>
    </r>
    <r>
      <rPr>
        <sz val="10"/>
        <rFont val="Noto Sans CJK SC"/>
        <family val="2"/>
      </rPr>
      <t>萃取出料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AT_1304</t>
    </r>
  </si>
  <si>
    <r>
      <rPr>
        <sz val="10"/>
        <rFont val="Consolas"/>
        <family val="3"/>
      </rPr>
      <t xml:space="preserve">:Attr_144 :boundToTag :Tag_FT_1309 .   # R1360 </t>
    </r>
    <r>
      <rPr>
        <sz val="10"/>
        <rFont val="Noto Sans CJK SC"/>
        <family val="2"/>
      </rPr>
      <t xml:space="preserve">反萃液碱流量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FT_1309</t>
    </r>
  </si>
  <si>
    <r>
      <rPr>
        <sz val="10"/>
        <rFont val="Consolas"/>
        <family val="3"/>
      </rPr>
      <t xml:space="preserve">:Attr_145 :boundToTag :Tag_FT_1308 .   # R1361 </t>
    </r>
    <r>
      <rPr>
        <sz val="10"/>
        <rFont val="Noto Sans CJK SC"/>
        <family val="2"/>
      </rPr>
      <t xml:space="preserve">反萃混合流量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FT_1308</t>
    </r>
  </si>
  <si>
    <r>
      <rPr>
        <sz val="10"/>
        <rFont val="Consolas"/>
        <family val="3"/>
      </rPr>
      <t xml:space="preserve">:Attr_146 :boundToTag :Tag_AT_1303 .   # R1362 </t>
    </r>
    <r>
      <rPr>
        <sz val="10"/>
        <rFont val="Noto Sans CJK SC"/>
        <family val="2"/>
      </rPr>
      <t>反萃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AT_1303</t>
    </r>
  </si>
  <si>
    <r>
      <rPr>
        <sz val="10"/>
        <rFont val="Consolas"/>
        <family val="3"/>
      </rPr>
      <t xml:space="preserve">:Attr_147 :boundToTag :Tag_LE_FXG .   # R1363 </t>
    </r>
    <r>
      <rPr>
        <sz val="10"/>
        <rFont val="Noto Sans CJK SC"/>
        <family val="2"/>
      </rPr>
      <t xml:space="preserve">分相罐液位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LE_FXG</t>
    </r>
  </si>
  <si>
    <r>
      <rPr>
        <sz val="10"/>
        <rFont val="Consolas"/>
        <family val="3"/>
      </rPr>
      <t xml:space="preserve">:Attr_147 :boundToTag :Tag_LE_FXG01 .   # R1364 </t>
    </r>
    <r>
      <rPr>
        <sz val="10"/>
        <rFont val="Noto Sans CJK SC"/>
        <family val="2"/>
      </rPr>
      <t xml:space="preserve">分相罐液位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LE_FXG01</t>
    </r>
  </si>
  <si>
    <r>
      <rPr>
        <sz val="10"/>
        <rFont val="Consolas"/>
        <family val="3"/>
      </rPr>
      <t xml:space="preserve">:Attr_147 :boundToTag :Tag_LT_RM01 .   # R1365 </t>
    </r>
    <r>
      <rPr>
        <sz val="10"/>
        <rFont val="Noto Sans CJK SC"/>
        <family val="2"/>
      </rPr>
      <t xml:space="preserve">分相罐液位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LT_RM01</t>
    </r>
  </si>
  <si>
    <r>
      <rPr>
        <sz val="10"/>
        <rFont val="Consolas"/>
        <family val="3"/>
      </rPr>
      <t xml:space="preserve">:Attr_148 :boundToTag :Tag_TE_FXG .   # R1366 </t>
    </r>
    <r>
      <rPr>
        <sz val="10"/>
        <rFont val="Noto Sans CJK SC"/>
        <family val="2"/>
      </rPr>
      <t xml:space="preserve">分相罐温度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TE_FXG</t>
    </r>
  </si>
  <si>
    <r>
      <rPr>
        <sz val="10"/>
        <rFont val="Consolas"/>
        <family val="3"/>
      </rPr>
      <t xml:space="preserve">:Attr_149 :boundToTag :Tag_FE_FXG_ZX .   # R1367 </t>
    </r>
    <r>
      <rPr>
        <sz val="10"/>
        <rFont val="Noto Sans CJK SC"/>
        <family val="2"/>
      </rPr>
      <t xml:space="preserve">分相罐重相流量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FE_FXG_ZX</t>
    </r>
  </si>
  <si>
    <r>
      <rPr>
        <sz val="10"/>
        <rFont val="Consolas"/>
        <family val="3"/>
      </rPr>
      <t xml:space="preserve">:Attr_149 :boundToTag :Tag_FE_FXG_ZX0 .   # R1368 </t>
    </r>
    <r>
      <rPr>
        <sz val="10"/>
        <rFont val="Noto Sans CJK SC"/>
        <family val="2"/>
      </rPr>
      <t xml:space="preserve">分相罐重相流量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FE_FXG_ZX0</t>
    </r>
  </si>
  <si>
    <r>
      <rPr>
        <sz val="10"/>
        <rFont val="Consolas"/>
        <family val="3"/>
      </rPr>
      <t xml:space="preserve">:Attr_150 :boundToTag :Tag_LT_1314A .   # R1369 </t>
    </r>
    <r>
      <rPr>
        <sz val="10"/>
        <rFont val="Noto Sans CJK SC"/>
        <family val="2"/>
      </rPr>
      <t xml:space="preserve">重液缓冲罐液位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LT_1314A</t>
    </r>
  </si>
  <si>
    <r>
      <rPr>
        <sz val="10"/>
        <rFont val="Consolas"/>
        <family val="3"/>
      </rPr>
      <t xml:space="preserve">:Attr_150 :boundToTag :Tag_LT_1314B .   # R1370 </t>
    </r>
    <r>
      <rPr>
        <sz val="10"/>
        <rFont val="Noto Sans CJK SC"/>
        <family val="2"/>
      </rPr>
      <t xml:space="preserve">重液缓冲罐液位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LT_1314B</t>
    </r>
  </si>
  <si>
    <r>
      <rPr>
        <sz val="10"/>
        <rFont val="Consolas"/>
        <family val="3"/>
      </rPr>
      <t xml:space="preserve">:Attr_150 :boundToTag :Tag_LT_1318 .   # R1371 </t>
    </r>
    <r>
      <rPr>
        <sz val="10"/>
        <rFont val="Noto Sans CJK SC"/>
        <family val="2"/>
      </rPr>
      <t xml:space="preserve">重液缓冲罐液位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LT_1318</t>
    </r>
  </si>
  <si>
    <r>
      <rPr>
        <sz val="10"/>
        <rFont val="Consolas"/>
        <family val="3"/>
      </rPr>
      <t xml:space="preserve">:Attr_150 :boundToTag :Tag_LE_ZXHCG .   # R1372 </t>
    </r>
    <r>
      <rPr>
        <sz val="10"/>
        <rFont val="Noto Sans CJK SC"/>
        <family val="2"/>
      </rPr>
      <t xml:space="preserve">重液缓冲罐液位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LE_ZXHCG</t>
    </r>
  </si>
  <si>
    <r>
      <rPr>
        <sz val="10"/>
        <rFont val="Consolas"/>
        <family val="3"/>
      </rPr>
      <t xml:space="preserve">:Attr_151 :boundToTag :Tag_TI_1305A .   # R1373 </t>
    </r>
    <r>
      <rPr>
        <sz val="10"/>
        <rFont val="Noto Sans CJK SC"/>
        <family val="2"/>
      </rPr>
      <t xml:space="preserve">重液去结晶温度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TI_1305A</t>
    </r>
  </si>
  <si>
    <r>
      <rPr>
        <sz val="10"/>
        <rFont val="Consolas"/>
        <family val="3"/>
      </rPr>
      <t xml:space="preserve">:Attr_151 :boundToTag :Tag_TI_1305B .   # R1374 </t>
    </r>
    <r>
      <rPr>
        <sz val="10"/>
        <rFont val="Noto Sans CJK SC"/>
        <family val="2"/>
      </rPr>
      <t xml:space="preserve">重液去结晶温度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TI_1305B</t>
    </r>
  </si>
  <si>
    <r>
      <rPr>
        <sz val="10"/>
        <rFont val="Consolas"/>
        <family val="3"/>
      </rPr>
      <t xml:space="preserve">:Attr_151 :boundToTag :Tag_TI_1009 .   # R1375 </t>
    </r>
    <r>
      <rPr>
        <sz val="10"/>
        <rFont val="Noto Sans CJK SC"/>
        <family val="2"/>
      </rPr>
      <t xml:space="preserve">重液去结晶温度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TI_1009</t>
    </r>
  </si>
  <si>
    <r>
      <rPr>
        <sz val="10"/>
        <rFont val="Consolas"/>
        <family val="3"/>
      </rPr>
      <t xml:space="preserve">:Attr_151 :boundToTag :Tag_TI_1010A .   # R1376 </t>
    </r>
    <r>
      <rPr>
        <sz val="10"/>
        <rFont val="Noto Sans CJK SC"/>
        <family val="2"/>
      </rPr>
      <t xml:space="preserve">重液去结晶温度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TI_1010A</t>
    </r>
  </si>
  <si>
    <r>
      <rPr>
        <sz val="10"/>
        <rFont val="Consolas"/>
        <family val="3"/>
      </rPr>
      <t xml:space="preserve">:Attr_151 :boundToTag :Tag_TI_1010B .   # R1377 </t>
    </r>
    <r>
      <rPr>
        <sz val="10"/>
        <rFont val="Noto Sans CJK SC"/>
        <family val="2"/>
      </rPr>
      <t xml:space="preserve">重液去结晶温度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TI_1010B</t>
    </r>
  </si>
  <si>
    <r>
      <rPr>
        <sz val="10"/>
        <rFont val="Consolas"/>
        <family val="3"/>
      </rPr>
      <t xml:space="preserve">:Attr_152 :boundToTag :Tag_FT_1310A .   # R1378 </t>
    </r>
    <r>
      <rPr>
        <sz val="10"/>
        <rFont val="Noto Sans CJK SC"/>
        <family val="2"/>
      </rPr>
      <t xml:space="preserve">重液去结晶流量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FT_1310A</t>
    </r>
  </si>
  <si>
    <r>
      <rPr>
        <sz val="10"/>
        <rFont val="Consolas"/>
        <family val="3"/>
      </rPr>
      <t xml:space="preserve">:Attr_152 :boundToTag :Tag_FT_1310B .   # R1379 </t>
    </r>
    <r>
      <rPr>
        <sz val="10"/>
        <rFont val="Noto Sans CJK SC"/>
        <family val="2"/>
      </rPr>
      <t xml:space="preserve">重液去结晶流量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FT_1310B</t>
    </r>
  </si>
  <si>
    <r>
      <rPr>
        <sz val="10"/>
        <rFont val="Consolas"/>
        <family val="3"/>
      </rPr>
      <t xml:space="preserve">:Attr_153 :boundToTag :Tag_LT_1315A .   # R1380 </t>
    </r>
    <r>
      <rPr>
        <sz val="10"/>
        <rFont val="Noto Sans CJK SC"/>
        <family val="2"/>
      </rPr>
      <t xml:space="preserve">萃取轻相罐液位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LT_1315A</t>
    </r>
  </si>
  <si>
    <r>
      <rPr>
        <sz val="10"/>
        <rFont val="Consolas"/>
        <family val="3"/>
      </rPr>
      <t xml:space="preserve">:Attr_153 :boundToTag :Tag_LT_1315B .   # R1381 </t>
    </r>
    <r>
      <rPr>
        <sz val="10"/>
        <rFont val="Noto Sans CJK SC"/>
        <family val="2"/>
      </rPr>
      <t xml:space="preserve">萃取轻相罐液位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LT_1315B</t>
    </r>
  </si>
  <si>
    <r>
      <rPr>
        <sz val="10"/>
        <rFont val="Consolas"/>
        <family val="3"/>
      </rPr>
      <t xml:space="preserve">:Attr_154 :boundToTag :Tag_LT_1313 .   # R1382 </t>
    </r>
    <r>
      <rPr>
        <sz val="10"/>
        <rFont val="Noto Sans CJK SC"/>
        <family val="2"/>
      </rPr>
      <t xml:space="preserve">反萃轻相罐液位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LT_1313</t>
    </r>
  </si>
  <si>
    <r>
      <rPr>
        <sz val="10"/>
        <rFont val="Consolas"/>
        <family val="3"/>
      </rPr>
      <t xml:space="preserve">:Attr_155 :boundToTag :Tag_HV_1019_FB .   # R1383 </t>
    </r>
    <r>
      <rPr>
        <sz val="10"/>
        <rFont val="Noto Sans CJK SC"/>
        <family val="2"/>
      </rPr>
      <t xml:space="preserve">反萃轻相密度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HV_1019_FB</t>
    </r>
  </si>
  <si>
    <r>
      <rPr>
        <sz val="10"/>
        <rFont val="Consolas"/>
        <family val="3"/>
      </rPr>
      <t xml:space="preserve">:Attr_156 :boundToTag :Tag_LT_1312 .   # R1384 </t>
    </r>
    <r>
      <rPr>
        <sz val="10"/>
        <rFont val="Noto Sans CJK SC"/>
        <family val="2"/>
      </rPr>
      <t xml:space="preserve">混合溶媒罐液位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LT_1312</t>
    </r>
  </si>
  <si>
    <r>
      <rPr>
        <sz val="10"/>
        <rFont val="Consolas"/>
        <family val="3"/>
      </rPr>
      <t xml:space="preserve">:Attr_157 :boundToTag :Tag_TI_1306 .   # R1385 </t>
    </r>
    <r>
      <rPr>
        <sz val="10"/>
        <rFont val="Noto Sans CJK SC"/>
        <family val="2"/>
      </rPr>
      <t xml:space="preserve">混合溶媒温度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TI_1306</t>
    </r>
  </si>
  <si>
    <r>
      <rPr>
        <sz val="10"/>
        <rFont val="Consolas"/>
        <family val="3"/>
      </rPr>
      <t xml:space="preserve">:Attr_157 :boundToTag :Tag_TI_1007 .   # R1386 </t>
    </r>
    <r>
      <rPr>
        <sz val="10"/>
        <rFont val="Noto Sans CJK SC"/>
        <family val="2"/>
      </rPr>
      <t xml:space="preserve">混合溶媒温度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TI_1007</t>
    </r>
  </si>
  <si>
    <r>
      <rPr>
        <sz val="10"/>
        <rFont val="Consolas"/>
        <family val="3"/>
      </rPr>
      <t xml:space="preserve">:Attr_158 :boundToTag :Tag_FT_1314 .   # R1387 </t>
    </r>
    <r>
      <rPr>
        <sz val="10"/>
        <rFont val="Noto Sans CJK SC"/>
        <family val="2"/>
      </rPr>
      <t xml:space="preserve">来自回收溶媒流量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FT_1314</t>
    </r>
  </si>
  <si>
    <r>
      <rPr>
        <sz val="10"/>
        <rFont val="Consolas"/>
        <family val="3"/>
      </rPr>
      <t xml:space="preserve">:Ctrl_032 :controls :Act_032 .   # R1388 </t>
    </r>
    <r>
      <rPr>
        <sz val="10"/>
        <rFont val="Noto Sans CJK SC"/>
        <family val="2"/>
      </rPr>
      <t>水解液去萃取温度控制器</t>
    </r>
    <r>
      <rPr>
        <sz val="10"/>
        <rFont val="Consolas"/>
        <family val="3"/>
      </rPr>
      <t>(TIC-1006)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去萃取换热器冷盐水调节阀</t>
    </r>
    <r>
      <rPr>
        <sz val="10"/>
        <rFont val="Consolas"/>
        <family val="3"/>
      </rPr>
      <t>HV_1016A/B/HV_1018</t>
    </r>
  </si>
  <si>
    <r>
      <rPr>
        <sz val="10"/>
        <rFont val="Consolas"/>
        <family val="3"/>
      </rPr>
      <t xml:space="preserve">:Attr_133 :feedbackTo :Ctrl_032 .   # R1389 </t>
    </r>
    <r>
      <rPr>
        <sz val="10"/>
        <rFont val="Noto Sans CJK SC"/>
        <family val="2"/>
      </rPr>
      <t xml:space="preserve">水解进料换热温度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水解液去萃取温度控制器</t>
    </r>
    <r>
      <rPr>
        <sz val="10"/>
        <rFont val="Consolas"/>
        <family val="3"/>
      </rPr>
      <t>(TIC-1006)</t>
    </r>
  </si>
  <si>
    <r>
      <rPr>
        <sz val="10"/>
        <rFont val="Consolas"/>
        <family val="3"/>
      </rPr>
      <t xml:space="preserve">:Act_032 :affects :Attr_133 .   # R1390 </t>
    </r>
    <r>
      <rPr>
        <sz val="10"/>
        <rFont val="Noto Sans CJK SC"/>
        <family val="2"/>
      </rPr>
      <t>去萃取换热器冷盐水调节阀</t>
    </r>
    <r>
      <rPr>
        <sz val="10"/>
        <rFont val="Consolas"/>
        <family val="3"/>
      </rPr>
      <t>HV_1016A/B/HV_1018 -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水解进料换热温度</t>
    </r>
  </si>
  <si>
    <r>
      <rPr>
        <sz val="10"/>
        <rFont val="Consolas"/>
        <family val="3"/>
      </rPr>
      <t xml:space="preserve">:Ctrl_033 :controls :Act_033 .   # R1391 </t>
    </r>
    <r>
      <rPr>
        <sz val="10"/>
        <rFont val="Noto Sans CJK SC"/>
        <family val="2"/>
      </rPr>
      <t>水解液回流温度控制器</t>
    </r>
    <r>
      <rPr>
        <sz val="10"/>
        <rFont val="Consolas"/>
        <family val="3"/>
      </rPr>
      <t>(TIC-1005)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回流换热器冷盐水调节阀</t>
    </r>
    <r>
      <rPr>
        <sz val="10"/>
        <rFont val="Consolas"/>
        <family val="3"/>
      </rPr>
      <t>HV_1017</t>
    </r>
  </si>
  <si>
    <r>
      <rPr>
        <sz val="10"/>
        <rFont val="Consolas"/>
        <family val="3"/>
      </rPr>
      <t xml:space="preserve">:Attr_134 :feedbackTo :Ctrl_033 .   # R1392 </t>
    </r>
    <r>
      <rPr>
        <sz val="10"/>
        <rFont val="Noto Sans CJK SC"/>
        <family val="2"/>
      </rPr>
      <t xml:space="preserve">回流换热器出口温度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水解液回流温度控制器</t>
    </r>
    <r>
      <rPr>
        <sz val="10"/>
        <rFont val="Consolas"/>
        <family val="3"/>
      </rPr>
      <t>(TIC-1005)</t>
    </r>
  </si>
  <si>
    <r>
      <rPr>
        <sz val="10"/>
        <rFont val="Consolas"/>
        <family val="3"/>
      </rPr>
      <t xml:space="preserve">:Act_033 :affects :Attr_134 .   # R1393 </t>
    </r>
    <r>
      <rPr>
        <sz val="10"/>
        <rFont val="Noto Sans CJK SC"/>
        <family val="2"/>
      </rPr>
      <t>回流换热器冷盐水调节阀</t>
    </r>
    <r>
      <rPr>
        <sz val="10"/>
        <rFont val="Consolas"/>
        <family val="3"/>
      </rPr>
      <t>HV_1017 -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回流换热器出口温度</t>
    </r>
  </si>
  <si>
    <r>
      <rPr>
        <sz val="10"/>
        <rFont val="Consolas"/>
        <family val="3"/>
      </rPr>
      <t xml:space="preserve">:Ctrl_034 :controls :Act_034 .   # R1394 </t>
    </r>
    <r>
      <rPr>
        <sz val="10"/>
        <rFont val="Noto Sans CJK SC"/>
        <family val="2"/>
      </rPr>
      <t>水解液进料流量控制器</t>
    </r>
    <r>
      <rPr>
        <sz val="10"/>
        <rFont val="Consolas"/>
        <family val="3"/>
      </rPr>
      <t>(FIC-1304)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水解液流量调节阀</t>
    </r>
    <r>
      <rPr>
        <sz val="10"/>
        <rFont val="Consolas"/>
        <family val="3"/>
      </rPr>
      <t>HV_1304</t>
    </r>
  </si>
  <si>
    <r>
      <rPr>
        <sz val="10"/>
        <rFont val="Consolas"/>
        <family val="3"/>
      </rPr>
      <t xml:space="preserve">:Attr_137 :feedbackTo :Ctrl_034 .   # R1395 </t>
    </r>
    <r>
      <rPr>
        <sz val="10"/>
        <rFont val="Noto Sans CJK SC"/>
        <family val="2"/>
      </rPr>
      <t xml:space="preserve">水解液进料流量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水解液进料流量控制器</t>
    </r>
    <r>
      <rPr>
        <sz val="10"/>
        <rFont val="Consolas"/>
        <family val="3"/>
      </rPr>
      <t>(FIC-1304)</t>
    </r>
  </si>
  <si>
    <r>
      <rPr>
        <sz val="10"/>
        <rFont val="Consolas"/>
        <family val="3"/>
      </rPr>
      <t xml:space="preserve">:Act_034 :affects :Attr_137 .   # R1396 </t>
    </r>
    <r>
      <rPr>
        <sz val="10"/>
        <rFont val="Noto Sans CJK SC"/>
        <family val="2"/>
      </rPr>
      <t>水解液流量调节阀</t>
    </r>
    <r>
      <rPr>
        <sz val="10"/>
        <rFont val="Consolas"/>
        <family val="3"/>
      </rPr>
      <t>HV_1304 -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水解液进料流量</t>
    </r>
  </si>
  <si>
    <r>
      <rPr>
        <sz val="10"/>
        <rFont val="Consolas"/>
        <family val="3"/>
      </rPr>
      <t xml:space="preserve">:Ctrl_035 :controls :Act_035 .   # R1397 </t>
    </r>
    <r>
      <rPr>
        <sz val="10"/>
        <rFont val="Noto Sans CJK SC"/>
        <family val="2"/>
      </rPr>
      <t>萃取酸化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控制器</t>
    </r>
    <r>
      <rPr>
        <sz val="10"/>
        <rFont val="Consolas"/>
        <family val="3"/>
      </rPr>
      <t>(AIC-1302)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盐酸流量调节阀</t>
    </r>
    <r>
      <rPr>
        <sz val="10"/>
        <rFont val="Consolas"/>
        <family val="3"/>
      </rPr>
      <t>HV_1305</t>
    </r>
  </si>
  <si>
    <r>
      <rPr>
        <sz val="10"/>
        <rFont val="Consolas"/>
        <family val="3"/>
      </rPr>
      <t xml:space="preserve">:Attr_135 :feedbackTo :Ctrl_035 .   # R1398 </t>
    </r>
    <r>
      <rPr>
        <sz val="10"/>
        <rFont val="Noto Sans CJK SC"/>
        <family val="2"/>
      </rPr>
      <t>酸化体系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萃取酸化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控制器</t>
    </r>
    <r>
      <rPr>
        <sz val="10"/>
        <rFont val="Consolas"/>
        <family val="3"/>
      </rPr>
      <t>(AIC-1302)</t>
    </r>
  </si>
  <si>
    <r>
      <rPr>
        <sz val="10"/>
        <rFont val="Consolas"/>
        <family val="3"/>
      </rPr>
      <t xml:space="preserve">:Act_035 :affects :Attr_135 .   # R1399 </t>
    </r>
    <r>
      <rPr>
        <sz val="10"/>
        <rFont val="Noto Sans CJK SC"/>
        <family val="2"/>
      </rPr>
      <t>盐酸流量调节阀</t>
    </r>
    <r>
      <rPr>
        <sz val="10"/>
        <rFont val="Consolas"/>
        <family val="3"/>
      </rPr>
      <t>HV_1305 -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酸化体系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</si>
  <si>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:Ctrl_036 :controls :Act_036 .   # R1400 </t>
    </r>
    <r>
      <rPr>
        <sz val="10"/>
        <rFont val="Noto Sans CJK SC"/>
        <family val="2"/>
      </rPr>
      <t>混合溶媒比值控制器</t>
    </r>
    <r>
      <rPr>
        <sz val="10"/>
        <rFont val="Consolas"/>
        <family val="3"/>
      </rPr>
      <t>(FFC-1303)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溶媒流量调节阀</t>
    </r>
    <r>
      <rPr>
        <sz val="10"/>
        <rFont val="Consolas"/>
        <family val="3"/>
      </rPr>
      <t>HV_1303</t>
    </r>
  </si>
  <si>
    <r>
      <rPr>
        <sz val="10"/>
        <rFont val="Consolas"/>
        <family val="3"/>
      </rPr>
      <t xml:space="preserve">:Attr_139 :feedbackTo :Ctrl_036 .   # R1401 </t>
    </r>
    <r>
      <rPr>
        <sz val="10"/>
        <rFont val="Noto Sans CJK SC"/>
        <family val="2"/>
      </rPr>
      <t xml:space="preserve">混合溶媒进料流量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混合溶媒比值控制器</t>
    </r>
    <r>
      <rPr>
        <sz val="10"/>
        <rFont val="Consolas"/>
        <family val="3"/>
      </rPr>
      <t>(FFC-1303)</t>
    </r>
  </si>
  <si>
    <r>
      <rPr>
        <sz val="10"/>
        <rFont val="Consolas"/>
        <family val="3"/>
      </rPr>
      <t xml:space="preserve">:Act_036 :affects :Attr_139 .   # R1402 </t>
    </r>
    <r>
      <rPr>
        <sz val="10"/>
        <rFont val="Noto Sans CJK SC"/>
        <family val="2"/>
      </rPr>
      <t>溶媒流量调节阀</t>
    </r>
    <r>
      <rPr>
        <sz val="10"/>
        <rFont val="Consolas"/>
        <family val="3"/>
      </rPr>
      <t>HV_1303 -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混合溶媒进料流量</t>
    </r>
  </si>
  <si>
    <r>
      <rPr>
        <sz val="10"/>
        <rFont val="Consolas"/>
        <family val="3"/>
      </rPr>
      <t xml:space="preserve">:Ctrl_037 :controls :Act_037 .   # R1403 </t>
    </r>
    <r>
      <rPr>
        <sz val="10"/>
        <rFont val="Noto Sans CJK SC"/>
        <family val="2"/>
      </rPr>
      <t>回流混合溶媒流量控制器</t>
    </r>
    <r>
      <rPr>
        <sz val="10"/>
        <rFont val="Consolas"/>
        <family val="3"/>
      </rPr>
      <t>(FIC-1003)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回流混合溶媒调节阀</t>
    </r>
    <r>
      <rPr>
        <sz val="10"/>
        <rFont val="Consolas"/>
        <family val="3"/>
      </rPr>
      <t>HV_1020</t>
    </r>
  </si>
  <si>
    <r>
      <rPr>
        <sz val="10"/>
        <rFont val="Consolas"/>
        <family val="3"/>
      </rPr>
      <t xml:space="preserve">:Attr_140 :feedbackTo :Ctrl_037 .   # R1404 </t>
    </r>
    <r>
      <rPr>
        <sz val="10"/>
        <rFont val="Noto Sans CJK SC"/>
        <family val="2"/>
      </rPr>
      <t xml:space="preserve">回流混合溶媒流量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回流混合溶媒流量控制器</t>
    </r>
    <r>
      <rPr>
        <sz val="10"/>
        <rFont val="Consolas"/>
        <family val="3"/>
      </rPr>
      <t>(FIC-1003)</t>
    </r>
  </si>
  <si>
    <r>
      <rPr>
        <sz val="10"/>
        <rFont val="Consolas"/>
        <family val="3"/>
      </rPr>
      <t xml:space="preserve">:Act_037 :affects :Attr_140 .   # R1405 </t>
    </r>
    <r>
      <rPr>
        <sz val="10"/>
        <rFont val="Noto Sans CJK SC"/>
        <family val="2"/>
      </rPr>
      <t>回流混合溶媒调节阀</t>
    </r>
    <r>
      <rPr>
        <sz val="10"/>
        <rFont val="Consolas"/>
        <family val="3"/>
      </rPr>
      <t>HV_1020 -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回流混合溶媒流量</t>
    </r>
  </si>
  <si>
    <r>
      <rPr>
        <sz val="10"/>
        <rFont val="Consolas"/>
        <family val="3"/>
      </rPr>
      <t xml:space="preserve">:Ctrl_038 :controls :Act_038 .   # R1406 </t>
    </r>
    <r>
      <rPr>
        <sz val="10"/>
        <rFont val="Noto Sans CJK SC"/>
        <family val="2"/>
      </rPr>
      <t>反萃液碱流量控制器</t>
    </r>
    <r>
      <rPr>
        <sz val="10"/>
        <rFont val="Consolas"/>
        <family val="3"/>
      </rPr>
      <t>(FIC-1309)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反萃取液碱流量调节阀</t>
    </r>
    <r>
      <rPr>
        <sz val="10"/>
        <rFont val="Consolas"/>
        <family val="3"/>
      </rPr>
      <t>HV_1307</t>
    </r>
  </si>
  <si>
    <r>
      <rPr>
        <sz val="10"/>
        <rFont val="Consolas"/>
        <family val="3"/>
      </rPr>
      <t xml:space="preserve">:Attr_144 :feedbackTo :Ctrl_038 .   # R1407 </t>
    </r>
    <r>
      <rPr>
        <sz val="10"/>
        <rFont val="Noto Sans CJK SC"/>
        <family val="2"/>
      </rPr>
      <t xml:space="preserve">反萃液碱流量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反萃液碱流量控制器</t>
    </r>
    <r>
      <rPr>
        <sz val="10"/>
        <rFont val="Consolas"/>
        <family val="3"/>
      </rPr>
      <t>(FIC-1309)</t>
    </r>
  </si>
  <si>
    <r>
      <rPr>
        <sz val="10"/>
        <rFont val="Consolas"/>
        <family val="3"/>
      </rPr>
      <t xml:space="preserve">:Act_038 :affects :Attr_144 .   # R1408 </t>
    </r>
    <r>
      <rPr>
        <sz val="10"/>
        <rFont val="Noto Sans CJK SC"/>
        <family val="2"/>
      </rPr>
      <t>反萃取液碱流量调节阀</t>
    </r>
    <r>
      <rPr>
        <sz val="10"/>
        <rFont val="Consolas"/>
        <family val="3"/>
      </rPr>
      <t>HV_1307 -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反萃液碱流量</t>
    </r>
  </si>
  <si>
    <r>
      <rPr>
        <sz val="10"/>
        <rFont val="Consolas"/>
        <family val="3"/>
      </rPr>
      <t xml:space="preserve">:Ctrl_039 :controls :Act_039 .   # R1409 </t>
    </r>
    <r>
      <rPr>
        <sz val="10"/>
        <rFont val="Noto Sans CJK SC"/>
        <family val="2"/>
      </rPr>
      <t>反萃溶媒流量控制器</t>
    </r>
    <r>
      <rPr>
        <sz val="10"/>
        <rFont val="Consolas"/>
        <family val="3"/>
      </rPr>
      <t>(FIC-1308)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反萃取混合溶媒调节阀</t>
    </r>
    <r>
      <rPr>
        <sz val="10"/>
        <rFont val="Consolas"/>
        <family val="3"/>
      </rPr>
      <t>HV_1306</t>
    </r>
  </si>
  <si>
    <r>
      <rPr>
        <sz val="10"/>
        <rFont val="Consolas"/>
        <family val="3"/>
      </rPr>
      <t xml:space="preserve">:Attr_145 :feedbackTo :Ctrl_039 .   # R1410 </t>
    </r>
    <r>
      <rPr>
        <sz val="10"/>
        <rFont val="Noto Sans CJK SC"/>
        <family val="2"/>
      </rPr>
      <t xml:space="preserve">反萃混合流量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反萃溶媒流量控制器</t>
    </r>
    <r>
      <rPr>
        <sz val="10"/>
        <rFont val="Consolas"/>
        <family val="3"/>
      </rPr>
      <t>(FIC-1308)</t>
    </r>
  </si>
  <si>
    <r>
      <rPr>
        <sz val="10"/>
        <rFont val="Consolas"/>
        <family val="3"/>
      </rPr>
      <t xml:space="preserve">:Act_039 :affects :Attr_145 .   # R1411 </t>
    </r>
    <r>
      <rPr>
        <sz val="10"/>
        <rFont val="Noto Sans CJK SC"/>
        <family val="2"/>
      </rPr>
      <t>反萃取混合溶媒调节阀</t>
    </r>
    <r>
      <rPr>
        <sz val="10"/>
        <rFont val="Consolas"/>
        <family val="3"/>
      </rPr>
      <t>HV_1306 -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反萃混合流量</t>
    </r>
  </si>
  <si>
    <r>
      <rPr>
        <sz val="10"/>
        <rFont val="Consolas"/>
        <family val="3"/>
      </rPr>
      <t xml:space="preserve">:Ctrl_040 :controls :Act_040 .   # R1412 </t>
    </r>
    <r>
      <rPr>
        <sz val="10"/>
        <rFont val="Noto Sans CJK SC"/>
        <family val="2"/>
      </rPr>
      <t xml:space="preserve">反萃轻相去回收控制器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反萃轻相缓冲罐去回收调节阀</t>
    </r>
    <r>
      <rPr>
        <sz val="10"/>
        <rFont val="Consolas"/>
        <family val="3"/>
      </rPr>
      <t>HV_1026</t>
    </r>
  </si>
  <si>
    <r>
      <rPr>
        <sz val="10"/>
        <rFont val="Consolas"/>
        <family val="3"/>
      </rPr>
      <t xml:space="preserve">:Attr_154 :feedbackTo :Ctrl_040 .   # R1413 </t>
    </r>
    <r>
      <rPr>
        <sz val="10"/>
        <rFont val="Noto Sans CJK SC"/>
        <family val="2"/>
      </rPr>
      <t xml:space="preserve">反萃轻相罐液位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反萃轻相去回收控制器</t>
    </r>
  </si>
  <si>
    <r>
      <rPr>
        <sz val="10"/>
        <rFont val="Consolas"/>
        <family val="3"/>
      </rPr>
      <t xml:space="preserve">:Act_040 :affects :Attr_154 .   # R1414 </t>
    </r>
    <r>
      <rPr>
        <sz val="10"/>
        <rFont val="Noto Sans CJK SC"/>
        <family val="2"/>
      </rPr>
      <t>反萃轻相缓冲罐去回收调节阀</t>
    </r>
    <r>
      <rPr>
        <sz val="10"/>
        <rFont val="Consolas"/>
        <family val="3"/>
      </rPr>
      <t>HV_1026 -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反萃轻相罐液位</t>
    </r>
  </si>
  <si>
    <r>
      <rPr>
        <sz val="10"/>
        <rFont val="Consolas"/>
        <family val="3"/>
      </rPr>
      <t xml:space="preserve">:Ctrl_041 :controls :Act_041 .   # R1415 </t>
    </r>
    <r>
      <rPr>
        <sz val="10"/>
        <rFont val="Noto Sans CJK SC"/>
        <family val="2"/>
      </rPr>
      <t>重液去结晶温度控制器</t>
    </r>
    <r>
      <rPr>
        <sz val="10"/>
        <rFont val="Consolas"/>
        <family val="3"/>
      </rPr>
      <t>(TIC-1010)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去结晶换热器冷盐水调节阀</t>
    </r>
    <r>
      <rPr>
        <sz val="10"/>
        <rFont val="Consolas"/>
        <family val="3"/>
      </rPr>
      <t>HV_1025A/B</t>
    </r>
  </si>
  <si>
    <r>
      <rPr>
        <sz val="10"/>
        <rFont val="Consolas"/>
        <family val="3"/>
      </rPr>
      <t xml:space="preserve">:Attr_151 :feedbackTo :Ctrl_041 .   # R1416 </t>
    </r>
    <r>
      <rPr>
        <sz val="10"/>
        <rFont val="Noto Sans CJK SC"/>
        <family val="2"/>
      </rPr>
      <t xml:space="preserve">重液去结晶温度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重液去结晶温度控制器</t>
    </r>
    <r>
      <rPr>
        <sz val="10"/>
        <rFont val="Consolas"/>
        <family val="3"/>
      </rPr>
      <t>(TIC-1010)</t>
    </r>
  </si>
  <si>
    <r>
      <rPr>
        <sz val="10"/>
        <rFont val="Consolas"/>
        <family val="3"/>
      </rPr>
      <t xml:space="preserve">:Act_041 :affects :Attr_151 .   # R1417 </t>
    </r>
    <r>
      <rPr>
        <sz val="10"/>
        <rFont val="Noto Sans CJK SC"/>
        <family val="2"/>
      </rPr>
      <t>去结晶换热器冷盐水调节阀</t>
    </r>
    <r>
      <rPr>
        <sz val="10"/>
        <rFont val="Consolas"/>
        <family val="3"/>
      </rPr>
      <t>HV_1025A/B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重液去结晶温度</t>
    </r>
  </si>
  <si>
    <r>
      <rPr>
        <sz val="10"/>
        <rFont val="Consolas"/>
        <family val="3"/>
      </rPr>
      <t xml:space="preserve">:Ctrl_042 :controls :Act_042 .   # R1418 </t>
    </r>
    <r>
      <rPr>
        <sz val="10"/>
        <rFont val="Noto Sans CJK SC"/>
        <family val="2"/>
      </rPr>
      <t xml:space="preserve">重相缓冲罐回流控制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重相缓冲罐回流调节阀</t>
    </r>
    <r>
      <rPr>
        <sz val="10"/>
        <rFont val="Consolas"/>
        <family val="3"/>
      </rPr>
      <t>HV_1023</t>
    </r>
    <r>
      <rPr>
        <sz val="10"/>
        <rFont val="Noto Sans CJK SC"/>
        <family val="2"/>
      </rPr>
      <t>、回流换热器</t>
    </r>
    <r>
      <rPr>
        <sz val="10"/>
        <rFont val="Consolas"/>
        <family val="3"/>
      </rPr>
      <t>HV_1022A/B</t>
    </r>
  </si>
  <si>
    <r>
      <rPr>
        <sz val="10"/>
        <rFont val="Consolas"/>
        <family val="3"/>
      </rPr>
      <t xml:space="preserve">:Attr_150 :feedbackTo :Ctrl_042 .   # R1419 </t>
    </r>
    <r>
      <rPr>
        <sz val="10"/>
        <rFont val="Noto Sans CJK SC"/>
        <family val="2"/>
      </rPr>
      <t xml:space="preserve">重液缓冲罐液位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重相缓冲罐回流控制</t>
    </r>
  </si>
  <si>
    <r>
      <rPr>
        <sz val="10"/>
        <rFont val="Consolas"/>
        <family val="3"/>
      </rPr>
      <t xml:space="preserve">:Act_042 :affects :Attr_150 .   # R1420 </t>
    </r>
    <r>
      <rPr>
        <sz val="10"/>
        <rFont val="Noto Sans CJK SC"/>
        <family val="2"/>
      </rPr>
      <t>重相缓冲罐回流调节阀</t>
    </r>
    <r>
      <rPr>
        <sz val="10"/>
        <rFont val="Consolas"/>
        <family val="3"/>
      </rPr>
      <t>HV_1023</t>
    </r>
    <r>
      <rPr>
        <sz val="10"/>
        <rFont val="Noto Sans CJK SC"/>
        <family val="2"/>
      </rPr>
      <t>、回流换热器</t>
    </r>
    <r>
      <rPr>
        <sz val="10"/>
        <rFont val="Consolas"/>
        <family val="3"/>
      </rPr>
      <t>HV_1022A/B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重液缓冲罐液位</t>
    </r>
  </si>
  <si>
    <r>
      <rPr>
        <sz val="10"/>
        <rFont val="Consolas"/>
        <family val="3"/>
      </rPr>
      <t xml:space="preserve">:Ctrl_043 :controls :Act_043 .   # R1421 </t>
    </r>
    <r>
      <rPr>
        <sz val="10"/>
        <rFont val="Noto Sans CJK SC"/>
        <family val="2"/>
      </rPr>
      <t xml:space="preserve">分相罐出料控制器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分相罐出料调节阀</t>
    </r>
    <r>
      <rPr>
        <sz val="10"/>
        <rFont val="Consolas"/>
        <family val="3"/>
      </rPr>
      <t>FXG_CL</t>
    </r>
  </si>
  <si>
    <r>
      <rPr>
        <sz val="10"/>
        <rFont val="Consolas"/>
        <family val="3"/>
      </rPr>
      <t xml:space="preserve">:Attr_147 :feedbackTo :Ctrl_043 .   # R1422 </t>
    </r>
    <r>
      <rPr>
        <sz val="10"/>
        <rFont val="Noto Sans CJK SC"/>
        <family val="2"/>
      </rPr>
      <t xml:space="preserve">分相罐液位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分相罐出料控制器</t>
    </r>
  </si>
  <si>
    <r>
      <rPr>
        <sz val="10"/>
        <rFont val="Consolas"/>
        <family val="3"/>
      </rPr>
      <t xml:space="preserve">:Act_043 :affects :Attr_147 .   # R1423 </t>
    </r>
    <r>
      <rPr>
        <sz val="10"/>
        <rFont val="Noto Sans CJK SC"/>
        <family val="2"/>
      </rPr>
      <t>分相罐出料调节阀</t>
    </r>
    <r>
      <rPr>
        <sz val="10"/>
        <rFont val="Consolas"/>
        <family val="3"/>
      </rPr>
      <t>FXG_CL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分相罐液位</t>
    </r>
  </si>
  <si>
    <r>
      <rPr>
        <sz val="10"/>
        <rFont val="Consolas"/>
        <family val="3"/>
      </rPr>
      <t xml:space="preserve">:ExtractionEjector :isControlledBy :Seq_07 .   # R1424 </t>
    </r>
    <r>
      <rPr>
        <sz val="10"/>
        <rFont val="Noto Sans CJK SC"/>
        <family val="2"/>
      </rPr>
      <t>萃取喷射器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酸化混合器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被控制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萃取模式顺控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一萃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二萃、离心机启动、急停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</si>
  <si>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:ExtCentrifuge1 :isControlledBy :Seq_07 .   # R1425 </t>
    </r>
    <r>
      <rPr>
        <sz val="10"/>
        <rFont val="Noto Sans CJK SC"/>
        <family val="2"/>
      </rPr>
      <t xml:space="preserve">一萃离心机组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被控制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萃取模式顺控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一萃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二萃、离心机启动、急停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</si>
  <si>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:ExtCentrifuge2 :isControlledBy :Seq_07 .   # R1426 </t>
    </r>
    <r>
      <rPr>
        <sz val="10"/>
        <rFont val="Noto Sans CJK SC"/>
        <family val="2"/>
      </rPr>
      <t xml:space="preserve">二萃离心机组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被控制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萃取模式顺控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一萃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二萃、离心机启动、急停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</si>
  <si>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:Attr_135 :triggersAlarm :Alarm_15 .   # R1427 </t>
    </r>
    <r>
      <rPr>
        <sz val="10"/>
        <rFont val="Noto Sans CJK SC"/>
        <family val="2"/>
      </rPr>
      <t>酸化体系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触发报警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萃取离心机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保护</t>
    </r>
  </si>
  <si>
    <r>
      <rPr>
        <sz val="10"/>
        <rFont val="Consolas"/>
        <family val="3"/>
      </rPr>
      <t xml:space="preserve">:HydrolysateBuffer :connectedToNext :HydrolysateCoolers .   # R1428 </t>
    </r>
    <r>
      <rPr>
        <sz val="10"/>
        <rFont val="Noto Sans CJK SC"/>
        <family val="2"/>
      </rPr>
      <t xml:space="preserve">水解液缓冲罐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水解液换热器组</t>
    </r>
  </si>
  <si>
    <r>
      <rPr>
        <sz val="10"/>
        <rFont val="Consolas"/>
        <family val="3"/>
      </rPr>
      <t xml:space="preserve">:MS_Brine :suppliesUtility :HydrolysateCoolers .   # R1429 </t>
    </r>
    <r>
      <rPr>
        <sz val="10"/>
        <rFont val="Noto Sans CJK SC"/>
        <family val="2"/>
      </rPr>
      <t>冷盐水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冰盐水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供给介质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水解液换热器组</t>
    </r>
  </si>
  <si>
    <r>
      <rPr>
        <sz val="10"/>
        <rFont val="Consolas"/>
        <family val="3"/>
      </rPr>
      <t xml:space="preserve">:MS_Hydrolysate :flowsInto :ExtractionEjector .   # R1430 </t>
    </r>
    <r>
      <rPr>
        <sz val="10"/>
        <rFont val="Noto Sans CJK SC"/>
        <family val="2"/>
      </rPr>
      <t xml:space="preserve">酶解水解反应液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萃取喷射器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酸化混合器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</si>
  <si>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:MS_HCl :injectedInto :ExtractionEjector .   # R1431 </t>
    </r>
    <r>
      <rPr>
        <sz val="10"/>
        <rFont val="Noto Sans CJK SC"/>
        <family val="2"/>
      </rPr>
      <t xml:space="preserve">盐酸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注入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萃取喷射器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酸化混合器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</si>
  <si>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:MS_MixedSolvent :flowsInto :ExtractionEjector .   # R1432 </t>
    </r>
    <r>
      <rPr>
        <sz val="10"/>
        <rFont val="Noto Sans CJK SC"/>
        <family val="2"/>
      </rPr>
      <t xml:space="preserve">混合溶媒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萃取喷射器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酸化混合器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</si>
  <si>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:ExtractionEjector :produces :MS_AcidifiedHydro .   # R1433 </t>
    </r>
    <r>
      <rPr>
        <sz val="10"/>
        <rFont val="Noto Sans CJK SC"/>
        <family val="2"/>
      </rPr>
      <t>萃取喷射器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酸化混合器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酸化萃取混合液</t>
    </r>
  </si>
  <si>
    <r>
      <rPr>
        <sz val="10"/>
        <rFont val="Consolas"/>
        <family val="3"/>
      </rPr>
      <t xml:space="preserve">:MS_AcidifiedHydro :flowsInto :ExtCentrifuge1 .   # R1434 </t>
    </r>
    <r>
      <rPr>
        <sz val="10"/>
        <rFont val="Noto Sans CJK SC"/>
        <family val="2"/>
      </rPr>
      <t xml:space="preserve">酸化萃取混合液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一萃离心机组</t>
    </r>
  </si>
  <si>
    <r>
      <rPr>
        <sz val="10"/>
        <rFont val="Consolas"/>
        <family val="3"/>
      </rPr>
      <t xml:space="preserve">:ExtCentrifuge1 :separatesInto :MS_Ext1Heavy .   # R1435 </t>
    </r>
    <r>
      <rPr>
        <sz val="10"/>
        <rFont val="Noto Sans CJK SC"/>
        <family val="2"/>
      </rPr>
      <t xml:space="preserve">一萃离心机组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分离产出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一萃重相</t>
    </r>
  </si>
  <si>
    <r>
      <rPr>
        <sz val="10"/>
        <rFont val="Consolas"/>
        <family val="3"/>
      </rPr>
      <t xml:space="preserve">:ExtCentrifuge1 :separatesInto :MS_ExtLight .   # R1436 </t>
    </r>
    <r>
      <rPr>
        <sz val="10"/>
        <rFont val="Noto Sans CJK SC"/>
        <family val="2"/>
      </rPr>
      <t xml:space="preserve">一萃离心机组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分离产出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萃取轻相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富苯乙酸溶媒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</si>
  <si>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:MS_Ext1Heavy :flowsInto :ExtCentrifuge2 .   # R1437 </t>
    </r>
    <r>
      <rPr>
        <sz val="10"/>
        <rFont val="Noto Sans CJK SC"/>
        <family val="2"/>
      </rPr>
      <t xml:space="preserve">一萃重相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二萃离心机组</t>
    </r>
  </si>
  <si>
    <r>
      <rPr>
        <sz val="10"/>
        <rFont val="Consolas"/>
        <family val="3"/>
      </rPr>
      <t xml:space="preserve">:MS_MixedSolvent :flowsInto :ExtCentrifuge2 .   # R1438 </t>
    </r>
    <r>
      <rPr>
        <sz val="10"/>
        <rFont val="Noto Sans CJK SC"/>
        <family val="2"/>
      </rPr>
      <t xml:space="preserve">混合溶媒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二萃离心机组</t>
    </r>
  </si>
  <si>
    <r>
      <rPr>
        <sz val="10"/>
        <rFont val="Consolas"/>
        <family val="3"/>
      </rPr>
      <t xml:space="preserve">:ExtCentrifuge2 :separatesInto :MS_HeavyLiquor .   # R1439 </t>
    </r>
    <r>
      <rPr>
        <sz val="10"/>
        <rFont val="Noto Sans CJK SC"/>
        <family val="2"/>
      </rPr>
      <t xml:space="preserve">二萃离心机组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分离产出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重液</t>
    </r>
  </si>
  <si>
    <r>
      <rPr>
        <sz val="10"/>
        <rFont val="Consolas"/>
        <family val="3"/>
      </rPr>
      <t xml:space="preserve">:ExtCentrifuge2 :separatesInto :MS_ExtLight .   # R1440 </t>
    </r>
    <r>
      <rPr>
        <sz val="10"/>
        <rFont val="Noto Sans CJK SC"/>
        <family val="2"/>
      </rPr>
      <t xml:space="preserve">二萃离心机组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分离产出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萃取轻相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富苯乙酸溶媒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</si>
  <si>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>:MS_HeavyLiquor :flowsInto :PhaseSeparator .   # R1441 6APA</t>
    </r>
    <r>
      <rPr>
        <sz val="10"/>
        <rFont val="Noto Sans CJK SC"/>
        <family val="2"/>
      </rPr>
      <t xml:space="preserve">重液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萃取分相罐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室外分相罐</t>
    </r>
  </si>
  <si>
    <r>
      <rPr>
        <sz val="10"/>
        <rFont val="Consolas"/>
        <family val="3"/>
      </rPr>
      <t xml:space="preserve">:PhaseSeparator :connectedToNext :HeavyLiquorBuffer .   # R1442 </t>
    </r>
    <r>
      <rPr>
        <sz val="10"/>
        <rFont val="Noto Sans CJK SC"/>
        <family val="2"/>
      </rPr>
      <t>萃取分相罐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室外分相罐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重液缓冲罐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萃取离心机重相缓冲罐</t>
    </r>
  </si>
  <si>
    <r>
      <rPr>
        <sz val="10"/>
        <rFont val="Consolas"/>
        <family val="3"/>
      </rPr>
      <t xml:space="preserve">:HeavyLiquorBuffer :connectedToNext :HeavyLiquorFilter .   # R1443 </t>
    </r>
    <r>
      <rPr>
        <sz val="10"/>
        <rFont val="Noto Sans CJK SC"/>
        <family val="2"/>
      </rPr>
      <t>重液缓冲罐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萃取离心机重相缓冲罐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萃取重液过滤器</t>
    </r>
  </si>
  <si>
    <r>
      <rPr>
        <sz val="10"/>
        <rFont val="Consolas"/>
        <family val="3"/>
      </rPr>
      <t xml:space="preserve">:HeavyLiquorFilter :connectedToNext :BatchCrystallizerGroup .   # R1444 </t>
    </r>
    <r>
      <rPr>
        <sz val="10"/>
        <rFont val="Noto Sans CJK SC"/>
        <family val="2"/>
      </rPr>
      <t xml:space="preserve">萃取重液过滤器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</t>
    </r>
  </si>
  <si>
    <r>
      <rPr>
        <sz val="10"/>
        <rFont val="Consolas"/>
        <family val="3"/>
      </rPr>
      <t xml:space="preserve">:MS_ExtLight :flowsInto :ExtLightTank .   # R1445 </t>
    </r>
    <r>
      <rPr>
        <sz val="10"/>
        <rFont val="Noto Sans CJK SC"/>
        <family val="2"/>
      </rPr>
      <t>萃取轻相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富苯乙酸溶媒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萃取轻相罐</t>
    </r>
  </si>
  <si>
    <r>
      <rPr>
        <sz val="10"/>
        <rFont val="Consolas"/>
        <family val="3"/>
      </rPr>
      <t xml:space="preserve">:ExtLightTank :connectedToNext :BackExtCentrifugeR .   # R1446 </t>
    </r>
    <r>
      <rPr>
        <sz val="10"/>
        <rFont val="Noto Sans CJK SC"/>
        <family val="2"/>
      </rPr>
      <t xml:space="preserve">萃取轻相罐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反萃离心机组</t>
    </r>
  </si>
  <si>
    <r>
      <rPr>
        <sz val="10"/>
        <rFont val="Consolas"/>
        <family val="3"/>
      </rPr>
      <t xml:space="preserve">:MS_Caustic :injectedInto :BackExtCentrifugeR .   # R1447 </t>
    </r>
    <r>
      <rPr>
        <sz val="10"/>
        <rFont val="Noto Sans CJK SC"/>
        <family val="2"/>
      </rPr>
      <t>液碱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稀碱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注入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反萃离心机组</t>
    </r>
  </si>
  <si>
    <r>
      <rPr>
        <sz val="10"/>
        <rFont val="Consolas"/>
        <family val="3"/>
      </rPr>
      <t xml:space="preserve">:BackExtCentrifugeR :separatesInto :MS_BackExtHeavy .   # R1448 </t>
    </r>
    <r>
      <rPr>
        <sz val="10"/>
        <rFont val="Noto Sans CJK SC"/>
        <family val="2"/>
      </rPr>
      <t xml:space="preserve">反萃离心机组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分离产出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反萃重相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苯乙酸钠液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</si>
  <si>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:BackExtCentrifugeR :separatesInto :MS_BackExtLight .   # R1449 </t>
    </r>
    <r>
      <rPr>
        <sz val="10"/>
        <rFont val="Noto Sans CJK SC"/>
        <family val="2"/>
      </rPr>
      <t xml:space="preserve">反萃离心机组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分离产出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反萃轻相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再生溶媒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</si>
  <si>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:MS_BackExtLight :flowsInto :BackExtLightTank .   # R1450 </t>
    </r>
    <r>
      <rPr>
        <sz val="10"/>
        <rFont val="Noto Sans CJK SC"/>
        <family val="2"/>
      </rPr>
      <t>反萃轻相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再生溶媒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反萃取轻相罐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反萃轻相缓冲罐</t>
    </r>
  </si>
  <si>
    <r>
      <rPr>
        <sz val="10"/>
        <rFont val="Consolas"/>
        <family val="3"/>
      </rPr>
      <t xml:space="preserve">:BackExtLightTank :connectedToNext :MixedSolventTank .   # R1451 </t>
    </r>
    <r>
      <rPr>
        <sz val="10"/>
        <rFont val="Noto Sans CJK SC"/>
        <family val="2"/>
      </rPr>
      <t>反萃取轻相罐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反萃轻相缓冲罐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混合溶媒罐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缓冲罐</t>
    </r>
  </si>
  <si>
    <r>
      <rPr>
        <sz val="10"/>
        <rFont val="Consolas"/>
        <family val="3"/>
      </rPr>
      <t xml:space="preserve">:MS_RecoveredSolvent :flowsInto :MixedSolventTank .   # R1452 </t>
    </r>
    <r>
      <rPr>
        <sz val="10"/>
        <rFont val="Noto Sans CJK SC"/>
        <family val="2"/>
      </rPr>
      <t>回收混合溶媒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丁酯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丁醇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混合溶媒罐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缓冲罐</t>
    </r>
  </si>
  <si>
    <r>
      <rPr>
        <sz val="10"/>
        <rFont val="Consolas"/>
        <family val="3"/>
      </rPr>
      <t xml:space="preserve">:MixedSolventTank :produces :MS_MixedSolvent .   # R1453 </t>
    </r>
    <r>
      <rPr>
        <sz val="10"/>
        <rFont val="Noto Sans CJK SC"/>
        <family val="2"/>
      </rPr>
      <t>混合溶媒罐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混合溶媒</t>
    </r>
  </si>
  <si>
    <r>
      <rPr>
        <sz val="10"/>
        <rFont val="Consolas"/>
        <family val="3"/>
      </rPr>
      <t xml:space="preserve">:HClBufferTank :connectedToNext :ExtractionEjector .   # R1454 </t>
    </r>
    <r>
      <rPr>
        <sz val="10"/>
        <rFont val="Noto Sans CJK SC"/>
        <family val="2"/>
      </rPr>
      <t xml:space="preserve">盐酸缓冲罐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萃取喷射器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酸化混合器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</si>
  <si>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:MS_Hydrolysate :flowsInto :HydrolysateCoolers .   # R1455 </t>
    </r>
    <r>
      <rPr>
        <sz val="10"/>
        <rFont val="Noto Sans CJK SC"/>
        <family val="2"/>
      </rPr>
      <t xml:space="preserve">酶解水解反应液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水解液换热器组</t>
    </r>
  </si>
  <si>
    <r>
      <rPr>
        <sz val="10"/>
        <rFont val="Consolas"/>
        <family val="3"/>
      </rPr>
      <t xml:space="preserve">:Attr_134 :positivelyAffects :Attr_133 .   # R1456 </t>
    </r>
    <r>
      <rPr>
        <sz val="10"/>
        <rFont val="Noto Sans CJK SC"/>
        <family val="2"/>
      </rPr>
      <t xml:space="preserve">回流换热器出口温度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水解进料换热温度</t>
    </r>
  </si>
  <si>
    <r>
      <rPr>
        <sz val="10"/>
        <rFont val="Consolas"/>
        <family val="3"/>
      </rPr>
      <t xml:space="preserve">:Attr_133 :positivelyAffects :Attr_279 .   # R1457 </t>
    </r>
    <r>
      <rPr>
        <sz val="10"/>
        <rFont val="Noto Sans CJK SC"/>
        <family val="2"/>
      </rPr>
      <t xml:space="preserve">水解进料换热温度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相界面热乳化程度</t>
    </r>
  </si>
  <si>
    <r>
      <rPr>
        <sz val="10"/>
        <rFont val="Consolas"/>
        <family val="3"/>
      </rPr>
      <t xml:space="preserve">:Attr_133 :positivelyAffects :Attr_281 .   # R1458 </t>
    </r>
    <r>
      <rPr>
        <sz val="10"/>
        <rFont val="Noto Sans CJK SC"/>
        <family val="2"/>
      </rPr>
      <t xml:space="preserve">水解进料换热温度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酸性降解速率</t>
    </r>
  </si>
  <si>
    <r>
      <rPr>
        <sz val="10"/>
        <rFont val="Consolas"/>
        <family val="3"/>
      </rPr>
      <t xml:space="preserve">:Attr_138 :negativelyAffects :Attr_135 .   # R1459 </t>
    </r>
    <r>
      <rPr>
        <sz val="10"/>
        <rFont val="Noto Sans CJK SC"/>
        <family val="2"/>
      </rPr>
      <t xml:space="preserve">盐酸进料流量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酸化体系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</si>
  <si>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:Attr_135 :affects :Attr_276 .   # R1460 </t>
    </r>
    <r>
      <rPr>
        <sz val="10"/>
        <rFont val="Noto Sans CJK SC"/>
        <family val="2"/>
      </rPr>
      <t>酸化体系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苯乙酸两相分配系数</t>
    </r>
  </si>
  <si>
    <r>
      <rPr>
        <sz val="10"/>
        <rFont val="Consolas"/>
        <family val="3"/>
      </rPr>
      <t xml:space="preserve">:Attr_135 :negativelyAffects :Attr_281 .   # R1461 </t>
    </r>
    <r>
      <rPr>
        <sz val="10"/>
        <rFont val="Noto Sans CJK SC"/>
        <family val="2"/>
      </rPr>
      <t>酸化体系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酸性降解速率</t>
    </r>
  </si>
  <si>
    <r>
      <rPr>
        <sz val="10"/>
        <rFont val="Consolas"/>
        <family val="3"/>
      </rPr>
      <t xml:space="preserve">:Attr_139 :positivelyAffects :Attr_277 .   # R1462 </t>
    </r>
    <r>
      <rPr>
        <sz val="10"/>
        <rFont val="Noto Sans CJK SC"/>
        <family val="2"/>
      </rPr>
      <t xml:space="preserve">混合溶媒进料流量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有机水相相比</t>
    </r>
    <r>
      <rPr>
        <sz val="10"/>
        <rFont val="Consolas"/>
        <family val="3"/>
      </rPr>
      <t>(O/A</t>
    </r>
    <r>
      <rPr>
        <sz val="10"/>
        <rFont val="Noto Sans CJK SC"/>
        <family val="2"/>
      </rPr>
      <t>比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</si>
  <si>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:Attr_137 :negativelyAffects :Attr_277 .   # R1463 </t>
    </r>
    <r>
      <rPr>
        <sz val="10"/>
        <rFont val="Noto Sans CJK SC"/>
        <family val="2"/>
      </rPr>
      <t xml:space="preserve">水解液进料流量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有机水相相比</t>
    </r>
    <r>
      <rPr>
        <sz val="10"/>
        <rFont val="Consolas"/>
        <family val="3"/>
      </rPr>
      <t>(O/A</t>
    </r>
    <r>
      <rPr>
        <sz val="10"/>
        <rFont val="Noto Sans CJK SC"/>
        <family val="2"/>
      </rPr>
      <t>比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</si>
  <si>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:Attr_277 :affects :Attr_278 .   # R1464 </t>
    </r>
    <r>
      <rPr>
        <sz val="10"/>
        <rFont val="Noto Sans CJK SC"/>
        <family val="2"/>
      </rPr>
      <t>有机水相相比</t>
    </r>
    <r>
      <rPr>
        <sz val="10"/>
        <rFont val="Consolas"/>
        <family val="3"/>
      </rPr>
      <t>(O/A</t>
    </r>
    <r>
      <rPr>
        <sz val="10"/>
        <rFont val="Noto Sans CJK SC"/>
        <family val="2"/>
      </rPr>
      <t>比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萃取分配平衡度</t>
    </r>
  </si>
  <si>
    <r>
      <rPr>
        <sz val="10"/>
        <rFont val="Consolas"/>
        <family val="3"/>
      </rPr>
      <t xml:space="preserve">:Attr_276 :negativelyAffects :QKPI_282 .   # R1465 </t>
    </r>
    <r>
      <rPr>
        <sz val="10"/>
        <rFont val="Noto Sans CJK SC"/>
        <family val="2"/>
      </rPr>
      <t xml:space="preserve">苯乙酸两相分配系数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重液苯乙酸残留</t>
    </r>
  </si>
  <si>
    <r>
      <rPr>
        <sz val="10"/>
        <rFont val="Consolas"/>
        <family val="3"/>
      </rPr>
      <t xml:space="preserve">:Attr_278 :negativelyAffects :QKPI_282 .   # R1466 </t>
    </r>
    <r>
      <rPr>
        <sz val="10"/>
        <rFont val="Noto Sans CJK SC"/>
        <family val="2"/>
      </rPr>
      <t xml:space="preserve">萃取分配平衡度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重液苯乙酸残留</t>
    </r>
  </si>
  <si>
    <r>
      <rPr>
        <sz val="10"/>
        <rFont val="Consolas"/>
        <family val="3"/>
      </rPr>
      <t xml:space="preserve">:Attr_279 :negativelyAffects :QKPI_280 .   # R1467 </t>
    </r>
    <r>
      <rPr>
        <sz val="10"/>
        <rFont val="Noto Sans CJK SC"/>
        <family val="2"/>
      </rPr>
      <t xml:space="preserve">相界面热乳化程度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离心分相澄清度</t>
    </r>
  </si>
  <si>
    <r>
      <rPr>
        <sz val="10"/>
        <rFont val="Consolas"/>
        <family val="3"/>
      </rPr>
      <t xml:space="preserve">:QKPI_280 :negativelyAffects :QKPI_283 .   # R1468 </t>
    </r>
    <r>
      <rPr>
        <sz val="10"/>
        <rFont val="Noto Sans CJK SC"/>
        <family val="2"/>
      </rPr>
      <t xml:space="preserve">离心分相澄清度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废有机相</t>
    </r>
    <r>
      <rPr>
        <sz val="10"/>
        <rFont val="Consolas"/>
        <family val="3"/>
      </rPr>
      <t>6-APA</t>
    </r>
    <r>
      <rPr>
        <sz val="10"/>
        <rFont val="Noto Sans CJK SC"/>
        <family val="2"/>
      </rPr>
      <t>夹带残效</t>
    </r>
  </si>
  <si>
    <r>
      <rPr>
        <sz val="10"/>
        <rFont val="Consolas"/>
        <family val="3"/>
      </rPr>
      <t xml:space="preserve">:Attr_151 :positivelyAffects :Attr_281 .   # R1469 </t>
    </r>
    <r>
      <rPr>
        <sz val="10"/>
        <rFont val="Noto Sans CJK SC"/>
        <family val="2"/>
      </rPr>
      <t xml:space="preserve">重液去结晶温度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酸性降解速率</t>
    </r>
  </si>
  <si>
    <r>
      <rPr>
        <sz val="10"/>
        <rFont val="Consolas"/>
        <family val="3"/>
      </rPr>
      <t xml:space="preserve">:Attr_144 :positivelyAffects :Attr_146 .   # R1470 </t>
    </r>
    <r>
      <rPr>
        <sz val="10"/>
        <rFont val="Noto Sans CJK SC"/>
        <family val="2"/>
      </rPr>
      <t xml:space="preserve">反萃液碱流量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反萃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</si>
  <si>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:Attr_146 :positivelyAffects :QKPI_284 .   # R1471 </t>
    </r>
    <r>
      <rPr>
        <sz val="10"/>
        <rFont val="Noto Sans CJK SC"/>
        <family val="2"/>
      </rPr>
      <t>反萃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溶媒再生率</t>
    </r>
  </si>
  <si>
    <r>
      <rPr>
        <sz val="10"/>
        <rFont val="Consolas"/>
        <family val="3"/>
      </rPr>
      <t xml:space="preserve">:Attr_310 :negativelyAffects :Attr_133 .   # R1472 </t>
    </r>
    <r>
      <rPr>
        <sz val="10"/>
        <rFont val="Noto Sans CJK SC"/>
        <family val="2"/>
      </rPr>
      <t>冷盐水流量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水解液换热器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水解进料换热温度</t>
    </r>
  </si>
  <si>
    <r>
      <rPr>
        <sz val="10"/>
        <rFont val="Consolas"/>
        <family val="3"/>
      </rPr>
      <t xml:space="preserve">:Attr_309 :affects :Attr_251 .   # R1473 </t>
    </r>
    <r>
      <rPr>
        <sz val="10"/>
        <rFont val="Noto Sans CJK SC"/>
        <family val="2"/>
      </rPr>
      <t xml:space="preserve">萃取离心机轻重相背压差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离心机分相交界面位置</t>
    </r>
  </si>
  <si>
    <r>
      <rPr>
        <sz val="10"/>
        <rFont val="Consolas"/>
        <family val="3"/>
      </rPr>
      <t xml:space="preserve">:Attr_307 :affects :Attr_309 .   # R1474 </t>
    </r>
    <r>
      <rPr>
        <sz val="10"/>
        <rFont val="Noto Sans CJK SC"/>
        <family val="2"/>
      </rPr>
      <t xml:space="preserve">萃取离心机轻相背压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萃取离心机轻重相背压差</t>
    </r>
  </si>
  <si>
    <r>
      <rPr>
        <sz val="10"/>
        <rFont val="Consolas"/>
        <family val="3"/>
      </rPr>
      <t xml:space="preserve">:Attr_308 :affects :Attr_309 .   # R1475 </t>
    </r>
    <r>
      <rPr>
        <sz val="10"/>
        <rFont val="Noto Sans CJK SC"/>
        <family val="2"/>
      </rPr>
      <t xml:space="preserve">萃取离心机重相背压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萃取离心机轻重相背压差</t>
    </r>
  </si>
  <si>
    <r>
      <rPr>
        <sz val="10"/>
        <rFont val="Consolas"/>
        <family val="3"/>
      </rPr>
      <t xml:space="preserve">:Attr_251 :affects :QKPI_280 .   # R1476 </t>
    </r>
    <r>
      <rPr>
        <sz val="10"/>
        <rFont val="Noto Sans CJK SC"/>
        <family val="2"/>
      </rPr>
      <t xml:space="preserve">离心机分相交界面位置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离心分相澄清度</t>
    </r>
  </si>
  <si>
    <r>
      <rPr>
        <sz val="10"/>
        <rFont val="Consolas"/>
        <family val="3"/>
      </rPr>
      <t xml:space="preserve">:Attr_306 :positivelyAffects :QKPI_280 .   # R1477 </t>
    </r>
    <r>
      <rPr>
        <sz val="10"/>
        <rFont val="Noto Sans CJK SC"/>
        <family val="2"/>
      </rPr>
      <t xml:space="preserve">萃取离心机转速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离心分相澄清度</t>
    </r>
  </si>
  <si>
    <r>
      <rPr>
        <sz val="10"/>
        <rFont val="Consolas"/>
        <family val="3"/>
      </rPr>
      <t xml:space="preserve">:QKPI_283 :negativelyAffects :BKPI_303 .   # R1478 </t>
    </r>
    <r>
      <rPr>
        <sz val="10"/>
        <rFont val="Noto Sans CJK SC"/>
        <family val="2"/>
      </rPr>
      <t>废有机相</t>
    </r>
    <r>
      <rPr>
        <sz val="10"/>
        <rFont val="Consolas"/>
        <family val="3"/>
      </rPr>
      <t>6-APA</t>
    </r>
    <r>
      <rPr>
        <sz val="10"/>
        <rFont val="Noto Sans CJK SC"/>
        <family val="2"/>
      </rPr>
      <t xml:space="preserve">夹带残效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产品批次提取收率</t>
    </r>
  </si>
  <si>
    <r>
      <rPr>
        <sz val="10"/>
        <rFont val="Consolas"/>
        <family val="3"/>
      </rPr>
      <t>:Attr_281 :negativelyAffects :BKPI_303 .   # R1479 6APA</t>
    </r>
    <r>
      <rPr>
        <sz val="10"/>
        <rFont val="Noto Sans CJK SC"/>
        <family val="2"/>
      </rPr>
      <t xml:space="preserve">酸性降解速率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产品批次提取收率</t>
    </r>
  </si>
  <si>
    <r>
      <rPr>
        <sz val="10"/>
        <rFont val="Consolas"/>
        <family val="3"/>
      </rPr>
      <t xml:space="preserve">:QKPI_282 :negativelyAffects :QKPI_296 .   # R1480 </t>
    </r>
    <r>
      <rPr>
        <sz val="10"/>
        <rFont val="Noto Sans CJK SC"/>
        <family val="2"/>
      </rPr>
      <t xml:space="preserve">重液苯乙酸残留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>-&gt; 6-APA</t>
    </r>
    <r>
      <rPr>
        <sz val="10"/>
        <rFont val="Noto Sans CJK SC"/>
        <family val="2"/>
      </rPr>
      <t>成品含量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色级</t>
    </r>
  </si>
  <si>
    <r>
      <rPr>
        <sz val="10"/>
        <rFont val="Consolas"/>
        <family val="3"/>
      </rPr>
      <t xml:space="preserve">:QKPI_284 :negativelyAffects :BKPI_302 .   # R1481 </t>
    </r>
    <r>
      <rPr>
        <sz val="10"/>
        <rFont val="Noto Sans CJK SC"/>
        <family val="2"/>
      </rPr>
      <t xml:space="preserve">溶媒再生率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溶媒单耗</t>
    </r>
  </si>
  <si>
    <r>
      <rPr>
        <sz val="10"/>
        <rFont val="Consolas"/>
        <family val="3"/>
      </rPr>
      <t xml:space="preserve">:QKPI_284 :positivelyAffects :QKPI_300 .   # R1482 </t>
    </r>
    <r>
      <rPr>
        <sz val="10"/>
        <rFont val="Noto Sans CJK SC"/>
        <family val="2"/>
      </rPr>
      <t xml:space="preserve">溶媒再生率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苯乙酸回收率</t>
    </r>
  </si>
  <si>
    <r>
      <rPr>
        <sz val="10"/>
        <rFont val="Consolas"/>
        <family val="3"/>
      </rPr>
      <t xml:space="preserve">
# --- S13 6APA</t>
    </r>
    <r>
      <rPr>
        <sz val="10"/>
        <rFont val="Noto Sans CJK SC"/>
        <family val="2"/>
      </rPr>
      <t xml:space="preserve">批次结晶与离心 </t>
    </r>
    <r>
      <rPr>
        <sz val="10"/>
        <rFont val="Consolas"/>
        <family val="3"/>
      </rPr>
      <t>---</t>
    </r>
  </si>
  <si>
    <r>
      <rPr>
        <sz val="10"/>
        <rFont val="Consolas"/>
        <family val="3"/>
      </rPr>
      <t>:Area_S13_BatchCrystallization :connectedToNext :Area_S16_Drying .   # R1483 6APA</t>
    </r>
    <r>
      <rPr>
        <sz val="10"/>
        <rFont val="Noto Sans CJK SC"/>
        <family val="2"/>
      </rPr>
      <t xml:space="preserve">批次结晶与离心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干燥</t>
    </r>
  </si>
  <si>
    <r>
      <rPr>
        <sz val="10"/>
        <rFont val="Consolas"/>
        <family val="3"/>
      </rPr>
      <t>:Area_S13_BatchCrystallization :connectedToNext :Area_S17_MotherLiquorRecovery .   # R1484 6APA</t>
    </r>
    <r>
      <rPr>
        <sz val="10"/>
        <rFont val="Noto Sans CJK SC"/>
        <family val="2"/>
      </rPr>
      <t xml:space="preserve">批次结晶与离心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结晶母液回收</t>
    </r>
  </si>
  <si>
    <r>
      <rPr>
        <sz val="10"/>
        <rFont val="Consolas"/>
        <family val="3"/>
      </rPr>
      <t>:Area_S13_BatchCrystallization :hasEquipment :BatchCrystallizerGroup .   # R1485 6APA</t>
    </r>
    <r>
      <rPr>
        <sz val="10"/>
        <rFont val="Noto Sans CJK SC"/>
        <family val="2"/>
      </rPr>
      <t xml:space="preserve">批次结晶与离心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</t>
    </r>
  </si>
  <si>
    <r>
      <rPr>
        <sz val="10"/>
        <rFont val="Consolas"/>
        <family val="3"/>
      </rPr>
      <t>:BatchCrystallizerGroup :hasMember :BatchCrystallizerGroup_M01 .   # R1486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R112</t>
    </r>
  </si>
  <si>
    <r>
      <rPr>
        <sz val="10"/>
        <rFont val="Consolas"/>
        <family val="3"/>
      </rPr>
      <t>:BatchCrystallizerGroup :hasMember :BatchCrystallizerGroup_M02 .   # R1487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R113</t>
    </r>
  </si>
  <si>
    <r>
      <rPr>
        <sz val="10"/>
        <rFont val="Consolas"/>
        <family val="3"/>
      </rPr>
      <t>:BatchCrystallizerGroup :hasMember :BatchCrystallizerGroup_M03 .   # R1488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R114</t>
    </r>
  </si>
  <si>
    <r>
      <rPr>
        <sz val="10"/>
        <rFont val="Consolas"/>
        <family val="3"/>
      </rPr>
      <t>:BatchCrystallizerGroup :hasMember :BatchCrystallizerGroup_M04 .   # R1489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R115</t>
    </r>
  </si>
  <si>
    <r>
      <rPr>
        <sz val="10"/>
        <rFont val="Consolas"/>
        <family val="3"/>
      </rPr>
      <t>:BatchCrystallizerGroup :hasMember :BatchCrystallizerGroup_M05 .   # R1490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R116</t>
    </r>
  </si>
  <si>
    <r>
      <rPr>
        <sz val="10"/>
        <rFont val="Consolas"/>
        <family val="3"/>
      </rPr>
      <t>:BatchCrystallizerGroup :hasMember :BatchCrystallizerGroup_M06 .   # R1491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R117</t>
    </r>
  </si>
  <si>
    <r>
      <rPr>
        <sz val="10"/>
        <rFont val="Consolas"/>
        <family val="3"/>
      </rPr>
      <t>:BatchCrystallizerGroup :hasMember :BatchCrystallizerGroup_M07 .   # R1492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R118</t>
    </r>
  </si>
  <si>
    <r>
      <rPr>
        <sz val="10"/>
        <rFont val="Consolas"/>
        <family val="3"/>
      </rPr>
      <t>:BatchCrystallizerGroup :hasMember :BatchCrystallizerGroup_M08 .   # R1493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R119</t>
    </r>
  </si>
  <si>
    <r>
      <rPr>
        <sz val="10"/>
        <rFont val="Consolas"/>
        <family val="3"/>
      </rPr>
      <t>:BatchCrystallizerGroup :hasMember :BatchCrystallizerGroup_M09 .   # R1494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R120</t>
    </r>
  </si>
  <si>
    <r>
      <rPr>
        <sz val="10"/>
        <rFont val="Consolas"/>
        <family val="3"/>
      </rPr>
      <t>:BatchCrystallizerGroup :hasMember :BatchCrystallizerGroup_M10 .   # R1495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R121</t>
    </r>
  </si>
  <si>
    <r>
      <rPr>
        <sz val="10"/>
        <rFont val="Consolas"/>
        <family val="3"/>
      </rPr>
      <t>:BatchCrystallizerGroup :hasMember :BatchCrystallizerGroup_M11 .   # R1496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R122</t>
    </r>
  </si>
  <si>
    <r>
      <rPr>
        <sz val="10"/>
        <rFont val="Consolas"/>
        <family val="3"/>
      </rPr>
      <t>:BatchCrystallizerGroup :hasMember :BatchCrystallizerGroup_M12 .   # R1497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R123</t>
    </r>
  </si>
  <si>
    <r>
      <rPr>
        <sz val="10"/>
        <rFont val="Consolas"/>
        <family val="3"/>
      </rPr>
      <t>:BatchCrystallizerGroup :hasMember :BatchCrystallizerGroup_M13 .   # R1498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R124</t>
    </r>
  </si>
  <si>
    <r>
      <rPr>
        <sz val="10"/>
        <rFont val="Consolas"/>
        <family val="3"/>
      </rPr>
      <t>:BatchCrystallizerGroup :hasMember :BatchCrystallizerGroup_M14 .   # R1499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R125</t>
    </r>
  </si>
  <si>
    <r>
      <rPr>
        <sz val="10"/>
        <rFont val="Consolas"/>
        <family val="3"/>
      </rPr>
      <t>:BatchCrystallizerGroup :hasPart :BatchCrystallizerGroup_P01 .   # R1500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R112–R125·</t>
    </r>
    <r>
      <rPr>
        <sz val="10"/>
        <rFont val="Noto Sans CJK SC"/>
        <family val="2"/>
      </rPr>
      <t>搅拌器</t>
    </r>
    <r>
      <rPr>
        <sz val="10"/>
        <rFont val="Consolas"/>
        <family val="3"/>
      </rPr>
      <t>PB_1013</t>
    </r>
  </si>
  <si>
    <r>
      <rPr>
        <sz val="10"/>
        <rFont val="Consolas"/>
        <family val="3"/>
      </rPr>
      <t>:BatchCrystallizerGroup :hasPart :BatchCrystallizerGroup_P02 .   # R1501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R112–R125·</t>
    </r>
    <r>
      <rPr>
        <sz val="10"/>
        <rFont val="Noto Sans CJK SC"/>
        <family val="2"/>
      </rPr>
      <t>温控调节阀</t>
    </r>
    <r>
      <rPr>
        <sz val="10"/>
        <rFont val="Consolas"/>
        <family val="3"/>
      </rPr>
      <t>HV_1029</t>
    </r>
  </si>
  <si>
    <r>
      <rPr>
        <sz val="10"/>
        <rFont val="Consolas"/>
        <family val="3"/>
      </rPr>
      <t>:BatchCrystallizerGroup :hasPart :BatchCrystallizerGroup_P03 .   # R1502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R112–R125·</t>
    </r>
    <r>
      <rPr>
        <sz val="10"/>
        <rFont val="Noto Sans CJK SC"/>
        <family val="2"/>
      </rPr>
      <t>盐酸调节阀</t>
    </r>
    <r>
      <rPr>
        <sz val="10"/>
        <rFont val="Consolas"/>
        <family val="3"/>
      </rPr>
      <t>JJG1xx_HCL</t>
    </r>
  </si>
  <si>
    <r>
      <rPr>
        <sz val="10"/>
        <rFont val="Consolas"/>
        <family val="3"/>
      </rPr>
      <t>:BatchCrystallizerGroup :hasPart :BatchCrystallizerGroup_P04 .   # R1503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R112–R125·</t>
    </r>
    <r>
      <rPr>
        <sz val="10"/>
        <rFont val="Noto Sans CJK SC"/>
        <family val="2"/>
      </rPr>
      <t>氨水进口阀</t>
    </r>
  </si>
  <si>
    <r>
      <rPr>
        <sz val="10"/>
        <rFont val="Consolas"/>
        <family val="3"/>
      </rPr>
      <t>:BatchCrystallizerGroup :hasPart :BatchCrystallizerGroup_P05 .   # R1504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R112–R125·</t>
    </r>
    <r>
      <rPr>
        <sz val="10"/>
        <rFont val="Noto Sans CJK SC"/>
        <family val="2"/>
      </rPr>
      <t>重液进口阀</t>
    </r>
  </si>
  <si>
    <r>
      <rPr>
        <sz val="10"/>
        <rFont val="Consolas"/>
        <family val="3"/>
      </rPr>
      <t>:BatchCrystallizerGroup :hasPart :BatchCrystallizerGroup_P06 .   # R1505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R112–R125·</t>
    </r>
    <r>
      <rPr>
        <sz val="10"/>
        <rFont val="Noto Sans CJK SC"/>
        <family val="2"/>
      </rPr>
      <t>软水阀</t>
    </r>
  </si>
  <si>
    <r>
      <rPr>
        <sz val="10"/>
        <rFont val="Consolas"/>
        <family val="3"/>
      </rPr>
      <t>:Area_S13_BatchCrystallization :hasEquipment :SlurryPumps .   # R1506 6APA</t>
    </r>
    <r>
      <rPr>
        <sz val="10"/>
        <rFont val="Noto Sans CJK SC"/>
        <family val="2"/>
      </rPr>
      <t xml:space="preserve">批次结晶与离心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晶浆打料泵组</t>
    </r>
  </si>
  <si>
    <r>
      <rPr>
        <sz val="10"/>
        <rFont val="Consolas"/>
        <family val="3"/>
      </rPr>
      <t xml:space="preserve">:SlurryPumps :hasMember :SlurryPumps_M01 .   # R1507 </t>
    </r>
    <r>
      <rPr>
        <sz val="10"/>
        <rFont val="Noto Sans CJK SC"/>
        <family val="2"/>
      </rPr>
      <t xml:space="preserve">晶浆打料泵组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三层打料泵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</si>
  <si>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:SlurryPumps :hasMember :SlurryPumps_M02 .   # R1508 </t>
    </r>
    <r>
      <rPr>
        <sz val="10"/>
        <rFont val="Noto Sans CJK SC"/>
        <family val="2"/>
      </rPr>
      <t xml:space="preserve">晶浆打料泵组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三层打料泵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</si>
  <si>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:SlurryPumps :hasMember :SlurryPumps_M03 .   # R1509 </t>
    </r>
    <r>
      <rPr>
        <sz val="10"/>
        <rFont val="Noto Sans CJK SC"/>
        <family val="2"/>
      </rPr>
      <t xml:space="preserve">晶浆打料泵组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三层打料泵</t>
    </r>
    <r>
      <rPr>
        <sz val="10"/>
        <rFont val="Consolas"/>
        <family val="3"/>
      </rPr>
      <t>C</t>
    </r>
  </si>
  <si>
    <r>
      <rPr>
        <sz val="10"/>
        <rFont val="Consolas"/>
        <family val="3"/>
      </rPr>
      <t xml:space="preserve">:SlurryPumps :hasMember :SlurryPumps_M04 .   # R1510 </t>
    </r>
    <r>
      <rPr>
        <sz val="10"/>
        <rFont val="Noto Sans CJK SC"/>
        <family val="2"/>
      </rPr>
      <t xml:space="preserve">晶浆打料泵组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三层打料泵</t>
    </r>
    <r>
      <rPr>
        <sz val="10"/>
        <rFont val="Consolas"/>
        <family val="3"/>
      </rPr>
      <t>D</t>
    </r>
  </si>
  <si>
    <r>
      <rPr>
        <sz val="10"/>
        <rFont val="Consolas"/>
        <family val="3"/>
      </rPr>
      <t xml:space="preserve">:SlurryPumps :hasMember :SlurryPumps_M05 .   # R1511 </t>
    </r>
    <r>
      <rPr>
        <sz val="10"/>
        <rFont val="Noto Sans CJK SC"/>
        <family val="2"/>
      </rPr>
      <t xml:space="preserve">晶浆打料泵组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晶浆打料泵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</si>
  <si>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:SlurryPumps :hasMember :SlurryPumps_M06 .   # R1512 </t>
    </r>
    <r>
      <rPr>
        <sz val="10"/>
        <rFont val="Noto Sans CJK SC"/>
        <family val="2"/>
      </rPr>
      <t xml:space="preserve">晶浆打料泵组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晶浆打料泵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</si>
  <si>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:SlurryPumps :hasMember :SlurryPumps_M07 .   # R1513 </t>
    </r>
    <r>
      <rPr>
        <sz val="10"/>
        <rFont val="Noto Sans CJK SC"/>
        <family val="2"/>
      </rPr>
      <t xml:space="preserve">晶浆打料泵组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晶浆打料泵</t>
    </r>
    <r>
      <rPr>
        <sz val="10"/>
        <rFont val="Consolas"/>
        <family val="3"/>
      </rPr>
      <t>C</t>
    </r>
  </si>
  <si>
    <r>
      <rPr>
        <sz val="10"/>
        <rFont val="Consolas"/>
        <family val="3"/>
      </rPr>
      <t xml:space="preserve">:SlurryPumps :hasMember :SlurryPumps_M08 .   # R1514 </t>
    </r>
    <r>
      <rPr>
        <sz val="10"/>
        <rFont val="Noto Sans CJK SC"/>
        <family val="2"/>
      </rPr>
      <t xml:space="preserve">晶浆打料泵组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晶浆打料泵</t>
    </r>
    <r>
      <rPr>
        <sz val="10"/>
        <rFont val="Consolas"/>
        <family val="3"/>
      </rPr>
      <t>D</t>
    </r>
  </si>
  <si>
    <r>
      <rPr>
        <sz val="10"/>
        <rFont val="Consolas"/>
        <family val="3"/>
      </rPr>
      <t xml:space="preserve">:SlurryPumps :hasPart :SlurryPumps_P01 .   # R1515 </t>
    </r>
    <r>
      <rPr>
        <sz val="10"/>
        <rFont val="Noto Sans CJK SC"/>
        <family val="2"/>
      </rPr>
      <t xml:space="preserve">晶浆打料泵组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晶浆打料泵组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变频器</t>
    </r>
  </si>
  <si>
    <r>
      <rPr>
        <sz val="10"/>
        <rFont val="Consolas"/>
        <family val="3"/>
      </rPr>
      <t>:Area_S13_BatchCrystallization :hasEquipment :Centrifuge1600Group .   # R1516 6APA</t>
    </r>
    <r>
      <rPr>
        <sz val="10"/>
        <rFont val="Noto Sans CJK SC"/>
        <family val="2"/>
      </rPr>
      <t xml:space="preserve">批次结晶与离心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>-&gt; 1600</t>
    </r>
    <r>
      <rPr>
        <sz val="10"/>
        <rFont val="Noto Sans CJK SC"/>
        <family val="2"/>
      </rPr>
      <t>离心机组</t>
    </r>
  </si>
  <si>
    <r>
      <rPr>
        <sz val="10"/>
        <rFont val="Consolas"/>
        <family val="3"/>
      </rPr>
      <t>:Centrifuge1600Group :hasMember :Centrifuge1600Group_M01 .   # R1517 1600</t>
    </r>
    <r>
      <rPr>
        <sz val="10"/>
        <rFont val="Noto Sans CJK SC"/>
        <family val="2"/>
      </rPr>
      <t xml:space="preserve">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1600</t>
    </r>
    <r>
      <rPr>
        <sz val="10"/>
        <rFont val="Noto Sans CJK SC"/>
        <family val="2"/>
      </rPr>
      <t>离心机</t>
    </r>
    <r>
      <rPr>
        <sz val="10"/>
        <rFont val="Consolas"/>
        <family val="3"/>
      </rPr>
      <t>1</t>
    </r>
    <r>
      <rPr>
        <sz val="10"/>
        <rFont val="Noto Sans CJK SC"/>
        <family val="2"/>
      </rPr>
      <t>号</t>
    </r>
    <r>
      <rPr>
        <sz val="10"/>
        <rFont val="Consolas"/>
        <family val="3"/>
      </rPr>
      <t>(A)</t>
    </r>
  </si>
  <si>
    <r>
      <rPr>
        <sz val="10"/>
        <rFont val="Consolas"/>
        <family val="3"/>
      </rPr>
      <t>:Centrifuge1600Group :hasMember :Centrifuge1600Group_M02 .   # R1518 1600</t>
    </r>
    <r>
      <rPr>
        <sz val="10"/>
        <rFont val="Noto Sans CJK SC"/>
        <family val="2"/>
      </rPr>
      <t xml:space="preserve">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2</t>
    </r>
    <r>
      <rPr>
        <sz val="10"/>
        <rFont val="Noto Sans CJK SC"/>
        <family val="2"/>
      </rPr>
      <t>号</t>
    </r>
    <r>
      <rPr>
        <sz val="10"/>
        <rFont val="Consolas"/>
        <family val="3"/>
      </rPr>
      <t>(B)</t>
    </r>
  </si>
  <si>
    <r>
      <rPr>
        <sz val="10"/>
        <rFont val="Consolas"/>
        <family val="3"/>
      </rPr>
      <t>:Centrifuge1600Group :hasMember :Centrifuge1600Group_M03 .   # R1519 1600</t>
    </r>
    <r>
      <rPr>
        <sz val="10"/>
        <rFont val="Noto Sans CJK SC"/>
        <family val="2"/>
      </rPr>
      <t xml:space="preserve">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3</t>
    </r>
    <r>
      <rPr>
        <sz val="10"/>
        <rFont val="Noto Sans CJK SC"/>
        <family val="2"/>
      </rPr>
      <t>号</t>
    </r>
    <r>
      <rPr>
        <sz val="10"/>
        <rFont val="Consolas"/>
        <family val="3"/>
      </rPr>
      <t>(C)</t>
    </r>
  </si>
  <si>
    <r>
      <rPr>
        <sz val="10"/>
        <rFont val="Consolas"/>
        <family val="3"/>
      </rPr>
      <t>:Centrifuge1600Group :hasMember :Centrifuge1600Group_M04 .   # R1520 1600</t>
    </r>
    <r>
      <rPr>
        <sz val="10"/>
        <rFont val="Noto Sans CJK SC"/>
        <family val="2"/>
      </rPr>
      <t xml:space="preserve">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4</t>
    </r>
    <r>
      <rPr>
        <sz val="10"/>
        <rFont val="Noto Sans CJK SC"/>
        <family val="2"/>
      </rPr>
      <t>号</t>
    </r>
    <r>
      <rPr>
        <sz val="10"/>
        <rFont val="Consolas"/>
        <family val="3"/>
      </rPr>
      <t>(D)</t>
    </r>
  </si>
  <si>
    <r>
      <rPr>
        <sz val="10"/>
        <rFont val="Consolas"/>
        <family val="3"/>
      </rPr>
      <t>:Centrifuge1600Group :hasMember :Centrifuge1600Group_M05 .   # R1521 1600</t>
    </r>
    <r>
      <rPr>
        <sz val="10"/>
        <rFont val="Noto Sans CJK SC"/>
        <family val="2"/>
      </rPr>
      <t xml:space="preserve">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5</t>
    </r>
    <r>
      <rPr>
        <sz val="10"/>
        <rFont val="Noto Sans CJK SC"/>
        <family val="2"/>
      </rPr>
      <t>号</t>
    </r>
    <r>
      <rPr>
        <sz val="10"/>
        <rFont val="Consolas"/>
        <family val="3"/>
      </rPr>
      <t>(E)</t>
    </r>
  </si>
  <si>
    <r>
      <rPr>
        <sz val="10"/>
        <rFont val="Consolas"/>
        <family val="3"/>
      </rPr>
      <t>:Centrifuge1600Group :hasMember :Centrifuge1600Group_M06 .   # R1522 1600</t>
    </r>
    <r>
      <rPr>
        <sz val="10"/>
        <rFont val="Noto Sans CJK SC"/>
        <family val="2"/>
      </rPr>
      <t xml:space="preserve">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6</t>
    </r>
    <r>
      <rPr>
        <sz val="10"/>
        <rFont val="Noto Sans CJK SC"/>
        <family val="2"/>
      </rPr>
      <t>号</t>
    </r>
    <r>
      <rPr>
        <sz val="10"/>
        <rFont val="Consolas"/>
        <family val="3"/>
      </rPr>
      <t>(F)</t>
    </r>
  </si>
  <si>
    <r>
      <rPr>
        <sz val="10"/>
        <rFont val="Consolas"/>
        <family val="3"/>
      </rPr>
      <t>:Centrifuge1600Group :hasMember :Centrifuge1600Group_M07 .   # R1523 1600</t>
    </r>
    <r>
      <rPr>
        <sz val="10"/>
        <rFont val="Noto Sans CJK SC"/>
        <family val="2"/>
      </rPr>
      <t xml:space="preserve">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7</t>
    </r>
    <r>
      <rPr>
        <sz val="10"/>
        <rFont val="Noto Sans CJK SC"/>
        <family val="2"/>
      </rPr>
      <t>号</t>
    </r>
    <r>
      <rPr>
        <sz val="10"/>
        <rFont val="Consolas"/>
        <family val="3"/>
      </rPr>
      <t>(G)</t>
    </r>
  </si>
  <si>
    <r>
      <rPr>
        <sz val="10"/>
        <rFont val="Consolas"/>
        <family val="3"/>
      </rPr>
      <t>:Centrifuge1600Group :hasMember :Centrifuge1600Group_M08 .   # R1524 1600</t>
    </r>
    <r>
      <rPr>
        <sz val="10"/>
        <rFont val="Noto Sans CJK SC"/>
        <family val="2"/>
      </rPr>
      <t xml:space="preserve">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8</t>
    </r>
    <r>
      <rPr>
        <sz val="10"/>
        <rFont val="Noto Sans CJK SC"/>
        <family val="2"/>
      </rPr>
      <t>号</t>
    </r>
    <r>
      <rPr>
        <sz val="10"/>
        <rFont val="Consolas"/>
        <family val="3"/>
      </rPr>
      <t>(H)</t>
    </r>
  </si>
  <si>
    <r>
      <rPr>
        <sz val="10"/>
        <rFont val="Consolas"/>
        <family val="3"/>
      </rPr>
      <t>:Centrifuge1600Group :hasMember :Centrifuge1600Group_M09 .   # R1525 1600</t>
    </r>
    <r>
      <rPr>
        <sz val="10"/>
        <rFont val="Noto Sans CJK SC"/>
        <family val="2"/>
      </rPr>
      <t xml:space="preserve">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9</t>
    </r>
    <r>
      <rPr>
        <sz val="10"/>
        <rFont val="Noto Sans CJK SC"/>
        <family val="2"/>
      </rPr>
      <t>号</t>
    </r>
    <r>
      <rPr>
        <sz val="10"/>
        <rFont val="Consolas"/>
        <family val="3"/>
      </rPr>
      <t>(I)</t>
    </r>
  </si>
  <si>
    <r>
      <rPr>
        <sz val="10"/>
        <rFont val="Consolas"/>
        <family val="3"/>
      </rPr>
      <t>:Centrifuge1600Group :hasMember :Centrifuge1600Group_M10 .   # R1526 1600</t>
    </r>
    <r>
      <rPr>
        <sz val="10"/>
        <rFont val="Noto Sans CJK SC"/>
        <family val="2"/>
      </rPr>
      <t xml:space="preserve">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10</t>
    </r>
    <r>
      <rPr>
        <sz val="10"/>
        <rFont val="Noto Sans CJK SC"/>
        <family val="2"/>
      </rPr>
      <t>号</t>
    </r>
    <r>
      <rPr>
        <sz val="10"/>
        <rFont val="Consolas"/>
        <family val="3"/>
      </rPr>
      <t>(J)</t>
    </r>
  </si>
  <si>
    <r>
      <rPr>
        <sz val="10"/>
        <rFont val="Consolas"/>
        <family val="3"/>
      </rPr>
      <t>:Centrifuge1600Group :hasMember :Centrifuge1600Group_M11 .   # R1527 1600</t>
    </r>
    <r>
      <rPr>
        <sz val="10"/>
        <rFont val="Noto Sans CJK SC"/>
        <family val="2"/>
      </rPr>
      <t xml:space="preserve">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11</t>
    </r>
    <r>
      <rPr>
        <sz val="10"/>
        <rFont val="Noto Sans CJK SC"/>
        <family val="2"/>
      </rPr>
      <t>号</t>
    </r>
  </si>
  <si>
    <r>
      <rPr>
        <sz val="10"/>
        <rFont val="Consolas"/>
        <family val="3"/>
      </rPr>
      <t>:Centrifuge1600Group :hasPart :Centrifuge1600Group_P01 .   # R1528 1600</t>
    </r>
    <r>
      <rPr>
        <sz val="10"/>
        <rFont val="Noto Sans CJK SC"/>
        <family val="2"/>
      </rPr>
      <t xml:space="preserve">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-&gt; 1600</t>
    </r>
    <r>
      <rPr>
        <sz val="10"/>
        <rFont val="Noto Sans CJK SC"/>
        <family val="2"/>
      </rPr>
      <t>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进料调节阀</t>
    </r>
    <r>
      <rPr>
        <sz val="10"/>
        <rFont val="Consolas"/>
        <family val="3"/>
      </rPr>
      <t>HV_2014/2017</t>
    </r>
  </si>
  <si>
    <r>
      <rPr>
        <sz val="10"/>
        <rFont val="Consolas"/>
        <family val="3"/>
      </rPr>
      <t>:Centrifuge1600Group :hasPart :Centrifuge1600Group_P02 .   # R1529 1600</t>
    </r>
    <r>
      <rPr>
        <sz val="10"/>
        <rFont val="Noto Sans CJK SC"/>
        <family val="2"/>
      </rPr>
      <t xml:space="preserve">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-&gt; 1600</t>
    </r>
    <r>
      <rPr>
        <sz val="10"/>
        <rFont val="Noto Sans CJK SC"/>
        <family val="2"/>
      </rPr>
      <t>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洗涤软水阀</t>
    </r>
  </si>
  <si>
    <r>
      <rPr>
        <sz val="10"/>
        <rFont val="Consolas"/>
        <family val="3"/>
      </rPr>
      <t>:Centrifuge1600Group :hasPart :Centrifuge1600Group_P03 .   # R1530 1600</t>
    </r>
    <r>
      <rPr>
        <sz val="10"/>
        <rFont val="Noto Sans CJK SC"/>
        <family val="2"/>
      </rPr>
      <t xml:space="preserve">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-&gt; 1600</t>
    </r>
    <r>
      <rPr>
        <sz val="10"/>
        <rFont val="Noto Sans CJK SC"/>
        <family val="2"/>
      </rPr>
      <t>离心机组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主电机</t>
    </r>
  </si>
  <si>
    <r>
      <rPr>
        <sz val="10"/>
        <rFont val="Consolas"/>
        <family val="3"/>
      </rPr>
      <t>:Area_S13_BatchCrystallization :hasEquipment :CentrifugeSoftWaterTank .   # R1531 6APA</t>
    </r>
    <r>
      <rPr>
        <sz val="10"/>
        <rFont val="Noto Sans CJK SC"/>
        <family val="2"/>
      </rPr>
      <t xml:space="preserve">批次结晶与离心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>-&gt; 1600</t>
    </r>
    <r>
      <rPr>
        <sz val="10"/>
        <rFont val="Noto Sans CJK SC"/>
        <family val="2"/>
      </rPr>
      <t>离心机软水罐</t>
    </r>
  </si>
  <si>
    <r>
      <rPr>
        <sz val="10"/>
        <rFont val="Consolas"/>
        <family val="3"/>
      </rPr>
      <t>:CentrifugeSoftWaterTank :hasPart :CentrifugeSoftWaterTank_P01 .   # R1532 1600</t>
    </r>
    <r>
      <rPr>
        <sz val="10"/>
        <rFont val="Noto Sans CJK SC"/>
        <family val="2"/>
      </rPr>
      <t xml:space="preserve">离心机软水罐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-&gt; 1600</t>
    </r>
    <r>
      <rPr>
        <sz val="10"/>
        <rFont val="Noto Sans CJK SC"/>
        <family val="2"/>
      </rPr>
      <t>离心机软水罐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降温调节阀</t>
    </r>
    <r>
      <rPr>
        <sz val="10"/>
        <rFont val="Consolas"/>
        <family val="3"/>
      </rPr>
      <t>HV_1338</t>
    </r>
  </si>
  <si>
    <r>
      <rPr>
        <sz val="10"/>
        <rFont val="Consolas"/>
        <family val="3"/>
      </rPr>
      <t>:Area_S13_BatchCrystallization :hasEquipment :CrystMotherTanks .   # R1533 6APA</t>
    </r>
    <r>
      <rPr>
        <sz val="10"/>
        <rFont val="Noto Sans CJK SC"/>
        <family val="2"/>
      </rPr>
      <t xml:space="preserve">批次结晶与离心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离心母液罐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洗液罐</t>
    </r>
  </si>
  <si>
    <r>
      <rPr>
        <sz val="10"/>
        <rFont val="Consolas"/>
        <family val="3"/>
      </rPr>
      <t xml:space="preserve">:CrystMotherTanks :hasMember :CrystMotherTanks_M01 .   # R1534 </t>
    </r>
    <r>
      <rPr>
        <sz val="10"/>
        <rFont val="Noto Sans CJK SC"/>
        <family val="2"/>
      </rPr>
      <t>离心母液罐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洗液罐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母液罐</t>
    </r>
  </si>
  <si>
    <r>
      <rPr>
        <sz val="10"/>
        <rFont val="Consolas"/>
        <family val="3"/>
      </rPr>
      <t xml:space="preserve">:CrystMotherTanks :hasMember :CrystMotherTanks_M02 .   # R1535 </t>
    </r>
    <r>
      <rPr>
        <sz val="10"/>
        <rFont val="Noto Sans CJK SC"/>
        <family val="2"/>
      </rPr>
      <t>离心母液罐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洗液罐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洗液罐</t>
    </r>
  </si>
  <si>
    <r>
      <rPr>
        <sz val="10"/>
        <rFont val="Consolas"/>
        <family val="3"/>
      </rPr>
      <t xml:space="preserve">:CrystMotherTanks :hasMember :CrystMotherTanks_M03 .   # R1536 </t>
    </r>
    <r>
      <rPr>
        <sz val="10"/>
        <rFont val="Noto Sans CJK SC"/>
        <family val="2"/>
      </rPr>
      <t>离心母液罐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洗液罐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排空罐</t>
    </r>
  </si>
  <si>
    <r>
      <rPr>
        <sz val="10"/>
        <rFont val="Consolas"/>
        <family val="3"/>
      </rPr>
      <t xml:space="preserve">:CrystMotherTanks :hasPart :CrystMotherTanks_P01 .   # R1537 </t>
    </r>
    <r>
      <rPr>
        <sz val="10"/>
        <rFont val="Noto Sans CJK SC"/>
        <family val="2"/>
      </rPr>
      <t>离心母液罐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洗液罐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离心母液罐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洗液罐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</si>
  <si>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>:BatchCrystallizerGroup :hasAttribute :Attr_159 .   # R1538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结晶罐温度</t>
    </r>
  </si>
  <si>
    <r>
      <rPr>
        <sz val="10"/>
        <rFont val="Consolas"/>
        <family val="3"/>
      </rPr>
      <t>:BatchCrystallizerGroup :hasAttribute :Attr_160 .   # R1539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结晶终点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</si>
  <si>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>:BatchCrystallizerGroup :hasAttribute :Attr_161 .   # R1540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结晶罐液位</t>
    </r>
  </si>
  <si>
    <r>
      <rPr>
        <sz val="10"/>
        <rFont val="Consolas"/>
        <family val="3"/>
      </rPr>
      <t>:BatchCrystallizerGroup :hasAttribute :Attr_162 .   # R1541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重液进料流量</t>
    </r>
  </si>
  <si>
    <r>
      <rPr>
        <sz val="10"/>
        <rFont val="Consolas"/>
        <family val="3"/>
      </rPr>
      <t>:BatchCrystallizerGroup :hasAttribute :Attr_163 .   # R1542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结晶氨水进料流量</t>
    </r>
  </si>
  <si>
    <r>
      <rPr>
        <sz val="10"/>
        <rFont val="Consolas"/>
        <family val="3"/>
      </rPr>
      <t>:BatchCrystallizerGroup :hasAttribute :Attr_164 .   # R1543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结晶搅拌频率</t>
    </r>
  </si>
  <si>
    <r>
      <rPr>
        <sz val="10"/>
        <rFont val="Consolas"/>
        <family val="3"/>
      </rPr>
      <t>:BatchCrystallizerGroup :hasAttribute :Attr_165 .   # R1544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结晶盐酸流量</t>
    </r>
  </si>
  <si>
    <r>
      <rPr>
        <sz val="10"/>
        <rFont val="Consolas"/>
        <family val="3"/>
      </rPr>
      <t>:BatchCrystallizerGroup :hasAttribute :Attr_166 .   # R1545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结晶软水流量</t>
    </r>
  </si>
  <si>
    <r>
      <rPr>
        <sz val="10"/>
        <rFont val="Consolas"/>
        <family val="3"/>
      </rPr>
      <t>:Centrifuge1600Group :hasAttribute :Attr_167 .   # R1546 1600</t>
    </r>
    <r>
      <rPr>
        <sz val="10"/>
        <rFont val="Noto Sans CJK SC"/>
        <family val="2"/>
      </rPr>
      <t xml:space="preserve">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离心机频率</t>
    </r>
  </si>
  <si>
    <r>
      <rPr>
        <sz val="10"/>
        <rFont val="Consolas"/>
        <family val="3"/>
      </rPr>
      <t>:Centrifuge1600Group :hasAttribute :Attr_168 .   # R1547 1600</t>
    </r>
    <r>
      <rPr>
        <sz val="10"/>
        <rFont val="Noto Sans CJK SC"/>
        <family val="2"/>
      </rPr>
      <t xml:space="preserve">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离心洗涤水流量</t>
    </r>
  </si>
  <si>
    <r>
      <rPr>
        <sz val="10"/>
        <rFont val="Consolas"/>
        <family val="3"/>
      </rPr>
      <t>:CentrifugeSoftWaterTank :hasAttribute :Attr_169 .   # R1548 1600</t>
    </r>
    <r>
      <rPr>
        <sz val="10"/>
        <rFont val="Noto Sans CJK SC"/>
        <family val="2"/>
      </rPr>
      <t xml:space="preserve">离心机软水罐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离心软水温度</t>
    </r>
  </si>
  <si>
    <r>
      <rPr>
        <sz val="10"/>
        <rFont val="Consolas"/>
        <family val="3"/>
      </rPr>
      <t>:CentrifugeSoftWaterTank :hasAttribute :Attr_170 .   # R1549 1600</t>
    </r>
    <r>
      <rPr>
        <sz val="10"/>
        <rFont val="Noto Sans CJK SC"/>
        <family val="2"/>
      </rPr>
      <t xml:space="preserve">离心机软水罐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离心软水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</si>
  <si>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:CrystMotherTanks :hasAttribute :Attr_171 .   # R1550 </t>
    </r>
    <r>
      <rPr>
        <sz val="10"/>
        <rFont val="Noto Sans CJK SC"/>
        <family val="2"/>
      </rPr>
      <t>离心母液罐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洗液罐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母液去回收流量</t>
    </r>
  </si>
  <si>
    <r>
      <rPr>
        <sz val="10"/>
        <rFont val="Consolas"/>
        <family val="3"/>
      </rPr>
      <t>:BatchCrystallizerGroup :hasAttribute :Attr_285 .   # R1551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结晶过饱和度</t>
    </r>
  </si>
  <si>
    <r>
      <rPr>
        <sz val="10"/>
        <rFont val="Consolas"/>
        <family val="3"/>
      </rPr>
      <t>:BatchCrystallizerGroup :hasAttribute :QKPI_286 .   # R1552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晶体粒度分布</t>
    </r>
  </si>
  <si>
    <r>
      <rPr>
        <sz val="10"/>
        <rFont val="Consolas"/>
        <family val="3"/>
      </rPr>
      <t>:BatchCrystallizerGroup :hasAttribute :Attr_287 .   # R1553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养晶时间</t>
    </r>
  </si>
  <si>
    <r>
      <rPr>
        <sz val="10"/>
        <rFont val="Consolas"/>
        <family val="3"/>
      </rPr>
      <t>:BatchCrystallizerGroup :hasAttribute :Attr_288 .   # R1554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加氨速率</t>
    </r>
  </si>
  <si>
    <r>
      <rPr>
        <sz val="10"/>
        <rFont val="Consolas"/>
        <family val="3"/>
      </rPr>
      <t>:BatchCrystallizerGroup :hasAttribute :Attr_289 .   # R1555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溶解度</t>
    </r>
  </si>
  <si>
    <r>
      <rPr>
        <sz val="10"/>
        <rFont val="Consolas"/>
        <family val="3"/>
      </rPr>
      <t>:BatchCrystallizerGroup :hasAttribute :QKPI_290 .   # R1556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结晶收率</t>
    </r>
  </si>
  <si>
    <r>
      <rPr>
        <sz val="10"/>
        <rFont val="Consolas"/>
        <family val="3"/>
      </rPr>
      <t>:Centrifuge1600Group :hasAttribute :QKPI_291 .   # R1557 1600</t>
    </r>
    <r>
      <rPr>
        <sz val="10"/>
        <rFont val="Noto Sans CJK SC"/>
        <family val="2"/>
      </rPr>
      <t xml:space="preserve">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离心滤饼含湿量</t>
    </r>
  </si>
  <si>
    <r>
      <rPr>
        <sz val="10"/>
        <rFont val="Consolas"/>
        <family val="3"/>
      </rPr>
      <t>:Centrifuge1600Group :hasAttribute :QKPI_292 .   # R1558 1600</t>
    </r>
    <r>
      <rPr>
        <sz val="10"/>
        <rFont val="Noto Sans CJK SC"/>
        <family val="2"/>
      </rPr>
      <t xml:space="preserve">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湿品灰分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氯化铵残留</t>
    </r>
  </si>
  <si>
    <r>
      <rPr>
        <sz val="10"/>
        <rFont val="Consolas"/>
        <family val="3"/>
      </rPr>
      <t xml:space="preserve">:CrystMotherTanks :hasAttribute :QKPI_293 .   # R1559 </t>
    </r>
    <r>
      <rPr>
        <sz val="10"/>
        <rFont val="Noto Sans CJK SC"/>
        <family val="2"/>
      </rPr>
      <t>离心母液罐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洗液罐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</t>
    </r>
    <r>
      <rPr>
        <sz val="10"/>
        <rFont val="Consolas"/>
        <family val="3"/>
      </rPr>
      <t>6APA</t>
    </r>
    <r>
      <rPr>
        <sz val="10"/>
        <rFont val="Noto Sans CJK SC"/>
        <family val="2"/>
      </rPr>
      <t>残留浓度</t>
    </r>
  </si>
  <si>
    <r>
      <rPr>
        <sz val="10"/>
        <rFont val="Consolas"/>
        <family val="3"/>
      </rPr>
      <t>:MS_WetCake :hasAttribute :QKPI_291 .   # R1560 6APA</t>
    </r>
    <r>
      <rPr>
        <sz val="10"/>
        <rFont val="Noto Sans CJK SC"/>
        <family val="2"/>
      </rPr>
      <t xml:space="preserve">湿品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离心滤饼含湿量</t>
    </r>
  </si>
  <si>
    <r>
      <rPr>
        <sz val="10"/>
        <rFont val="Consolas"/>
        <family val="3"/>
      </rPr>
      <t xml:space="preserve">:MS_MotherLiquor :hasAttribute :QKPI_293 .   # R1561 </t>
    </r>
    <r>
      <rPr>
        <sz val="10"/>
        <rFont val="Noto Sans CJK SC"/>
        <family val="2"/>
      </rPr>
      <t xml:space="preserve">结晶离心母液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</t>
    </r>
    <r>
      <rPr>
        <sz val="10"/>
        <rFont val="Consolas"/>
        <family val="3"/>
      </rPr>
      <t>6APA</t>
    </r>
    <r>
      <rPr>
        <sz val="10"/>
        <rFont val="Noto Sans CJK SC"/>
        <family val="2"/>
      </rPr>
      <t>残留浓度</t>
    </r>
  </si>
  <si>
    <r>
      <rPr>
        <sz val="10"/>
        <rFont val="Consolas"/>
        <family val="3"/>
      </rPr>
      <t xml:space="preserve">:Attr_159 :boundToTag :Tag_TI_1407_A1 .   # R1562 </t>
    </r>
    <r>
      <rPr>
        <sz val="10"/>
        <rFont val="Noto Sans CJK SC"/>
        <family val="2"/>
      </rPr>
      <t xml:space="preserve">结晶罐温度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TI_1407_A1</t>
    </r>
  </si>
  <si>
    <r>
      <rPr>
        <sz val="10"/>
        <rFont val="Consolas"/>
        <family val="3"/>
      </rPr>
      <t xml:space="preserve">:Attr_159 :boundToTag :Tag_TI_1407_A2 .   # R1563 </t>
    </r>
    <r>
      <rPr>
        <sz val="10"/>
        <rFont val="Noto Sans CJK SC"/>
        <family val="2"/>
      </rPr>
      <t xml:space="preserve">结晶罐温度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TI_1407_A2</t>
    </r>
  </si>
  <si>
    <r>
      <rPr>
        <sz val="10"/>
        <rFont val="Consolas"/>
        <family val="3"/>
      </rPr>
      <t xml:space="preserve">:Attr_159 :boundToTag :Tag_TI_1407_A3 .   # R1564 </t>
    </r>
    <r>
      <rPr>
        <sz val="10"/>
        <rFont val="Noto Sans CJK SC"/>
        <family val="2"/>
      </rPr>
      <t xml:space="preserve">结晶罐温度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TI_1407_A3</t>
    </r>
  </si>
  <si>
    <r>
      <rPr>
        <sz val="10"/>
        <rFont val="Consolas"/>
        <family val="3"/>
      </rPr>
      <t xml:space="preserve">:Attr_159 :boundToTag :Tag_TI_1407_A4 .   # R1565 </t>
    </r>
    <r>
      <rPr>
        <sz val="10"/>
        <rFont val="Noto Sans CJK SC"/>
        <family val="2"/>
      </rPr>
      <t xml:space="preserve">结晶罐温度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TI_1407_A4</t>
    </r>
  </si>
  <si>
    <r>
      <rPr>
        <sz val="10"/>
        <rFont val="Consolas"/>
        <family val="3"/>
      </rPr>
      <t xml:space="preserve">:Attr_159 :boundToTag :Tag_TI_1407_A5 .   # R1566 </t>
    </r>
    <r>
      <rPr>
        <sz val="10"/>
        <rFont val="Noto Sans CJK SC"/>
        <family val="2"/>
      </rPr>
      <t xml:space="preserve">结晶罐温度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TI_1407_A5</t>
    </r>
  </si>
  <si>
    <r>
      <rPr>
        <sz val="10"/>
        <rFont val="Consolas"/>
        <family val="3"/>
      </rPr>
      <t xml:space="preserve">:Attr_159 :boundToTag :Tag_TI_1407_A6 .   # R1567 </t>
    </r>
    <r>
      <rPr>
        <sz val="10"/>
        <rFont val="Noto Sans CJK SC"/>
        <family val="2"/>
      </rPr>
      <t xml:space="preserve">结晶罐温度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TI_1407_A6</t>
    </r>
  </si>
  <si>
    <r>
      <rPr>
        <sz val="10"/>
        <rFont val="Consolas"/>
        <family val="3"/>
      </rPr>
      <t xml:space="preserve">:Attr_159 :boundToTag :Tag_TI_1407_A7 .   # R1568 </t>
    </r>
    <r>
      <rPr>
        <sz val="10"/>
        <rFont val="Noto Sans CJK SC"/>
        <family val="2"/>
      </rPr>
      <t xml:space="preserve">结晶罐温度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TI_1407_A7</t>
    </r>
  </si>
  <si>
    <r>
      <rPr>
        <sz val="10"/>
        <rFont val="Consolas"/>
        <family val="3"/>
      </rPr>
      <t xml:space="preserve">:Attr_159 :boundToTag :Tag_TI_1407_A8 .   # R1569 </t>
    </r>
    <r>
      <rPr>
        <sz val="10"/>
        <rFont val="Noto Sans CJK SC"/>
        <family val="2"/>
      </rPr>
      <t xml:space="preserve">结晶罐温度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TI_1407_A8</t>
    </r>
  </si>
  <si>
    <r>
      <rPr>
        <sz val="10"/>
        <rFont val="Consolas"/>
        <family val="3"/>
      </rPr>
      <t xml:space="preserve">:Attr_159 :boundToTag :Tag_TI_1407_A9 .   # R1570 </t>
    </r>
    <r>
      <rPr>
        <sz val="10"/>
        <rFont val="Noto Sans CJK SC"/>
        <family val="2"/>
      </rPr>
      <t xml:space="preserve">结晶罐温度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TI_1407_A9</t>
    </r>
  </si>
  <si>
    <r>
      <rPr>
        <sz val="10"/>
        <rFont val="Consolas"/>
        <family val="3"/>
      </rPr>
      <t xml:space="preserve">:Attr_159 :boundToTag :Tag_TI_1407_A10 .   # R1571 </t>
    </r>
    <r>
      <rPr>
        <sz val="10"/>
        <rFont val="Noto Sans CJK SC"/>
        <family val="2"/>
      </rPr>
      <t xml:space="preserve">结晶罐温度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TI_1407_A10</t>
    </r>
  </si>
  <si>
    <r>
      <rPr>
        <sz val="10"/>
        <rFont val="Consolas"/>
        <family val="3"/>
      </rPr>
      <t xml:space="preserve">:Attr_159 :boundToTag :Tag_TI_1407_A11 .   # R1572 </t>
    </r>
    <r>
      <rPr>
        <sz val="10"/>
        <rFont val="Noto Sans CJK SC"/>
        <family val="2"/>
      </rPr>
      <t xml:space="preserve">结晶罐温度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TI_1407_A11</t>
    </r>
  </si>
  <si>
    <r>
      <rPr>
        <sz val="10"/>
        <rFont val="Consolas"/>
        <family val="3"/>
      </rPr>
      <t xml:space="preserve">:Attr_159 :boundToTag :Tag_TI_1407_A12 .   # R1573 </t>
    </r>
    <r>
      <rPr>
        <sz val="10"/>
        <rFont val="Noto Sans CJK SC"/>
        <family val="2"/>
      </rPr>
      <t xml:space="preserve">结晶罐温度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TI_1407_A12</t>
    </r>
  </si>
  <si>
    <r>
      <rPr>
        <sz val="10"/>
        <rFont val="Consolas"/>
        <family val="3"/>
      </rPr>
      <t xml:space="preserve">:Attr_159 :boundToTag :Tag_TI_1407_A13 .   # R1574 </t>
    </r>
    <r>
      <rPr>
        <sz val="10"/>
        <rFont val="Noto Sans CJK SC"/>
        <family val="2"/>
      </rPr>
      <t xml:space="preserve">结晶罐温度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TI_1407_A13</t>
    </r>
  </si>
  <si>
    <r>
      <rPr>
        <sz val="10"/>
        <rFont val="Consolas"/>
        <family val="3"/>
      </rPr>
      <t xml:space="preserve">:Attr_159 :boundToTag :Tag_TI_1407_A14 .   # R1575 </t>
    </r>
    <r>
      <rPr>
        <sz val="10"/>
        <rFont val="Noto Sans CJK SC"/>
        <family val="2"/>
      </rPr>
      <t xml:space="preserve">结晶罐温度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TI_1407_A14</t>
    </r>
  </si>
  <si>
    <r>
      <rPr>
        <sz val="10"/>
        <rFont val="Consolas"/>
        <family val="3"/>
      </rPr>
      <t xml:space="preserve">:Attr_160 :boundToTag :Tag_AT_1401A1 .   # R1576 </t>
    </r>
    <r>
      <rPr>
        <sz val="10"/>
        <rFont val="Noto Sans CJK SC"/>
        <family val="2"/>
      </rPr>
      <t>结晶终点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AT_1401A1</t>
    </r>
  </si>
  <si>
    <r>
      <rPr>
        <sz val="10"/>
        <rFont val="Consolas"/>
        <family val="3"/>
      </rPr>
      <t xml:space="preserve">:Attr_160 :boundToTag :Tag_AT_1401A2 .   # R1577 </t>
    </r>
    <r>
      <rPr>
        <sz val="10"/>
        <rFont val="Noto Sans CJK SC"/>
        <family val="2"/>
      </rPr>
      <t>结晶终点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AT_1401A2</t>
    </r>
  </si>
  <si>
    <r>
      <rPr>
        <sz val="10"/>
        <rFont val="Consolas"/>
        <family val="3"/>
      </rPr>
      <t xml:space="preserve">:Attr_160 :boundToTag :Tag_AT_1401A3 .   # R1578 </t>
    </r>
    <r>
      <rPr>
        <sz val="10"/>
        <rFont val="Noto Sans CJK SC"/>
        <family val="2"/>
      </rPr>
      <t>结晶终点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AT_1401A3</t>
    </r>
  </si>
  <si>
    <r>
      <rPr>
        <sz val="10"/>
        <rFont val="Consolas"/>
        <family val="3"/>
      </rPr>
      <t xml:space="preserve">:Attr_160 :boundToTag :Tag_AT_1401A4 .   # R1579 </t>
    </r>
    <r>
      <rPr>
        <sz val="10"/>
        <rFont val="Noto Sans CJK SC"/>
        <family val="2"/>
      </rPr>
      <t>结晶终点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AT_1401A4</t>
    </r>
  </si>
  <si>
    <r>
      <rPr>
        <sz val="10"/>
        <rFont val="Consolas"/>
        <family val="3"/>
      </rPr>
      <t xml:space="preserve">:Attr_160 :boundToTag :Tag_AT_1401A5 .   # R1580 </t>
    </r>
    <r>
      <rPr>
        <sz val="10"/>
        <rFont val="Noto Sans CJK SC"/>
        <family val="2"/>
      </rPr>
      <t>结晶终点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AT_1401A5</t>
    </r>
  </si>
  <si>
    <r>
      <rPr>
        <sz val="10"/>
        <rFont val="Consolas"/>
        <family val="3"/>
      </rPr>
      <t xml:space="preserve">:Attr_160 :boundToTag :Tag_AT_1401A6 .   # R1581 </t>
    </r>
    <r>
      <rPr>
        <sz val="10"/>
        <rFont val="Noto Sans CJK SC"/>
        <family val="2"/>
      </rPr>
      <t>结晶终点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AT_1401A6</t>
    </r>
  </si>
  <si>
    <r>
      <rPr>
        <sz val="10"/>
        <rFont val="Consolas"/>
        <family val="3"/>
      </rPr>
      <t xml:space="preserve">:Attr_160 :boundToTag :Tag_AT_1401A7 .   # R1582 </t>
    </r>
    <r>
      <rPr>
        <sz val="10"/>
        <rFont val="Noto Sans CJK SC"/>
        <family val="2"/>
      </rPr>
      <t>结晶终点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AT_1401A7</t>
    </r>
  </si>
  <si>
    <r>
      <rPr>
        <sz val="10"/>
        <rFont val="Consolas"/>
        <family val="3"/>
      </rPr>
      <t xml:space="preserve">:Attr_160 :boundToTag :Tag_AT_1401A8 .   # R1583 </t>
    </r>
    <r>
      <rPr>
        <sz val="10"/>
        <rFont val="Noto Sans CJK SC"/>
        <family val="2"/>
      </rPr>
      <t>结晶终点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AT_1401A8</t>
    </r>
  </si>
  <si>
    <r>
      <rPr>
        <sz val="10"/>
        <rFont val="Consolas"/>
        <family val="3"/>
      </rPr>
      <t xml:space="preserve">:Attr_160 :boundToTag :Tag_AT_1401A9 .   # R1584 </t>
    </r>
    <r>
      <rPr>
        <sz val="10"/>
        <rFont val="Noto Sans CJK SC"/>
        <family val="2"/>
      </rPr>
      <t>结晶终点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AT_1401A9</t>
    </r>
  </si>
  <si>
    <r>
      <rPr>
        <sz val="10"/>
        <rFont val="Consolas"/>
        <family val="3"/>
      </rPr>
      <t xml:space="preserve">:Attr_160 :boundToTag :Tag_AT_1401A10 .   # R1585 </t>
    </r>
    <r>
      <rPr>
        <sz val="10"/>
        <rFont val="Noto Sans CJK SC"/>
        <family val="2"/>
      </rPr>
      <t>结晶终点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AT_1401A10</t>
    </r>
  </si>
  <si>
    <r>
      <rPr>
        <sz val="10"/>
        <rFont val="Consolas"/>
        <family val="3"/>
      </rPr>
      <t xml:space="preserve">:Attr_160 :boundToTag :Tag_AT_1401A11 .   # R1586 </t>
    </r>
    <r>
      <rPr>
        <sz val="10"/>
        <rFont val="Noto Sans CJK SC"/>
        <family val="2"/>
      </rPr>
      <t>结晶终点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AT_1401A11</t>
    </r>
  </si>
  <si>
    <r>
      <rPr>
        <sz val="10"/>
        <rFont val="Consolas"/>
        <family val="3"/>
      </rPr>
      <t xml:space="preserve">:Attr_160 :boundToTag :Tag_AT_1401A12 .   # R1587 </t>
    </r>
    <r>
      <rPr>
        <sz val="10"/>
        <rFont val="Noto Sans CJK SC"/>
        <family val="2"/>
      </rPr>
      <t>结晶终点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AT_1401A12</t>
    </r>
  </si>
  <si>
    <r>
      <rPr>
        <sz val="10"/>
        <rFont val="Consolas"/>
        <family val="3"/>
      </rPr>
      <t xml:space="preserve">:Attr_160 :boundToTag :Tag_AT_1401A13 .   # R1588 </t>
    </r>
    <r>
      <rPr>
        <sz val="10"/>
        <rFont val="Noto Sans CJK SC"/>
        <family val="2"/>
      </rPr>
      <t>结晶终点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AT_1401A13</t>
    </r>
  </si>
  <si>
    <r>
      <rPr>
        <sz val="10"/>
        <rFont val="Consolas"/>
        <family val="3"/>
      </rPr>
      <t xml:space="preserve">:Attr_160 :boundToTag :Tag_AT_1401A14 .   # R1589 </t>
    </r>
    <r>
      <rPr>
        <sz val="10"/>
        <rFont val="Noto Sans CJK SC"/>
        <family val="2"/>
      </rPr>
      <t>结晶终点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AT_1401A14</t>
    </r>
  </si>
  <si>
    <r>
      <rPr>
        <sz val="10"/>
        <rFont val="Consolas"/>
        <family val="3"/>
      </rPr>
      <t xml:space="preserve">:Attr_161 :boundToTag :Tag_LT_1003A .   # R1590 </t>
    </r>
    <r>
      <rPr>
        <sz val="10"/>
        <rFont val="Noto Sans CJK SC"/>
        <family val="2"/>
      </rPr>
      <t xml:space="preserve">结晶罐液位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LT_1003A</t>
    </r>
  </si>
  <si>
    <r>
      <rPr>
        <sz val="10"/>
        <rFont val="Consolas"/>
        <family val="3"/>
      </rPr>
      <t xml:space="preserve">:Attr_161 :boundToTag :Tag_LT_1003B .   # R1591 </t>
    </r>
    <r>
      <rPr>
        <sz val="10"/>
        <rFont val="Noto Sans CJK SC"/>
        <family val="2"/>
      </rPr>
      <t xml:space="preserve">结晶罐液位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LT_1003B</t>
    </r>
  </si>
  <si>
    <r>
      <rPr>
        <sz val="10"/>
        <rFont val="Consolas"/>
        <family val="3"/>
      </rPr>
      <t xml:space="preserve">:Attr_161 :boundToTag :Tag_LT_1003C .   # R1592 </t>
    </r>
    <r>
      <rPr>
        <sz val="10"/>
        <rFont val="Noto Sans CJK SC"/>
        <family val="2"/>
      </rPr>
      <t xml:space="preserve">结晶罐液位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LT_1003C</t>
    </r>
  </si>
  <si>
    <r>
      <rPr>
        <sz val="10"/>
        <rFont val="Consolas"/>
        <family val="3"/>
      </rPr>
      <t xml:space="preserve">:Attr_161 :boundToTag :Tag_LT_1003D .   # R1593 </t>
    </r>
    <r>
      <rPr>
        <sz val="10"/>
        <rFont val="Noto Sans CJK SC"/>
        <family val="2"/>
      </rPr>
      <t xml:space="preserve">结晶罐液位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LT_1003D</t>
    </r>
  </si>
  <si>
    <r>
      <rPr>
        <sz val="10"/>
        <rFont val="Consolas"/>
        <family val="3"/>
      </rPr>
      <t xml:space="preserve">:Attr_161 :boundToTag :Tag_LT_1003E .   # R1594 </t>
    </r>
    <r>
      <rPr>
        <sz val="10"/>
        <rFont val="Noto Sans CJK SC"/>
        <family val="2"/>
      </rPr>
      <t xml:space="preserve">结晶罐液位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LT_1003E</t>
    </r>
  </si>
  <si>
    <r>
      <rPr>
        <sz val="10"/>
        <rFont val="Consolas"/>
        <family val="3"/>
      </rPr>
      <t xml:space="preserve">:Attr_161 :boundToTag :Tag_LT_1003F .   # R1595 </t>
    </r>
    <r>
      <rPr>
        <sz val="10"/>
        <rFont val="Noto Sans CJK SC"/>
        <family val="2"/>
      </rPr>
      <t xml:space="preserve">结晶罐液位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LT_1003F</t>
    </r>
  </si>
  <si>
    <r>
      <rPr>
        <sz val="10"/>
        <rFont val="Consolas"/>
        <family val="3"/>
      </rPr>
      <t xml:space="preserve">:Attr_161 :boundToTag :Tag_LT_1003G .   # R1596 </t>
    </r>
    <r>
      <rPr>
        <sz val="10"/>
        <rFont val="Noto Sans CJK SC"/>
        <family val="2"/>
      </rPr>
      <t xml:space="preserve">结晶罐液位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LT_1003G</t>
    </r>
  </si>
  <si>
    <r>
      <rPr>
        <sz val="10"/>
        <rFont val="Consolas"/>
        <family val="3"/>
      </rPr>
      <t xml:space="preserve">:Attr_161 :boundToTag :Tag_LT_1003H .   # R1597 </t>
    </r>
    <r>
      <rPr>
        <sz val="10"/>
        <rFont val="Noto Sans CJK SC"/>
        <family val="2"/>
      </rPr>
      <t xml:space="preserve">结晶罐液位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LT_1003H</t>
    </r>
  </si>
  <si>
    <r>
      <rPr>
        <sz val="10"/>
        <rFont val="Consolas"/>
        <family val="3"/>
      </rPr>
      <t xml:space="preserve">:Attr_161 :boundToTag :Tag_LT_1003I .   # R1598 </t>
    </r>
    <r>
      <rPr>
        <sz val="10"/>
        <rFont val="Noto Sans CJK SC"/>
        <family val="2"/>
      </rPr>
      <t xml:space="preserve">结晶罐液位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LT_1003I</t>
    </r>
  </si>
  <si>
    <r>
      <rPr>
        <sz val="10"/>
        <rFont val="Consolas"/>
        <family val="3"/>
      </rPr>
      <t xml:space="preserve">:Attr_161 :boundToTag :Tag_LT_1003J .   # R1599 </t>
    </r>
    <r>
      <rPr>
        <sz val="10"/>
        <rFont val="Noto Sans CJK SC"/>
        <family val="2"/>
      </rPr>
      <t xml:space="preserve">结晶罐液位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LT_1003J</t>
    </r>
  </si>
  <si>
    <r>
      <rPr>
        <sz val="10"/>
        <rFont val="Consolas"/>
        <family val="3"/>
      </rPr>
      <t xml:space="preserve">:Attr_161 :boundToTag :Tag_LT_1003K .   # R1600 </t>
    </r>
    <r>
      <rPr>
        <sz val="10"/>
        <rFont val="Noto Sans CJK SC"/>
        <family val="2"/>
      </rPr>
      <t xml:space="preserve">结晶罐液位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LT_1003K</t>
    </r>
  </si>
  <si>
    <r>
      <rPr>
        <sz val="10"/>
        <rFont val="Consolas"/>
        <family val="3"/>
      </rPr>
      <t xml:space="preserve">:Attr_161 :boundToTag :Tag_LT_1003L .   # R1601 </t>
    </r>
    <r>
      <rPr>
        <sz val="10"/>
        <rFont val="Noto Sans CJK SC"/>
        <family val="2"/>
      </rPr>
      <t xml:space="preserve">结晶罐液位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LT_1003L</t>
    </r>
  </si>
  <si>
    <r>
      <rPr>
        <sz val="10"/>
        <rFont val="Consolas"/>
        <family val="3"/>
      </rPr>
      <t xml:space="preserve">:Attr_162 :boundToTag :Tag_FT_1005 .   # R1602 </t>
    </r>
    <r>
      <rPr>
        <sz val="10"/>
        <rFont val="Noto Sans CJK SC"/>
        <family val="2"/>
      </rPr>
      <t xml:space="preserve">重液进料流量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FT_1005</t>
    </r>
  </si>
  <si>
    <r>
      <rPr>
        <sz val="10"/>
        <rFont val="Consolas"/>
        <family val="3"/>
      </rPr>
      <t xml:space="preserve">:Attr_163 :boundToTag :Tag_FT_1006 .   # R1603 </t>
    </r>
    <r>
      <rPr>
        <sz val="10"/>
        <rFont val="Noto Sans CJK SC"/>
        <family val="2"/>
      </rPr>
      <t xml:space="preserve">结晶氨水进料流量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FT_1006</t>
    </r>
  </si>
  <si>
    <r>
      <rPr>
        <sz val="10"/>
        <rFont val="Consolas"/>
        <family val="3"/>
      </rPr>
      <t xml:space="preserve">:Attr_163 :boundToTag :Tag_FT_1404 .   # R1604 </t>
    </r>
    <r>
      <rPr>
        <sz val="10"/>
        <rFont val="Noto Sans CJK SC"/>
        <family val="2"/>
      </rPr>
      <t xml:space="preserve">结晶氨水进料流量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FT_1404</t>
    </r>
  </si>
  <si>
    <r>
      <rPr>
        <sz val="10"/>
        <rFont val="Consolas"/>
        <family val="3"/>
      </rPr>
      <t xml:space="preserve">:Attr_164 :boundToTag :Tag_PB_1013A_FB .   # R1605 </t>
    </r>
    <r>
      <rPr>
        <sz val="10"/>
        <rFont val="Noto Sans CJK SC"/>
        <family val="2"/>
      </rPr>
      <t xml:space="preserve">结晶搅拌频率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PB_1013A_FB</t>
    </r>
  </si>
  <si>
    <r>
      <rPr>
        <sz val="10"/>
        <rFont val="Consolas"/>
        <family val="3"/>
      </rPr>
      <t xml:space="preserve">:Attr_164 :boundToTag :Tag_PB_1013B_FB .   # R1606 </t>
    </r>
    <r>
      <rPr>
        <sz val="10"/>
        <rFont val="Noto Sans CJK SC"/>
        <family val="2"/>
      </rPr>
      <t xml:space="preserve">结晶搅拌频率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PB_1013B_FB</t>
    </r>
  </si>
  <si>
    <r>
      <rPr>
        <sz val="10"/>
        <rFont val="Consolas"/>
        <family val="3"/>
      </rPr>
      <t xml:space="preserve">:Attr_164 :boundToTag :Tag_PB_1013C_FB .   # R1607 </t>
    </r>
    <r>
      <rPr>
        <sz val="10"/>
        <rFont val="Noto Sans CJK SC"/>
        <family val="2"/>
      </rPr>
      <t xml:space="preserve">结晶搅拌频率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PB_1013C_FB</t>
    </r>
  </si>
  <si>
    <r>
      <rPr>
        <sz val="10"/>
        <rFont val="Consolas"/>
        <family val="3"/>
      </rPr>
      <t xml:space="preserve">:Attr_164 :boundToTag :Tag_PB_1013D_FB .   # R1608 </t>
    </r>
    <r>
      <rPr>
        <sz val="10"/>
        <rFont val="Noto Sans CJK SC"/>
        <family val="2"/>
      </rPr>
      <t xml:space="preserve">结晶搅拌频率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PB_1013D_FB</t>
    </r>
  </si>
  <si>
    <r>
      <rPr>
        <sz val="10"/>
        <rFont val="Consolas"/>
        <family val="3"/>
      </rPr>
      <t xml:space="preserve">:Attr_164 :boundToTag :Tag_PB_1013E_FB .   # R1609 </t>
    </r>
    <r>
      <rPr>
        <sz val="10"/>
        <rFont val="Noto Sans CJK SC"/>
        <family val="2"/>
      </rPr>
      <t xml:space="preserve">结晶搅拌频率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PB_1013E_FB</t>
    </r>
  </si>
  <si>
    <r>
      <rPr>
        <sz val="10"/>
        <rFont val="Consolas"/>
        <family val="3"/>
      </rPr>
      <t xml:space="preserve">:Attr_164 :boundToTag :Tag_PB_1013F_FB .   # R1610 </t>
    </r>
    <r>
      <rPr>
        <sz val="10"/>
        <rFont val="Noto Sans CJK SC"/>
        <family val="2"/>
      </rPr>
      <t xml:space="preserve">结晶搅拌频率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PB_1013F_FB</t>
    </r>
  </si>
  <si>
    <r>
      <rPr>
        <sz val="10"/>
        <rFont val="Consolas"/>
        <family val="3"/>
      </rPr>
      <t xml:space="preserve">:Attr_164 :boundToTag :Tag_PB_1013G_FB .   # R1611 </t>
    </r>
    <r>
      <rPr>
        <sz val="10"/>
        <rFont val="Noto Sans CJK SC"/>
        <family val="2"/>
      </rPr>
      <t xml:space="preserve">结晶搅拌频率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PB_1013G_FB</t>
    </r>
  </si>
  <si>
    <r>
      <rPr>
        <sz val="10"/>
        <rFont val="Consolas"/>
        <family val="3"/>
      </rPr>
      <t xml:space="preserve">:Attr_164 :boundToTag :Tag_PB_1013H_FB .   # R1612 </t>
    </r>
    <r>
      <rPr>
        <sz val="10"/>
        <rFont val="Noto Sans CJK SC"/>
        <family val="2"/>
      </rPr>
      <t xml:space="preserve">结晶搅拌频率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PB_1013H_FB</t>
    </r>
  </si>
  <si>
    <r>
      <rPr>
        <sz val="10"/>
        <rFont val="Consolas"/>
        <family val="3"/>
      </rPr>
      <t xml:space="preserve">:Attr_164 :boundToTag :Tag_PB_1013I_FB .   # R1613 </t>
    </r>
    <r>
      <rPr>
        <sz val="10"/>
        <rFont val="Noto Sans CJK SC"/>
        <family val="2"/>
      </rPr>
      <t xml:space="preserve">结晶搅拌频率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PB_1013I_FB</t>
    </r>
  </si>
  <si>
    <r>
      <rPr>
        <sz val="10"/>
        <rFont val="Consolas"/>
        <family val="3"/>
      </rPr>
      <t xml:space="preserve">:Attr_164 :boundToTag :Tag_PB_1013J_FB .   # R1614 </t>
    </r>
    <r>
      <rPr>
        <sz val="10"/>
        <rFont val="Noto Sans CJK SC"/>
        <family val="2"/>
      </rPr>
      <t xml:space="preserve">结晶搅拌频率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PB_1013J_FB</t>
    </r>
  </si>
  <si>
    <r>
      <rPr>
        <sz val="10"/>
        <rFont val="Consolas"/>
        <family val="3"/>
      </rPr>
      <t xml:space="preserve">:Attr_164 :boundToTag :Tag_PB_1013K_FB .   # R1615 </t>
    </r>
    <r>
      <rPr>
        <sz val="10"/>
        <rFont val="Noto Sans CJK SC"/>
        <family val="2"/>
      </rPr>
      <t xml:space="preserve">结晶搅拌频率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PB_1013K_FB</t>
    </r>
  </si>
  <si>
    <r>
      <rPr>
        <sz val="10"/>
        <rFont val="Consolas"/>
        <family val="3"/>
      </rPr>
      <t xml:space="preserve">:Attr_164 :boundToTag :Tag_PB_1013L_FB .   # R1616 </t>
    </r>
    <r>
      <rPr>
        <sz val="10"/>
        <rFont val="Noto Sans CJK SC"/>
        <family val="2"/>
      </rPr>
      <t xml:space="preserve">结晶搅拌频率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PB_1013L_FB</t>
    </r>
  </si>
  <si>
    <r>
      <rPr>
        <sz val="10"/>
        <rFont val="Consolas"/>
        <family val="3"/>
      </rPr>
      <t xml:space="preserve">:Attr_165 :boundToTag :Tag_FT_6AHCL .   # R1617 </t>
    </r>
    <r>
      <rPr>
        <sz val="10"/>
        <rFont val="Noto Sans CJK SC"/>
        <family val="2"/>
      </rPr>
      <t xml:space="preserve">结晶盐酸流量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FT_6AHCL</t>
    </r>
  </si>
  <si>
    <r>
      <rPr>
        <sz val="10"/>
        <rFont val="Consolas"/>
        <family val="3"/>
      </rPr>
      <t xml:space="preserve">:Attr_165 :boundToTag :Tag_FI_1001 .   # R1618 </t>
    </r>
    <r>
      <rPr>
        <sz val="10"/>
        <rFont val="Noto Sans CJK SC"/>
        <family val="2"/>
      </rPr>
      <t xml:space="preserve">结晶盐酸流量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FI_1001</t>
    </r>
  </si>
  <si>
    <r>
      <rPr>
        <sz val="10"/>
        <rFont val="Consolas"/>
        <family val="3"/>
      </rPr>
      <t xml:space="preserve">:Attr_166 :boundToTag :Tag_FE_NH3_DJ .   # R1619 </t>
    </r>
    <r>
      <rPr>
        <sz val="10"/>
        <rFont val="Noto Sans CJK SC"/>
        <family val="2"/>
      </rPr>
      <t xml:space="preserve">结晶软水流量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FE_NH3_DJ</t>
    </r>
  </si>
  <si>
    <r>
      <rPr>
        <sz val="10"/>
        <rFont val="Consolas"/>
        <family val="3"/>
      </rPr>
      <t xml:space="preserve">:Attr_167 :boundToTag :Tag_II_141600A .   # R1620 </t>
    </r>
    <r>
      <rPr>
        <sz val="10"/>
        <rFont val="Noto Sans CJK SC"/>
        <family val="2"/>
      </rPr>
      <t xml:space="preserve">离心机频率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II_141600A</t>
    </r>
  </si>
  <si>
    <r>
      <rPr>
        <sz val="10"/>
        <rFont val="Consolas"/>
        <family val="3"/>
      </rPr>
      <t xml:space="preserve">:Attr_167 :boundToTag :Tag_II_141600B .   # R1621 </t>
    </r>
    <r>
      <rPr>
        <sz val="10"/>
        <rFont val="Noto Sans CJK SC"/>
        <family val="2"/>
      </rPr>
      <t xml:space="preserve">离心机频率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II_141600B</t>
    </r>
  </si>
  <si>
    <r>
      <rPr>
        <sz val="10"/>
        <rFont val="Consolas"/>
        <family val="3"/>
      </rPr>
      <t xml:space="preserve">:Attr_167 :boundToTag :Tag_II_141600C .   # R1622 </t>
    </r>
    <r>
      <rPr>
        <sz val="10"/>
        <rFont val="Noto Sans CJK SC"/>
        <family val="2"/>
      </rPr>
      <t xml:space="preserve">离心机频率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II_141600C</t>
    </r>
  </si>
  <si>
    <r>
      <rPr>
        <sz val="10"/>
        <rFont val="Consolas"/>
        <family val="3"/>
      </rPr>
      <t xml:space="preserve">:Attr_167 :boundToTag :Tag_II_141600D .   # R1623 </t>
    </r>
    <r>
      <rPr>
        <sz val="10"/>
        <rFont val="Noto Sans CJK SC"/>
        <family val="2"/>
      </rPr>
      <t xml:space="preserve">离心机频率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II_141600D</t>
    </r>
  </si>
  <si>
    <r>
      <rPr>
        <sz val="10"/>
        <rFont val="Consolas"/>
        <family val="3"/>
      </rPr>
      <t xml:space="preserve">:Attr_167 :boundToTag :Tag_II_141600E .   # R1624 </t>
    </r>
    <r>
      <rPr>
        <sz val="10"/>
        <rFont val="Noto Sans CJK SC"/>
        <family val="2"/>
      </rPr>
      <t xml:space="preserve">离心机频率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II_141600E</t>
    </r>
  </si>
  <si>
    <r>
      <rPr>
        <sz val="10"/>
        <rFont val="Consolas"/>
        <family val="3"/>
      </rPr>
      <t xml:space="preserve">:Attr_167 :boundToTag :Tag_II_141600F .   # R1625 </t>
    </r>
    <r>
      <rPr>
        <sz val="10"/>
        <rFont val="Noto Sans CJK SC"/>
        <family val="2"/>
      </rPr>
      <t xml:space="preserve">离心机频率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II_141600F</t>
    </r>
  </si>
  <si>
    <r>
      <rPr>
        <sz val="10"/>
        <rFont val="Consolas"/>
        <family val="3"/>
      </rPr>
      <t xml:space="preserve">:Attr_167 :boundToTag :Tag_II_141600G .   # R1626 </t>
    </r>
    <r>
      <rPr>
        <sz val="10"/>
        <rFont val="Noto Sans CJK SC"/>
        <family val="2"/>
      </rPr>
      <t xml:space="preserve">离心机频率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II_141600G</t>
    </r>
  </si>
  <si>
    <r>
      <rPr>
        <sz val="10"/>
        <rFont val="Consolas"/>
        <family val="3"/>
      </rPr>
      <t xml:space="preserve">:Attr_167 :boundToTag :Tag_II_141600H .   # R1627 </t>
    </r>
    <r>
      <rPr>
        <sz val="10"/>
        <rFont val="Noto Sans CJK SC"/>
        <family val="2"/>
      </rPr>
      <t xml:space="preserve">离心机频率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II_141600H</t>
    </r>
  </si>
  <si>
    <r>
      <rPr>
        <sz val="10"/>
        <rFont val="Consolas"/>
        <family val="3"/>
      </rPr>
      <t xml:space="preserve">:Attr_167 :boundToTag :Tag_II_141600I .   # R1628 </t>
    </r>
    <r>
      <rPr>
        <sz val="10"/>
        <rFont val="Noto Sans CJK SC"/>
        <family val="2"/>
      </rPr>
      <t xml:space="preserve">离心机频率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II_141600I</t>
    </r>
  </si>
  <si>
    <r>
      <rPr>
        <sz val="10"/>
        <rFont val="Consolas"/>
        <family val="3"/>
      </rPr>
      <t xml:space="preserve">:Attr_167 :boundToTag :Tag_II_141600J .   # R1629 </t>
    </r>
    <r>
      <rPr>
        <sz val="10"/>
        <rFont val="Noto Sans CJK SC"/>
        <family val="2"/>
      </rPr>
      <t xml:space="preserve">离心机频率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II_141600J</t>
    </r>
  </si>
  <si>
    <r>
      <rPr>
        <sz val="10"/>
        <rFont val="Consolas"/>
        <family val="3"/>
      </rPr>
      <t xml:space="preserve">:Attr_168 :boundToTag :Tag_FT_2004A .   # R1630 </t>
    </r>
    <r>
      <rPr>
        <sz val="10"/>
        <rFont val="Noto Sans CJK SC"/>
        <family val="2"/>
      </rPr>
      <t xml:space="preserve">离心洗涤水流量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FT_2004A</t>
    </r>
  </si>
  <si>
    <r>
      <rPr>
        <sz val="10"/>
        <rFont val="Consolas"/>
        <family val="3"/>
      </rPr>
      <t xml:space="preserve">:Attr_168 :boundToTag :Tag_FT_2004B .   # R1631 </t>
    </r>
    <r>
      <rPr>
        <sz val="10"/>
        <rFont val="Noto Sans CJK SC"/>
        <family val="2"/>
      </rPr>
      <t xml:space="preserve">离心洗涤水流量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FT_2004B</t>
    </r>
  </si>
  <si>
    <r>
      <rPr>
        <sz val="10"/>
        <rFont val="Consolas"/>
        <family val="3"/>
      </rPr>
      <t xml:space="preserve">:Attr_168 :boundToTag :Tag_FT_2004C .   # R1632 </t>
    </r>
    <r>
      <rPr>
        <sz val="10"/>
        <rFont val="Noto Sans CJK SC"/>
        <family val="2"/>
      </rPr>
      <t xml:space="preserve">离心洗涤水流量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FT_2004C</t>
    </r>
  </si>
  <si>
    <r>
      <rPr>
        <sz val="10"/>
        <rFont val="Consolas"/>
        <family val="3"/>
      </rPr>
      <t xml:space="preserve">:Attr_168 :boundToTag :Tag_FT_2004D .   # R1633 </t>
    </r>
    <r>
      <rPr>
        <sz val="10"/>
        <rFont val="Noto Sans CJK SC"/>
        <family val="2"/>
      </rPr>
      <t xml:space="preserve">离心洗涤水流量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FT_2004D</t>
    </r>
  </si>
  <si>
    <r>
      <rPr>
        <sz val="10"/>
        <rFont val="Consolas"/>
        <family val="3"/>
      </rPr>
      <t xml:space="preserve">:Attr_168 :boundToTag :Tag_FT_2004E .   # R1634 </t>
    </r>
    <r>
      <rPr>
        <sz val="10"/>
        <rFont val="Noto Sans CJK SC"/>
        <family val="2"/>
      </rPr>
      <t xml:space="preserve">离心洗涤水流量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FT_2004E</t>
    </r>
  </si>
  <si>
    <r>
      <rPr>
        <sz val="10"/>
        <rFont val="Consolas"/>
        <family val="3"/>
      </rPr>
      <t xml:space="preserve">:Attr_168 :boundToTag :Tag_FT_2004F .   # R1635 </t>
    </r>
    <r>
      <rPr>
        <sz val="10"/>
        <rFont val="Noto Sans CJK SC"/>
        <family val="2"/>
      </rPr>
      <t xml:space="preserve">离心洗涤水流量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FT_2004F</t>
    </r>
  </si>
  <si>
    <r>
      <rPr>
        <sz val="10"/>
        <rFont val="Consolas"/>
        <family val="3"/>
      </rPr>
      <t xml:space="preserve">:Attr_168 :boundToTag :Tag_FT_2004G .   # R1636 </t>
    </r>
    <r>
      <rPr>
        <sz val="10"/>
        <rFont val="Noto Sans CJK SC"/>
        <family val="2"/>
      </rPr>
      <t xml:space="preserve">离心洗涤水流量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FT_2004G</t>
    </r>
  </si>
  <si>
    <r>
      <rPr>
        <sz val="10"/>
        <rFont val="Consolas"/>
        <family val="3"/>
      </rPr>
      <t xml:space="preserve">:Attr_168 :boundToTag :Tag_FT_2004H .   # R1637 </t>
    </r>
    <r>
      <rPr>
        <sz val="10"/>
        <rFont val="Noto Sans CJK SC"/>
        <family val="2"/>
      </rPr>
      <t xml:space="preserve">离心洗涤水流量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FT_2004H</t>
    </r>
  </si>
  <si>
    <r>
      <rPr>
        <sz val="10"/>
        <rFont val="Consolas"/>
        <family val="3"/>
      </rPr>
      <t xml:space="preserve">:Attr_168 :boundToTag :Tag_FT_2004I .   # R1638 </t>
    </r>
    <r>
      <rPr>
        <sz val="10"/>
        <rFont val="Noto Sans CJK SC"/>
        <family val="2"/>
      </rPr>
      <t xml:space="preserve">离心洗涤水流量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FT_2004I</t>
    </r>
  </si>
  <si>
    <r>
      <rPr>
        <sz val="10"/>
        <rFont val="Consolas"/>
        <family val="3"/>
      </rPr>
      <t xml:space="preserve">:Attr_168 :boundToTag :Tag_FT_2004J .   # R1639 </t>
    </r>
    <r>
      <rPr>
        <sz val="10"/>
        <rFont val="Noto Sans CJK SC"/>
        <family val="2"/>
      </rPr>
      <t xml:space="preserve">离心洗涤水流量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FT_2004J</t>
    </r>
  </si>
  <si>
    <r>
      <rPr>
        <sz val="10"/>
        <rFont val="Consolas"/>
        <family val="3"/>
      </rPr>
      <t xml:space="preserve">:Attr_169 :boundToTag :Tag_TI_1338 .   # R1640 </t>
    </r>
    <r>
      <rPr>
        <sz val="10"/>
        <rFont val="Noto Sans CJK SC"/>
        <family val="2"/>
      </rPr>
      <t xml:space="preserve">离心软水温度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TI_1338</t>
    </r>
  </si>
  <si>
    <r>
      <rPr>
        <sz val="10"/>
        <rFont val="Consolas"/>
        <family val="3"/>
      </rPr>
      <t xml:space="preserve">:Attr_170 :boundToTag :Tag_JJG_LXJPHJ .   # R1641 </t>
    </r>
    <r>
      <rPr>
        <sz val="10"/>
        <rFont val="Noto Sans CJK SC"/>
        <family val="2"/>
      </rPr>
      <t>离心软水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JJG_LXJPHJ</t>
    </r>
  </si>
  <si>
    <r>
      <rPr>
        <sz val="10"/>
        <rFont val="Consolas"/>
        <family val="3"/>
      </rPr>
      <t xml:space="preserve">:Attr_171 :boundToTag :Tag_JYLX_12_AI .   # R1642 </t>
    </r>
    <r>
      <rPr>
        <sz val="10"/>
        <rFont val="Noto Sans CJK SC"/>
        <family val="2"/>
      </rPr>
      <t xml:space="preserve">母液去回收流量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JYLX_12_AI</t>
    </r>
  </si>
  <si>
    <r>
      <rPr>
        <sz val="10"/>
        <rFont val="Consolas"/>
        <family val="3"/>
      </rPr>
      <t xml:space="preserve">:Ctrl_044 :controls :Act_044 .   # R1643 </t>
    </r>
    <r>
      <rPr>
        <sz val="10"/>
        <rFont val="Noto Sans CJK SC"/>
        <family val="2"/>
      </rPr>
      <t>结晶重液进料流量控制器</t>
    </r>
    <r>
      <rPr>
        <sz val="10"/>
        <rFont val="Consolas"/>
        <family val="3"/>
      </rPr>
      <t>(FIC-1005)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结晶罐结晶液进口调节阀</t>
    </r>
    <r>
      <rPr>
        <sz val="10"/>
        <rFont val="Consolas"/>
        <family val="3"/>
      </rPr>
      <t>HV_1027</t>
    </r>
  </si>
  <si>
    <r>
      <rPr>
        <sz val="10"/>
        <rFont val="Consolas"/>
        <family val="3"/>
      </rPr>
      <t xml:space="preserve">:Attr_162 :feedbackTo :Ctrl_044 .   # R1644 </t>
    </r>
    <r>
      <rPr>
        <sz val="10"/>
        <rFont val="Noto Sans CJK SC"/>
        <family val="2"/>
      </rPr>
      <t xml:space="preserve">重液进料流量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结晶重液进料流量控制器</t>
    </r>
    <r>
      <rPr>
        <sz val="10"/>
        <rFont val="Consolas"/>
        <family val="3"/>
      </rPr>
      <t>(FIC-1005)</t>
    </r>
  </si>
  <si>
    <r>
      <rPr>
        <sz val="10"/>
        <rFont val="Consolas"/>
        <family val="3"/>
      </rPr>
      <t xml:space="preserve">:Act_044 :affects :Attr_162 .   # R1645 </t>
    </r>
    <r>
      <rPr>
        <sz val="10"/>
        <rFont val="Noto Sans CJK SC"/>
        <family val="2"/>
      </rPr>
      <t>结晶罐结晶液进口调节阀</t>
    </r>
    <r>
      <rPr>
        <sz val="10"/>
        <rFont val="Consolas"/>
        <family val="3"/>
      </rPr>
      <t>HV_1027 -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重液进料流量</t>
    </r>
  </si>
  <si>
    <r>
      <rPr>
        <sz val="10"/>
        <rFont val="Consolas"/>
        <family val="3"/>
      </rPr>
      <t xml:space="preserve">:Ctrl_045 :controls :Act_045 .   # R1646 </t>
    </r>
    <r>
      <rPr>
        <sz val="10"/>
        <rFont val="Noto Sans CJK SC"/>
        <family val="2"/>
      </rPr>
      <t>结晶加氨控制器</t>
    </r>
    <r>
      <rPr>
        <sz val="10"/>
        <rFont val="Consolas"/>
        <family val="3"/>
      </rPr>
      <t>(FIC-1006/AIC-1401)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结晶罐氨水进口调节阀</t>
    </r>
    <r>
      <rPr>
        <sz val="10"/>
        <rFont val="Consolas"/>
        <family val="3"/>
      </rPr>
      <t>HV_1028</t>
    </r>
  </si>
  <si>
    <r>
      <rPr>
        <sz val="10"/>
        <rFont val="Consolas"/>
        <family val="3"/>
      </rPr>
      <t xml:space="preserve">:Attr_163 :feedbackTo :Ctrl_045 .   # R1647 </t>
    </r>
    <r>
      <rPr>
        <sz val="10"/>
        <rFont val="Noto Sans CJK SC"/>
        <family val="2"/>
      </rPr>
      <t xml:space="preserve">结晶氨水进料流量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结晶加氨控制器</t>
    </r>
    <r>
      <rPr>
        <sz val="10"/>
        <rFont val="Consolas"/>
        <family val="3"/>
      </rPr>
      <t>(FIC-1006/AIC-1401)</t>
    </r>
  </si>
  <si>
    <r>
      <rPr>
        <sz val="10"/>
        <rFont val="Consolas"/>
        <family val="3"/>
      </rPr>
      <t xml:space="preserve">:Act_045 :affects :Attr_163 .   # R1648 </t>
    </r>
    <r>
      <rPr>
        <sz val="10"/>
        <rFont val="Noto Sans CJK SC"/>
        <family val="2"/>
      </rPr>
      <t>结晶罐氨水进口调节阀</t>
    </r>
    <r>
      <rPr>
        <sz val="10"/>
        <rFont val="Consolas"/>
        <family val="3"/>
      </rPr>
      <t>HV_1028 -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结晶氨水进料流量</t>
    </r>
  </si>
  <si>
    <r>
      <rPr>
        <sz val="10"/>
        <rFont val="Consolas"/>
        <family val="3"/>
      </rPr>
      <t xml:space="preserve">:Ctrl_046 :controls :Act_046 .   # R1649 </t>
    </r>
    <r>
      <rPr>
        <sz val="10"/>
        <rFont val="Noto Sans CJK SC"/>
        <family val="2"/>
      </rPr>
      <t>结晶温度控制器</t>
    </r>
    <r>
      <rPr>
        <sz val="10"/>
        <rFont val="Consolas"/>
        <family val="3"/>
      </rPr>
      <t>(TIC-1407)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结晶罐温度控制调节阀</t>
    </r>
    <r>
      <rPr>
        <sz val="10"/>
        <rFont val="Consolas"/>
        <family val="3"/>
      </rPr>
      <t>HV_1029A–L</t>
    </r>
  </si>
  <si>
    <r>
      <rPr>
        <sz val="10"/>
        <rFont val="Consolas"/>
        <family val="3"/>
      </rPr>
      <t xml:space="preserve">:Attr_159 :feedbackTo :Ctrl_046 .   # R1650 </t>
    </r>
    <r>
      <rPr>
        <sz val="10"/>
        <rFont val="Noto Sans CJK SC"/>
        <family val="2"/>
      </rPr>
      <t xml:space="preserve">结晶罐温度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结晶温度控制器</t>
    </r>
    <r>
      <rPr>
        <sz val="10"/>
        <rFont val="Consolas"/>
        <family val="3"/>
      </rPr>
      <t>(TIC-1407)</t>
    </r>
  </si>
  <si>
    <r>
      <rPr>
        <sz val="10"/>
        <rFont val="Consolas"/>
        <family val="3"/>
      </rPr>
      <t xml:space="preserve">:Act_046 :affects :Attr_159 .   # R1651 </t>
    </r>
    <r>
      <rPr>
        <sz val="10"/>
        <rFont val="Noto Sans CJK SC"/>
        <family val="2"/>
      </rPr>
      <t>结晶罐温度控制调节阀</t>
    </r>
    <r>
      <rPr>
        <sz val="10"/>
        <rFont val="Consolas"/>
        <family val="3"/>
      </rPr>
      <t>HV_1029A–L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结晶罐温度</t>
    </r>
  </si>
  <si>
    <r>
      <rPr>
        <sz val="10"/>
        <rFont val="Consolas"/>
        <family val="3"/>
      </rPr>
      <t xml:space="preserve">:Ctrl_047 :controls :Act_047 .   # R1652 </t>
    </r>
    <r>
      <rPr>
        <sz val="10"/>
        <rFont val="Noto Sans CJK SC"/>
        <family val="2"/>
      </rPr>
      <t xml:space="preserve">结晶罐盐酸调节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结晶罐盐酸调节阀</t>
    </r>
    <r>
      <rPr>
        <sz val="10"/>
        <rFont val="Consolas"/>
        <family val="3"/>
      </rPr>
      <t>JJG112–125_HCL</t>
    </r>
  </si>
  <si>
    <r>
      <rPr>
        <sz val="10"/>
        <rFont val="Consolas"/>
        <family val="3"/>
      </rPr>
      <t xml:space="preserve">:Attr_160 :feedbackTo :Ctrl_047 .   # R1653 </t>
    </r>
    <r>
      <rPr>
        <sz val="10"/>
        <rFont val="Noto Sans CJK SC"/>
        <family val="2"/>
      </rPr>
      <t>结晶终点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结晶罐盐酸调节</t>
    </r>
  </si>
  <si>
    <r>
      <rPr>
        <sz val="10"/>
        <rFont val="Consolas"/>
        <family val="3"/>
      </rPr>
      <t xml:space="preserve">:Act_047 :affects :Attr_160 .   # R1654 </t>
    </r>
    <r>
      <rPr>
        <sz val="10"/>
        <rFont val="Noto Sans CJK SC"/>
        <family val="2"/>
      </rPr>
      <t>结晶罐盐酸调节阀</t>
    </r>
    <r>
      <rPr>
        <sz val="10"/>
        <rFont val="Consolas"/>
        <family val="3"/>
      </rPr>
      <t>JJG112–125_HCL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结晶终点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</si>
  <si>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>:Ctrl_048 :controls :Act_048 .   # R1655 1600</t>
    </r>
    <r>
      <rPr>
        <sz val="10"/>
        <rFont val="Noto Sans CJK SC"/>
        <family val="2"/>
      </rPr>
      <t xml:space="preserve">离心机进料控制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离心机进料调节阀</t>
    </r>
    <r>
      <rPr>
        <sz val="10"/>
        <rFont val="Consolas"/>
        <family val="3"/>
      </rPr>
      <t>HV_2014A–J</t>
    </r>
  </si>
  <si>
    <r>
      <rPr>
        <sz val="10"/>
        <rFont val="Consolas"/>
        <family val="3"/>
      </rPr>
      <t xml:space="preserve">:Attr_167 :feedbackTo :Ctrl_048 .   # R1656 </t>
    </r>
    <r>
      <rPr>
        <sz val="10"/>
        <rFont val="Noto Sans CJK SC"/>
        <family val="2"/>
      </rPr>
      <t xml:space="preserve">离心机频率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>-&gt; 1600</t>
    </r>
    <r>
      <rPr>
        <sz val="10"/>
        <rFont val="Noto Sans CJK SC"/>
        <family val="2"/>
      </rPr>
      <t>离心机进料控制</t>
    </r>
  </si>
  <si>
    <r>
      <rPr>
        <sz val="10"/>
        <rFont val="Consolas"/>
        <family val="3"/>
      </rPr>
      <t xml:space="preserve">:Act_048 :affects :Attr_167 .   # R1657 </t>
    </r>
    <r>
      <rPr>
        <sz val="10"/>
        <rFont val="Noto Sans CJK SC"/>
        <family val="2"/>
      </rPr>
      <t>离心机进料调节阀</t>
    </r>
    <r>
      <rPr>
        <sz val="10"/>
        <rFont val="Consolas"/>
        <family val="3"/>
      </rPr>
      <t>HV_2014A–J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离心机频率</t>
    </r>
  </si>
  <si>
    <r>
      <rPr>
        <sz val="10"/>
        <rFont val="Consolas"/>
        <family val="3"/>
      </rPr>
      <t xml:space="preserve">:Ctrl_049 :controls :Act_049 .   # R1658 </t>
    </r>
    <r>
      <rPr>
        <sz val="10"/>
        <rFont val="Noto Sans CJK SC"/>
        <family val="2"/>
      </rPr>
      <t>离心软水温度控制器</t>
    </r>
    <r>
      <rPr>
        <sz val="10"/>
        <rFont val="Consolas"/>
        <family val="3"/>
      </rPr>
      <t>(TIC-1338) 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>-&gt; 1600</t>
    </r>
    <r>
      <rPr>
        <sz val="10"/>
        <rFont val="Noto Sans CJK SC"/>
        <family val="2"/>
      </rPr>
      <t>离心机软水罐降温调节阀</t>
    </r>
    <r>
      <rPr>
        <sz val="10"/>
        <rFont val="Consolas"/>
        <family val="3"/>
      </rPr>
      <t>HV_1338</t>
    </r>
  </si>
  <si>
    <r>
      <rPr>
        <sz val="10"/>
        <rFont val="Consolas"/>
        <family val="3"/>
      </rPr>
      <t xml:space="preserve">:Attr_169 :feedbackTo :Ctrl_049 .   # R1659 </t>
    </r>
    <r>
      <rPr>
        <sz val="10"/>
        <rFont val="Noto Sans CJK SC"/>
        <family val="2"/>
      </rPr>
      <t xml:space="preserve">离心软水温度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离心软水温度控制器</t>
    </r>
    <r>
      <rPr>
        <sz val="10"/>
        <rFont val="Consolas"/>
        <family val="3"/>
      </rPr>
      <t>(TIC-1338)</t>
    </r>
  </si>
  <si>
    <r>
      <rPr>
        <sz val="10"/>
        <rFont val="Consolas"/>
        <family val="3"/>
      </rPr>
      <t>:Act_049 :affects :Attr_169 .   # R1660 1600</t>
    </r>
    <r>
      <rPr>
        <sz val="10"/>
        <rFont val="Noto Sans CJK SC"/>
        <family val="2"/>
      </rPr>
      <t>离心机软水罐降温调节阀</t>
    </r>
    <r>
      <rPr>
        <sz val="10"/>
        <rFont val="Consolas"/>
        <family val="3"/>
      </rPr>
      <t>HV_1338 -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离心软水温度</t>
    </r>
  </si>
  <si>
    <r>
      <rPr>
        <sz val="10"/>
        <rFont val="Consolas"/>
        <family val="3"/>
      </rPr>
      <t>:BatchCrystallizerGroup :isControlledBy :Seq_08 .   # R1661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被控制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结晶连续控制面板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停泵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切换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流量复位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</si>
  <si>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>:Centrifuge1600Group :isControlledBy :Seq_08 .   # R1662 1600</t>
    </r>
    <r>
      <rPr>
        <sz val="10"/>
        <rFont val="Noto Sans CJK SC"/>
        <family val="2"/>
      </rPr>
      <t xml:space="preserve">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被控制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结晶连续控制面板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停泵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切换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流量复位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</si>
  <si>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:Attr_162 :triggersAlarm :Alarm_13 .   # R1663 </t>
    </r>
    <r>
      <rPr>
        <sz val="10"/>
        <rFont val="Noto Sans CJK SC"/>
        <family val="2"/>
      </rPr>
      <t xml:space="preserve">重液进料流量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触发报警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重液阀全关报警</t>
    </r>
  </si>
  <si>
    <r>
      <rPr>
        <sz val="10"/>
        <rFont val="Consolas"/>
        <family val="3"/>
      </rPr>
      <t>:MS_HeavyLiquor :flowsInto :BatchCrystallizerGroup .   # R1664 6APA</t>
    </r>
    <r>
      <rPr>
        <sz val="10"/>
        <rFont val="Noto Sans CJK SC"/>
        <family val="2"/>
      </rPr>
      <t xml:space="preserve">重液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</t>
    </r>
  </si>
  <si>
    <r>
      <rPr>
        <sz val="10"/>
        <rFont val="Consolas"/>
        <family val="3"/>
      </rPr>
      <t xml:space="preserve">:MS_Ammonia_Cryst :injectedInto :BatchCrystallizerGroup .   # R1665 </t>
    </r>
    <r>
      <rPr>
        <sz val="10"/>
        <rFont val="Noto Sans CJK SC"/>
        <family val="2"/>
      </rPr>
      <t xml:space="preserve">结晶氨水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注入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</t>
    </r>
  </si>
  <si>
    <r>
      <rPr>
        <sz val="10"/>
        <rFont val="Consolas"/>
        <family val="3"/>
      </rPr>
      <t xml:space="preserve">:MS_HCl :injectedInto :BatchCrystallizerGroup .   # R1666 </t>
    </r>
    <r>
      <rPr>
        <sz val="10"/>
        <rFont val="Noto Sans CJK SC"/>
        <family val="2"/>
      </rPr>
      <t xml:space="preserve">盐酸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注入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</t>
    </r>
  </si>
  <si>
    <r>
      <rPr>
        <sz val="10"/>
        <rFont val="Consolas"/>
        <family val="3"/>
      </rPr>
      <t xml:space="preserve">:MS_SoftWater :flowsInto :BatchCrystallizerGroup .   # R1667 </t>
    </r>
    <r>
      <rPr>
        <sz val="10"/>
        <rFont val="Noto Sans CJK SC"/>
        <family val="2"/>
      </rPr>
      <t xml:space="preserve">软水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</t>
    </r>
  </si>
  <si>
    <r>
      <rPr>
        <sz val="10"/>
        <rFont val="Consolas"/>
        <family val="3"/>
      </rPr>
      <t>:BatchCrystallizerGroup :produces :MS_CrystSlurry .   # R1668 6APA</t>
    </r>
    <r>
      <rPr>
        <sz val="10"/>
        <rFont val="Noto Sans CJK SC"/>
        <family val="2"/>
      </rPr>
      <t>结晶罐组</t>
    </r>
    <r>
      <rPr>
        <sz val="10"/>
        <rFont val="Consolas"/>
        <family val="3"/>
      </rPr>
      <t>R112–R125 -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晶浆</t>
    </r>
  </si>
  <si>
    <r>
      <rPr>
        <sz val="10"/>
        <rFont val="Consolas"/>
        <family val="3"/>
      </rPr>
      <t>:MS_CrystSlurry :flowsInto :SlurryPumps .   # R1669 6APA</t>
    </r>
    <r>
      <rPr>
        <sz val="10"/>
        <rFont val="Noto Sans CJK SC"/>
        <family val="2"/>
      </rPr>
      <t xml:space="preserve">晶浆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晶浆打料泵组</t>
    </r>
  </si>
  <si>
    <r>
      <rPr>
        <sz val="10"/>
        <rFont val="Consolas"/>
        <family val="3"/>
      </rPr>
      <t xml:space="preserve">:SlurryPumps :connectedToNext :Centrifuge1600Group .   # R1670 </t>
    </r>
    <r>
      <rPr>
        <sz val="10"/>
        <rFont val="Noto Sans CJK SC"/>
        <family val="2"/>
      </rPr>
      <t xml:space="preserve">晶浆打料泵组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>-&gt; 1600</t>
    </r>
    <r>
      <rPr>
        <sz val="10"/>
        <rFont val="Noto Sans CJK SC"/>
        <family val="2"/>
      </rPr>
      <t>离心机组</t>
    </r>
  </si>
  <si>
    <r>
      <rPr>
        <sz val="10"/>
        <rFont val="Consolas"/>
        <family val="3"/>
      </rPr>
      <t xml:space="preserve">:MS_WashWater :flowsInto :Centrifuge1600Group .   # R1671 </t>
    </r>
    <r>
      <rPr>
        <sz val="10"/>
        <rFont val="Noto Sans CJK SC"/>
        <family val="2"/>
      </rPr>
      <t xml:space="preserve">离心洗涤软水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>-&gt; 1600</t>
    </r>
    <r>
      <rPr>
        <sz val="10"/>
        <rFont val="Noto Sans CJK SC"/>
        <family val="2"/>
      </rPr>
      <t>离心机组</t>
    </r>
  </si>
  <si>
    <r>
      <rPr>
        <sz val="10"/>
        <rFont val="Consolas"/>
        <family val="3"/>
      </rPr>
      <t>:CentrifugeSoftWaterTank :produces :MS_WashWater .   # R1672 1600</t>
    </r>
    <r>
      <rPr>
        <sz val="10"/>
        <rFont val="Noto Sans CJK SC"/>
        <family val="2"/>
      </rPr>
      <t xml:space="preserve">离心机软水罐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离心洗涤软水</t>
    </r>
  </si>
  <si>
    <r>
      <rPr>
        <sz val="10"/>
        <rFont val="Consolas"/>
        <family val="3"/>
      </rPr>
      <t>:Centrifuge1600Group :separatesInto :MS_WetCake .   # R1673 1600</t>
    </r>
    <r>
      <rPr>
        <sz val="10"/>
        <rFont val="Noto Sans CJK SC"/>
        <family val="2"/>
      </rPr>
      <t xml:space="preserve">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分离产出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湿品</t>
    </r>
  </si>
  <si>
    <r>
      <rPr>
        <sz val="10"/>
        <rFont val="Consolas"/>
        <family val="3"/>
      </rPr>
      <t>:Centrifuge1600Group :separatesInto :MS_MotherLiquor .   # R1674 1600</t>
    </r>
    <r>
      <rPr>
        <sz val="10"/>
        <rFont val="Noto Sans CJK SC"/>
        <family val="2"/>
      </rPr>
      <t xml:space="preserve">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分离产出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结晶离心母液</t>
    </r>
  </si>
  <si>
    <r>
      <rPr>
        <sz val="10"/>
        <rFont val="Consolas"/>
        <family val="3"/>
      </rPr>
      <t xml:space="preserve">:MS_MotherLiquor :flowsInto :CrystMotherTanks .   # R1675 </t>
    </r>
    <r>
      <rPr>
        <sz val="10"/>
        <rFont val="Noto Sans CJK SC"/>
        <family val="2"/>
      </rPr>
      <t xml:space="preserve">结晶离心母液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离心母液罐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洗液罐</t>
    </r>
  </si>
  <si>
    <r>
      <rPr>
        <sz val="10"/>
        <rFont val="Consolas"/>
        <family val="3"/>
      </rPr>
      <t xml:space="preserve">:Attr_163 :positivelyAffects :Attr_160 .   # R1676 </t>
    </r>
    <r>
      <rPr>
        <sz val="10"/>
        <rFont val="Noto Sans CJK SC"/>
        <family val="2"/>
      </rPr>
      <t xml:space="preserve">结晶氨水进料流量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结晶终点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</si>
  <si>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:Attr_165 :negativelyAffects :Attr_160 .   # R1677 </t>
    </r>
    <r>
      <rPr>
        <sz val="10"/>
        <rFont val="Noto Sans CJK SC"/>
        <family val="2"/>
      </rPr>
      <t xml:space="preserve">结晶盐酸流量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结晶终点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</si>
  <si>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:Attr_288 :positivelyAffects :Attr_285 .   # R1678 </t>
    </r>
    <r>
      <rPr>
        <sz val="10"/>
        <rFont val="Noto Sans CJK SC"/>
        <family val="2"/>
      </rPr>
      <t xml:space="preserve">加氨速率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结晶过饱和度</t>
    </r>
  </si>
  <si>
    <r>
      <rPr>
        <sz val="10"/>
        <rFont val="Consolas"/>
        <family val="3"/>
      </rPr>
      <t xml:space="preserve">:Attr_285 :negativelyAffects :QKPI_286 .   # R1679 </t>
    </r>
    <r>
      <rPr>
        <sz val="10"/>
        <rFont val="Noto Sans CJK SC"/>
        <family val="2"/>
      </rPr>
      <t xml:space="preserve">结晶过饱和度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晶体粒度分布</t>
    </r>
  </si>
  <si>
    <r>
      <rPr>
        <sz val="10"/>
        <rFont val="Consolas"/>
        <family val="3"/>
      </rPr>
      <t xml:space="preserve">:Attr_160 :affects :Attr_289 .   # R1680 </t>
    </r>
    <r>
      <rPr>
        <sz val="10"/>
        <rFont val="Noto Sans CJK SC"/>
        <family val="2"/>
      </rPr>
      <t>结晶终点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溶解度</t>
    </r>
  </si>
  <si>
    <r>
      <rPr>
        <sz val="10"/>
        <rFont val="Consolas"/>
        <family val="3"/>
      </rPr>
      <t xml:space="preserve">:Attr_159 :positivelyAffects :Attr_289 .   # R1681 </t>
    </r>
    <r>
      <rPr>
        <sz val="10"/>
        <rFont val="Noto Sans CJK SC"/>
        <family val="2"/>
      </rPr>
      <t xml:space="preserve">结晶罐温度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溶解度</t>
    </r>
  </si>
  <si>
    <r>
      <rPr>
        <sz val="10"/>
        <rFont val="Consolas"/>
        <family val="3"/>
      </rPr>
      <t>:Attr_289 :negativelyAffects :QKPI_290 .   # R1682 6APA</t>
    </r>
    <r>
      <rPr>
        <sz val="10"/>
        <rFont val="Noto Sans CJK SC"/>
        <family val="2"/>
      </rPr>
      <t xml:space="preserve">溶解度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结晶收率</t>
    </r>
  </si>
  <si>
    <r>
      <rPr>
        <sz val="10"/>
        <rFont val="Consolas"/>
        <family val="3"/>
      </rPr>
      <t xml:space="preserve">:Attr_287 :positivelyAffects :QKPI_286 .   # R1683 </t>
    </r>
    <r>
      <rPr>
        <sz val="10"/>
        <rFont val="Noto Sans CJK SC"/>
        <family val="2"/>
      </rPr>
      <t xml:space="preserve">养晶时间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晶体粒度分布</t>
    </r>
  </si>
  <si>
    <r>
      <rPr>
        <sz val="10"/>
        <rFont val="Consolas"/>
        <family val="3"/>
      </rPr>
      <t xml:space="preserve">:Attr_164 :affects :QKPI_286 .   # R1684 </t>
    </r>
    <r>
      <rPr>
        <sz val="10"/>
        <rFont val="Noto Sans CJK SC"/>
        <family val="2"/>
      </rPr>
      <t xml:space="preserve">结晶搅拌频率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晶体粒度分布</t>
    </r>
  </si>
  <si>
    <r>
      <rPr>
        <sz val="10"/>
        <rFont val="Consolas"/>
        <family val="3"/>
      </rPr>
      <t xml:space="preserve">:QKPI_286 :negativelyAffects :QKPI_291 .   # R1685 </t>
    </r>
    <r>
      <rPr>
        <sz val="10"/>
        <rFont val="Noto Sans CJK SC"/>
        <family val="2"/>
      </rPr>
      <t xml:space="preserve">晶体粒度分布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离心滤饼含湿量</t>
    </r>
  </si>
  <si>
    <r>
      <rPr>
        <sz val="10"/>
        <rFont val="Consolas"/>
        <family val="3"/>
      </rPr>
      <t xml:space="preserve">:Attr_168 :negativelyAffects :QKPI_292 .   # R1686 </t>
    </r>
    <r>
      <rPr>
        <sz val="10"/>
        <rFont val="Noto Sans CJK SC"/>
        <family val="2"/>
      </rPr>
      <t xml:space="preserve">离心洗涤水流量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湿品灰分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氯化铵残留</t>
    </r>
  </si>
  <si>
    <r>
      <rPr>
        <sz val="10"/>
        <rFont val="Consolas"/>
        <family val="3"/>
      </rPr>
      <t xml:space="preserve">:Attr_168 :positivelyAffects :QKPI_293 .   # R1687 </t>
    </r>
    <r>
      <rPr>
        <sz val="10"/>
        <rFont val="Noto Sans CJK SC"/>
        <family val="2"/>
      </rPr>
      <t xml:space="preserve">离心洗涤水流量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</t>
    </r>
    <r>
      <rPr>
        <sz val="10"/>
        <rFont val="Consolas"/>
        <family val="3"/>
      </rPr>
      <t>6APA</t>
    </r>
    <r>
      <rPr>
        <sz val="10"/>
        <rFont val="Noto Sans CJK SC"/>
        <family val="2"/>
      </rPr>
      <t>残留浓度</t>
    </r>
  </si>
  <si>
    <r>
      <rPr>
        <sz val="10"/>
        <rFont val="Consolas"/>
        <family val="3"/>
      </rPr>
      <t xml:space="preserve">:Attr_169 :positivelyAffects :QKPI_293 .   # R1688 </t>
    </r>
    <r>
      <rPr>
        <sz val="10"/>
        <rFont val="Noto Sans CJK SC"/>
        <family val="2"/>
      </rPr>
      <t xml:space="preserve">离心软水温度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</t>
    </r>
    <r>
      <rPr>
        <sz val="10"/>
        <rFont val="Consolas"/>
        <family val="3"/>
      </rPr>
      <t>6APA</t>
    </r>
    <r>
      <rPr>
        <sz val="10"/>
        <rFont val="Noto Sans CJK SC"/>
        <family val="2"/>
      </rPr>
      <t>残留浓度</t>
    </r>
  </si>
  <si>
    <r>
      <rPr>
        <sz val="10"/>
        <rFont val="Consolas"/>
        <family val="3"/>
      </rPr>
      <t xml:space="preserve">:QKPI_290 :positivelyAffects :BKPI_303 .   # R1689 </t>
    </r>
    <r>
      <rPr>
        <sz val="10"/>
        <rFont val="Noto Sans CJK SC"/>
        <family val="2"/>
      </rPr>
      <t xml:space="preserve">结晶收率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产品批次提取收率</t>
    </r>
  </si>
  <si>
    <r>
      <rPr>
        <sz val="10"/>
        <rFont val="Consolas"/>
        <family val="3"/>
      </rPr>
      <t xml:space="preserve">:QKPI_293 :negativelyAffects :QKPI_290 .   # R1690 </t>
    </r>
    <r>
      <rPr>
        <sz val="10"/>
        <rFont val="Noto Sans CJK SC"/>
        <family val="2"/>
      </rPr>
      <t>母液</t>
    </r>
    <r>
      <rPr>
        <sz val="10"/>
        <rFont val="Consolas"/>
        <family val="3"/>
      </rPr>
      <t>6APA</t>
    </r>
    <r>
      <rPr>
        <sz val="10"/>
        <rFont val="Noto Sans CJK SC"/>
        <family val="2"/>
      </rPr>
      <t xml:space="preserve">残留浓度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结晶收率</t>
    </r>
  </si>
  <si>
    <r>
      <rPr>
        <sz val="10"/>
        <rFont val="Consolas"/>
        <family val="3"/>
      </rPr>
      <t xml:space="preserve">:QKPI_291 :positivelyAffects :QKPI_295 .   # R1691 </t>
    </r>
    <r>
      <rPr>
        <sz val="10"/>
        <rFont val="Noto Sans CJK SC"/>
        <family val="2"/>
      </rPr>
      <t xml:space="preserve">离心滤饼含湿量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>-&gt; 6-APA</t>
    </r>
    <r>
      <rPr>
        <sz val="10"/>
        <rFont val="Noto Sans CJK SC"/>
        <family val="2"/>
      </rPr>
      <t>成品水分</t>
    </r>
  </si>
  <si>
    <r>
      <rPr>
        <sz val="10"/>
        <rFont val="Consolas"/>
        <family val="3"/>
      </rPr>
      <t>:QKPI_292 :negativelyAffects :QKPI_296 .   # R1692 6APA</t>
    </r>
    <r>
      <rPr>
        <sz val="10"/>
        <rFont val="Noto Sans CJK SC"/>
        <family val="2"/>
      </rPr>
      <t>湿品灰分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氯化铵残留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>-&gt; 6-APA</t>
    </r>
    <r>
      <rPr>
        <sz val="10"/>
        <rFont val="Noto Sans CJK SC"/>
        <family val="2"/>
      </rPr>
      <t>成品含量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色级</t>
    </r>
  </si>
  <si>
    <r>
      <rPr>
        <sz val="10"/>
        <rFont val="Consolas"/>
        <family val="3"/>
      </rPr>
      <t xml:space="preserve">
# --- S14 6APA</t>
    </r>
    <r>
      <rPr>
        <sz val="10"/>
        <rFont val="Noto Sans CJK SC"/>
        <family val="2"/>
      </rPr>
      <t xml:space="preserve">连续结晶 </t>
    </r>
    <r>
      <rPr>
        <sz val="10"/>
        <rFont val="Consolas"/>
        <family val="3"/>
      </rPr>
      <t>---</t>
    </r>
  </si>
  <si>
    <r>
      <rPr>
        <sz val="10"/>
        <rFont val="Consolas"/>
        <family val="3"/>
      </rPr>
      <t>:Area_S14_ContinuousCrystallization :connectedToNext :Area_S13_BatchCrystallization .   # R1693 6APA</t>
    </r>
    <r>
      <rPr>
        <sz val="10"/>
        <rFont val="Noto Sans CJK SC"/>
        <family val="2"/>
      </rPr>
      <t xml:space="preserve">连续结晶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批次结晶与离心</t>
    </r>
  </si>
  <si>
    <r>
      <rPr>
        <sz val="10"/>
        <rFont val="Consolas"/>
        <family val="3"/>
      </rPr>
      <t>:Area_S14_ContinuousCrystallization :hasEquipment :TitaniumHXE101 .   # R1694 6APA</t>
    </r>
    <r>
      <rPr>
        <sz val="10"/>
        <rFont val="Noto Sans CJK SC"/>
        <family val="2"/>
      </rPr>
      <t xml:space="preserve">连续结晶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钛材换热器</t>
    </r>
    <r>
      <rPr>
        <sz val="10"/>
        <rFont val="Consolas"/>
        <family val="3"/>
      </rPr>
      <t>E101</t>
    </r>
  </si>
  <si>
    <r>
      <rPr>
        <sz val="10"/>
        <rFont val="Consolas"/>
        <family val="3"/>
      </rPr>
      <t xml:space="preserve">:TitaniumHXE101 :hasPart :TitaniumHXE101_P01 .   # R1695 </t>
    </r>
    <r>
      <rPr>
        <sz val="10"/>
        <rFont val="Noto Sans CJK SC"/>
        <family val="2"/>
      </rPr>
      <t>钛材换热器</t>
    </r>
    <r>
      <rPr>
        <sz val="10"/>
        <rFont val="Consolas"/>
        <family val="3"/>
      </rPr>
      <t>E101 -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钛材换热器</t>
    </r>
    <r>
      <rPr>
        <sz val="10"/>
        <rFont val="Consolas"/>
        <family val="3"/>
      </rPr>
      <t>E101·</t>
    </r>
    <r>
      <rPr>
        <sz val="10"/>
        <rFont val="Noto Sans CJK SC"/>
        <family val="2"/>
      </rPr>
      <t>冷水</t>
    </r>
    <r>
      <rPr>
        <sz val="10"/>
        <rFont val="Consolas"/>
        <family val="3"/>
      </rPr>
      <t>(-15℃)/</t>
    </r>
    <r>
      <rPr>
        <sz val="10"/>
        <rFont val="Noto Sans CJK SC"/>
        <family val="2"/>
      </rPr>
      <t>热水</t>
    </r>
    <r>
      <rPr>
        <sz val="10"/>
        <rFont val="Consolas"/>
        <family val="3"/>
      </rPr>
      <t>(30℃)</t>
    </r>
    <r>
      <rPr>
        <sz val="10"/>
        <rFont val="Noto Sans CJK SC"/>
        <family val="2"/>
      </rPr>
      <t>切换阀</t>
    </r>
  </si>
  <si>
    <r>
      <rPr>
        <sz val="10"/>
        <rFont val="Consolas"/>
        <family val="3"/>
      </rPr>
      <t>:Area_S14_ContinuousCrystallization :hasEquipment :ContCrystC101 .   # R1696 6APA</t>
    </r>
    <r>
      <rPr>
        <sz val="10"/>
        <rFont val="Noto Sans CJK SC"/>
        <family val="2"/>
      </rPr>
      <t xml:space="preserve">连续结晶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一级结晶罐</t>
    </r>
    <r>
      <rPr>
        <sz val="10"/>
        <rFont val="Consolas"/>
        <family val="3"/>
      </rPr>
      <t>C101(</t>
    </r>
    <r>
      <rPr>
        <sz val="10"/>
        <rFont val="Noto Sans CJK SC"/>
        <family val="2"/>
      </rPr>
      <t>北罐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</si>
  <si>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:ContCrystC101 :hasPart :ContCrystC101_P01 .   # R1697 </t>
    </r>
    <r>
      <rPr>
        <sz val="10"/>
        <rFont val="Noto Sans CJK SC"/>
        <family val="2"/>
      </rPr>
      <t>一级结晶罐</t>
    </r>
    <r>
      <rPr>
        <sz val="10"/>
        <rFont val="Consolas"/>
        <family val="3"/>
      </rPr>
      <t>C101(</t>
    </r>
    <r>
      <rPr>
        <sz val="10"/>
        <rFont val="Noto Sans CJK SC"/>
        <family val="2"/>
      </rPr>
      <t>北罐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一级结晶罐</t>
    </r>
    <r>
      <rPr>
        <sz val="10"/>
        <rFont val="Consolas"/>
        <family val="3"/>
      </rPr>
      <t>C101(</t>
    </r>
    <r>
      <rPr>
        <sz val="10"/>
        <rFont val="Noto Sans CJK SC"/>
        <family val="2"/>
      </rPr>
      <t>北罐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搅拌器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变频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</si>
  <si>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:ContCrystC101 :hasPart :ContCrystC101_P02 .   # R1698 </t>
    </r>
    <r>
      <rPr>
        <sz val="10"/>
        <rFont val="Noto Sans CJK SC"/>
        <family val="2"/>
      </rPr>
      <t>一级结晶罐</t>
    </r>
    <r>
      <rPr>
        <sz val="10"/>
        <rFont val="Consolas"/>
        <family val="3"/>
      </rPr>
      <t>C101(</t>
    </r>
    <r>
      <rPr>
        <sz val="10"/>
        <rFont val="Noto Sans CJK SC"/>
        <family val="2"/>
      </rPr>
      <t>北罐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一级结晶罐</t>
    </r>
    <r>
      <rPr>
        <sz val="10"/>
        <rFont val="Consolas"/>
        <family val="3"/>
      </rPr>
      <t>C101(</t>
    </r>
    <r>
      <rPr>
        <sz val="10"/>
        <rFont val="Noto Sans CJK SC"/>
        <family val="2"/>
      </rPr>
      <t>北罐</t>
    </r>
    <r>
      <rPr>
        <sz val="10"/>
        <rFont val="Consolas"/>
        <family val="3"/>
      </rPr>
      <t>)·pH</t>
    </r>
    <r>
      <rPr>
        <sz val="10"/>
        <rFont val="Noto Sans CJK SC"/>
        <family val="2"/>
      </rPr>
      <t>计</t>
    </r>
  </si>
  <si>
    <r>
      <rPr>
        <sz val="10"/>
        <rFont val="Consolas"/>
        <family val="3"/>
      </rPr>
      <t xml:space="preserve">:ContCrystC101 :hasPart :ContCrystC101_P03 .   # R1699 </t>
    </r>
    <r>
      <rPr>
        <sz val="10"/>
        <rFont val="Noto Sans CJK SC"/>
        <family val="2"/>
      </rPr>
      <t>一级结晶罐</t>
    </r>
    <r>
      <rPr>
        <sz val="10"/>
        <rFont val="Consolas"/>
        <family val="3"/>
      </rPr>
      <t>C101(</t>
    </r>
    <r>
      <rPr>
        <sz val="10"/>
        <rFont val="Noto Sans CJK SC"/>
        <family val="2"/>
      </rPr>
      <t>北罐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一级结晶罐</t>
    </r>
    <r>
      <rPr>
        <sz val="10"/>
        <rFont val="Consolas"/>
        <family val="3"/>
      </rPr>
      <t>C101(</t>
    </r>
    <r>
      <rPr>
        <sz val="10"/>
        <rFont val="Noto Sans CJK SC"/>
        <family val="2"/>
      </rPr>
      <t>北罐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温度计</t>
    </r>
  </si>
  <si>
    <r>
      <rPr>
        <sz val="10"/>
        <rFont val="Consolas"/>
        <family val="3"/>
      </rPr>
      <t xml:space="preserve">:ContCrystC101 :hasPart :ContCrystC101_P04 .   # R1700 </t>
    </r>
    <r>
      <rPr>
        <sz val="10"/>
        <rFont val="Noto Sans CJK SC"/>
        <family val="2"/>
      </rPr>
      <t>一级结晶罐</t>
    </r>
    <r>
      <rPr>
        <sz val="10"/>
        <rFont val="Consolas"/>
        <family val="3"/>
      </rPr>
      <t>C101(</t>
    </r>
    <r>
      <rPr>
        <sz val="10"/>
        <rFont val="Noto Sans CJK SC"/>
        <family val="2"/>
      </rPr>
      <t>北罐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一级结晶罐</t>
    </r>
    <r>
      <rPr>
        <sz val="10"/>
        <rFont val="Consolas"/>
        <family val="3"/>
      </rPr>
      <t>C101(</t>
    </r>
    <r>
      <rPr>
        <sz val="10"/>
        <rFont val="Noto Sans CJK SC"/>
        <family val="2"/>
      </rPr>
      <t>北罐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氨水调节阀</t>
    </r>
    <r>
      <rPr>
        <sz val="10"/>
        <rFont val="Consolas"/>
        <family val="3"/>
      </rPr>
      <t>1#</t>
    </r>
  </si>
  <si>
    <r>
      <rPr>
        <sz val="10"/>
        <rFont val="Consolas"/>
        <family val="3"/>
      </rPr>
      <t>:Area_S14_ContinuousCrystallization :hasEquipment :ContCrystC102 .   # R1701 6APA</t>
    </r>
    <r>
      <rPr>
        <sz val="10"/>
        <rFont val="Noto Sans CJK SC"/>
        <family val="2"/>
      </rPr>
      <t xml:space="preserve">连续结晶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二级结晶罐</t>
    </r>
    <r>
      <rPr>
        <sz val="10"/>
        <rFont val="Consolas"/>
        <family val="3"/>
      </rPr>
      <t>C102(</t>
    </r>
    <r>
      <rPr>
        <sz val="10"/>
        <rFont val="Noto Sans CJK SC"/>
        <family val="2"/>
      </rPr>
      <t>南罐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</si>
  <si>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:ContCrystC102 :hasPart :ContCrystC102_P01 .   # R1702 </t>
    </r>
    <r>
      <rPr>
        <sz val="10"/>
        <rFont val="Noto Sans CJK SC"/>
        <family val="2"/>
      </rPr>
      <t>二级结晶罐</t>
    </r>
    <r>
      <rPr>
        <sz val="10"/>
        <rFont val="Consolas"/>
        <family val="3"/>
      </rPr>
      <t>C102(</t>
    </r>
    <r>
      <rPr>
        <sz val="10"/>
        <rFont val="Noto Sans CJK SC"/>
        <family val="2"/>
      </rPr>
      <t>南罐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二级结晶罐</t>
    </r>
    <r>
      <rPr>
        <sz val="10"/>
        <rFont val="Consolas"/>
        <family val="3"/>
      </rPr>
      <t>C102(</t>
    </r>
    <r>
      <rPr>
        <sz val="10"/>
        <rFont val="Noto Sans CJK SC"/>
        <family val="2"/>
      </rPr>
      <t>南罐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搅拌器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变频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</si>
  <si>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:ContCrystC102 :hasPart :ContCrystC102_P02 .   # R1703 </t>
    </r>
    <r>
      <rPr>
        <sz val="10"/>
        <rFont val="Noto Sans CJK SC"/>
        <family val="2"/>
      </rPr>
      <t>二级结晶罐</t>
    </r>
    <r>
      <rPr>
        <sz val="10"/>
        <rFont val="Consolas"/>
        <family val="3"/>
      </rPr>
      <t>C102(</t>
    </r>
    <r>
      <rPr>
        <sz val="10"/>
        <rFont val="Noto Sans CJK SC"/>
        <family val="2"/>
      </rPr>
      <t>南罐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二级结晶罐</t>
    </r>
    <r>
      <rPr>
        <sz val="10"/>
        <rFont val="Consolas"/>
        <family val="3"/>
      </rPr>
      <t>C102(</t>
    </r>
    <r>
      <rPr>
        <sz val="10"/>
        <rFont val="Noto Sans CJK SC"/>
        <family val="2"/>
      </rPr>
      <t>南罐</t>
    </r>
    <r>
      <rPr>
        <sz val="10"/>
        <rFont val="Consolas"/>
        <family val="3"/>
      </rPr>
      <t>)·pH</t>
    </r>
    <r>
      <rPr>
        <sz val="10"/>
        <rFont val="Noto Sans CJK SC"/>
        <family val="2"/>
      </rPr>
      <t>计</t>
    </r>
  </si>
  <si>
    <r>
      <rPr>
        <sz val="10"/>
        <rFont val="Consolas"/>
        <family val="3"/>
      </rPr>
      <t xml:space="preserve">:ContCrystC102 :hasPart :ContCrystC102_P03 .   # R1704 </t>
    </r>
    <r>
      <rPr>
        <sz val="10"/>
        <rFont val="Noto Sans CJK SC"/>
        <family val="2"/>
      </rPr>
      <t>二级结晶罐</t>
    </r>
    <r>
      <rPr>
        <sz val="10"/>
        <rFont val="Consolas"/>
        <family val="3"/>
      </rPr>
      <t>C102(</t>
    </r>
    <r>
      <rPr>
        <sz val="10"/>
        <rFont val="Noto Sans CJK SC"/>
        <family val="2"/>
      </rPr>
      <t>南罐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二级结晶罐</t>
    </r>
    <r>
      <rPr>
        <sz val="10"/>
        <rFont val="Consolas"/>
        <family val="3"/>
      </rPr>
      <t>C102(</t>
    </r>
    <r>
      <rPr>
        <sz val="10"/>
        <rFont val="Noto Sans CJK SC"/>
        <family val="2"/>
      </rPr>
      <t>南罐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温度计</t>
    </r>
  </si>
  <si>
    <r>
      <rPr>
        <sz val="10"/>
        <rFont val="Consolas"/>
        <family val="3"/>
      </rPr>
      <t xml:space="preserve">:ContCrystC102 :hasPart :ContCrystC102_P04 .   # R1705 </t>
    </r>
    <r>
      <rPr>
        <sz val="10"/>
        <rFont val="Noto Sans CJK SC"/>
        <family val="2"/>
      </rPr>
      <t>二级结晶罐</t>
    </r>
    <r>
      <rPr>
        <sz val="10"/>
        <rFont val="Consolas"/>
        <family val="3"/>
      </rPr>
      <t>C102(</t>
    </r>
    <r>
      <rPr>
        <sz val="10"/>
        <rFont val="Noto Sans CJK SC"/>
        <family val="2"/>
      </rPr>
      <t>南罐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二级结晶罐</t>
    </r>
    <r>
      <rPr>
        <sz val="10"/>
        <rFont val="Consolas"/>
        <family val="3"/>
      </rPr>
      <t>C102(</t>
    </r>
    <r>
      <rPr>
        <sz val="10"/>
        <rFont val="Noto Sans CJK SC"/>
        <family val="2"/>
      </rPr>
      <t>南罐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氨水调节阀</t>
    </r>
    <r>
      <rPr>
        <sz val="10"/>
        <rFont val="Consolas"/>
        <family val="3"/>
      </rPr>
      <t>2#</t>
    </r>
  </si>
  <si>
    <r>
      <rPr>
        <sz val="10"/>
        <rFont val="Consolas"/>
        <family val="3"/>
      </rPr>
      <t>:Area_S14_ContinuousCrystallization :hasEquipment :ContCrystPumps .   # R1706 6APA</t>
    </r>
    <r>
      <rPr>
        <sz val="10"/>
        <rFont val="Noto Sans CJK SC"/>
        <family val="2"/>
      </rPr>
      <t xml:space="preserve">连续结晶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第一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二级出料泵</t>
    </r>
    <r>
      <rPr>
        <sz val="10"/>
        <rFont val="Consolas"/>
        <family val="3"/>
      </rPr>
      <t>P101/P102</t>
    </r>
  </si>
  <si>
    <r>
      <rPr>
        <sz val="10"/>
        <rFont val="Consolas"/>
        <family val="3"/>
      </rPr>
      <t xml:space="preserve">:ContCrystPumps :hasMember :ContCrystPumps_M01 .   # R1707 </t>
    </r>
    <r>
      <rPr>
        <sz val="10"/>
        <rFont val="Noto Sans CJK SC"/>
        <family val="2"/>
      </rPr>
      <t>第一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二级出料泵</t>
    </r>
    <r>
      <rPr>
        <sz val="10"/>
        <rFont val="Consolas"/>
        <family val="3"/>
      </rPr>
      <t>P101/P102 -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P101A</t>
    </r>
  </si>
  <si>
    <r>
      <rPr>
        <sz val="10"/>
        <rFont val="Consolas"/>
        <family val="3"/>
      </rPr>
      <t xml:space="preserve">:ContCrystPumps :hasMember :ContCrystPumps_M02 .   # R1708 </t>
    </r>
    <r>
      <rPr>
        <sz val="10"/>
        <rFont val="Noto Sans CJK SC"/>
        <family val="2"/>
      </rPr>
      <t>第一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二级出料泵</t>
    </r>
    <r>
      <rPr>
        <sz val="10"/>
        <rFont val="Consolas"/>
        <family val="3"/>
      </rPr>
      <t>P101/P102 -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P101B</t>
    </r>
  </si>
  <si>
    <r>
      <rPr>
        <sz val="10"/>
        <rFont val="Consolas"/>
        <family val="3"/>
      </rPr>
      <t xml:space="preserve">:ContCrystPumps :hasMember :ContCrystPumps_M03 .   # R1709 </t>
    </r>
    <r>
      <rPr>
        <sz val="10"/>
        <rFont val="Noto Sans CJK SC"/>
        <family val="2"/>
      </rPr>
      <t>第一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二级出料泵</t>
    </r>
    <r>
      <rPr>
        <sz val="10"/>
        <rFont val="Consolas"/>
        <family val="3"/>
      </rPr>
      <t>P101/P102 -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P102C</t>
    </r>
  </si>
  <si>
    <r>
      <rPr>
        <sz val="10"/>
        <rFont val="Consolas"/>
        <family val="3"/>
      </rPr>
      <t xml:space="preserve">:ContCrystPumps :hasMember :ContCrystPumps_M04 .   # R1710 </t>
    </r>
    <r>
      <rPr>
        <sz val="10"/>
        <rFont val="Noto Sans CJK SC"/>
        <family val="2"/>
      </rPr>
      <t>第一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二级出料泵</t>
    </r>
    <r>
      <rPr>
        <sz val="10"/>
        <rFont val="Consolas"/>
        <family val="3"/>
      </rPr>
      <t>P101/P102 -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P102D</t>
    </r>
  </si>
  <si>
    <r>
      <rPr>
        <sz val="10"/>
        <rFont val="Consolas"/>
        <family val="3"/>
      </rPr>
      <t xml:space="preserve">:ContCrystPumps :hasPart :ContCrystPumps_P01 .   # R1711 </t>
    </r>
    <r>
      <rPr>
        <sz val="10"/>
        <rFont val="Noto Sans CJK SC"/>
        <family val="2"/>
      </rPr>
      <t>第一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二级出料泵</t>
    </r>
    <r>
      <rPr>
        <sz val="10"/>
        <rFont val="Consolas"/>
        <family val="3"/>
      </rPr>
      <t>P101/P102 -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第一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二级出料泵</t>
    </r>
    <r>
      <rPr>
        <sz val="10"/>
        <rFont val="Consolas"/>
        <family val="3"/>
      </rPr>
      <t>P101/P102·</t>
    </r>
    <r>
      <rPr>
        <sz val="10"/>
        <rFont val="Noto Sans CJK SC"/>
        <family val="2"/>
      </rPr>
      <t>变频器</t>
    </r>
  </si>
  <si>
    <r>
      <rPr>
        <sz val="10"/>
        <rFont val="Consolas"/>
        <family val="3"/>
      </rPr>
      <t>:Area_S14_ContinuousCrystallization :hasEquipment :AgingTanksR118R119 .   # R1712 6APA</t>
    </r>
    <r>
      <rPr>
        <sz val="10"/>
        <rFont val="Noto Sans CJK SC"/>
        <family val="2"/>
      </rPr>
      <t xml:space="preserve">连续结晶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养晶结晶罐</t>
    </r>
    <r>
      <rPr>
        <sz val="10"/>
        <rFont val="Consolas"/>
        <family val="3"/>
      </rPr>
      <t>R118/R119</t>
    </r>
  </si>
  <si>
    <r>
      <rPr>
        <sz val="10"/>
        <rFont val="Consolas"/>
        <family val="3"/>
      </rPr>
      <t xml:space="preserve">:AgingTanksR118R119 :hasMember :BatchCrystallizerGroup_M07 .   # R1713 </t>
    </r>
    <r>
      <rPr>
        <sz val="10"/>
        <rFont val="Noto Sans CJK SC"/>
        <family val="2"/>
      </rPr>
      <t>养晶结晶罐</t>
    </r>
    <r>
      <rPr>
        <sz val="10"/>
        <rFont val="Consolas"/>
        <family val="3"/>
      </rPr>
      <t>R118/R119 -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R118</t>
    </r>
  </si>
  <si>
    <r>
      <rPr>
        <sz val="10"/>
        <rFont val="Consolas"/>
        <family val="3"/>
      </rPr>
      <t xml:space="preserve">:AgingTanksR118R119 :hasMember :BatchCrystallizerGroup_M08 .   # R1714 </t>
    </r>
    <r>
      <rPr>
        <sz val="10"/>
        <rFont val="Noto Sans CJK SC"/>
        <family val="2"/>
      </rPr>
      <t>养晶结晶罐</t>
    </r>
    <r>
      <rPr>
        <sz val="10"/>
        <rFont val="Consolas"/>
        <family val="3"/>
      </rPr>
      <t>R118/R119 -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R119</t>
    </r>
  </si>
  <si>
    <r>
      <rPr>
        <sz val="10"/>
        <rFont val="Consolas"/>
        <family val="3"/>
      </rPr>
      <t xml:space="preserve">:AgingTanksR118R119 :hasPart :AgingTanksR118R119_P01 .   # R1715 </t>
    </r>
    <r>
      <rPr>
        <sz val="10"/>
        <rFont val="Noto Sans CJK SC"/>
        <family val="2"/>
      </rPr>
      <t>养晶结晶罐</t>
    </r>
    <r>
      <rPr>
        <sz val="10"/>
        <rFont val="Consolas"/>
        <family val="3"/>
      </rPr>
      <t>R118/R119 -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养晶结晶罐</t>
    </r>
    <r>
      <rPr>
        <sz val="10"/>
        <rFont val="Consolas"/>
        <family val="3"/>
      </rPr>
      <t>R118/R119·</t>
    </r>
    <r>
      <rPr>
        <sz val="10"/>
        <rFont val="Noto Sans CJK SC"/>
        <family val="2"/>
      </rPr>
      <t>冰盐水调节阀</t>
    </r>
    <r>
      <rPr>
        <sz val="10"/>
        <rFont val="Consolas"/>
        <family val="3"/>
      </rPr>
      <t>JJG118_BYS/JJG119_BYS</t>
    </r>
  </si>
  <si>
    <r>
      <rPr>
        <sz val="10"/>
        <rFont val="Consolas"/>
        <family val="3"/>
      </rPr>
      <t xml:space="preserve">:TitaniumHXE101 :hasAttribute :Attr_172 .   # R1716 </t>
    </r>
    <r>
      <rPr>
        <sz val="10"/>
        <rFont val="Noto Sans CJK SC"/>
        <family val="2"/>
      </rPr>
      <t>钛材换热器</t>
    </r>
    <r>
      <rPr>
        <sz val="10"/>
        <rFont val="Consolas"/>
        <family val="3"/>
      </rPr>
      <t>E101 -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重液出料温度</t>
    </r>
  </si>
  <si>
    <r>
      <rPr>
        <sz val="10"/>
        <rFont val="Consolas"/>
        <family val="3"/>
      </rPr>
      <t xml:space="preserve">:ContCrystC101 :hasAttribute :Attr_173 .   # R1717 </t>
    </r>
    <r>
      <rPr>
        <sz val="10"/>
        <rFont val="Noto Sans CJK SC"/>
        <family val="2"/>
      </rPr>
      <t>一级结晶罐</t>
    </r>
    <r>
      <rPr>
        <sz val="10"/>
        <rFont val="Consolas"/>
        <family val="3"/>
      </rPr>
      <t>C101(</t>
    </r>
    <r>
      <rPr>
        <sz val="10"/>
        <rFont val="Noto Sans CJK SC"/>
        <family val="2"/>
      </rPr>
      <t>北罐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一级结晶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</si>
  <si>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:ContCrystC101 :hasAttribute :Attr_174 .   # R1718 </t>
    </r>
    <r>
      <rPr>
        <sz val="10"/>
        <rFont val="Noto Sans CJK SC"/>
        <family val="2"/>
      </rPr>
      <t>一级结晶罐</t>
    </r>
    <r>
      <rPr>
        <sz val="10"/>
        <rFont val="Consolas"/>
        <family val="3"/>
      </rPr>
      <t>C101(</t>
    </r>
    <r>
      <rPr>
        <sz val="10"/>
        <rFont val="Noto Sans CJK SC"/>
        <family val="2"/>
      </rPr>
      <t>北罐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一级结晶罐温度</t>
    </r>
  </si>
  <si>
    <r>
      <rPr>
        <sz val="10"/>
        <rFont val="Consolas"/>
        <family val="3"/>
      </rPr>
      <t xml:space="preserve">:ContCrystC101 :hasAttribute :Attr_175 .   # R1719 </t>
    </r>
    <r>
      <rPr>
        <sz val="10"/>
        <rFont val="Noto Sans CJK SC"/>
        <family val="2"/>
      </rPr>
      <t>一级结晶罐</t>
    </r>
    <r>
      <rPr>
        <sz val="10"/>
        <rFont val="Consolas"/>
        <family val="3"/>
      </rPr>
      <t>C101(</t>
    </r>
    <r>
      <rPr>
        <sz val="10"/>
        <rFont val="Noto Sans CJK SC"/>
        <family val="2"/>
      </rPr>
      <t>北罐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一级结晶罐液位</t>
    </r>
  </si>
  <si>
    <r>
      <rPr>
        <sz val="10"/>
        <rFont val="Consolas"/>
        <family val="3"/>
      </rPr>
      <t xml:space="preserve">:ContCrystC101 :hasAttribute :Attr_176 .   # R1720 </t>
    </r>
    <r>
      <rPr>
        <sz val="10"/>
        <rFont val="Noto Sans CJK SC"/>
        <family val="2"/>
      </rPr>
      <t>一级结晶罐</t>
    </r>
    <r>
      <rPr>
        <sz val="10"/>
        <rFont val="Consolas"/>
        <family val="3"/>
      </rPr>
      <t>C101(</t>
    </r>
    <r>
      <rPr>
        <sz val="10"/>
        <rFont val="Noto Sans CJK SC"/>
        <family val="2"/>
      </rPr>
      <t>北罐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一级搅拌频率</t>
    </r>
  </si>
  <si>
    <r>
      <rPr>
        <sz val="10"/>
        <rFont val="Consolas"/>
        <family val="3"/>
      </rPr>
      <t xml:space="preserve">:ContCrystC102 :hasAttribute :Attr_177 .   # R1721 </t>
    </r>
    <r>
      <rPr>
        <sz val="10"/>
        <rFont val="Noto Sans CJK SC"/>
        <family val="2"/>
      </rPr>
      <t>二级结晶罐</t>
    </r>
    <r>
      <rPr>
        <sz val="10"/>
        <rFont val="Consolas"/>
        <family val="3"/>
      </rPr>
      <t>C102(</t>
    </r>
    <r>
      <rPr>
        <sz val="10"/>
        <rFont val="Noto Sans CJK SC"/>
        <family val="2"/>
      </rPr>
      <t>南罐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二级结晶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</si>
  <si>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:ContCrystC102 :hasAttribute :Attr_178 .   # R1722 </t>
    </r>
    <r>
      <rPr>
        <sz val="10"/>
        <rFont val="Noto Sans CJK SC"/>
        <family val="2"/>
      </rPr>
      <t>二级结晶罐</t>
    </r>
    <r>
      <rPr>
        <sz val="10"/>
        <rFont val="Consolas"/>
        <family val="3"/>
      </rPr>
      <t>C102(</t>
    </r>
    <r>
      <rPr>
        <sz val="10"/>
        <rFont val="Noto Sans CJK SC"/>
        <family val="2"/>
      </rPr>
      <t>南罐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二级结晶罐温度</t>
    </r>
  </si>
  <si>
    <r>
      <rPr>
        <sz val="10"/>
        <rFont val="Consolas"/>
        <family val="3"/>
      </rPr>
      <t xml:space="preserve">:ContCrystC102 :hasAttribute :Attr_179 .   # R1723 </t>
    </r>
    <r>
      <rPr>
        <sz val="10"/>
        <rFont val="Noto Sans CJK SC"/>
        <family val="2"/>
      </rPr>
      <t>二级结晶罐</t>
    </r>
    <r>
      <rPr>
        <sz val="10"/>
        <rFont val="Consolas"/>
        <family val="3"/>
      </rPr>
      <t>C102(</t>
    </r>
    <r>
      <rPr>
        <sz val="10"/>
        <rFont val="Noto Sans CJK SC"/>
        <family val="2"/>
      </rPr>
      <t>南罐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二级结晶罐液位</t>
    </r>
  </si>
  <si>
    <r>
      <rPr>
        <sz val="10"/>
        <rFont val="Consolas"/>
        <family val="3"/>
      </rPr>
      <t xml:space="preserve">:ContCrystC102 :hasAttribute :Attr_180 .   # R1724 </t>
    </r>
    <r>
      <rPr>
        <sz val="10"/>
        <rFont val="Noto Sans CJK SC"/>
        <family val="2"/>
      </rPr>
      <t>二级结晶罐</t>
    </r>
    <r>
      <rPr>
        <sz val="10"/>
        <rFont val="Consolas"/>
        <family val="3"/>
      </rPr>
      <t>C102(</t>
    </r>
    <r>
      <rPr>
        <sz val="10"/>
        <rFont val="Noto Sans CJK SC"/>
        <family val="2"/>
      </rPr>
      <t>南罐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二级搅拌频率</t>
    </r>
  </si>
  <si>
    <r>
      <rPr>
        <sz val="10"/>
        <rFont val="Consolas"/>
        <family val="3"/>
      </rPr>
      <t xml:space="preserve">:TitaniumHXE101 :hasAttribute :Attr_181 .   # R1725 </t>
    </r>
    <r>
      <rPr>
        <sz val="10"/>
        <rFont val="Noto Sans CJK SC"/>
        <family val="2"/>
      </rPr>
      <t>钛材换热器</t>
    </r>
    <r>
      <rPr>
        <sz val="10"/>
        <rFont val="Consolas"/>
        <family val="3"/>
      </rPr>
      <t>E101 -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连续结晶重液流量</t>
    </r>
  </si>
  <si>
    <r>
      <rPr>
        <sz val="10"/>
        <rFont val="Consolas"/>
        <family val="3"/>
      </rPr>
      <t xml:space="preserve">:TitaniumHXE101 :hasAttribute :Attr_182 .   # R1726 </t>
    </r>
    <r>
      <rPr>
        <sz val="10"/>
        <rFont val="Noto Sans CJK SC"/>
        <family val="2"/>
      </rPr>
      <t>钛材换热器</t>
    </r>
    <r>
      <rPr>
        <sz val="10"/>
        <rFont val="Consolas"/>
        <family val="3"/>
      </rPr>
      <t>E101 -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连续结晶氨水流量</t>
    </r>
  </si>
  <si>
    <r>
      <rPr>
        <sz val="10"/>
        <rFont val="Consolas"/>
        <family val="3"/>
      </rPr>
      <t xml:space="preserve">:ContCrystC101 :hasAttribute :Attr_294 .   # R1727 </t>
    </r>
    <r>
      <rPr>
        <sz val="10"/>
        <rFont val="Noto Sans CJK SC"/>
        <family val="2"/>
      </rPr>
      <t>一级结晶罐</t>
    </r>
    <r>
      <rPr>
        <sz val="10"/>
        <rFont val="Consolas"/>
        <family val="3"/>
      </rPr>
      <t>C101(</t>
    </r>
    <r>
      <rPr>
        <sz val="10"/>
        <rFont val="Noto Sans CJK SC"/>
        <family val="2"/>
      </rPr>
      <t>北罐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连续结晶停留时间</t>
    </r>
  </si>
  <si>
    <r>
      <rPr>
        <sz val="10"/>
        <rFont val="Consolas"/>
        <family val="3"/>
      </rPr>
      <t xml:space="preserve">:Attr_172 :boundToTag :Tag_TE_CLWD .   # R1728 </t>
    </r>
    <r>
      <rPr>
        <sz val="10"/>
        <rFont val="Noto Sans CJK SC"/>
        <family val="2"/>
      </rPr>
      <t xml:space="preserve">重液出料温度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TE_CLWD</t>
    </r>
  </si>
  <si>
    <r>
      <rPr>
        <sz val="10"/>
        <rFont val="Consolas"/>
        <family val="3"/>
      </rPr>
      <t xml:space="preserve">:Attr_173 :boundToTag :Tag_JJG_BPHJ .   # R1729 </t>
    </r>
    <r>
      <rPr>
        <sz val="10"/>
        <rFont val="Noto Sans CJK SC"/>
        <family val="2"/>
      </rPr>
      <t>一级结晶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JJG_BPHJ</t>
    </r>
  </si>
  <si>
    <r>
      <rPr>
        <sz val="10"/>
        <rFont val="Consolas"/>
        <family val="3"/>
      </rPr>
      <t xml:space="preserve">:Attr_174 :boundToTag :Tag_TE_BGWD .   # R1730 </t>
    </r>
    <r>
      <rPr>
        <sz val="10"/>
        <rFont val="Noto Sans CJK SC"/>
        <family val="2"/>
      </rPr>
      <t xml:space="preserve">一级结晶罐温度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TE_BGWD</t>
    </r>
  </si>
  <si>
    <r>
      <rPr>
        <sz val="10"/>
        <rFont val="Consolas"/>
        <family val="3"/>
      </rPr>
      <t xml:space="preserve">:Attr_175 :boundToTag :Tag_LT_BYW .   # R1731 </t>
    </r>
    <r>
      <rPr>
        <sz val="10"/>
        <rFont val="Noto Sans CJK SC"/>
        <family val="2"/>
      </rPr>
      <t xml:space="preserve">一级结晶罐液位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LT_BYW</t>
    </r>
  </si>
  <si>
    <r>
      <rPr>
        <sz val="10"/>
        <rFont val="Consolas"/>
        <family val="3"/>
      </rPr>
      <t xml:space="preserve">:Attr_176 :boundToTag :Tag_JJG_BJBJBPFK .   # R1732 </t>
    </r>
    <r>
      <rPr>
        <sz val="10"/>
        <rFont val="Noto Sans CJK SC"/>
        <family val="2"/>
      </rPr>
      <t xml:space="preserve">一级搅拌频率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JJG_BJBJBPFK</t>
    </r>
  </si>
  <si>
    <r>
      <rPr>
        <sz val="10"/>
        <rFont val="Consolas"/>
        <family val="3"/>
      </rPr>
      <t xml:space="preserve">:Attr_177 :boundToTag :Tag_JJG_NPHJ .   # R1733 </t>
    </r>
    <r>
      <rPr>
        <sz val="10"/>
        <rFont val="Noto Sans CJK SC"/>
        <family val="2"/>
      </rPr>
      <t>二级结晶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JJG_NPHJ</t>
    </r>
  </si>
  <si>
    <r>
      <rPr>
        <sz val="10"/>
        <rFont val="Consolas"/>
        <family val="3"/>
      </rPr>
      <t xml:space="preserve">:Attr_178 :boundToTag :Tag_TE_NGWD .   # R1734 </t>
    </r>
    <r>
      <rPr>
        <sz val="10"/>
        <rFont val="Noto Sans CJK SC"/>
        <family val="2"/>
      </rPr>
      <t xml:space="preserve">二级结晶罐温度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TE_NGWD</t>
    </r>
  </si>
  <si>
    <r>
      <rPr>
        <sz val="10"/>
        <rFont val="Consolas"/>
        <family val="3"/>
      </rPr>
      <t xml:space="preserve">:Attr_179 :boundToTag :Tag_LT_NYW .   # R1735 </t>
    </r>
    <r>
      <rPr>
        <sz val="10"/>
        <rFont val="Noto Sans CJK SC"/>
        <family val="2"/>
      </rPr>
      <t xml:space="preserve">二级结晶罐液位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LT_NYW</t>
    </r>
  </si>
  <si>
    <r>
      <rPr>
        <sz val="10"/>
        <rFont val="Consolas"/>
        <family val="3"/>
      </rPr>
      <t xml:space="preserve">:Attr_180 :boundToTag :Tag_JJG_NJBJBPFK .   # R1736 </t>
    </r>
    <r>
      <rPr>
        <sz val="10"/>
        <rFont val="Noto Sans CJK SC"/>
        <family val="2"/>
      </rPr>
      <t xml:space="preserve">二级搅拌频率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JJG_NJBJBPFK</t>
    </r>
  </si>
  <si>
    <r>
      <rPr>
        <sz val="10"/>
        <rFont val="Consolas"/>
        <family val="3"/>
      </rPr>
      <t xml:space="preserve">:Attr_181 :boundToTag :Tag_FT_ZYLL .   # R1737 </t>
    </r>
    <r>
      <rPr>
        <sz val="10"/>
        <rFont val="Noto Sans CJK SC"/>
        <family val="2"/>
      </rPr>
      <t xml:space="preserve">连续结晶重液流量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FT_ZYLL</t>
    </r>
  </si>
  <si>
    <r>
      <rPr>
        <sz val="10"/>
        <rFont val="Consolas"/>
        <family val="3"/>
      </rPr>
      <t xml:space="preserve">:Attr_182 :boundToTag :Tag_FT_ASLL .   # R1738 </t>
    </r>
    <r>
      <rPr>
        <sz val="10"/>
        <rFont val="Noto Sans CJK SC"/>
        <family val="2"/>
      </rPr>
      <t xml:space="preserve">连续结晶氨水流量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FT_ASLL</t>
    </r>
  </si>
  <si>
    <r>
      <rPr>
        <sz val="10"/>
        <rFont val="Consolas"/>
        <family val="3"/>
      </rPr>
      <t xml:space="preserve">:Ctrl_050 :controls :Act_050 .   # R1739 </t>
    </r>
    <r>
      <rPr>
        <sz val="10"/>
        <rFont val="Noto Sans CJK SC"/>
        <family val="2"/>
      </rPr>
      <t xml:space="preserve">连续结晶重液流量控制器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重液调节阀</t>
    </r>
    <r>
      <rPr>
        <sz val="10"/>
        <rFont val="Consolas"/>
        <family val="3"/>
      </rPr>
      <t>JJG_ZY</t>
    </r>
  </si>
  <si>
    <r>
      <rPr>
        <sz val="10"/>
        <rFont val="Consolas"/>
        <family val="3"/>
      </rPr>
      <t xml:space="preserve">:Attr_181 :feedbackTo :Ctrl_050 .   # R1740 </t>
    </r>
    <r>
      <rPr>
        <sz val="10"/>
        <rFont val="Noto Sans CJK SC"/>
        <family val="2"/>
      </rPr>
      <t xml:space="preserve">连续结晶重液流量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连续结晶重液流量控制器</t>
    </r>
  </si>
  <si>
    <r>
      <rPr>
        <sz val="10"/>
        <rFont val="Consolas"/>
        <family val="3"/>
      </rPr>
      <t xml:space="preserve">:Act_050 :affects :Attr_181 .   # R1741 </t>
    </r>
    <r>
      <rPr>
        <sz val="10"/>
        <rFont val="Noto Sans CJK SC"/>
        <family val="2"/>
      </rPr>
      <t>重液调节阀</t>
    </r>
    <r>
      <rPr>
        <sz val="10"/>
        <rFont val="Consolas"/>
        <family val="3"/>
      </rPr>
      <t>JJG_ZY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连续结晶重液流量</t>
    </r>
  </si>
  <si>
    <r>
      <rPr>
        <sz val="10"/>
        <rFont val="Consolas"/>
        <family val="3"/>
      </rPr>
      <t xml:space="preserve">:Ctrl_051 :controls :Act_051 .   # R1742 </t>
    </r>
    <r>
      <rPr>
        <sz val="10"/>
        <rFont val="Noto Sans CJK SC"/>
        <family val="2"/>
      </rPr>
      <t>一级结晶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 xml:space="preserve">控制器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氨水调节阀</t>
    </r>
    <r>
      <rPr>
        <sz val="10"/>
        <rFont val="Consolas"/>
        <family val="3"/>
      </rPr>
      <t>1#JJG_ASA</t>
    </r>
  </si>
  <si>
    <r>
      <rPr>
        <sz val="10"/>
        <rFont val="Consolas"/>
        <family val="3"/>
      </rPr>
      <t xml:space="preserve">:Attr_173 :feedbackTo :Ctrl_051 .   # R1743 </t>
    </r>
    <r>
      <rPr>
        <sz val="10"/>
        <rFont val="Noto Sans CJK SC"/>
        <family val="2"/>
      </rPr>
      <t>一级结晶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一级结晶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控制器</t>
    </r>
  </si>
  <si>
    <r>
      <rPr>
        <sz val="10"/>
        <rFont val="Consolas"/>
        <family val="3"/>
      </rPr>
      <t xml:space="preserve">:Act_051 :affects :Attr_173 .   # R1744 </t>
    </r>
    <r>
      <rPr>
        <sz val="10"/>
        <rFont val="Noto Sans CJK SC"/>
        <family val="2"/>
      </rPr>
      <t>氨水调节阀</t>
    </r>
    <r>
      <rPr>
        <sz val="10"/>
        <rFont val="Consolas"/>
        <family val="3"/>
      </rPr>
      <t>1#JJG_ASA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一级结晶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</si>
  <si>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:Ctrl_052 :controls :Act_052 .   # R1745 </t>
    </r>
    <r>
      <rPr>
        <sz val="10"/>
        <rFont val="Noto Sans CJK SC"/>
        <family val="2"/>
      </rPr>
      <t>二级结晶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 xml:space="preserve">控制器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氨水调节阀</t>
    </r>
    <r>
      <rPr>
        <sz val="10"/>
        <rFont val="Consolas"/>
        <family val="3"/>
      </rPr>
      <t>2#JJG_ASB</t>
    </r>
  </si>
  <si>
    <r>
      <rPr>
        <sz val="10"/>
        <rFont val="Consolas"/>
        <family val="3"/>
      </rPr>
      <t xml:space="preserve">:Attr_177 :feedbackTo :Ctrl_052 .   # R1746 </t>
    </r>
    <r>
      <rPr>
        <sz val="10"/>
        <rFont val="Noto Sans CJK SC"/>
        <family val="2"/>
      </rPr>
      <t>二级结晶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二级结晶</t>
    </r>
    <r>
      <rPr>
        <sz val="10"/>
        <rFont val="Consolas"/>
        <family val="3"/>
      </rPr>
      <t>pH</t>
    </r>
    <r>
      <rPr>
        <sz val="10"/>
        <rFont val="Noto Sans CJK SC"/>
        <family val="2"/>
      </rPr>
      <t>控制器</t>
    </r>
  </si>
  <si>
    <r>
      <rPr>
        <sz val="10"/>
        <rFont val="Consolas"/>
        <family val="3"/>
      </rPr>
      <t xml:space="preserve">:Act_052 :affects :Attr_177 .   # R1747 </t>
    </r>
    <r>
      <rPr>
        <sz val="10"/>
        <rFont val="Noto Sans CJK SC"/>
        <family val="2"/>
      </rPr>
      <t>氨水调节阀</t>
    </r>
    <r>
      <rPr>
        <sz val="10"/>
        <rFont val="Consolas"/>
        <family val="3"/>
      </rPr>
      <t>2#JJG_ASB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二级结晶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</si>
  <si>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:Ctrl_053 :controls :Act_053 .   # R1748 </t>
    </r>
    <r>
      <rPr>
        <sz val="10"/>
        <rFont val="Noto Sans CJK SC"/>
        <family val="2"/>
      </rPr>
      <t xml:space="preserve">连续结晶温度控制器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热水调节阀</t>
    </r>
    <r>
      <rPr>
        <sz val="10"/>
        <rFont val="Consolas"/>
        <family val="3"/>
      </rPr>
      <t>1#/2# JJG_RSA/RSB</t>
    </r>
  </si>
  <si>
    <r>
      <rPr>
        <sz val="10"/>
        <rFont val="Consolas"/>
        <family val="3"/>
      </rPr>
      <t xml:space="preserve">:Attr_174 :feedbackTo :Ctrl_053 .   # R1749 </t>
    </r>
    <r>
      <rPr>
        <sz val="10"/>
        <rFont val="Noto Sans CJK SC"/>
        <family val="2"/>
      </rPr>
      <t xml:space="preserve">一级结晶罐温度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连续结晶温度控制器</t>
    </r>
  </si>
  <si>
    <r>
      <rPr>
        <sz val="10"/>
        <rFont val="Consolas"/>
        <family val="3"/>
      </rPr>
      <t xml:space="preserve">:Act_053 :affects :Attr_174 .   # R1750 </t>
    </r>
    <r>
      <rPr>
        <sz val="10"/>
        <rFont val="Noto Sans CJK SC"/>
        <family val="2"/>
      </rPr>
      <t>热水调节阀</t>
    </r>
    <r>
      <rPr>
        <sz val="10"/>
        <rFont val="Consolas"/>
        <family val="3"/>
      </rPr>
      <t>1#/2# JJG_RSA/RSB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一级结晶罐温度</t>
    </r>
  </si>
  <si>
    <r>
      <rPr>
        <sz val="10"/>
        <rFont val="Consolas"/>
        <family val="3"/>
      </rPr>
      <t xml:space="preserve">:Ctrl_054 :controls :Act_054 .   # R1751 </t>
    </r>
    <r>
      <rPr>
        <sz val="10"/>
        <rFont val="Noto Sans CJK SC"/>
        <family val="2"/>
      </rPr>
      <t xml:space="preserve">养晶罐冷却控制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结晶罐</t>
    </r>
    <r>
      <rPr>
        <sz val="10"/>
        <rFont val="Consolas"/>
        <family val="3"/>
      </rPr>
      <t>118/119</t>
    </r>
    <r>
      <rPr>
        <sz val="10"/>
        <rFont val="Noto Sans CJK SC"/>
        <family val="2"/>
      </rPr>
      <t>冰盐水调节阀</t>
    </r>
  </si>
  <si>
    <r>
      <rPr>
        <sz val="10"/>
        <rFont val="Consolas"/>
        <family val="3"/>
      </rPr>
      <t xml:space="preserve">:Attr_159 :feedbackTo :Ctrl_054 .   # R1752 </t>
    </r>
    <r>
      <rPr>
        <sz val="10"/>
        <rFont val="Noto Sans CJK SC"/>
        <family val="2"/>
      </rPr>
      <t xml:space="preserve">结晶罐温度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养晶罐冷却控制</t>
    </r>
  </si>
  <si>
    <r>
      <rPr>
        <sz val="10"/>
        <rFont val="Consolas"/>
        <family val="3"/>
      </rPr>
      <t xml:space="preserve">:Act_054 :affects :Attr_159 .   # R1753 </t>
    </r>
    <r>
      <rPr>
        <sz val="10"/>
        <rFont val="Noto Sans CJK SC"/>
        <family val="2"/>
      </rPr>
      <t>结晶罐</t>
    </r>
    <r>
      <rPr>
        <sz val="10"/>
        <rFont val="Consolas"/>
        <family val="3"/>
      </rPr>
      <t>118/119</t>
    </r>
    <r>
      <rPr>
        <sz val="10"/>
        <rFont val="Noto Sans CJK SC"/>
        <family val="2"/>
      </rPr>
      <t xml:space="preserve">冰盐水调节阀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结晶罐温度</t>
    </r>
  </si>
  <si>
    <r>
      <rPr>
        <sz val="10"/>
        <rFont val="Consolas"/>
        <family val="3"/>
      </rPr>
      <t>:MS_HeavyLiquor :flowsInto :TitaniumHXE101 .   # R1754 6APA</t>
    </r>
    <r>
      <rPr>
        <sz val="10"/>
        <rFont val="Noto Sans CJK SC"/>
        <family val="2"/>
      </rPr>
      <t xml:space="preserve">重液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钛材换热器</t>
    </r>
    <r>
      <rPr>
        <sz val="10"/>
        <rFont val="Consolas"/>
        <family val="3"/>
      </rPr>
      <t>E101</t>
    </r>
  </si>
  <si>
    <r>
      <rPr>
        <sz val="10"/>
        <rFont val="Consolas"/>
        <family val="3"/>
      </rPr>
      <t xml:space="preserve">:MS_Brine :suppliesUtility :TitaniumHXE101 .   # R1755 </t>
    </r>
    <r>
      <rPr>
        <sz val="10"/>
        <rFont val="Noto Sans CJK SC"/>
        <family val="2"/>
      </rPr>
      <t>冷盐水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冰盐水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供给介质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钛材换热器</t>
    </r>
    <r>
      <rPr>
        <sz val="10"/>
        <rFont val="Consolas"/>
        <family val="3"/>
      </rPr>
      <t>E101</t>
    </r>
  </si>
  <si>
    <r>
      <rPr>
        <sz val="10"/>
        <rFont val="Consolas"/>
        <family val="3"/>
      </rPr>
      <t xml:space="preserve">:MS_HotWater :suppliesUtility :TitaniumHXE101 .   # R1756 </t>
    </r>
    <r>
      <rPr>
        <sz val="10"/>
        <rFont val="Noto Sans CJK SC"/>
        <family val="2"/>
      </rPr>
      <t xml:space="preserve">热水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供给介质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钛材换热器</t>
    </r>
    <r>
      <rPr>
        <sz val="10"/>
        <rFont val="Consolas"/>
        <family val="3"/>
      </rPr>
      <t>E101</t>
    </r>
  </si>
  <si>
    <r>
      <rPr>
        <sz val="10"/>
        <rFont val="Consolas"/>
        <family val="3"/>
      </rPr>
      <t xml:space="preserve">:TitaniumHXE101 :connectedToNext :ContCrystC101 .   # R1757 </t>
    </r>
    <r>
      <rPr>
        <sz val="10"/>
        <rFont val="Noto Sans CJK SC"/>
        <family val="2"/>
      </rPr>
      <t>钛材换热器</t>
    </r>
    <r>
      <rPr>
        <sz val="10"/>
        <rFont val="Consolas"/>
        <family val="3"/>
      </rPr>
      <t>E101 -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一级结晶罐</t>
    </r>
    <r>
      <rPr>
        <sz val="10"/>
        <rFont val="Consolas"/>
        <family val="3"/>
      </rPr>
      <t>C101(</t>
    </r>
    <r>
      <rPr>
        <sz val="10"/>
        <rFont val="Noto Sans CJK SC"/>
        <family val="2"/>
      </rPr>
      <t>北罐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</si>
  <si>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:MS_Ammonia_Cryst :injectedInto :ContCrystC101 .   # R1758 </t>
    </r>
    <r>
      <rPr>
        <sz val="10"/>
        <rFont val="Noto Sans CJK SC"/>
        <family val="2"/>
      </rPr>
      <t xml:space="preserve">结晶氨水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注入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一级结晶罐</t>
    </r>
    <r>
      <rPr>
        <sz val="10"/>
        <rFont val="Consolas"/>
        <family val="3"/>
      </rPr>
      <t>C101(</t>
    </r>
    <r>
      <rPr>
        <sz val="10"/>
        <rFont val="Noto Sans CJK SC"/>
        <family val="2"/>
      </rPr>
      <t>北罐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</si>
  <si>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:ContCrystC101 :connectedToNext :ContCrystPumps .   # R1759 </t>
    </r>
    <r>
      <rPr>
        <sz val="10"/>
        <rFont val="Noto Sans CJK SC"/>
        <family val="2"/>
      </rPr>
      <t>一级结晶罐</t>
    </r>
    <r>
      <rPr>
        <sz val="10"/>
        <rFont val="Consolas"/>
        <family val="3"/>
      </rPr>
      <t>C101(</t>
    </r>
    <r>
      <rPr>
        <sz val="10"/>
        <rFont val="Noto Sans CJK SC"/>
        <family val="2"/>
      </rPr>
      <t>北罐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第一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二级出料泵</t>
    </r>
    <r>
      <rPr>
        <sz val="10"/>
        <rFont val="Consolas"/>
        <family val="3"/>
      </rPr>
      <t>P101/P102</t>
    </r>
  </si>
  <si>
    <r>
      <rPr>
        <sz val="10"/>
        <rFont val="Consolas"/>
        <family val="3"/>
      </rPr>
      <t xml:space="preserve">:ContCrystPumps :connectedToNext :ContCrystC102 .   # R1760 </t>
    </r>
    <r>
      <rPr>
        <sz val="10"/>
        <rFont val="Noto Sans CJK SC"/>
        <family val="2"/>
      </rPr>
      <t>第一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二级出料泵</t>
    </r>
    <r>
      <rPr>
        <sz val="10"/>
        <rFont val="Consolas"/>
        <family val="3"/>
      </rPr>
      <t>P101/P102 -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二级结晶罐</t>
    </r>
    <r>
      <rPr>
        <sz val="10"/>
        <rFont val="Consolas"/>
        <family val="3"/>
      </rPr>
      <t>C102(</t>
    </r>
    <r>
      <rPr>
        <sz val="10"/>
        <rFont val="Noto Sans CJK SC"/>
        <family val="2"/>
      </rPr>
      <t>南罐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</si>
  <si>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:MS_Ammonia_Cryst :injectedInto :ContCrystC102 .   # R1761 </t>
    </r>
    <r>
      <rPr>
        <sz val="10"/>
        <rFont val="Noto Sans CJK SC"/>
        <family val="2"/>
      </rPr>
      <t xml:space="preserve">结晶氨水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注入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二级结晶罐</t>
    </r>
    <r>
      <rPr>
        <sz val="10"/>
        <rFont val="Consolas"/>
        <family val="3"/>
      </rPr>
      <t>C102(</t>
    </r>
    <r>
      <rPr>
        <sz val="10"/>
        <rFont val="Noto Sans CJK SC"/>
        <family val="2"/>
      </rPr>
      <t>南罐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</si>
  <si>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:ContCrystC102 :connectedToNext :AgingTanksR118R119 .   # R1762 </t>
    </r>
    <r>
      <rPr>
        <sz val="10"/>
        <rFont val="Noto Sans CJK SC"/>
        <family val="2"/>
      </rPr>
      <t>二级结晶罐</t>
    </r>
    <r>
      <rPr>
        <sz val="10"/>
        <rFont val="Consolas"/>
        <family val="3"/>
      </rPr>
      <t>C102(</t>
    </r>
    <r>
      <rPr>
        <sz val="10"/>
        <rFont val="Noto Sans CJK SC"/>
        <family val="2"/>
      </rPr>
      <t>南罐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养晶结晶罐</t>
    </r>
    <r>
      <rPr>
        <sz val="10"/>
        <rFont val="Consolas"/>
        <family val="3"/>
      </rPr>
      <t>R118/R119</t>
    </r>
  </si>
  <si>
    <r>
      <rPr>
        <sz val="10"/>
        <rFont val="Consolas"/>
        <family val="3"/>
      </rPr>
      <t xml:space="preserve">:AgingTanksR118R119 :connectedToNext :Centrifuge1600Group .   # R1763 </t>
    </r>
    <r>
      <rPr>
        <sz val="10"/>
        <rFont val="Noto Sans CJK SC"/>
        <family val="2"/>
      </rPr>
      <t>养晶结晶罐</t>
    </r>
    <r>
      <rPr>
        <sz val="10"/>
        <rFont val="Consolas"/>
        <family val="3"/>
      </rPr>
      <t>R118/R119 -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>-&gt; 1600</t>
    </r>
    <r>
      <rPr>
        <sz val="10"/>
        <rFont val="Noto Sans CJK SC"/>
        <family val="2"/>
      </rPr>
      <t>离心机组</t>
    </r>
  </si>
  <si>
    <r>
      <rPr>
        <sz val="10"/>
        <rFont val="Consolas"/>
        <family val="3"/>
      </rPr>
      <t xml:space="preserve">:Attr_172 :positivelyAffects :Attr_174 .   # R1764 </t>
    </r>
    <r>
      <rPr>
        <sz val="10"/>
        <rFont val="Noto Sans CJK SC"/>
        <family val="2"/>
      </rPr>
      <t xml:space="preserve">重液出料温度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一级结晶罐温度</t>
    </r>
  </si>
  <si>
    <r>
      <rPr>
        <sz val="10"/>
        <rFont val="Consolas"/>
        <family val="3"/>
      </rPr>
      <t xml:space="preserve">:Attr_182 :positivelyAffects :Attr_173 .   # R1765 </t>
    </r>
    <r>
      <rPr>
        <sz val="10"/>
        <rFont val="Noto Sans CJK SC"/>
        <family val="2"/>
      </rPr>
      <t xml:space="preserve">连续结晶氨水流量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一级结晶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</si>
  <si>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:Attr_173 :affects :Attr_285 .   # R1766 </t>
    </r>
    <r>
      <rPr>
        <sz val="10"/>
        <rFont val="Noto Sans CJK SC"/>
        <family val="2"/>
      </rPr>
      <t>一级结晶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结晶过饱和度</t>
    </r>
  </si>
  <si>
    <r>
      <rPr>
        <sz val="10"/>
        <rFont val="Consolas"/>
        <family val="3"/>
      </rPr>
      <t xml:space="preserve">:Attr_177 :affects :Attr_289 .   # R1767 </t>
    </r>
    <r>
      <rPr>
        <sz val="10"/>
        <rFont val="Noto Sans CJK SC"/>
        <family val="2"/>
      </rPr>
      <t>二级结晶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溶解度</t>
    </r>
  </si>
  <si>
    <r>
      <rPr>
        <sz val="10"/>
        <rFont val="Consolas"/>
        <family val="3"/>
      </rPr>
      <t xml:space="preserve">:Attr_181 :negativelyAffects :Attr_294 .   # R1768 </t>
    </r>
    <r>
      <rPr>
        <sz val="10"/>
        <rFont val="Noto Sans CJK SC"/>
        <family val="2"/>
      </rPr>
      <t xml:space="preserve">连续结晶重液流量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连续结晶停留时间</t>
    </r>
  </si>
  <si>
    <r>
      <rPr>
        <sz val="10"/>
        <rFont val="Consolas"/>
        <family val="3"/>
      </rPr>
      <t xml:space="preserve">:Attr_294 :positivelyAffects :QKPI_286 .   # R1769 </t>
    </r>
    <r>
      <rPr>
        <sz val="10"/>
        <rFont val="Noto Sans CJK SC"/>
        <family val="2"/>
      </rPr>
      <t xml:space="preserve">连续结晶停留时间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晶体粒度分布</t>
    </r>
  </si>
  <si>
    <r>
      <rPr>
        <sz val="10"/>
        <rFont val="Consolas"/>
        <family val="3"/>
      </rPr>
      <t xml:space="preserve">:Attr_175 :affects :Attr_294 .   # R1770 </t>
    </r>
    <r>
      <rPr>
        <sz val="10"/>
        <rFont val="Noto Sans CJK SC"/>
        <family val="2"/>
      </rPr>
      <t xml:space="preserve">一级结晶罐液位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连续结晶停留时间</t>
    </r>
  </si>
  <si>
    <r>
      <rPr>
        <sz val="10"/>
        <rFont val="Consolas"/>
        <family val="3"/>
      </rPr>
      <t xml:space="preserve">
# --- S15 </t>
    </r>
    <r>
      <rPr>
        <sz val="10"/>
        <rFont val="Noto Sans CJK SC"/>
        <family val="2"/>
      </rPr>
      <t>结晶辅料储运（氨水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盐酸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软水） </t>
    </r>
    <r>
      <rPr>
        <sz val="10"/>
        <rFont val="Consolas"/>
        <family val="3"/>
      </rPr>
      <t>---</t>
    </r>
  </si>
  <si>
    <r>
      <rPr>
        <sz val="10"/>
        <rFont val="Consolas"/>
        <family val="3"/>
      </rPr>
      <t xml:space="preserve">:Area_S15_CrystAuxStorage :connectedToNext :Area_S12_PAAExtraction .   # R1771 </t>
    </r>
    <r>
      <rPr>
        <sz val="10"/>
        <rFont val="Noto Sans CJK SC"/>
        <family val="2"/>
      </rPr>
      <t>结晶辅料储运（氨水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盐酸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软水）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萃取与反萃（苯乙酸分离）</t>
    </r>
  </si>
  <si>
    <r>
      <rPr>
        <sz val="10"/>
        <rFont val="Consolas"/>
        <family val="3"/>
      </rPr>
      <t xml:space="preserve">:Area_S15_CrystAuxStorage :connectedToNext :Area_S13_BatchCrystallization .   # R1772 </t>
    </r>
    <r>
      <rPr>
        <sz val="10"/>
        <rFont val="Noto Sans CJK SC"/>
        <family val="2"/>
      </rPr>
      <t>结晶辅料储运（氨水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盐酸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软水）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批次结晶与离心</t>
    </r>
  </si>
  <si>
    <r>
      <rPr>
        <sz val="10"/>
        <rFont val="Consolas"/>
        <family val="3"/>
      </rPr>
      <t xml:space="preserve">:Area_S15_CrystAuxStorage :connectedToNext :Area_S14_ContinuousCrystallization .   # R1773 </t>
    </r>
    <r>
      <rPr>
        <sz val="10"/>
        <rFont val="Noto Sans CJK SC"/>
        <family val="2"/>
      </rPr>
      <t>结晶辅料储运（氨水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盐酸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软水）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连续结晶</t>
    </r>
  </si>
  <si>
    <r>
      <rPr>
        <sz val="10"/>
        <rFont val="Consolas"/>
        <family val="3"/>
      </rPr>
      <t xml:space="preserve">:Area_S15_CrystAuxStorage :hasEquipment :OutdoorAmmoniaTank .   # R1774 </t>
    </r>
    <r>
      <rPr>
        <sz val="10"/>
        <rFont val="Noto Sans CJK SC"/>
        <family val="2"/>
      </rPr>
      <t>结晶辅料储运（氨水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盐酸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软水）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室外氨水储罐</t>
    </r>
  </si>
  <si>
    <r>
      <rPr>
        <sz val="10"/>
        <rFont val="Consolas"/>
        <family val="3"/>
      </rPr>
      <t xml:space="preserve">:OutdoorAmmoniaTank :hasPart :OutdoorAmmoniaTank_P01 .   # R1775 </t>
    </r>
    <r>
      <rPr>
        <sz val="10"/>
        <rFont val="Noto Sans CJK SC"/>
        <family val="2"/>
      </rPr>
      <t xml:space="preserve">室外氨水储罐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室外氨水储罐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  <r>
      <rPr>
        <sz val="10"/>
        <rFont val="Consolas"/>
        <family val="3"/>
      </rPr>
      <t>LT_AS01</t>
    </r>
  </si>
  <si>
    <r>
      <rPr>
        <sz val="10"/>
        <rFont val="Consolas"/>
        <family val="3"/>
      </rPr>
      <t xml:space="preserve">:Area_S15_CrystAuxStorage :hasEquipment :AmmoniaTransferPumps .   # R1776 </t>
    </r>
    <r>
      <rPr>
        <sz val="10"/>
        <rFont val="Noto Sans CJK SC"/>
        <family val="2"/>
      </rPr>
      <t>结晶辅料储运（氨水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盐酸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软水）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氨水输送泵组</t>
    </r>
  </si>
  <si>
    <r>
      <rPr>
        <sz val="10"/>
        <rFont val="Consolas"/>
        <family val="3"/>
      </rPr>
      <t xml:space="preserve">:AmmoniaTransferPumps :hasMember :AmmoniaTransferPumps_M01 .   # R1777 </t>
    </r>
    <r>
      <rPr>
        <sz val="10"/>
        <rFont val="Noto Sans CJK SC"/>
        <family val="2"/>
      </rPr>
      <t xml:space="preserve">氨水输送泵组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氨水去结晶泵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</si>
  <si>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:AmmoniaTransferPumps :hasMember :AmmoniaTransferPumps_M02 .   # R1778 </t>
    </r>
    <r>
      <rPr>
        <sz val="10"/>
        <rFont val="Noto Sans CJK SC"/>
        <family val="2"/>
      </rPr>
      <t xml:space="preserve">氨水输送泵组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氨水去结晶泵</t>
    </r>
    <r>
      <rPr>
        <sz val="10"/>
        <rFont val="Consolas"/>
        <family val="3"/>
      </rPr>
      <t>D</t>
    </r>
  </si>
  <si>
    <r>
      <rPr>
        <sz val="10"/>
        <rFont val="Consolas"/>
        <family val="3"/>
      </rPr>
      <t xml:space="preserve">:AmmoniaTransferPumps :hasMember :AmmoniaTransferPumps_M03 .   # R1779 </t>
    </r>
    <r>
      <rPr>
        <sz val="10"/>
        <rFont val="Noto Sans CJK SC"/>
        <family val="2"/>
      </rPr>
      <t xml:space="preserve">氨水输送泵组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氨水去水解泵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</si>
  <si>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:AmmoniaTransferPumps :hasMember :AmmoniaTransferPumps_M04 .   # R1780 </t>
    </r>
    <r>
      <rPr>
        <sz val="10"/>
        <rFont val="Noto Sans CJK SC"/>
        <family val="2"/>
      </rPr>
      <t xml:space="preserve">氨水输送泵组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氨水去水解泵</t>
    </r>
    <r>
      <rPr>
        <sz val="10"/>
        <rFont val="Consolas"/>
        <family val="3"/>
      </rPr>
      <t>C</t>
    </r>
  </si>
  <si>
    <r>
      <rPr>
        <sz val="10"/>
        <rFont val="Consolas"/>
        <family val="3"/>
      </rPr>
      <t xml:space="preserve">:Area_S15_CrystAuxStorage :hasEquipment :OutdoorHClTanks .   # R1781 </t>
    </r>
    <r>
      <rPr>
        <sz val="10"/>
        <rFont val="Noto Sans CJK SC"/>
        <family val="2"/>
      </rPr>
      <t>结晶辅料储运（氨水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盐酸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软水）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室外盐酸储罐组</t>
    </r>
  </si>
  <si>
    <r>
      <rPr>
        <sz val="10"/>
        <rFont val="Consolas"/>
        <family val="3"/>
      </rPr>
      <t xml:space="preserve">:OutdoorHClTanks :hasMember :OutdoorHClTanks_M01 .   # R1782 </t>
    </r>
    <r>
      <rPr>
        <sz val="10"/>
        <rFont val="Noto Sans CJK SC"/>
        <family val="2"/>
      </rPr>
      <t xml:space="preserve">室外盐酸储罐组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室外盐酸罐</t>
    </r>
    <r>
      <rPr>
        <sz val="10"/>
        <rFont val="Consolas"/>
        <family val="3"/>
      </rPr>
      <t>01(A)</t>
    </r>
  </si>
  <si>
    <r>
      <rPr>
        <sz val="10"/>
        <rFont val="Consolas"/>
        <family val="3"/>
      </rPr>
      <t xml:space="preserve">:OutdoorHClTanks :hasMember :OutdoorHClTanks_M02 .   # R1783 </t>
    </r>
    <r>
      <rPr>
        <sz val="10"/>
        <rFont val="Noto Sans CJK SC"/>
        <family val="2"/>
      </rPr>
      <t xml:space="preserve">室外盐酸储罐组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室外盐酸罐</t>
    </r>
    <r>
      <rPr>
        <sz val="10"/>
        <rFont val="Consolas"/>
        <family val="3"/>
      </rPr>
      <t>02(B)</t>
    </r>
  </si>
  <si>
    <r>
      <rPr>
        <sz val="10"/>
        <rFont val="Consolas"/>
        <family val="3"/>
      </rPr>
      <t xml:space="preserve">:OutdoorHClTanks :hasMember :OutdoorHClTanks_M03 .   # R1784 </t>
    </r>
    <r>
      <rPr>
        <sz val="10"/>
        <rFont val="Noto Sans CJK SC"/>
        <family val="2"/>
      </rPr>
      <t xml:space="preserve">室外盐酸储罐组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室外盐酸罐</t>
    </r>
    <r>
      <rPr>
        <sz val="10"/>
        <rFont val="Consolas"/>
        <family val="3"/>
      </rPr>
      <t>03(C)</t>
    </r>
  </si>
  <si>
    <r>
      <rPr>
        <sz val="10"/>
        <rFont val="Consolas"/>
        <family val="3"/>
      </rPr>
      <t xml:space="preserve">:OutdoorHClTanks :hasMember :OutdoorHClTanks_M04 .   # R1785 </t>
    </r>
    <r>
      <rPr>
        <sz val="10"/>
        <rFont val="Noto Sans CJK SC"/>
        <family val="2"/>
      </rPr>
      <t xml:space="preserve">室外盐酸储罐组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室外盐酸罐</t>
    </r>
    <r>
      <rPr>
        <sz val="10"/>
        <rFont val="Consolas"/>
        <family val="3"/>
      </rPr>
      <t>04(D)</t>
    </r>
  </si>
  <si>
    <r>
      <rPr>
        <sz val="10"/>
        <rFont val="Consolas"/>
        <family val="3"/>
      </rPr>
      <t xml:space="preserve">:OutdoorHClTanks :hasPart :OutdoorHClTanks_P01 .   # R1786 </t>
    </r>
    <r>
      <rPr>
        <sz val="10"/>
        <rFont val="Noto Sans CJK SC"/>
        <family val="2"/>
      </rPr>
      <t xml:space="preserve">室外盐酸储罐组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室外盐酸储罐组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</si>
  <si>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:OutdoorHClTanks :hasPart :OutdoorHClTanks_P02 .   # R1787 </t>
    </r>
    <r>
      <rPr>
        <sz val="10"/>
        <rFont val="Noto Sans CJK SC"/>
        <family val="2"/>
      </rPr>
      <t xml:space="preserve">室外盐酸储罐组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室外盐酸储罐组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低液位报警</t>
    </r>
  </si>
  <si>
    <r>
      <rPr>
        <sz val="10"/>
        <rFont val="Consolas"/>
        <family val="3"/>
      </rPr>
      <t xml:space="preserve">:Area_S15_CrystAuxStorage :hasEquipment :HClAbsorber .   # R1788 </t>
    </r>
    <r>
      <rPr>
        <sz val="10"/>
        <rFont val="Noto Sans CJK SC"/>
        <family val="2"/>
      </rPr>
      <t>结晶辅料储运（氨水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盐酸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软水）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盐酸吸收塔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吸收罐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室外中和罐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</si>
  <si>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:HClAbsorber :hasPart :HClAbsorber_P01 .   # R1789 </t>
    </r>
    <r>
      <rPr>
        <sz val="10"/>
        <rFont val="Noto Sans CJK SC"/>
        <family val="2"/>
      </rPr>
      <t>盐酸吸收塔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吸收罐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室外中和罐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盐酸吸收塔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吸收罐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室外中和罐</t>
    </r>
    <r>
      <rPr>
        <sz val="10"/>
        <rFont val="Consolas"/>
        <family val="3"/>
      </rPr>
      <t>)·pH</t>
    </r>
    <r>
      <rPr>
        <sz val="10"/>
        <rFont val="Noto Sans CJK SC"/>
        <family val="2"/>
      </rPr>
      <t>计</t>
    </r>
    <r>
      <rPr>
        <sz val="10"/>
        <rFont val="Consolas"/>
        <family val="3"/>
      </rPr>
      <t>AT_1501</t>
    </r>
  </si>
  <si>
    <r>
      <rPr>
        <sz val="10"/>
        <rFont val="Consolas"/>
        <family val="3"/>
      </rPr>
      <t xml:space="preserve">:HClAbsorber :hasPart :HClAbsorber_P02 .   # R1790 </t>
    </r>
    <r>
      <rPr>
        <sz val="10"/>
        <rFont val="Noto Sans CJK SC"/>
        <family val="2"/>
      </rPr>
      <t>盐酸吸收塔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吸收罐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室外中和罐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盐酸吸收塔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吸收罐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室外中和罐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进水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进碱阀</t>
    </r>
  </si>
  <si>
    <r>
      <rPr>
        <sz val="10"/>
        <rFont val="Consolas"/>
        <family val="3"/>
      </rPr>
      <t xml:space="preserve">:Area_S15_CrystAuxStorage :hasEquipment :CrystSoftWaterTank .   # R1791 </t>
    </r>
    <r>
      <rPr>
        <sz val="10"/>
        <rFont val="Noto Sans CJK SC"/>
        <family val="2"/>
      </rPr>
      <t>结晶辅料储运（氨水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盐酸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软水）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结晶软水罐</t>
    </r>
  </si>
  <si>
    <r>
      <rPr>
        <sz val="10"/>
        <rFont val="Consolas"/>
        <family val="3"/>
      </rPr>
      <t xml:space="preserve">:CrystSoftWaterTank :hasPart :CrystSoftWaterTank_P01 .   # R1792 </t>
    </r>
    <r>
      <rPr>
        <sz val="10"/>
        <rFont val="Noto Sans CJK SC"/>
        <family val="2"/>
      </rPr>
      <t xml:space="preserve">结晶软水罐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结晶软水罐</t>
    </r>
    <r>
      <rPr>
        <sz val="10"/>
        <rFont val="Consolas"/>
        <family val="3"/>
      </rPr>
      <t>·pH</t>
    </r>
    <r>
      <rPr>
        <sz val="10"/>
        <rFont val="Noto Sans CJK SC"/>
        <family val="2"/>
      </rPr>
      <t>计</t>
    </r>
  </si>
  <si>
    <r>
      <rPr>
        <sz val="10"/>
        <rFont val="Consolas"/>
        <family val="3"/>
      </rPr>
      <t xml:space="preserve">:CrystSoftWaterTank :hasPart :CrystSoftWaterTank_P02 .   # R1793 </t>
    </r>
    <r>
      <rPr>
        <sz val="10"/>
        <rFont val="Noto Sans CJK SC"/>
        <family val="2"/>
      </rPr>
      <t xml:space="preserve">结晶软水罐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结晶软水罐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温度计</t>
    </r>
  </si>
  <si>
    <r>
      <rPr>
        <sz val="10"/>
        <rFont val="Consolas"/>
        <family val="3"/>
      </rPr>
      <t xml:space="preserve">:OutdoorAmmoniaTank :hasAttribute :Attr_183 .   # R1794 </t>
    </r>
    <r>
      <rPr>
        <sz val="10"/>
        <rFont val="Noto Sans CJK SC"/>
        <family val="2"/>
      </rPr>
      <t xml:space="preserve">室外氨水储罐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室外氨水罐液位</t>
    </r>
  </si>
  <si>
    <r>
      <rPr>
        <sz val="10"/>
        <rFont val="Consolas"/>
        <family val="3"/>
      </rPr>
      <t xml:space="preserve">:AmmoniaTransferPumps :hasAttribute :Attr_184 .   # R1795 </t>
    </r>
    <r>
      <rPr>
        <sz val="10"/>
        <rFont val="Noto Sans CJK SC"/>
        <family val="2"/>
      </rPr>
      <t xml:space="preserve">氨水输送泵组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氨水去结晶泵压力</t>
    </r>
  </si>
  <si>
    <r>
      <rPr>
        <sz val="10"/>
        <rFont val="Consolas"/>
        <family val="3"/>
      </rPr>
      <t xml:space="preserve">:AmmoniaTransferPumps :hasAttribute :Attr_185 .   # R1796 </t>
    </r>
    <r>
      <rPr>
        <sz val="10"/>
        <rFont val="Noto Sans CJK SC"/>
        <family val="2"/>
      </rPr>
      <t xml:space="preserve">氨水输送泵组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氨水去水解泵压力</t>
    </r>
  </si>
  <si>
    <r>
      <rPr>
        <sz val="10"/>
        <rFont val="Consolas"/>
        <family val="3"/>
      </rPr>
      <t xml:space="preserve">:OutdoorHClTanks :hasAttribute :Attr_186 .   # R1797 </t>
    </r>
    <r>
      <rPr>
        <sz val="10"/>
        <rFont val="Noto Sans CJK SC"/>
        <family val="2"/>
      </rPr>
      <t xml:space="preserve">室外盐酸储罐组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盐酸储罐液位</t>
    </r>
  </si>
  <si>
    <r>
      <rPr>
        <sz val="10"/>
        <rFont val="Consolas"/>
        <family val="3"/>
      </rPr>
      <t xml:space="preserve">:OutdoorHClTanks :hasAttribute :Attr_187 .   # R1798 </t>
    </r>
    <r>
      <rPr>
        <sz val="10"/>
        <rFont val="Noto Sans CJK SC"/>
        <family val="2"/>
      </rPr>
      <t xml:space="preserve">室外盐酸储罐组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盐酸输送泵压力</t>
    </r>
  </si>
  <si>
    <r>
      <rPr>
        <sz val="10"/>
        <rFont val="Consolas"/>
        <family val="3"/>
      </rPr>
      <t xml:space="preserve">:HClAbsorber :hasAttribute :Attr_188 .   # R1799 </t>
    </r>
    <r>
      <rPr>
        <sz val="10"/>
        <rFont val="Noto Sans CJK SC"/>
        <family val="2"/>
      </rPr>
      <t>盐酸吸收塔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吸收罐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室外中和罐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吸收塔出料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</si>
  <si>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:HClAbsorber :hasAttribute :Attr_189 .   # R1800 </t>
    </r>
    <r>
      <rPr>
        <sz val="10"/>
        <rFont val="Noto Sans CJK SC"/>
        <family val="2"/>
      </rPr>
      <t>盐酸吸收塔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吸收罐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室外中和罐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吸收罐液位</t>
    </r>
  </si>
  <si>
    <r>
      <rPr>
        <sz val="10"/>
        <rFont val="Consolas"/>
        <family val="3"/>
      </rPr>
      <t xml:space="preserve">:CrystSoftWaterTank :hasAttribute :Attr_190 .   # R1801 </t>
    </r>
    <r>
      <rPr>
        <sz val="10"/>
        <rFont val="Noto Sans CJK SC"/>
        <family val="2"/>
      </rPr>
      <t xml:space="preserve">结晶软水罐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结晶软水罐液位</t>
    </r>
  </si>
  <si>
    <r>
      <rPr>
        <sz val="10"/>
        <rFont val="Consolas"/>
        <family val="3"/>
      </rPr>
      <t xml:space="preserve">:CrystSoftWaterTank :hasAttribute :Attr_191 .   # R1802 </t>
    </r>
    <r>
      <rPr>
        <sz val="10"/>
        <rFont val="Noto Sans CJK SC"/>
        <family val="2"/>
      </rPr>
      <t xml:space="preserve">结晶软水罐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结晶软水泵压力</t>
    </r>
  </si>
  <si>
    <r>
      <rPr>
        <sz val="10"/>
        <rFont val="Consolas"/>
        <family val="3"/>
      </rPr>
      <t xml:space="preserve">:MS_HCl :hasAttribute :Attr_138 .   # R1803 </t>
    </r>
    <r>
      <rPr>
        <sz val="10"/>
        <rFont val="Noto Sans CJK SC"/>
        <family val="2"/>
      </rPr>
      <t xml:space="preserve">盐酸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盐酸进料流量</t>
    </r>
  </si>
  <si>
    <r>
      <rPr>
        <sz val="10"/>
        <rFont val="Consolas"/>
        <family val="3"/>
      </rPr>
      <t xml:space="preserve">:MS_Ammonia_Cryst :hasAttribute :Attr_163 .   # R1804 </t>
    </r>
    <r>
      <rPr>
        <sz val="10"/>
        <rFont val="Noto Sans CJK SC"/>
        <family val="2"/>
      </rPr>
      <t xml:space="preserve">结晶氨水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结晶氨水进料流量</t>
    </r>
  </si>
  <si>
    <r>
      <rPr>
        <sz val="10"/>
        <rFont val="Consolas"/>
        <family val="3"/>
      </rPr>
      <t xml:space="preserve">:Attr_183 :boundToTag :Tag_LT_AS01 .   # R1805 </t>
    </r>
    <r>
      <rPr>
        <sz val="10"/>
        <rFont val="Noto Sans CJK SC"/>
        <family val="2"/>
      </rPr>
      <t xml:space="preserve">室外氨水罐液位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LT_AS01</t>
    </r>
  </si>
  <si>
    <r>
      <rPr>
        <sz val="10"/>
        <rFont val="Consolas"/>
        <family val="3"/>
      </rPr>
      <t xml:space="preserve">:Attr_184 :boundToTag :Tag_PT_1024 .   # R1806 </t>
    </r>
    <r>
      <rPr>
        <sz val="10"/>
        <rFont val="Noto Sans CJK SC"/>
        <family val="2"/>
      </rPr>
      <t xml:space="preserve">氨水去结晶泵压力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PT_1024</t>
    </r>
  </si>
  <si>
    <r>
      <rPr>
        <sz val="10"/>
        <rFont val="Consolas"/>
        <family val="3"/>
      </rPr>
      <t xml:space="preserve">:Attr_185 :boundToTag :Tag_PT_1025 .   # R1807 </t>
    </r>
    <r>
      <rPr>
        <sz val="10"/>
        <rFont val="Noto Sans CJK SC"/>
        <family val="2"/>
      </rPr>
      <t xml:space="preserve">氨水去水解泵压力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PT_1025</t>
    </r>
  </si>
  <si>
    <r>
      <rPr>
        <sz val="10"/>
        <rFont val="Consolas"/>
        <family val="3"/>
      </rPr>
      <t xml:space="preserve">:Attr_186 :boundToTag :Tag_LT_HCL_SW01 .   # R1808 </t>
    </r>
    <r>
      <rPr>
        <sz val="10"/>
        <rFont val="Noto Sans CJK SC"/>
        <family val="2"/>
      </rPr>
      <t xml:space="preserve">盐酸储罐液位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LT_HCL_SW01</t>
    </r>
  </si>
  <si>
    <r>
      <rPr>
        <sz val="10"/>
        <rFont val="Consolas"/>
        <family val="3"/>
      </rPr>
      <t xml:space="preserve">:Attr_186 :boundToTag :Tag_LT_HCL_SW02 .   # R1809 </t>
    </r>
    <r>
      <rPr>
        <sz val="10"/>
        <rFont val="Noto Sans CJK SC"/>
        <family val="2"/>
      </rPr>
      <t xml:space="preserve">盐酸储罐液位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LT_HCL_SW02</t>
    </r>
  </si>
  <si>
    <r>
      <rPr>
        <sz val="10"/>
        <rFont val="Consolas"/>
        <family val="3"/>
      </rPr>
      <t xml:space="preserve">:Attr_186 :boundToTag :Tag_LT_HCL_SW03 .   # R1810 </t>
    </r>
    <r>
      <rPr>
        <sz val="10"/>
        <rFont val="Noto Sans CJK SC"/>
        <family val="2"/>
      </rPr>
      <t xml:space="preserve">盐酸储罐液位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LT_HCL_SW03</t>
    </r>
  </si>
  <si>
    <r>
      <rPr>
        <sz val="10"/>
        <rFont val="Consolas"/>
        <family val="3"/>
      </rPr>
      <t xml:space="preserve">:Attr_186 :boundToTag :Tag_LT_HCL_SW04 .   # R1811 </t>
    </r>
    <r>
      <rPr>
        <sz val="10"/>
        <rFont val="Noto Sans CJK SC"/>
        <family val="2"/>
      </rPr>
      <t xml:space="preserve">盐酸储罐液位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LT_HCL_SW04</t>
    </r>
  </si>
  <si>
    <r>
      <rPr>
        <sz val="10"/>
        <rFont val="Consolas"/>
        <family val="3"/>
      </rPr>
      <t xml:space="preserve">:Attr_187 :boundToTag :Tag_PT_1501 .   # R1812 </t>
    </r>
    <r>
      <rPr>
        <sz val="10"/>
        <rFont val="Noto Sans CJK SC"/>
        <family val="2"/>
      </rPr>
      <t xml:space="preserve">盐酸输送泵压力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PT_1501</t>
    </r>
  </si>
  <si>
    <r>
      <rPr>
        <sz val="10"/>
        <rFont val="Consolas"/>
        <family val="3"/>
      </rPr>
      <t xml:space="preserve">:Attr_188 :boundToTag :Tag_AT_1501 .   # R1813 </t>
    </r>
    <r>
      <rPr>
        <sz val="10"/>
        <rFont val="Noto Sans CJK SC"/>
        <family val="2"/>
      </rPr>
      <t>吸收塔出料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AT_1501</t>
    </r>
  </si>
  <si>
    <r>
      <rPr>
        <sz val="10"/>
        <rFont val="Consolas"/>
        <family val="3"/>
      </rPr>
      <t xml:space="preserve">:Attr_189 :boundToTag :Tag_LT_1501 .   # R1814 </t>
    </r>
    <r>
      <rPr>
        <sz val="10"/>
        <rFont val="Noto Sans CJK SC"/>
        <family val="2"/>
      </rPr>
      <t xml:space="preserve">吸收罐液位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LT_1501</t>
    </r>
  </si>
  <si>
    <r>
      <rPr>
        <sz val="10"/>
        <rFont val="Consolas"/>
        <family val="3"/>
      </rPr>
      <t xml:space="preserve">:Attr_190 :boundToTag :Tag_LT_RS01 .   # R1815 </t>
    </r>
    <r>
      <rPr>
        <sz val="10"/>
        <rFont val="Noto Sans CJK SC"/>
        <family val="2"/>
      </rPr>
      <t xml:space="preserve">结晶软水罐液位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LT_RS01</t>
    </r>
  </si>
  <si>
    <r>
      <rPr>
        <sz val="10"/>
        <rFont val="Consolas"/>
        <family val="3"/>
      </rPr>
      <t xml:space="preserve">:Attr_191 :boundToTag :Tag_PT_2008 .   # R1816 </t>
    </r>
    <r>
      <rPr>
        <sz val="10"/>
        <rFont val="Noto Sans CJK SC"/>
        <family val="2"/>
      </rPr>
      <t xml:space="preserve">结晶软水泵压力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PT_2008</t>
    </r>
  </si>
  <si>
    <r>
      <rPr>
        <sz val="10"/>
        <rFont val="Consolas"/>
        <family val="3"/>
      </rPr>
      <t xml:space="preserve">:Attr_186 :triggersAlarm :Alarm_14 .   # R1817 </t>
    </r>
    <r>
      <rPr>
        <sz val="10"/>
        <rFont val="Noto Sans CJK SC"/>
        <family val="2"/>
      </rPr>
      <t xml:space="preserve">盐酸储罐液位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触发报警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盐酸储罐低液位报警</t>
    </r>
  </si>
  <si>
    <r>
      <rPr>
        <sz val="10"/>
        <rFont val="Consolas"/>
        <family val="3"/>
      </rPr>
      <t xml:space="preserve">:OutdoorAmmoniaTank :connectedToNext :AmmoniaTransferPumps .   # R1818 </t>
    </r>
    <r>
      <rPr>
        <sz val="10"/>
        <rFont val="Noto Sans CJK SC"/>
        <family val="2"/>
      </rPr>
      <t xml:space="preserve">室外氨水储罐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氨水输送泵组</t>
    </r>
  </si>
  <si>
    <r>
      <rPr>
        <sz val="10"/>
        <rFont val="Consolas"/>
        <family val="3"/>
      </rPr>
      <t xml:space="preserve">:AmmoniaTransferPumps :produces :MS_Ammonia_Cryst .   # R1819 </t>
    </r>
    <r>
      <rPr>
        <sz val="10"/>
        <rFont val="Noto Sans CJK SC"/>
        <family val="2"/>
      </rPr>
      <t xml:space="preserve">氨水输送泵组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结晶氨水</t>
    </r>
  </si>
  <si>
    <r>
      <rPr>
        <sz val="10"/>
        <rFont val="Consolas"/>
        <family val="3"/>
      </rPr>
      <t xml:space="preserve">:AmmoniaTransferPumps :connectedToNext :AmmoniaPrepTank .   # R1820 </t>
    </r>
    <r>
      <rPr>
        <sz val="10"/>
        <rFont val="Noto Sans CJK SC"/>
        <family val="2"/>
      </rPr>
      <t xml:space="preserve">氨水输送泵组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氨水配制罐</t>
    </r>
  </si>
  <si>
    <r>
      <rPr>
        <sz val="10"/>
        <rFont val="Consolas"/>
        <family val="3"/>
      </rPr>
      <t xml:space="preserve">:OutdoorHClTanks :connectedToNext :HClBufferTank .   # R1821 </t>
    </r>
    <r>
      <rPr>
        <sz val="10"/>
        <rFont val="Noto Sans CJK SC"/>
        <family val="2"/>
      </rPr>
      <t xml:space="preserve">室外盐酸储罐组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盐酸缓冲罐</t>
    </r>
  </si>
  <si>
    <r>
      <rPr>
        <sz val="10"/>
        <rFont val="Consolas"/>
        <family val="3"/>
      </rPr>
      <t xml:space="preserve">:OutdoorHClTanks :produces :MS_HCl .   # R1822 </t>
    </r>
    <r>
      <rPr>
        <sz val="10"/>
        <rFont val="Noto Sans CJK SC"/>
        <family val="2"/>
      </rPr>
      <t xml:space="preserve">室外盐酸储罐组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盐酸</t>
    </r>
  </si>
  <si>
    <r>
      <rPr>
        <sz val="10"/>
        <rFont val="Consolas"/>
        <family val="3"/>
      </rPr>
      <t xml:space="preserve">:HClAbsorber :connectedToNext :OutdoorHClTanks .   # R1823 </t>
    </r>
    <r>
      <rPr>
        <sz val="10"/>
        <rFont val="Noto Sans CJK SC"/>
        <family val="2"/>
      </rPr>
      <t>盐酸吸收塔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吸收罐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室外中和罐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室外盐酸储罐组</t>
    </r>
  </si>
  <si>
    <r>
      <rPr>
        <sz val="10"/>
        <rFont val="Consolas"/>
        <family val="3"/>
      </rPr>
      <t xml:space="preserve">:CrystSoftWaterTank :produces :MS_SoftWater .   # R1824 </t>
    </r>
    <r>
      <rPr>
        <sz val="10"/>
        <rFont val="Noto Sans CJK SC"/>
        <family val="2"/>
      </rPr>
      <t xml:space="preserve">结晶软水罐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软水</t>
    </r>
  </si>
  <si>
    <r>
      <rPr>
        <sz val="10"/>
        <rFont val="Consolas"/>
        <family val="3"/>
      </rPr>
      <t xml:space="preserve">:Attr_183 :affects :Attr_163 .   # R1825 </t>
    </r>
    <r>
      <rPr>
        <sz val="10"/>
        <rFont val="Noto Sans CJK SC"/>
        <family val="2"/>
      </rPr>
      <t xml:space="preserve">室外氨水罐液位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结晶氨水进料流量</t>
    </r>
  </si>
  <si>
    <r>
      <rPr>
        <sz val="10"/>
        <rFont val="Consolas"/>
        <family val="3"/>
      </rPr>
      <t xml:space="preserve">:Attr_186 :affects :Attr_138 .   # R1826 </t>
    </r>
    <r>
      <rPr>
        <sz val="10"/>
        <rFont val="Noto Sans CJK SC"/>
        <family val="2"/>
      </rPr>
      <t xml:space="preserve">盐酸储罐液位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盐酸进料流量</t>
    </r>
  </si>
  <si>
    <r>
      <rPr>
        <sz val="10"/>
        <rFont val="Consolas"/>
        <family val="3"/>
      </rPr>
      <t xml:space="preserve">
# --- S16 6APA</t>
    </r>
    <r>
      <rPr>
        <sz val="10"/>
        <rFont val="Noto Sans CJK SC"/>
        <family val="2"/>
      </rPr>
      <t xml:space="preserve">干燥 </t>
    </r>
    <r>
      <rPr>
        <sz val="10"/>
        <rFont val="Consolas"/>
        <family val="3"/>
      </rPr>
      <t>---</t>
    </r>
  </si>
  <si>
    <r>
      <rPr>
        <sz val="10"/>
        <rFont val="Consolas"/>
        <family val="3"/>
      </rPr>
      <t>:Area_S16_Drying :connectedToNext :Area_S23_OffgasTreatment .   # R1827 6APA</t>
    </r>
    <r>
      <rPr>
        <sz val="10"/>
        <rFont val="Noto Sans CJK SC"/>
        <family val="2"/>
      </rPr>
      <t xml:space="preserve">干燥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尾气与环保</t>
    </r>
  </si>
  <si>
    <r>
      <rPr>
        <sz val="10"/>
        <rFont val="Consolas"/>
        <family val="3"/>
      </rPr>
      <t>:Area_S16_Drying :hasEquipment :DryerGroup .   # R1828 6APA</t>
    </r>
    <r>
      <rPr>
        <sz val="10"/>
        <rFont val="Noto Sans CJK SC"/>
        <family val="2"/>
      </rPr>
      <t xml:space="preserve">干燥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</si>
  <si>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>:DryerGroup :hasMember :DryerGroup_M01 .   # R1829 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双锥干燥罐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</si>
  <si>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>:DryerGroup :hasMember :DryerGroup_M02 .   # R1830 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双锥干燥罐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</si>
  <si>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>:DryerGroup :hasMember :DryerGroup_M03 .   # R1831 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二合一过滤干燥机</t>
    </r>
  </si>
  <si>
    <r>
      <rPr>
        <sz val="10"/>
        <rFont val="Consolas"/>
        <family val="3"/>
      </rPr>
      <t>:DryerGroup :hasPart :DryerGroup_P01 .   # R1832 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蒸汽进出口阀</t>
    </r>
  </si>
  <si>
    <r>
      <rPr>
        <sz val="10"/>
        <rFont val="Consolas"/>
        <family val="3"/>
      </rPr>
      <t>:DryerGroup :hasPart :DryerGroup_P02 .   # R1833 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干燥进出口阀</t>
    </r>
  </si>
  <si>
    <r>
      <rPr>
        <sz val="10"/>
        <rFont val="Consolas"/>
        <family val="3"/>
      </rPr>
      <t>:DryerGroup :hasPart :DryerGroup_P03 .   # R1834 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尾气进出口阀</t>
    </r>
  </si>
  <si>
    <r>
      <rPr>
        <sz val="10"/>
        <rFont val="Consolas"/>
        <family val="3"/>
      </rPr>
      <t>:DryerGroup :hasPart :DryerGroup_P04 .   # R1835 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干燥风机</t>
    </r>
  </si>
  <si>
    <r>
      <rPr>
        <sz val="10"/>
        <rFont val="Consolas"/>
        <family val="3"/>
      </rPr>
      <t>:DryerGroup :hasPart :DryerGroup_P05 .   # R1836 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)·</t>
    </r>
    <r>
      <rPr>
        <sz val="10"/>
        <rFont val="Noto Sans CJK SC"/>
        <family val="2"/>
      </rPr>
      <t>吹冷风机</t>
    </r>
  </si>
  <si>
    <r>
      <rPr>
        <sz val="10"/>
        <rFont val="Consolas"/>
        <family val="3"/>
      </rPr>
      <t>:DryerGroup :hasAttribute :Attr_192 .   # R1837 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双锥干燥温度</t>
    </r>
  </si>
  <si>
    <r>
      <rPr>
        <sz val="10"/>
        <rFont val="Consolas"/>
        <family val="3"/>
      </rPr>
      <t>:DryerGroup :hasAttribute :Attr_193 .   # R1838 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二合一蒸汽流量</t>
    </r>
  </si>
  <si>
    <r>
      <rPr>
        <sz val="10"/>
        <rFont val="Consolas"/>
        <family val="3"/>
      </rPr>
      <t>:DryerGroup :hasAttribute :Attr_194 .   # R1839 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干燥循环水温度</t>
    </r>
  </si>
  <si>
    <r>
      <rPr>
        <sz val="10"/>
        <rFont val="Consolas"/>
        <family val="3"/>
      </rPr>
      <t>:DryerGroup :hasAttribute :QKPI_295 .   # R1840 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6-APA</t>
    </r>
    <r>
      <rPr>
        <sz val="10"/>
        <rFont val="Noto Sans CJK SC"/>
        <family val="2"/>
      </rPr>
      <t>成品水分</t>
    </r>
  </si>
  <si>
    <r>
      <rPr>
        <sz val="10"/>
        <rFont val="Consolas"/>
        <family val="3"/>
      </rPr>
      <t>:DryerGroup :hasAttribute :QKPI_296 .   # R1841 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6-APA</t>
    </r>
    <r>
      <rPr>
        <sz val="10"/>
        <rFont val="Noto Sans CJK SC"/>
        <family val="2"/>
      </rPr>
      <t>成品含量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色级</t>
    </r>
  </si>
  <si>
    <r>
      <rPr>
        <sz val="10"/>
        <rFont val="Consolas"/>
        <family val="3"/>
      </rPr>
      <t>:DryerGroup :hasAttribute :QKPI_297 .   # R1842 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干燥降解</t>
    </r>
  </si>
  <si>
    <r>
      <rPr>
        <sz val="10"/>
        <rFont val="Consolas"/>
        <family val="3"/>
      </rPr>
      <t xml:space="preserve">:Attr_192 :boundToTag :Tag_TI_1404 .   # R1843 </t>
    </r>
    <r>
      <rPr>
        <sz val="10"/>
        <rFont val="Noto Sans CJK SC"/>
        <family val="2"/>
      </rPr>
      <t xml:space="preserve">双锥干燥温度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TI_1404</t>
    </r>
  </si>
  <si>
    <r>
      <rPr>
        <sz val="10"/>
        <rFont val="Consolas"/>
        <family val="3"/>
      </rPr>
      <t xml:space="preserve">:Attr_193 :boundToTag :Tag_FT_1401 .   # R1844 </t>
    </r>
    <r>
      <rPr>
        <sz val="10"/>
        <rFont val="Noto Sans CJK SC"/>
        <family val="2"/>
      </rPr>
      <t xml:space="preserve">二合一蒸汽流量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FT_1401</t>
    </r>
  </si>
  <si>
    <r>
      <rPr>
        <sz val="10"/>
        <rFont val="Consolas"/>
        <family val="3"/>
      </rPr>
      <t xml:space="preserve">:Attr_194 :boundToTag :Tag_TI_1405 .   # R1845 </t>
    </r>
    <r>
      <rPr>
        <sz val="10"/>
        <rFont val="Noto Sans CJK SC"/>
        <family val="2"/>
      </rPr>
      <t xml:space="preserve">干燥循环水温度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TI_1405</t>
    </r>
  </si>
  <si>
    <r>
      <rPr>
        <sz val="10"/>
        <rFont val="Consolas"/>
        <family val="3"/>
      </rPr>
      <t>:MS_WetCake :flowsInto :DryerGroup .   # R1846 6APA</t>
    </r>
    <r>
      <rPr>
        <sz val="10"/>
        <rFont val="Noto Sans CJK SC"/>
        <family val="2"/>
      </rPr>
      <t xml:space="preserve">湿品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</si>
  <si>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:MS_Steam :suppliesUtility :DryerGroup .   # R1847 </t>
    </r>
    <r>
      <rPr>
        <sz val="10"/>
        <rFont val="Noto Sans CJK SC"/>
        <family val="2"/>
      </rPr>
      <t xml:space="preserve">蒸汽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供给介质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</si>
  <si>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:MS_Vacuum :suppliesUtility :DryerGroup .   # R1848 </t>
    </r>
    <r>
      <rPr>
        <sz val="10"/>
        <rFont val="Noto Sans CJK SC"/>
        <family val="2"/>
      </rPr>
      <t xml:space="preserve">真空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供给介质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</si>
  <si>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>:DryerGroup :produces :MS_6APA_Product .   # R1849 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>-&gt; 6-APA</t>
    </r>
    <r>
      <rPr>
        <sz val="10"/>
        <rFont val="Noto Sans CJK SC"/>
        <family val="2"/>
      </rPr>
      <t>成品</t>
    </r>
  </si>
  <si>
    <r>
      <rPr>
        <sz val="10"/>
        <rFont val="Consolas"/>
        <family val="3"/>
      </rPr>
      <t xml:space="preserve">:Attr_192 :negativelyAffects :QKPI_295 .   # R1850 </t>
    </r>
    <r>
      <rPr>
        <sz val="10"/>
        <rFont val="Noto Sans CJK SC"/>
        <family val="2"/>
      </rPr>
      <t xml:space="preserve">双锥干燥温度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>-&gt; 6-APA</t>
    </r>
    <r>
      <rPr>
        <sz val="10"/>
        <rFont val="Noto Sans CJK SC"/>
        <family val="2"/>
      </rPr>
      <t>成品水分</t>
    </r>
  </si>
  <si>
    <r>
      <rPr>
        <sz val="10"/>
        <rFont val="Consolas"/>
        <family val="3"/>
      </rPr>
      <t xml:space="preserve">:Attr_192 :positivelyAffects :QKPI_297 .   # R1851 </t>
    </r>
    <r>
      <rPr>
        <sz val="10"/>
        <rFont val="Noto Sans CJK SC"/>
        <family val="2"/>
      </rPr>
      <t xml:space="preserve">双锥干燥温度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干燥降解</t>
    </r>
  </si>
  <si>
    <r>
      <rPr>
        <sz val="10"/>
        <rFont val="Consolas"/>
        <family val="3"/>
      </rPr>
      <t xml:space="preserve">:QKPI_297 :negativelyAffects :QKPI_296 .   # R1852 </t>
    </r>
    <r>
      <rPr>
        <sz val="10"/>
        <rFont val="Noto Sans CJK SC"/>
        <family val="2"/>
      </rPr>
      <t xml:space="preserve">干燥降解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>-&gt; 6-APA</t>
    </r>
    <r>
      <rPr>
        <sz val="10"/>
        <rFont val="Noto Sans CJK SC"/>
        <family val="2"/>
      </rPr>
      <t>成品含量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色级</t>
    </r>
  </si>
  <si>
    <r>
      <rPr>
        <sz val="10"/>
        <rFont val="Consolas"/>
        <family val="3"/>
      </rPr>
      <t>:QKPI_296 :positivelyAffects :BKPI_304 .   # R1853 6-APA</t>
    </r>
    <r>
      <rPr>
        <sz val="10"/>
        <rFont val="Noto Sans CJK SC"/>
        <family val="2"/>
      </rPr>
      <t>成品含量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色级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全厂批次最终提取收率</t>
    </r>
  </si>
  <si>
    <r>
      <rPr>
        <sz val="10"/>
        <rFont val="Consolas"/>
        <family val="3"/>
      </rPr>
      <t xml:space="preserve">
# --- S17 </t>
    </r>
    <r>
      <rPr>
        <sz val="10"/>
        <rFont val="Noto Sans CJK SC"/>
        <family val="2"/>
      </rPr>
      <t xml:space="preserve">结晶母液回收 </t>
    </r>
    <r>
      <rPr>
        <sz val="10"/>
        <rFont val="Consolas"/>
        <family val="3"/>
      </rPr>
      <t>---</t>
    </r>
  </si>
  <si>
    <r>
      <rPr>
        <sz val="10"/>
        <rFont val="Consolas"/>
        <family val="3"/>
      </rPr>
      <t xml:space="preserve">:Area_S17_MotherLiquorRecovery :connectedToNext :Area_S11_EnzymaticHydrolysis .   # R1854 </t>
    </r>
    <r>
      <rPr>
        <sz val="10"/>
        <rFont val="Noto Sans CJK SC"/>
        <family val="2"/>
      </rPr>
      <t xml:space="preserve">结晶母液回收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酶法水解</t>
    </r>
  </si>
  <si>
    <r>
      <rPr>
        <sz val="10"/>
        <rFont val="Consolas"/>
        <family val="3"/>
      </rPr>
      <t xml:space="preserve">:Area_S17_MotherLiquorRecovery :hasEquipment :MotherLiquorTank .   # R1855 </t>
    </r>
    <r>
      <rPr>
        <sz val="10"/>
        <rFont val="Noto Sans CJK SC"/>
        <family val="2"/>
      </rPr>
      <t xml:space="preserve">结晶母液回收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母液缓冲罐</t>
    </r>
  </si>
  <si>
    <r>
      <rPr>
        <sz val="10"/>
        <rFont val="Consolas"/>
        <family val="3"/>
      </rPr>
      <t xml:space="preserve">:MotherLiquorTank :hasMember :CrystMotherTanks_M01 .   # R1856 </t>
    </r>
    <r>
      <rPr>
        <sz val="10"/>
        <rFont val="Noto Sans CJK SC"/>
        <family val="2"/>
      </rPr>
      <t>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母液缓冲罐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母液罐</t>
    </r>
  </si>
  <si>
    <r>
      <rPr>
        <sz val="10"/>
        <rFont val="Consolas"/>
        <family val="3"/>
      </rPr>
      <t xml:space="preserve">:MotherLiquorTank :hasMember :MotherLiquorTank_M02 .   # R1857 </t>
    </r>
    <r>
      <rPr>
        <sz val="10"/>
        <rFont val="Noto Sans CJK SC"/>
        <family val="2"/>
      </rPr>
      <t>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母液缓冲罐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母液缓冲罐</t>
    </r>
  </si>
  <si>
    <r>
      <rPr>
        <sz val="10"/>
        <rFont val="Consolas"/>
        <family val="3"/>
      </rPr>
      <t xml:space="preserve">:MotherLiquorTank :hasMember :MotherLiquorTank_M03 .   # R1858 </t>
    </r>
    <r>
      <rPr>
        <sz val="10"/>
        <rFont val="Noto Sans CJK SC"/>
        <family val="2"/>
      </rPr>
      <t>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母液缓冲罐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母液储罐</t>
    </r>
  </si>
  <si>
    <r>
      <rPr>
        <sz val="10"/>
        <rFont val="Consolas"/>
        <family val="3"/>
      </rPr>
      <t xml:space="preserve">:MotherLiquorTank :hasPart :MotherLiquorTank_P01 .   # R1859 </t>
    </r>
    <r>
      <rPr>
        <sz val="10"/>
        <rFont val="Noto Sans CJK SC"/>
        <family val="2"/>
      </rPr>
      <t>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母液缓冲罐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母液缓冲罐</t>
    </r>
    <r>
      <rPr>
        <sz val="10"/>
        <rFont val="Consolas"/>
        <family val="3"/>
      </rPr>
      <t>·pH</t>
    </r>
    <r>
      <rPr>
        <sz val="10"/>
        <rFont val="Noto Sans CJK SC"/>
        <family val="2"/>
      </rPr>
      <t>计</t>
    </r>
  </si>
  <si>
    <r>
      <rPr>
        <sz val="10"/>
        <rFont val="Consolas"/>
        <family val="3"/>
      </rPr>
      <t xml:space="preserve">:MotherLiquorTank :hasPart :MotherLiquorTank_P02 .   # R1860 </t>
    </r>
    <r>
      <rPr>
        <sz val="10"/>
        <rFont val="Noto Sans CJK SC"/>
        <family val="2"/>
      </rPr>
      <t>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母液缓冲罐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母液缓冲罐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液位计</t>
    </r>
  </si>
  <si>
    <r>
      <rPr>
        <sz val="10"/>
        <rFont val="Consolas"/>
        <family val="3"/>
      </rPr>
      <t xml:space="preserve">:Area_S17_MotherLiquorRecovery :hasEquipment :NanofiltrationUnit .   # R1861 </t>
    </r>
    <r>
      <rPr>
        <sz val="10"/>
        <rFont val="Noto Sans CJK SC"/>
        <family val="2"/>
      </rPr>
      <t xml:space="preserve">结晶母液回收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纳滤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超滤浓缩单元</t>
    </r>
  </si>
  <si>
    <r>
      <rPr>
        <sz val="10"/>
        <rFont val="Consolas"/>
        <family val="3"/>
      </rPr>
      <t xml:space="preserve">:NanofiltrationUnit :hasPart :NanofiltrationUnit_P01 .   # R1862 </t>
    </r>
    <r>
      <rPr>
        <sz val="10"/>
        <rFont val="Noto Sans CJK SC"/>
        <family val="2"/>
      </rPr>
      <t>纳滤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超滤浓缩单元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纳滤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超滤浓缩单元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复滤进料泵</t>
    </r>
  </si>
  <si>
    <r>
      <rPr>
        <sz val="10"/>
        <rFont val="Consolas"/>
        <family val="3"/>
      </rPr>
      <t xml:space="preserve">:Area_S17_MotherLiquorRecovery :hasEquipment :MLCrystallizers .   # R1863 </t>
    </r>
    <r>
      <rPr>
        <sz val="10"/>
        <rFont val="Noto Sans CJK SC"/>
        <family val="2"/>
      </rPr>
      <t xml:space="preserve">结晶母液回收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母液结晶罐组</t>
    </r>
  </si>
  <si>
    <r>
      <rPr>
        <sz val="10"/>
        <rFont val="Consolas"/>
        <family val="3"/>
      </rPr>
      <t xml:space="preserve">:MLCrystallizers :hasMember :MLCrystallizers_M01 .   # R1864 </t>
    </r>
    <r>
      <rPr>
        <sz val="10"/>
        <rFont val="Noto Sans CJK SC"/>
        <family val="2"/>
      </rPr>
      <t xml:space="preserve">母液结晶罐组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母液结晶罐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</si>
  <si>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:MLCrystallizers :hasMember :MLCrystallizers_M02 .   # R1865 </t>
    </r>
    <r>
      <rPr>
        <sz val="10"/>
        <rFont val="Noto Sans CJK SC"/>
        <family val="2"/>
      </rPr>
      <t xml:space="preserve">母液结晶罐组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母液结晶罐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</si>
  <si>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:MLCrystallizers :hasMember :MLCrystallizers_M03 .   # R1866 </t>
    </r>
    <r>
      <rPr>
        <sz val="10"/>
        <rFont val="Noto Sans CJK SC"/>
        <family val="2"/>
      </rPr>
      <t xml:space="preserve">母液结晶罐组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母液结晶罐</t>
    </r>
    <r>
      <rPr>
        <sz val="10"/>
        <rFont val="Consolas"/>
        <family val="3"/>
      </rPr>
      <t>C</t>
    </r>
  </si>
  <si>
    <r>
      <rPr>
        <sz val="10"/>
        <rFont val="Consolas"/>
        <family val="3"/>
      </rPr>
      <t xml:space="preserve">:MLCrystallizers :hasMember :MLCrystallizers_M04 .   # R1867 </t>
    </r>
    <r>
      <rPr>
        <sz val="10"/>
        <rFont val="Noto Sans CJK SC"/>
        <family val="2"/>
      </rPr>
      <t xml:space="preserve">母液结晶罐组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母液结晶罐</t>
    </r>
    <r>
      <rPr>
        <sz val="10"/>
        <rFont val="Consolas"/>
        <family val="3"/>
      </rPr>
      <t>D</t>
    </r>
  </si>
  <si>
    <r>
      <rPr>
        <sz val="10"/>
        <rFont val="Consolas"/>
        <family val="3"/>
      </rPr>
      <t xml:space="preserve">:MLCrystallizers :hasPart :MLCrystallizers_P01 .   # R1868 </t>
    </r>
    <r>
      <rPr>
        <sz val="10"/>
        <rFont val="Noto Sans CJK SC"/>
        <family val="2"/>
      </rPr>
      <t xml:space="preserve">母液结晶罐组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母液结晶罐组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搅拌器</t>
    </r>
    <r>
      <rPr>
        <sz val="10"/>
        <rFont val="Consolas"/>
        <family val="3"/>
      </rPr>
      <t>P_3082</t>
    </r>
  </si>
  <si>
    <r>
      <rPr>
        <sz val="10"/>
        <rFont val="Consolas"/>
        <family val="3"/>
      </rPr>
      <t xml:space="preserve">:MLCrystallizers :hasPart :MLCrystallizers_P02 .   # R1869 </t>
    </r>
    <r>
      <rPr>
        <sz val="10"/>
        <rFont val="Noto Sans CJK SC"/>
        <family val="2"/>
      </rPr>
      <t xml:space="preserve">母液结晶罐组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母液结晶罐组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温度调节阀</t>
    </r>
    <r>
      <rPr>
        <sz val="10"/>
        <rFont val="Consolas"/>
        <family val="3"/>
      </rPr>
      <t>HV_3078</t>
    </r>
  </si>
  <si>
    <r>
      <rPr>
        <sz val="10"/>
        <rFont val="Consolas"/>
        <family val="3"/>
      </rPr>
      <t xml:space="preserve">:Area_S17_MotherLiquorRecovery :hasEquipment :DealcoholTower .   # R1870 </t>
    </r>
    <r>
      <rPr>
        <sz val="10"/>
        <rFont val="Noto Sans CJK SC"/>
        <family val="2"/>
      </rPr>
      <t xml:space="preserve">结晶母液回收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脱醇脱酯塔组</t>
    </r>
  </si>
  <si>
    <r>
      <rPr>
        <sz val="10"/>
        <rFont val="Consolas"/>
        <family val="3"/>
      </rPr>
      <t xml:space="preserve">:DealcoholTower :hasMember :DealcoholTower_M01 .   # R1871 </t>
    </r>
    <r>
      <rPr>
        <sz val="10"/>
        <rFont val="Noto Sans CJK SC"/>
        <family val="2"/>
      </rPr>
      <t xml:space="preserve">脱醇脱酯塔组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脱醇脱酯</t>
    </r>
    <r>
      <rPr>
        <sz val="10"/>
        <rFont val="Consolas"/>
        <family val="3"/>
      </rPr>
      <t>A</t>
    </r>
    <r>
      <rPr>
        <sz val="10"/>
        <rFont val="Noto Sans CJK SC"/>
        <family val="2"/>
      </rPr>
      <t>塔</t>
    </r>
  </si>
  <si>
    <r>
      <rPr>
        <sz val="10"/>
        <rFont val="Consolas"/>
        <family val="3"/>
      </rPr>
      <t xml:space="preserve">:DealcoholTower :hasMember :DealcoholTower_M02 .   # R1872 </t>
    </r>
    <r>
      <rPr>
        <sz val="10"/>
        <rFont val="Noto Sans CJK SC"/>
        <family val="2"/>
      </rPr>
      <t xml:space="preserve">脱醇脱酯塔组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脱醇脱酯</t>
    </r>
    <r>
      <rPr>
        <sz val="10"/>
        <rFont val="Consolas"/>
        <family val="3"/>
      </rPr>
      <t>B</t>
    </r>
    <r>
      <rPr>
        <sz val="10"/>
        <rFont val="Noto Sans CJK SC"/>
        <family val="2"/>
      </rPr>
      <t>塔</t>
    </r>
  </si>
  <si>
    <r>
      <rPr>
        <sz val="10"/>
        <rFont val="Consolas"/>
        <family val="3"/>
      </rPr>
      <t xml:space="preserve">:DealcoholTower :hasPart :DealcoholTower_P01 .   # R1873 </t>
    </r>
    <r>
      <rPr>
        <sz val="10"/>
        <rFont val="Noto Sans CJK SC"/>
        <family val="2"/>
      </rPr>
      <t xml:space="preserve">脱醇脱酯塔组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脱醇脱酯塔组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加热器</t>
    </r>
  </si>
  <si>
    <r>
      <rPr>
        <sz val="10"/>
        <rFont val="Consolas"/>
        <family val="3"/>
      </rPr>
      <t xml:space="preserve">:DealcoholTower :hasPart :DealcoholTower_P02 .   # R1874 </t>
    </r>
    <r>
      <rPr>
        <sz val="10"/>
        <rFont val="Noto Sans CJK SC"/>
        <family val="2"/>
      </rPr>
      <t xml:space="preserve">脱醇脱酯塔组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脱醇脱酯塔组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预热器</t>
    </r>
  </si>
  <si>
    <r>
      <rPr>
        <sz val="10"/>
        <rFont val="Consolas"/>
        <family val="3"/>
      </rPr>
      <t xml:space="preserve">:DealcoholTower :hasPart :DealcoholTower_P03 .   # R1875 </t>
    </r>
    <r>
      <rPr>
        <sz val="10"/>
        <rFont val="Noto Sans CJK SC"/>
        <family val="2"/>
      </rPr>
      <t xml:space="preserve">脱醇脱酯塔组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脱醇脱酯塔组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二冷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尾冷</t>
    </r>
  </si>
  <si>
    <r>
      <rPr>
        <sz val="10"/>
        <rFont val="Consolas"/>
        <family val="3"/>
      </rPr>
      <t xml:space="preserve">:Area_S17_MotherLiquorRecovery :hasEquipment :MLTowers .   # R1876 </t>
    </r>
    <r>
      <rPr>
        <sz val="10"/>
        <rFont val="Noto Sans CJK SC"/>
        <family val="2"/>
      </rPr>
      <t xml:space="preserve">结晶母液回收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>塔</t>
    </r>
  </si>
  <si>
    <r>
      <rPr>
        <sz val="10"/>
        <rFont val="Consolas"/>
        <family val="3"/>
      </rPr>
      <t xml:space="preserve">:MLTowers :hasMember :MLTowers_M01 .   # R1877 </t>
    </r>
    <r>
      <rPr>
        <sz val="10"/>
        <rFont val="Noto Sans CJK SC"/>
        <family val="2"/>
      </rPr>
      <t>母液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 xml:space="preserve">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</t>
    </r>
    <r>
      <rPr>
        <sz val="10"/>
        <rFont val="Consolas"/>
        <family val="3"/>
      </rPr>
      <t>A</t>
    </r>
    <r>
      <rPr>
        <sz val="10"/>
        <rFont val="Noto Sans CJK SC"/>
        <family val="2"/>
      </rPr>
      <t>塔</t>
    </r>
  </si>
  <si>
    <r>
      <rPr>
        <sz val="10"/>
        <rFont val="Consolas"/>
        <family val="3"/>
      </rPr>
      <t xml:space="preserve">:MLTowers :hasMember :MLTowers_M02 .   # R1878 </t>
    </r>
    <r>
      <rPr>
        <sz val="10"/>
        <rFont val="Noto Sans CJK SC"/>
        <family val="2"/>
      </rPr>
      <t>母液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 xml:space="preserve">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</t>
    </r>
    <r>
      <rPr>
        <sz val="10"/>
        <rFont val="Consolas"/>
        <family val="3"/>
      </rPr>
      <t>B</t>
    </r>
    <r>
      <rPr>
        <sz val="10"/>
        <rFont val="Noto Sans CJK SC"/>
        <family val="2"/>
      </rPr>
      <t>塔</t>
    </r>
  </si>
  <si>
    <r>
      <rPr>
        <sz val="10"/>
        <rFont val="Consolas"/>
        <family val="3"/>
      </rPr>
      <t xml:space="preserve">:MotherLiquorTank :hasAttribute :Attr_195 .   # R1879 </t>
    </r>
    <r>
      <rPr>
        <sz val="10"/>
        <rFont val="Noto Sans CJK SC"/>
        <family val="2"/>
      </rPr>
      <t>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母液缓冲罐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母液罐液位</t>
    </r>
  </si>
  <si>
    <r>
      <rPr>
        <sz val="10"/>
        <rFont val="Consolas"/>
        <family val="3"/>
      </rPr>
      <t xml:space="preserve">:MotherLiquorTank :hasAttribute :Attr_196 .   # R1880 </t>
    </r>
    <r>
      <rPr>
        <sz val="10"/>
        <rFont val="Noto Sans CJK SC"/>
        <family val="2"/>
      </rPr>
      <t>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母液缓冲罐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</si>
  <si>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:MLCrystallizers :hasAttribute :Attr_197 .   # R1881 </t>
    </r>
    <r>
      <rPr>
        <sz val="10"/>
        <rFont val="Noto Sans CJK SC"/>
        <family val="2"/>
      </rPr>
      <t xml:space="preserve">母液结晶罐组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母液结晶罐液位</t>
    </r>
  </si>
  <si>
    <r>
      <rPr>
        <sz val="10"/>
        <rFont val="Consolas"/>
        <family val="3"/>
      </rPr>
      <t xml:space="preserve">:MLCrystallizers :hasAttribute :Attr_198 .   # R1882 </t>
    </r>
    <r>
      <rPr>
        <sz val="10"/>
        <rFont val="Noto Sans CJK SC"/>
        <family val="2"/>
      </rPr>
      <t xml:space="preserve">母液结晶罐组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母液结晶温度</t>
    </r>
  </si>
  <si>
    <r>
      <rPr>
        <sz val="10"/>
        <rFont val="Consolas"/>
        <family val="3"/>
      </rPr>
      <t xml:space="preserve">:MLCrystallizers :hasAttribute :Attr_199 .   # R1883 </t>
    </r>
    <r>
      <rPr>
        <sz val="10"/>
        <rFont val="Noto Sans CJK SC"/>
        <family val="2"/>
      </rPr>
      <t xml:space="preserve">母液结晶罐组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母液结晶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</si>
  <si>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:MLCrystallizers :hasAttribute :Attr_200 .   # R1884 </t>
    </r>
    <r>
      <rPr>
        <sz val="10"/>
        <rFont val="Noto Sans CJK SC"/>
        <family val="2"/>
      </rPr>
      <t xml:space="preserve">母液结晶罐组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母液返工料去水解流量</t>
    </r>
  </si>
  <si>
    <r>
      <rPr>
        <sz val="10"/>
        <rFont val="Consolas"/>
        <family val="3"/>
      </rPr>
      <t xml:space="preserve">:DealcoholTower :hasAttribute :Attr_201 .   # R1885 </t>
    </r>
    <r>
      <rPr>
        <sz val="10"/>
        <rFont val="Noto Sans CJK SC"/>
        <family val="2"/>
      </rPr>
      <t xml:space="preserve">脱醇脱酯塔组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脱醇脱酯塔釜温度</t>
    </r>
  </si>
  <si>
    <r>
      <rPr>
        <sz val="10"/>
        <rFont val="Consolas"/>
        <family val="3"/>
      </rPr>
      <t xml:space="preserve">:DealcoholTower :hasAttribute :Attr_202 .   # R1886 </t>
    </r>
    <r>
      <rPr>
        <sz val="10"/>
        <rFont val="Noto Sans CJK SC"/>
        <family val="2"/>
      </rPr>
      <t xml:space="preserve">脱醇脱酯塔组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脱醇脱酯塔进料流量</t>
    </r>
  </si>
  <si>
    <r>
      <rPr>
        <sz val="10"/>
        <rFont val="Consolas"/>
        <family val="3"/>
      </rPr>
      <t xml:space="preserve">:DealcoholTower :hasAttribute :Attr_203 .   # R1887 </t>
    </r>
    <r>
      <rPr>
        <sz val="10"/>
        <rFont val="Noto Sans CJK SC"/>
        <family val="2"/>
      </rPr>
      <t xml:space="preserve">脱醇脱酯塔组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脱醇脱酯塔进料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</si>
  <si>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:MLTowers :hasAttribute :Attr_204 .   # R1888 </t>
    </r>
    <r>
      <rPr>
        <sz val="10"/>
        <rFont val="Noto Sans CJK SC"/>
        <family val="2"/>
      </rPr>
      <t>母液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 xml:space="preserve">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母液塔蒸汽流量</t>
    </r>
  </si>
  <si>
    <r>
      <rPr>
        <sz val="10"/>
        <rFont val="Consolas"/>
        <family val="3"/>
      </rPr>
      <t xml:space="preserve">:MLTowers :hasAttribute :Attr_205 .   # R1889 </t>
    </r>
    <r>
      <rPr>
        <sz val="10"/>
        <rFont val="Noto Sans CJK SC"/>
        <family val="2"/>
      </rPr>
      <t>母液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 xml:space="preserve">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母液塔釜温度</t>
    </r>
  </si>
  <si>
    <r>
      <rPr>
        <sz val="10"/>
        <rFont val="Consolas"/>
        <family val="3"/>
      </rPr>
      <t xml:space="preserve">:MLCrystallizers :hasAttribute :QKPI_298 .   # R1890 </t>
    </r>
    <r>
      <rPr>
        <sz val="10"/>
        <rFont val="Noto Sans CJK SC"/>
        <family val="2"/>
      </rPr>
      <t xml:space="preserve">母液结晶罐组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母液回收</t>
    </r>
    <r>
      <rPr>
        <sz val="10"/>
        <rFont val="Consolas"/>
        <family val="3"/>
      </rPr>
      <t>6APA</t>
    </r>
    <r>
      <rPr>
        <sz val="10"/>
        <rFont val="Noto Sans CJK SC"/>
        <family val="2"/>
      </rPr>
      <t>量</t>
    </r>
  </si>
  <si>
    <r>
      <rPr>
        <sz val="10"/>
        <rFont val="Consolas"/>
        <family val="3"/>
      </rPr>
      <t xml:space="preserve">:Attr_195 :boundToTag :Tag_LIC3120 .   # R1891 </t>
    </r>
    <r>
      <rPr>
        <sz val="10"/>
        <rFont val="Noto Sans CJK SC"/>
        <family val="2"/>
      </rPr>
      <t xml:space="preserve">母液罐液位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LIC3120</t>
    </r>
  </si>
  <si>
    <r>
      <rPr>
        <sz val="10"/>
        <rFont val="Consolas"/>
        <family val="3"/>
      </rPr>
      <t xml:space="preserve">:Attr_196 :boundToTag :Tag_PHMYGAI .   # R1892 </t>
    </r>
    <r>
      <rPr>
        <sz val="10"/>
        <rFont val="Noto Sans CJK SC"/>
        <family val="2"/>
      </rPr>
      <t>母液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PHMYGAI</t>
    </r>
  </si>
  <si>
    <r>
      <rPr>
        <sz val="10"/>
        <rFont val="Consolas"/>
        <family val="3"/>
      </rPr>
      <t xml:space="preserve">:Attr_197 :boundToTag :Tag_LT_3005A .   # R1893 </t>
    </r>
    <r>
      <rPr>
        <sz val="10"/>
        <rFont val="Noto Sans CJK SC"/>
        <family val="2"/>
      </rPr>
      <t xml:space="preserve">母液结晶罐液位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LT_3005A</t>
    </r>
  </si>
  <si>
    <r>
      <rPr>
        <sz val="10"/>
        <rFont val="Consolas"/>
        <family val="3"/>
      </rPr>
      <t xml:space="preserve">:Attr_197 :boundToTag :Tag_LT_3005B .   # R1894 </t>
    </r>
    <r>
      <rPr>
        <sz val="10"/>
        <rFont val="Noto Sans CJK SC"/>
        <family val="2"/>
      </rPr>
      <t xml:space="preserve">母液结晶罐液位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LT_3005B</t>
    </r>
  </si>
  <si>
    <r>
      <rPr>
        <sz val="10"/>
        <rFont val="Consolas"/>
        <family val="3"/>
      </rPr>
      <t xml:space="preserve">:Attr_197 :boundToTag :Tag_LT_3005C .   # R1895 </t>
    </r>
    <r>
      <rPr>
        <sz val="10"/>
        <rFont val="Noto Sans CJK SC"/>
        <family val="2"/>
      </rPr>
      <t xml:space="preserve">母液结晶罐液位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LT_3005C</t>
    </r>
  </si>
  <si>
    <r>
      <rPr>
        <sz val="10"/>
        <rFont val="Consolas"/>
        <family val="3"/>
      </rPr>
      <t xml:space="preserve">:Attr_197 :boundToTag :Tag_LT_3005D .   # R1896 </t>
    </r>
    <r>
      <rPr>
        <sz val="10"/>
        <rFont val="Noto Sans CJK SC"/>
        <family val="2"/>
      </rPr>
      <t xml:space="preserve">母液结晶罐液位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LT_3005D</t>
    </r>
  </si>
  <si>
    <r>
      <rPr>
        <sz val="10"/>
        <rFont val="Consolas"/>
        <family val="3"/>
      </rPr>
      <t xml:space="preserve">:Attr_198 :boundToTag :Tag_TIPSAAI .   # R1897 </t>
    </r>
    <r>
      <rPr>
        <sz val="10"/>
        <rFont val="Noto Sans CJK SC"/>
        <family val="2"/>
      </rPr>
      <t xml:space="preserve">母液结晶温度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TIPSAAI</t>
    </r>
  </si>
  <si>
    <r>
      <rPr>
        <sz val="10"/>
        <rFont val="Consolas"/>
        <family val="3"/>
      </rPr>
      <t xml:space="preserve">:Attr_198 :boundToTag :Tag_TIPSBAI .   # R1898 </t>
    </r>
    <r>
      <rPr>
        <sz val="10"/>
        <rFont val="Noto Sans CJK SC"/>
        <family val="2"/>
      </rPr>
      <t xml:space="preserve">母液结晶温度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TIPSBAI</t>
    </r>
  </si>
  <si>
    <r>
      <rPr>
        <sz val="10"/>
        <rFont val="Consolas"/>
        <family val="3"/>
      </rPr>
      <t xml:space="preserve">:Attr_198 :boundToTag :Tag_TIBY3AI .   # R1899 </t>
    </r>
    <r>
      <rPr>
        <sz val="10"/>
        <rFont val="Noto Sans CJK SC"/>
        <family val="2"/>
      </rPr>
      <t xml:space="preserve">母液结晶温度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TIBY3AI</t>
    </r>
  </si>
  <si>
    <r>
      <rPr>
        <sz val="10"/>
        <rFont val="Consolas"/>
        <family val="3"/>
      </rPr>
      <t xml:space="preserve">:Attr_199 :boundToTag :Tag_PHPSAAI .   # R1900 </t>
    </r>
    <r>
      <rPr>
        <sz val="10"/>
        <rFont val="Noto Sans CJK SC"/>
        <family val="2"/>
      </rPr>
      <t>母液结晶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PHPSAAI</t>
    </r>
  </si>
  <si>
    <r>
      <rPr>
        <sz val="10"/>
        <rFont val="Consolas"/>
        <family val="3"/>
      </rPr>
      <t xml:space="preserve">:Attr_199 :boundToTag :Tag_PHPSBAI .   # R1901 </t>
    </r>
    <r>
      <rPr>
        <sz val="10"/>
        <rFont val="Noto Sans CJK SC"/>
        <family val="2"/>
      </rPr>
      <t>母液结晶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PHPSBAI</t>
    </r>
  </si>
  <si>
    <r>
      <rPr>
        <sz val="10"/>
        <rFont val="Consolas"/>
        <family val="3"/>
      </rPr>
      <t xml:space="preserve">:Attr_199 :boundToTag :Tag_PHZJAI .   # R1902 </t>
    </r>
    <r>
      <rPr>
        <sz val="10"/>
        <rFont val="Noto Sans CJK SC"/>
        <family val="2"/>
      </rPr>
      <t>母液结晶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PHZJAI</t>
    </r>
  </si>
  <si>
    <r>
      <rPr>
        <sz val="10"/>
        <rFont val="Consolas"/>
        <family val="3"/>
      </rPr>
      <t xml:space="preserve">:Attr_200 :boundToTag :Tag_MYGCL_AI .   # R1903 </t>
    </r>
    <r>
      <rPr>
        <sz val="10"/>
        <rFont val="Noto Sans CJK SC"/>
        <family val="2"/>
      </rPr>
      <t xml:space="preserve">母液返工料去水解流量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MYGCL_AI</t>
    </r>
  </si>
  <si>
    <r>
      <rPr>
        <sz val="10"/>
        <rFont val="Consolas"/>
        <family val="3"/>
      </rPr>
      <t xml:space="preserve">:Attr_201 :boundToTag :Tag_TIETFAI .   # R1904 </t>
    </r>
    <r>
      <rPr>
        <sz val="10"/>
        <rFont val="Noto Sans CJK SC"/>
        <family val="2"/>
      </rPr>
      <t xml:space="preserve">脱醇脱酯塔釜温度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TIETFAI</t>
    </r>
  </si>
  <si>
    <r>
      <rPr>
        <sz val="10"/>
        <rFont val="Consolas"/>
        <family val="3"/>
      </rPr>
      <t xml:space="preserve">:Attr_201 :boundToTag :Tag_TIR_4608BC .   # R1905 </t>
    </r>
    <r>
      <rPr>
        <sz val="10"/>
        <rFont val="Noto Sans CJK SC"/>
        <family val="2"/>
      </rPr>
      <t xml:space="preserve">脱醇脱酯塔釜温度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TIR_4608BC</t>
    </r>
  </si>
  <si>
    <r>
      <rPr>
        <sz val="10"/>
        <rFont val="Consolas"/>
        <family val="3"/>
      </rPr>
      <t xml:space="preserve">:Attr_202 :boundToTag :Tag_FIETJAI .   # R1906 </t>
    </r>
    <r>
      <rPr>
        <sz val="10"/>
        <rFont val="Noto Sans CJK SC"/>
        <family val="2"/>
      </rPr>
      <t xml:space="preserve">脱醇脱酯塔进料流量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FIETJAI</t>
    </r>
  </si>
  <si>
    <r>
      <rPr>
        <sz val="10"/>
        <rFont val="Consolas"/>
        <family val="3"/>
      </rPr>
      <t xml:space="preserve">:Attr_202 :boundToTag :Tag_FT_3011 .   # R1907 </t>
    </r>
    <r>
      <rPr>
        <sz val="10"/>
        <rFont val="Noto Sans CJK SC"/>
        <family val="2"/>
      </rPr>
      <t xml:space="preserve">脱醇脱酯塔进料流量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FT_3011</t>
    </r>
  </si>
  <si>
    <r>
      <rPr>
        <sz val="10"/>
        <rFont val="Consolas"/>
        <family val="3"/>
      </rPr>
      <t xml:space="preserve">:Attr_203 :boundToTag :Tag_APHIR4608B .   # R1908 </t>
    </r>
    <r>
      <rPr>
        <sz val="10"/>
        <rFont val="Noto Sans CJK SC"/>
        <family val="2"/>
      </rPr>
      <t>脱醇脱酯塔进料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APHIR4608B</t>
    </r>
  </si>
  <si>
    <r>
      <rPr>
        <sz val="10"/>
        <rFont val="Consolas"/>
        <family val="3"/>
      </rPr>
      <t xml:space="preserve">:Attr_203 :boundToTag :Tag_APHIR4608C .   # R1909 </t>
    </r>
    <r>
      <rPr>
        <sz val="10"/>
        <rFont val="Noto Sans CJK SC"/>
        <family val="2"/>
      </rPr>
      <t>脱醇脱酯塔进料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APHIR4608C</t>
    </r>
  </si>
  <si>
    <r>
      <rPr>
        <sz val="10"/>
        <rFont val="Consolas"/>
        <family val="3"/>
      </rPr>
      <t xml:space="preserve">:Attr_204 :boundToTag :Tag_FIMYASAI .   # R1910 </t>
    </r>
    <r>
      <rPr>
        <sz val="10"/>
        <rFont val="Noto Sans CJK SC"/>
        <family val="2"/>
      </rPr>
      <t xml:space="preserve">母液塔蒸汽流量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FIMYASAI</t>
    </r>
  </si>
  <si>
    <r>
      <rPr>
        <sz val="10"/>
        <rFont val="Consolas"/>
        <family val="3"/>
      </rPr>
      <t xml:space="preserve">:Attr_204 :boundToTag :Tag_FIMYBSAI .   # R1911 </t>
    </r>
    <r>
      <rPr>
        <sz val="10"/>
        <rFont val="Noto Sans CJK SC"/>
        <family val="2"/>
      </rPr>
      <t xml:space="preserve">母液塔蒸汽流量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FIMYBSAI</t>
    </r>
  </si>
  <si>
    <r>
      <rPr>
        <sz val="10"/>
        <rFont val="Consolas"/>
        <family val="3"/>
      </rPr>
      <t xml:space="preserve">:Attr_205 :boundToTag :Tag_TIMYAFAI .   # R1912 </t>
    </r>
    <r>
      <rPr>
        <sz val="10"/>
        <rFont val="Noto Sans CJK SC"/>
        <family val="2"/>
      </rPr>
      <t xml:space="preserve">母液塔釜温度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TIMYAFAI</t>
    </r>
  </si>
  <si>
    <r>
      <rPr>
        <sz val="10"/>
        <rFont val="Consolas"/>
        <family val="3"/>
      </rPr>
      <t xml:space="preserve">:Attr_205 :boundToTag :Tag_TIMYBFAI .   # R1913 </t>
    </r>
    <r>
      <rPr>
        <sz val="10"/>
        <rFont val="Noto Sans CJK SC"/>
        <family val="2"/>
      </rPr>
      <t xml:space="preserve">母液塔釜温度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TIMYBFAI</t>
    </r>
  </si>
  <si>
    <r>
      <rPr>
        <sz val="10"/>
        <rFont val="Consolas"/>
        <family val="3"/>
      </rPr>
      <t xml:space="preserve">:Ctrl_055 :controls :Act_055 .   # R1914 </t>
    </r>
    <r>
      <rPr>
        <sz val="10"/>
        <rFont val="Noto Sans CJK SC"/>
        <family val="2"/>
      </rPr>
      <t xml:space="preserve">母液结晶温度控制器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结晶罐温度调节阀</t>
    </r>
    <r>
      <rPr>
        <sz val="10"/>
        <rFont val="Consolas"/>
        <family val="3"/>
      </rPr>
      <t>HV_3078A–D</t>
    </r>
  </si>
  <si>
    <r>
      <rPr>
        <sz val="10"/>
        <rFont val="Consolas"/>
        <family val="3"/>
      </rPr>
      <t xml:space="preserve">:Attr_198 :feedbackTo :Ctrl_055 .   # R1915 </t>
    </r>
    <r>
      <rPr>
        <sz val="10"/>
        <rFont val="Noto Sans CJK SC"/>
        <family val="2"/>
      </rPr>
      <t xml:space="preserve">母液结晶温度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母液结晶温度控制器</t>
    </r>
  </si>
  <si>
    <r>
      <rPr>
        <sz val="10"/>
        <rFont val="Consolas"/>
        <family val="3"/>
      </rPr>
      <t xml:space="preserve">:Act_055 :affects :Attr_198 .   # R1916 </t>
    </r>
    <r>
      <rPr>
        <sz val="10"/>
        <rFont val="Noto Sans CJK SC"/>
        <family val="2"/>
      </rPr>
      <t>结晶罐温度调节阀</t>
    </r>
    <r>
      <rPr>
        <sz val="10"/>
        <rFont val="Consolas"/>
        <family val="3"/>
      </rPr>
      <t>HV_3078A–D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母液结晶温度</t>
    </r>
  </si>
  <si>
    <r>
      <rPr>
        <sz val="10"/>
        <rFont val="Consolas"/>
        <family val="3"/>
      </rPr>
      <t xml:space="preserve">:Ctrl_056 :controls :Act_056 .   # R1917 </t>
    </r>
    <r>
      <rPr>
        <sz val="10"/>
        <rFont val="Noto Sans CJK SC"/>
        <family val="2"/>
      </rPr>
      <t xml:space="preserve">脱醇脱酯塔釜温度控制器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脱醇脱酯</t>
    </r>
    <r>
      <rPr>
        <sz val="10"/>
        <rFont val="Consolas"/>
        <family val="3"/>
      </rPr>
      <t>A</t>
    </r>
    <r>
      <rPr>
        <sz val="10"/>
        <rFont val="Noto Sans CJK SC"/>
        <family val="2"/>
      </rPr>
      <t>塔釜温度调节</t>
    </r>
    <r>
      <rPr>
        <sz val="10"/>
        <rFont val="Consolas"/>
        <family val="3"/>
      </rPr>
      <t>TIETFAO</t>
    </r>
  </si>
  <si>
    <r>
      <rPr>
        <sz val="10"/>
        <rFont val="Consolas"/>
        <family val="3"/>
      </rPr>
      <t xml:space="preserve">:Attr_201 :feedbackTo :Ctrl_056 .   # R1918 </t>
    </r>
    <r>
      <rPr>
        <sz val="10"/>
        <rFont val="Noto Sans CJK SC"/>
        <family val="2"/>
      </rPr>
      <t xml:space="preserve">脱醇脱酯塔釜温度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脱醇脱酯塔釜温度控制器</t>
    </r>
  </si>
  <si>
    <r>
      <rPr>
        <sz val="10"/>
        <rFont val="Consolas"/>
        <family val="3"/>
      </rPr>
      <t xml:space="preserve">:Act_056 :affects :Attr_201 .   # R1919 </t>
    </r>
    <r>
      <rPr>
        <sz val="10"/>
        <rFont val="Noto Sans CJK SC"/>
        <family val="2"/>
      </rPr>
      <t>脱醇脱酯</t>
    </r>
    <r>
      <rPr>
        <sz val="10"/>
        <rFont val="Consolas"/>
        <family val="3"/>
      </rPr>
      <t>A</t>
    </r>
    <r>
      <rPr>
        <sz val="10"/>
        <rFont val="Noto Sans CJK SC"/>
        <family val="2"/>
      </rPr>
      <t>塔釜温度调节</t>
    </r>
    <r>
      <rPr>
        <sz val="10"/>
        <rFont val="Consolas"/>
        <family val="3"/>
      </rPr>
      <t>TIETFAO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脱醇脱酯塔釜温度</t>
    </r>
  </si>
  <si>
    <r>
      <rPr>
        <sz val="10"/>
        <rFont val="Consolas"/>
        <family val="3"/>
      </rPr>
      <t xml:space="preserve">:Ctrl_057 :controls :Act_057 .   # R1920 </t>
    </r>
    <r>
      <rPr>
        <sz val="10"/>
        <rFont val="Noto Sans CJK SC"/>
        <family val="2"/>
      </rPr>
      <t xml:space="preserve">母液返工料流量控制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母液返工料去水解调节阀</t>
    </r>
  </si>
  <si>
    <r>
      <rPr>
        <sz val="10"/>
        <rFont val="Consolas"/>
        <family val="3"/>
      </rPr>
      <t xml:space="preserve">:Attr_200 :feedbackTo :Ctrl_057 .   # R1921 </t>
    </r>
    <r>
      <rPr>
        <sz val="10"/>
        <rFont val="Noto Sans CJK SC"/>
        <family val="2"/>
      </rPr>
      <t xml:space="preserve">母液返工料去水解流量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母液返工料流量控制</t>
    </r>
  </si>
  <si>
    <r>
      <rPr>
        <sz val="10"/>
        <rFont val="Consolas"/>
        <family val="3"/>
      </rPr>
      <t xml:space="preserve">:Act_057 :affects :Attr_200 .   # R1922 </t>
    </r>
    <r>
      <rPr>
        <sz val="10"/>
        <rFont val="Noto Sans CJK SC"/>
        <family val="2"/>
      </rPr>
      <t xml:space="preserve">母液返工料去水解调节阀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母液返工料去水解流量</t>
    </r>
  </si>
  <si>
    <r>
      <rPr>
        <sz val="10"/>
        <rFont val="Consolas"/>
        <family val="3"/>
      </rPr>
      <t xml:space="preserve">:CrystMotherTanks :connectedToNext :MotherLiquorTank .   # R1923 </t>
    </r>
    <r>
      <rPr>
        <sz val="10"/>
        <rFont val="Noto Sans CJK SC"/>
        <family val="2"/>
      </rPr>
      <t>离心母液罐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洗液罐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母液缓冲罐</t>
    </r>
  </si>
  <si>
    <r>
      <rPr>
        <sz val="10"/>
        <rFont val="Consolas"/>
        <family val="3"/>
      </rPr>
      <t xml:space="preserve">:MotherLiquorTank :connectedToNext :NanofiltrationUnit .   # R1924 </t>
    </r>
    <r>
      <rPr>
        <sz val="10"/>
        <rFont val="Noto Sans CJK SC"/>
        <family val="2"/>
      </rPr>
      <t>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母液缓冲罐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纳滤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超滤浓缩单元</t>
    </r>
  </si>
  <si>
    <r>
      <rPr>
        <sz val="10"/>
        <rFont val="Consolas"/>
        <family val="3"/>
      </rPr>
      <t xml:space="preserve">:NanofiltrationUnit :connectedToNext :MLCrystallizers .   # R1925 </t>
    </r>
    <r>
      <rPr>
        <sz val="10"/>
        <rFont val="Noto Sans CJK SC"/>
        <family val="2"/>
      </rPr>
      <t>纳滤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超滤浓缩单元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母液结晶罐组</t>
    </r>
  </si>
  <si>
    <r>
      <rPr>
        <sz val="10"/>
        <rFont val="Consolas"/>
        <family val="3"/>
      </rPr>
      <t xml:space="preserve">:MLCrystallizers :produces :MS_MLRework .   # R1926 </t>
    </r>
    <r>
      <rPr>
        <sz val="10"/>
        <rFont val="Noto Sans CJK SC"/>
        <family val="2"/>
      </rPr>
      <t xml:space="preserve">母液结晶罐组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母液返工料</t>
    </r>
  </si>
  <si>
    <r>
      <rPr>
        <sz val="10"/>
        <rFont val="Consolas"/>
        <family val="3"/>
      </rPr>
      <t xml:space="preserve">:MS_MLRework :recyclesTo :HydrolysisReactorGroup .   # R1927 </t>
    </r>
    <r>
      <rPr>
        <sz val="10"/>
        <rFont val="Noto Sans CJK SC"/>
        <family val="2"/>
      </rPr>
      <t xml:space="preserve">母液返工料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循环返回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</t>
    </r>
  </si>
  <si>
    <r>
      <rPr>
        <sz val="10"/>
        <rFont val="Consolas"/>
        <family val="3"/>
      </rPr>
      <t xml:space="preserve">:MotherLiquorTank :connectedToNext :DealcoholTower .   # R1928 </t>
    </r>
    <r>
      <rPr>
        <sz val="10"/>
        <rFont val="Noto Sans CJK SC"/>
        <family val="2"/>
      </rPr>
      <t>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母液缓冲罐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脱醇脱酯塔组</t>
    </r>
  </si>
  <si>
    <r>
      <rPr>
        <sz val="10"/>
        <rFont val="Consolas"/>
        <family val="3"/>
      </rPr>
      <t xml:space="preserve">:DealcoholTower :produces :MS_RecoveredSolvent .   # R1929 </t>
    </r>
    <r>
      <rPr>
        <sz val="10"/>
        <rFont val="Noto Sans CJK SC"/>
        <family val="2"/>
      </rPr>
      <t xml:space="preserve">脱醇脱酯塔组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回收混合溶媒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丁酯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丁醇</t>
    </r>
  </si>
  <si>
    <r>
      <rPr>
        <sz val="10"/>
        <rFont val="Consolas"/>
        <family val="3"/>
      </rPr>
      <t xml:space="preserve">:MotherLiquorTank :connectedToNext :MLTowers .   # R1930 </t>
    </r>
    <r>
      <rPr>
        <sz val="10"/>
        <rFont val="Noto Sans CJK SC"/>
        <family val="2"/>
      </rPr>
      <t>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母液缓冲罐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>塔</t>
    </r>
  </si>
  <si>
    <r>
      <rPr>
        <sz val="10"/>
        <rFont val="Consolas"/>
        <family val="3"/>
      </rPr>
      <t xml:space="preserve">:MLTowers :produces :MS_RecoveredSolvent .   # R1931 </t>
    </r>
    <r>
      <rPr>
        <sz val="10"/>
        <rFont val="Noto Sans CJK SC"/>
        <family val="2"/>
      </rPr>
      <t>母液</t>
    </r>
    <r>
      <rPr>
        <sz val="10"/>
        <rFont val="Consolas"/>
        <family val="3"/>
      </rPr>
      <t>A/B</t>
    </r>
    <r>
      <rPr>
        <sz val="10"/>
        <rFont val="Noto Sans CJK SC"/>
        <family val="2"/>
      </rPr>
      <t xml:space="preserve">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回收混合溶媒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丁酯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丁醇</t>
    </r>
  </si>
  <si>
    <r>
      <rPr>
        <sz val="10"/>
        <rFont val="Consolas"/>
        <family val="3"/>
      </rPr>
      <t xml:space="preserve">:Attr_199 :affects :QKPI_298 .   # R1932 </t>
    </r>
    <r>
      <rPr>
        <sz val="10"/>
        <rFont val="Noto Sans CJK SC"/>
        <family val="2"/>
      </rPr>
      <t>母液结晶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母液回收</t>
    </r>
    <r>
      <rPr>
        <sz val="10"/>
        <rFont val="Consolas"/>
        <family val="3"/>
      </rPr>
      <t>6APA</t>
    </r>
    <r>
      <rPr>
        <sz val="10"/>
        <rFont val="Noto Sans CJK SC"/>
        <family val="2"/>
      </rPr>
      <t>量</t>
    </r>
  </si>
  <si>
    <r>
      <rPr>
        <sz val="10"/>
        <rFont val="Consolas"/>
        <family val="3"/>
      </rPr>
      <t xml:space="preserve">:Attr_198 :negativelyAffects :QKPI_298 .   # R1933 </t>
    </r>
    <r>
      <rPr>
        <sz val="10"/>
        <rFont val="Noto Sans CJK SC"/>
        <family val="2"/>
      </rPr>
      <t xml:space="preserve">母液结晶温度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母液回收</t>
    </r>
    <r>
      <rPr>
        <sz val="10"/>
        <rFont val="Consolas"/>
        <family val="3"/>
      </rPr>
      <t>6APA</t>
    </r>
    <r>
      <rPr>
        <sz val="10"/>
        <rFont val="Noto Sans CJK SC"/>
        <family val="2"/>
      </rPr>
      <t>量</t>
    </r>
  </si>
  <si>
    <r>
      <rPr>
        <sz val="10"/>
        <rFont val="Consolas"/>
        <family val="3"/>
      </rPr>
      <t xml:space="preserve">:QKPI_298 :positivelyAffects :BKPI_304 .   # R1934 </t>
    </r>
    <r>
      <rPr>
        <sz val="10"/>
        <rFont val="Noto Sans CJK SC"/>
        <family val="2"/>
      </rPr>
      <t>母液回收</t>
    </r>
    <r>
      <rPr>
        <sz val="10"/>
        <rFont val="Consolas"/>
        <family val="3"/>
      </rPr>
      <t>6APA</t>
    </r>
    <r>
      <rPr>
        <sz val="10"/>
        <rFont val="Noto Sans CJK SC"/>
        <family val="2"/>
      </rPr>
      <t xml:space="preserve">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全厂批次最终提取收率</t>
    </r>
  </si>
  <si>
    <r>
      <rPr>
        <sz val="10"/>
        <rFont val="Consolas"/>
        <family val="3"/>
      </rPr>
      <t xml:space="preserve">
# --- S18 </t>
    </r>
    <r>
      <rPr>
        <sz val="10"/>
        <rFont val="Noto Sans CJK SC"/>
        <family val="2"/>
      </rPr>
      <t>丁醇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丁酯精馏（溶媒回收） </t>
    </r>
    <r>
      <rPr>
        <sz val="10"/>
        <rFont val="Consolas"/>
        <family val="3"/>
      </rPr>
      <t>---</t>
    </r>
  </si>
  <si>
    <r>
      <rPr>
        <sz val="10"/>
        <rFont val="Consolas"/>
        <family val="3"/>
      </rPr>
      <t xml:space="preserve">:Area_S18_SolventDistillation :connectedToNext :Area_S12_PAAExtraction .   # R1935 </t>
    </r>
    <r>
      <rPr>
        <sz val="10"/>
        <rFont val="Noto Sans CJK SC"/>
        <family val="2"/>
      </rPr>
      <t>丁醇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丁酯精馏（溶媒回收）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萃取与反萃（苯乙酸分离）</t>
    </r>
  </si>
  <si>
    <r>
      <rPr>
        <sz val="10"/>
        <rFont val="Consolas"/>
        <family val="3"/>
      </rPr>
      <t xml:space="preserve">:Area_S18_SolventDistillation :connectedToNext :Area_S02_Extraction_RSE200 .   # R1936 </t>
    </r>
    <r>
      <rPr>
        <sz val="10"/>
        <rFont val="Noto Sans CJK SC"/>
        <family val="2"/>
      </rPr>
      <t>丁醇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丁酯精馏（溶媒回收）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提取</t>
    </r>
    <r>
      <rPr>
        <sz val="10"/>
        <rFont val="Consolas"/>
        <family val="3"/>
      </rPr>
      <t>·RSE200</t>
    </r>
    <r>
      <rPr>
        <sz val="10"/>
        <rFont val="Noto Sans CJK SC"/>
        <family val="2"/>
      </rPr>
      <t>三萃及溶媒周转</t>
    </r>
  </si>
  <si>
    <r>
      <rPr>
        <sz val="10"/>
        <rFont val="Consolas"/>
        <family val="3"/>
      </rPr>
      <t xml:space="preserve">:Area_S18_SolventDistillation :hasEquipment :BuOHDistillation .   # R1937 </t>
    </r>
    <r>
      <rPr>
        <sz val="10"/>
        <rFont val="Noto Sans CJK SC"/>
        <family val="2"/>
      </rPr>
      <t>丁醇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丁酯精馏（溶媒回收）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丁醇精馏塔组</t>
    </r>
  </si>
  <si>
    <r>
      <rPr>
        <sz val="10"/>
        <rFont val="Consolas"/>
        <family val="3"/>
      </rPr>
      <t xml:space="preserve">:BuOHDistillation :hasMember :BuOHDistillation_M01 .   # R1938 </t>
    </r>
    <r>
      <rPr>
        <sz val="10"/>
        <rFont val="Noto Sans CJK SC"/>
        <family val="2"/>
      </rPr>
      <t xml:space="preserve">丁醇精馏塔组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丁醇精馏</t>
    </r>
    <r>
      <rPr>
        <sz val="10"/>
        <rFont val="Consolas"/>
        <family val="3"/>
      </rPr>
      <t>A</t>
    </r>
    <r>
      <rPr>
        <sz val="10"/>
        <rFont val="Noto Sans CJK SC"/>
        <family val="2"/>
      </rPr>
      <t>塔</t>
    </r>
  </si>
  <si>
    <r>
      <rPr>
        <sz val="10"/>
        <rFont val="Consolas"/>
        <family val="3"/>
      </rPr>
      <t xml:space="preserve">:BuOHDistillation :hasMember :BuOHDistillation_M02 .   # R1939 </t>
    </r>
    <r>
      <rPr>
        <sz val="10"/>
        <rFont val="Noto Sans CJK SC"/>
        <family val="2"/>
      </rPr>
      <t xml:space="preserve">丁醇精馏塔组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丁醇精馏</t>
    </r>
    <r>
      <rPr>
        <sz val="10"/>
        <rFont val="Consolas"/>
        <family val="3"/>
      </rPr>
      <t>B</t>
    </r>
    <r>
      <rPr>
        <sz val="10"/>
        <rFont val="Noto Sans CJK SC"/>
        <family val="2"/>
      </rPr>
      <t>塔</t>
    </r>
  </si>
  <si>
    <r>
      <rPr>
        <sz val="10"/>
        <rFont val="Consolas"/>
        <family val="3"/>
      </rPr>
      <t xml:space="preserve">:BuOHDistillation :hasMember :BuOHDistillation_M03 .   # R1940 </t>
    </r>
    <r>
      <rPr>
        <sz val="10"/>
        <rFont val="Noto Sans CJK SC"/>
        <family val="2"/>
      </rPr>
      <t xml:space="preserve">丁醇精馏塔组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丁醇精馏塔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醇酯分离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</si>
  <si>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:BuOHDistillation :hasPart :BuOHDistillation_P01 .   # R1941 </t>
    </r>
    <r>
      <rPr>
        <sz val="10"/>
        <rFont val="Noto Sans CJK SC"/>
        <family val="2"/>
      </rPr>
      <t xml:space="preserve">丁醇精馏塔组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丁醇精馏塔组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再沸器</t>
    </r>
  </si>
  <si>
    <r>
      <rPr>
        <sz val="10"/>
        <rFont val="Consolas"/>
        <family val="3"/>
      </rPr>
      <t xml:space="preserve">:BuOHDistillation :hasPart :BuOHDistillation_P02 .   # R1942 </t>
    </r>
    <r>
      <rPr>
        <sz val="10"/>
        <rFont val="Noto Sans CJK SC"/>
        <family val="2"/>
      </rPr>
      <t xml:space="preserve">丁醇精馏塔组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丁醇精馏塔组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一冷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二冷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尾冷</t>
    </r>
  </si>
  <si>
    <r>
      <rPr>
        <sz val="10"/>
        <rFont val="Consolas"/>
        <family val="3"/>
      </rPr>
      <t xml:space="preserve">:BuOHDistillation :hasPart :BuOHDistillation_P03 .   # R1943 </t>
    </r>
    <r>
      <rPr>
        <sz val="10"/>
        <rFont val="Noto Sans CJK SC"/>
        <family val="2"/>
      </rPr>
      <t xml:space="preserve">丁醇精馏塔组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丁醇精馏塔组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回流罐</t>
    </r>
  </si>
  <si>
    <r>
      <rPr>
        <sz val="10"/>
        <rFont val="Consolas"/>
        <family val="3"/>
      </rPr>
      <t xml:space="preserve">:Area_S18_SolventDistillation :hasEquipment :BuOHDecolorTower .   # R1944 </t>
    </r>
    <r>
      <rPr>
        <sz val="10"/>
        <rFont val="Noto Sans CJK SC"/>
        <family val="2"/>
      </rPr>
      <t>丁醇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丁酯精馏（溶媒回收）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丁醇脱色塔组</t>
    </r>
  </si>
  <si>
    <r>
      <rPr>
        <sz val="10"/>
        <rFont val="Consolas"/>
        <family val="3"/>
      </rPr>
      <t xml:space="preserve">:BuOHDecolorTower :hasMember :BuOHDecolorTower_M01 .   # R1945 </t>
    </r>
    <r>
      <rPr>
        <sz val="10"/>
        <rFont val="Noto Sans CJK SC"/>
        <family val="2"/>
      </rPr>
      <t xml:space="preserve">丁醇脱色塔组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丁醇脱色</t>
    </r>
    <r>
      <rPr>
        <sz val="10"/>
        <rFont val="Consolas"/>
        <family val="3"/>
      </rPr>
      <t>A</t>
    </r>
    <r>
      <rPr>
        <sz val="10"/>
        <rFont val="Noto Sans CJK SC"/>
        <family val="2"/>
      </rPr>
      <t>塔</t>
    </r>
  </si>
  <si>
    <r>
      <rPr>
        <sz val="10"/>
        <rFont val="Consolas"/>
        <family val="3"/>
      </rPr>
      <t xml:space="preserve">:BuOHDecolorTower :hasMember :BuOHDecolorTower_M02 .   # R1946 </t>
    </r>
    <r>
      <rPr>
        <sz val="10"/>
        <rFont val="Noto Sans CJK SC"/>
        <family val="2"/>
      </rPr>
      <t xml:space="preserve">丁醇脱色塔组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丁醇脱色</t>
    </r>
    <r>
      <rPr>
        <sz val="10"/>
        <rFont val="Consolas"/>
        <family val="3"/>
      </rPr>
      <t>B</t>
    </r>
    <r>
      <rPr>
        <sz val="10"/>
        <rFont val="Noto Sans CJK SC"/>
        <family val="2"/>
      </rPr>
      <t>塔</t>
    </r>
  </si>
  <si>
    <r>
      <rPr>
        <sz val="10"/>
        <rFont val="Consolas"/>
        <family val="3"/>
      </rPr>
      <t xml:space="preserve">:BuOHDecolorTower :hasPart :BuOHDecolorTower_P01 .   # R1947 </t>
    </r>
    <r>
      <rPr>
        <sz val="10"/>
        <rFont val="Noto Sans CJK SC"/>
        <family val="2"/>
      </rPr>
      <t xml:space="preserve">丁醇脱色塔组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丁醇脱色塔组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再沸器</t>
    </r>
  </si>
  <si>
    <r>
      <rPr>
        <sz val="10"/>
        <rFont val="Consolas"/>
        <family val="3"/>
      </rPr>
      <t xml:space="preserve">:Area_S18_SolventDistillation :hasEquipment :BAcDistillation .   # R1948 </t>
    </r>
    <r>
      <rPr>
        <sz val="10"/>
        <rFont val="Noto Sans CJK SC"/>
        <family val="2"/>
      </rPr>
      <t>丁醇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丁酯精馏（溶媒回收）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丁酯精馏塔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丁酯脱色塔</t>
    </r>
  </si>
  <si>
    <r>
      <rPr>
        <sz val="10"/>
        <rFont val="Consolas"/>
        <family val="3"/>
      </rPr>
      <t xml:space="preserve">:BAcDistillation :hasMember :BAcDistillation_M01 .   # R1949 </t>
    </r>
    <r>
      <rPr>
        <sz val="10"/>
        <rFont val="Noto Sans CJK SC"/>
        <family val="2"/>
      </rPr>
      <t>丁酯精馏塔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丁酯脱色塔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丁酯精馏塔</t>
    </r>
  </si>
  <si>
    <r>
      <rPr>
        <sz val="10"/>
        <rFont val="Consolas"/>
        <family val="3"/>
      </rPr>
      <t xml:space="preserve">:BAcDistillation :hasMember :BAcDistillation_M02 .   # R1950 </t>
    </r>
    <r>
      <rPr>
        <sz val="10"/>
        <rFont val="Noto Sans CJK SC"/>
        <family val="2"/>
      </rPr>
      <t>丁酯精馏塔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丁酯脱色塔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丁酯脱色塔</t>
    </r>
  </si>
  <si>
    <r>
      <rPr>
        <sz val="10"/>
        <rFont val="Consolas"/>
        <family val="3"/>
      </rPr>
      <t xml:space="preserve">:BAcDistillation :hasPart :BAcDistillation_P01 .   # R1951 </t>
    </r>
    <r>
      <rPr>
        <sz val="10"/>
        <rFont val="Noto Sans CJK SC"/>
        <family val="2"/>
      </rPr>
      <t>丁酯精馏塔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丁酯脱色塔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丁酯精馏塔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丁酯脱色塔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再沸器</t>
    </r>
  </si>
  <si>
    <r>
      <rPr>
        <sz val="10"/>
        <rFont val="Consolas"/>
        <family val="3"/>
      </rPr>
      <t xml:space="preserve">:BAcDistillation :hasPart :BAcDistillation_P02 .   # R1952 </t>
    </r>
    <r>
      <rPr>
        <sz val="10"/>
        <rFont val="Noto Sans CJK SC"/>
        <family val="2"/>
      </rPr>
      <t>丁酯精馏塔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丁酯脱色塔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丁酯精馏塔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丁酯脱色塔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冷凝器</t>
    </r>
  </si>
  <si>
    <r>
      <rPr>
        <sz val="10"/>
        <rFont val="Consolas"/>
        <family val="3"/>
      </rPr>
      <t xml:space="preserve">:Area_S18_SolventDistillation :hasEquipment :SolventQCTanks .   # R1953 </t>
    </r>
    <r>
      <rPr>
        <sz val="10"/>
        <rFont val="Noto Sans CJK SC"/>
        <family val="2"/>
      </rPr>
      <t>丁醇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丁酯精馏（溶媒回收）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溶媒待检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成品罐组</t>
    </r>
  </si>
  <si>
    <r>
      <rPr>
        <sz val="10"/>
        <rFont val="Consolas"/>
        <family val="3"/>
      </rPr>
      <t xml:space="preserve">:SolventQCTanks :hasMember :SolventQCTanks_M01 .   # R1954 </t>
    </r>
    <r>
      <rPr>
        <sz val="10"/>
        <rFont val="Noto Sans CJK SC"/>
        <family val="2"/>
      </rPr>
      <t>溶媒待检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成品罐组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丁醇待检罐</t>
    </r>
    <r>
      <rPr>
        <sz val="10"/>
        <rFont val="Consolas"/>
        <family val="3"/>
      </rPr>
      <t>A–D</t>
    </r>
  </si>
  <si>
    <r>
      <rPr>
        <sz val="10"/>
        <rFont val="Consolas"/>
        <family val="3"/>
      </rPr>
      <t xml:space="preserve">:SolventQCTanks :hasMember :SolventQCTanks_M02 .   # R1955 </t>
    </r>
    <r>
      <rPr>
        <sz val="10"/>
        <rFont val="Noto Sans CJK SC"/>
        <family val="2"/>
      </rPr>
      <t>溶媒待检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成品罐组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丁醇成品罐</t>
    </r>
    <r>
      <rPr>
        <sz val="10"/>
        <rFont val="Consolas"/>
        <family val="3"/>
      </rPr>
      <t>A–C</t>
    </r>
  </si>
  <si>
    <r>
      <rPr>
        <sz val="10"/>
        <rFont val="Consolas"/>
        <family val="3"/>
      </rPr>
      <t xml:space="preserve">:SolventQCTanks :hasMember :SolventQCTanks_M03 .   # R1956 </t>
    </r>
    <r>
      <rPr>
        <sz val="10"/>
        <rFont val="Noto Sans CJK SC"/>
        <family val="2"/>
      </rPr>
      <t>溶媒待检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成品罐组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丁酯待检罐</t>
    </r>
    <r>
      <rPr>
        <sz val="10"/>
        <rFont val="Consolas"/>
        <family val="3"/>
      </rPr>
      <t>A/B</t>
    </r>
  </si>
  <si>
    <r>
      <rPr>
        <sz val="10"/>
        <rFont val="Consolas"/>
        <family val="3"/>
      </rPr>
      <t xml:space="preserve">:SolventQCTanks :hasMember :SolventQCTanks_M04 .   # R1957 </t>
    </r>
    <r>
      <rPr>
        <sz val="10"/>
        <rFont val="Noto Sans CJK SC"/>
        <family val="2"/>
      </rPr>
      <t>溶媒待检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成品罐组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丁酯成品罐</t>
    </r>
    <r>
      <rPr>
        <sz val="10"/>
        <rFont val="Consolas"/>
        <family val="3"/>
      </rPr>
      <t>A/B</t>
    </r>
  </si>
  <si>
    <r>
      <rPr>
        <sz val="10"/>
        <rFont val="Consolas"/>
        <family val="3"/>
      </rPr>
      <t xml:space="preserve">:SolventQCTanks :hasPart :SolventQCTanks_P01 .   # R1958 </t>
    </r>
    <r>
      <rPr>
        <sz val="10"/>
        <rFont val="Noto Sans CJK SC"/>
        <family val="2"/>
      </rPr>
      <t>溶媒待检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成品罐组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溶媒待检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成品罐组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密度计</t>
    </r>
  </si>
  <si>
    <r>
      <rPr>
        <sz val="10"/>
        <rFont val="Consolas"/>
        <family val="3"/>
      </rPr>
      <t xml:space="preserve">:BuOHDistillation :hasAttribute :Attr_206 .   # R1959 </t>
    </r>
    <r>
      <rPr>
        <sz val="10"/>
        <rFont val="Noto Sans CJK SC"/>
        <family val="2"/>
      </rPr>
      <t xml:space="preserve">丁醇精馏塔组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丁醇精馏塔釜温度</t>
    </r>
  </si>
  <si>
    <r>
      <rPr>
        <sz val="10"/>
        <rFont val="Consolas"/>
        <family val="3"/>
      </rPr>
      <t xml:space="preserve">:BuOHDistillation :hasAttribute :Attr_207 .   # R1960 </t>
    </r>
    <r>
      <rPr>
        <sz val="10"/>
        <rFont val="Noto Sans CJK SC"/>
        <family val="2"/>
      </rPr>
      <t xml:space="preserve">丁醇精馏塔组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丁醇精馏塔顶温度</t>
    </r>
  </si>
  <si>
    <r>
      <rPr>
        <sz val="10"/>
        <rFont val="Consolas"/>
        <family val="3"/>
      </rPr>
      <t xml:space="preserve">:BuOHDistillation :hasAttribute :Attr_208 .   # R1961 </t>
    </r>
    <r>
      <rPr>
        <sz val="10"/>
        <rFont val="Noto Sans CJK SC"/>
        <family val="2"/>
      </rPr>
      <t xml:space="preserve">丁醇精馏塔组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丁醇精馏蒸汽流量</t>
    </r>
  </si>
  <si>
    <r>
      <rPr>
        <sz val="10"/>
        <rFont val="Consolas"/>
        <family val="3"/>
      </rPr>
      <t xml:space="preserve">:BuOHDecolorTower :hasAttribute :Attr_209 .   # R1962 </t>
    </r>
    <r>
      <rPr>
        <sz val="10"/>
        <rFont val="Noto Sans CJK SC"/>
        <family val="2"/>
      </rPr>
      <t xml:space="preserve">丁醇脱色塔组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丁醇脱色塔釜温度</t>
    </r>
  </si>
  <si>
    <r>
      <rPr>
        <sz val="10"/>
        <rFont val="Consolas"/>
        <family val="3"/>
      </rPr>
      <t xml:space="preserve">:BuOHDecolorTower :hasAttribute :Attr_210 .   # R1963 </t>
    </r>
    <r>
      <rPr>
        <sz val="10"/>
        <rFont val="Noto Sans CJK SC"/>
        <family val="2"/>
      </rPr>
      <t xml:space="preserve">丁醇脱色塔组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丁醇采出澄清度</t>
    </r>
  </si>
  <si>
    <r>
      <rPr>
        <sz val="10"/>
        <rFont val="Consolas"/>
        <family val="3"/>
      </rPr>
      <t xml:space="preserve">:BAcDistillation :hasAttribute :Attr_211 .   # R1964 </t>
    </r>
    <r>
      <rPr>
        <sz val="10"/>
        <rFont val="Noto Sans CJK SC"/>
        <family val="2"/>
      </rPr>
      <t>丁酯精馏塔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丁酯脱色塔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丁酯精馏塔釜温度</t>
    </r>
  </si>
  <si>
    <r>
      <rPr>
        <sz val="10"/>
        <rFont val="Consolas"/>
        <family val="3"/>
      </rPr>
      <t xml:space="preserve">:BAcDistillation :hasAttribute :Attr_212 .   # R1965 </t>
    </r>
    <r>
      <rPr>
        <sz val="10"/>
        <rFont val="Noto Sans CJK SC"/>
        <family val="2"/>
      </rPr>
      <t>丁酯精馏塔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丁酯脱色塔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丁酯精馏塔顶温度</t>
    </r>
  </si>
  <si>
    <r>
      <rPr>
        <sz val="10"/>
        <rFont val="Consolas"/>
        <family val="3"/>
      </rPr>
      <t xml:space="preserve">:BAcDistillation :hasAttribute :Attr_213 .   # R1966 </t>
    </r>
    <r>
      <rPr>
        <sz val="10"/>
        <rFont val="Noto Sans CJK SC"/>
        <family val="2"/>
      </rPr>
      <t>丁酯精馏塔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丁酯脱色塔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丁酯精馏蒸汽流量</t>
    </r>
  </si>
  <si>
    <r>
      <rPr>
        <sz val="10"/>
        <rFont val="Consolas"/>
        <family val="3"/>
      </rPr>
      <t xml:space="preserve">:SolventQCTanks :hasAttribute :Attr_214 .   # R1967 </t>
    </r>
    <r>
      <rPr>
        <sz val="10"/>
        <rFont val="Noto Sans CJK SC"/>
        <family val="2"/>
      </rPr>
      <t>溶媒待检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成品罐组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丁醇待检密度</t>
    </r>
  </si>
  <si>
    <r>
      <rPr>
        <sz val="10"/>
        <rFont val="Consolas"/>
        <family val="3"/>
      </rPr>
      <t xml:space="preserve">:SolventQCTanks :hasAttribute :Attr_215 .   # R1968 </t>
    </r>
    <r>
      <rPr>
        <sz val="10"/>
        <rFont val="Noto Sans CJK SC"/>
        <family val="2"/>
      </rPr>
      <t>溶媒待检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成品罐组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丁酯待检密度</t>
    </r>
  </si>
  <si>
    <r>
      <rPr>
        <sz val="10"/>
        <rFont val="Consolas"/>
        <family val="3"/>
      </rPr>
      <t xml:space="preserve">:SolventQCTanks :hasAttribute :QKPI_299 .   # R1969 </t>
    </r>
    <r>
      <rPr>
        <sz val="10"/>
        <rFont val="Noto Sans CJK SC"/>
        <family val="2"/>
      </rPr>
      <t>溶媒待检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成品罐组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回收溶媒纯度</t>
    </r>
  </si>
  <si>
    <r>
      <rPr>
        <sz val="10"/>
        <rFont val="Consolas"/>
        <family val="3"/>
      </rPr>
      <t xml:space="preserve">:Attr_206 :boundToTag :Tag_TITJCRAFAI .   # R1970 </t>
    </r>
    <r>
      <rPr>
        <sz val="10"/>
        <rFont val="Noto Sans CJK SC"/>
        <family val="2"/>
      </rPr>
      <t xml:space="preserve">丁醇精馏塔釜温度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TITJCRAFAI</t>
    </r>
  </si>
  <si>
    <r>
      <rPr>
        <sz val="10"/>
        <rFont val="Consolas"/>
        <family val="3"/>
      </rPr>
      <t xml:space="preserve">:Attr_206 :boundToTag :Tag_TITJCRBFAI .   # R1971 </t>
    </r>
    <r>
      <rPr>
        <sz val="10"/>
        <rFont val="Noto Sans CJK SC"/>
        <family val="2"/>
      </rPr>
      <t xml:space="preserve">丁醇精馏塔釜温度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TITJCRBFAI</t>
    </r>
  </si>
  <si>
    <r>
      <rPr>
        <sz val="10"/>
        <rFont val="Consolas"/>
        <family val="3"/>
      </rPr>
      <t xml:space="preserve">:Attr_206 :boundToTag :Tag_TICZCRFAI .   # R1972 </t>
    </r>
    <r>
      <rPr>
        <sz val="10"/>
        <rFont val="Noto Sans CJK SC"/>
        <family val="2"/>
      </rPr>
      <t xml:space="preserve">丁醇精馏塔釜温度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TICZCRFAI</t>
    </r>
  </si>
  <si>
    <r>
      <rPr>
        <sz val="10"/>
        <rFont val="Consolas"/>
        <family val="3"/>
      </rPr>
      <t xml:space="preserve">:Attr_207 :boundToTag :Tag_TITJCRATAI .   # R1973 </t>
    </r>
    <r>
      <rPr>
        <sz val="10"/>
        <rFont val="Noto Sans CJK SC"/>
        <family val="2"/>
      </rPr>
      <t xml:space="preserve">丁醇精馏塔顶温度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TITJCRATAI</t>
    </r>
  </si>
  <si>
    <r>
      <rPr>
        <sz val="10"/>
        <rFont val="Consolas"/>
        <family val="3"/>
      </rPr>
      <t xml:space="preserve">:Attr_207 :boundToTag :Tag_TITJCRBTAI .   # R1974 </t>
    </r>
    <r>
      <rPr>
        <sz val="10"/>
        <rFont val="Noto Sans CJK SC"/>
        <family val="2"/>
      </rPr>
      <t xml:space="preserve">丁醇精馏塔顶温度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TITJCRBTAI</t>
    </r>
  </si>
  <si>
    <r>
      <rPr>
        <sz val="10"/>
        <rFont val="Consolas"/>
        <family val="3"/>
      </rPr>
      <t xml:space="preserve">:Attr_207 :boundToTag :Tag_TICZCRTAI .   # R1975 </t>
    </r>
    <r>
      <rPr>
        <sz val="10"/>
        <rFont val="Noto Sans CJK SC"/>
        <family val="2"/>
      </rPr>
      <t xml:space="preserve">丁醇精馏塔顶温度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TICZCRTAI</t>
    </r>
  </si>
  <si>
    <r>
      <rPr>
        <sz val="10"/>
        <rFont val="Consolas"/>
        <family val="3"/>
      </rPr>
      <t xml:space="preserve">:Attr_208 :boundToTag :Tag_FITJCRASAI .   # R1976 </t>
    </r>
    <r>
      <rPr>
        <sz val="10"/>
        <rFont val="Noto Sans CJK SC"/>
        <family val="2"/>
      </rPr>
      <t xml:space="preserve">丁醇精馏蒸汽流量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FITJCRASAI</t>
    </r>
  </si>
  <si>
    <r>
      <rPr>
        <sz val="10"/>
        <rFont val="Consolas"/>
        <family val="3"/>
      </rPr>
      <t xml:space="preserve">:Attr_208 :boundToTag :Tag_FITJCRBSAI .   # R1977 </t>
    </r>
    <r>
      <rPr>
        <sz val="10"/>
        <rFont val="Noto Sans CJK SC"/>
        <family val="2"/>
      </rPr>
      <t xml:space="preserve">丁醇精馏蒸汽流量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FITJCRBSAI</t>
    </r>
  </si>
  <si>
    <r>
      <rPr>
        <sz val="10"/>
        <rFont val="Consolas"/>
        <family val="3"/>
      </rPr>
      <t xml:space="preserve">:Attr_208 :boundToTag :Tag_FICZCRSAI .   # R1978 </t>
    </r>
    <r>
      <rPr>
        <sz val="10"/>
        <rFont val="Noto Sans CJK SC"/>
        <family val="2"/>
      </rPr>
      <t xml:space="preserve">丁醇精馏蒸汽流量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FICZCRSAI</t>
    </r>
  </si>
  <si>
    <r>
      <rPr>
        <sz val="10"/>
        <rFont val="Consolas"/>
        <family val="3"/>
      </rPr>
      <t xml:space="preserve">:Attr_209 :boundToTag :Tag_TITJCTAFAI .   # R1979 </t>
    </r>
    <r>
      <rPr>
        <sz val="10"/>
        <rFont val="Noto Sans CJK SC"/>
        <family val="2"/>
      </rPr>
      <t xml:space="preserve">丁醇脱色塔釜温度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TITJCTAFAI</t>
    </r>
  </si>
  <si>
    <r>
      <rPr>
        <sz val="10"/>
        <rFont val="Consolas"/>
        <family val="3"/>
      </rPr>
      <t xml:space="preserve">:Attr_209 :boundToTag :Tag_TITJCTBFAI .   # R1980 </t>
    </r>
    <r>
      <rPr>
        <sz val="10"/>
        <rFont val="Noto Sans CJK SC"/>
        <family val="2"/>
      </rPr>
      <t xml:space="preserve">丁醇脱色塔釜温度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TITJCTBFAI</t>
    </r>
  </si>
  <si>
    <r>
      <rPr>
        <sz val="10"/>
        <rFont val="Consolas"/>
        <family val="3"/>
      </rPr>
      <t xml:space="preserve">:Attr_210 :boundToTag :Tag_ZU_9001A .   # R1981 </t>
    </r>
    <r>
      <rPr>
        <sz val="10"/>
        <rFont val="Noto Sans CJK SC"/>
        <family val="2"/>
      </rPr>
      <t xml:space="preserve">丁醇采出澄清度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ZU_9001A</t>
    </r>
  </si>
  <si>
    <r>
      <rPr>
        <sz val="10"/>
        <rFont val="Consolas"/>
        <family val="3"/>
      </rPr>
      <t xml:space="preserve">:Attr_210 :boundToTag :Tag_ZU_9001B .   # R1982 </t>
    </r>
    <r>
      <rPr>
        <sz val="10"/>
        <rFont val="Noto Sans CJK SC"/>
        <family val="2"/>
      </rPr>
      <t xml:space="preserve">丁醇采出澄清度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ZU_9001B</t>
    </r>
  </si>
  <si>
    <r>
      <rPr>
        <sz val="10"/>
        <rFont val="Consolas"/>
        <family val="3"/>
      </rPr>
      <t xml:space="preserve">:Attr_211 :boundToTag :Tag_TICZZRFAI .   # R1983 </t>
    </r>
    <r>
      <rPr>
        <sz val="10"/>
        <rFont val="Noto Sans CJK SC"/>
        <family val="2"/>
      </rPr>
      <t xml:space="preserve">丁酯精馏塔釜温度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TICZZRFAI</t>
    </r>
  </si>
  <si>
    <r>
      <rPr>
        <sz val="10"/>
        <rFont val="Consolas"/>
        <family val="3"/>
      </rPr>
      <t xml:space="preserve">:Attr_212 :boundToTag :Tag_TICZZRTAI .   # R1984 </t>
    </r>
    <r>
      <rPr>
        <sz val="10"/>
        <rFont val="Noto Sans CJK SC"/>
        <family val="2"/>
      </rPr>
      <t xml:space="preserve">丁酯精馏塔顶温度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TICZZRTAI</t>
    </r>
  </si>
  <si>
    <r>
      <rPr>
        <sz val="10"/>
        <rFont val="Consolas"/>
        <family val="3"/>
      </rPr>
      <t xml:space="preserve">:Attr_213 :boundToTag :Tag_FICZZRSAI .   # R1985 </t>
    </r>
    <r>
      <rPr>
        <sz val="10"/>
        <rFont val="Noto Sans CJK SC"/>
        <family val="2"/>
      </rPr>
      <t xml:space="preserve">丁酯精馏蒸汽流量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FICZZRSAI</t>
    </r>
  </si>
  <si>
    <r>
      <rPr>
        <sz val="10"/>
        <rFont val="Consolas"/>
        <family val="3"/>
      </rPr>
      <t xml:space="preserve">:Attr_214 :boundToTag :Tag_FT_3027 .   # R1986 </t>
    </r>
    <r>
      <rPr>
        <sz val="10"/>
        <rFont val="Noto Sans CJK SC"/>
        <family val="2"/>
      </rPr>
      <t xml:space="preserve">丁醇待检密度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FT_3027</t>
    </r>
  </si>
  <si>
    <r>
      <rPr>
        <sz val="10"/>
        <rFont val="Consolas"/>
        <family val="3"/>
      </rPr>
      <t xml:space="preserve">:Attr_215 :boundToTag :Tag_FT_3028 .   # R1987 </t>
    </r>
    <r>
      <rPr>
        <sz val="10"/>
        <rFont val="Noto Sans CJK SC"/>
        <family val="2"/>
      </rPr>
      <t xml:space="preserve">丁酯待检密度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FT_3028</t>
    </r>
  </si>
  <si>
    <r>
      <rPr>
        <sz val="10"/>
        <rFont val="Consolas"/>
        <family val="3"/>
      </rPr>
      <t xml:space="preserve">:Ctrl_058 :controls :Act_058 .   # R1988 </t>
    </r>
    <r>
      <rPr>
        <sz val="10"/>
        <rFont val="Noto Sans CJK SC"/>
        <family val="2"/>
      </rPr>
      <t xml:space="preserve">丁醇精馏塔温度控制器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丁醇精馏塔温度调节</t>
    </r>
  </si>
  <si>
    <r>
      <rPr>
        <sz val="10"/>
        <rFont val="Consolas"/>
        <family val="3"/>
      </rPr>
      <t xml:space="preserve">:Attr_206 :feedbackTo :Ctrl_058 .   # R1989 </t>
    </r>
    <r>
      <rPr>
        <sz val="10"/>
        <rFont val="Noto Sans CJK SC"/>
        <family val="2"/>
      </rPr>
      <t xml:space="preserve">丁醇精馏塔釜温度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丁醇精馏塔温度控制器</t>
    </r>
  </si>
  <si>
    <r>
      <rPr>
        <sz val="10"/>
        <rFont val="Consolas"/>
        <family val="3"/>
      </rPr>
      <t xml:space="preserve">:Act_058 :affects :Attr_206 .   # R1990 </t>
    </r>
    <r>
      <rPr>
        <sz val="10"/>
        <rFont val="Noto Sans CJK SC"/>
        <family val="2"/>
      </rPr>
      <t xml:space="preserve">丁醇精馏塔温度调节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丁醇精馏塔釜温度</t>
    </r>
  </si>
  <si>
    <r>
      <rPr>
        <sz val="10"/>
        <rFont val="Consolas"/>
        <family val="3"/>
      </rPr>
      <t xml:space="preserve">:Ctrl_059 :controls :Act_059 .   # R1991 </t>
    </r>
    <r>
      <rPr>
        <sz val="10"/>
        <rFont val="Noto Sans CJK SC"/>
        <family val="2"/>
      </rPr>
      <t xml:space="preserve">丁醇精馏进料控制器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控制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丁醇精馏塔进料流量调节阀</t>
    </r>
    <r>
      <rPr>
        <sz val="10"/>
        <rFont val="Consolas"/>
        <family val="3"/>
      </rPr>
      <t>HV_3052</t>
    </r>
  </si>
  <si>
    <r>
      <rPr>
        <sz val="10"/>
        <rFont val="Consolas"/>
        <family val="3"/>
      </rPr>
      <t xml:space="preserve">:Attr_208 :feedbackTo :Ctrl_059 .   # R1992 </t>
    </r>
    <r>
      <rPr>
        <sz val="10"/>
        <rFont val="Noto Sans CJK SC"/>
        <family val="2"/>
      </rPr>
      <t xml:space="preserve">丁醇精馏蒸汽流量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反馈给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丁醇精馏进料控制器</t>
    </r>
  </si>
  <si>
    <r>
      <rPr>
        <sz val="10"/>
        <rFont val="Consolas"/>
        <family val="3"/>
      </rPr>
      <t xml:space="preserve">:Act_059 :affects :Attr_208 .   # R1993 </t>
    </r>
    <r>
      <rPr>
        <sz val="10"/>
        <rFont val="Noto Sans CJK SC"/>
        <family val="2"/>
      </rPr>
      <t>丁醇精馏塔进料流量调节阀</t>
    </r>
    <r>
      <rPr>
        <sz val="10"/>
        <rFont val="Consolas"/>
        <family val="3"/>
      </rPr>
      <t>HV_3052 -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丁醇精馏蒸汽流量</t>
    </r>
  </si>
  <si>
    <r>
      <rPr>
        <sz val="10"/>
        <rFont val="Consolas"/>
        <family val="3"/>
      </rPr>
      <t xml:space="preserve">:MS_BackExtLight :flowsInto :BuOHDistillation .   # R1994 </t>
    </r>
    <r>
      <rPr>
        <sz val="10"/>
        <rFont val="Noto Sans CJK SC"/>
        <family val="2"/>
      </rPr>
      <t>反萃轻相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再生溶媒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丁醇精馏塔组</t>
    </r>
  </si>
  <si>
    <r>
      <rPr>
        <sz val="10"/>
        <rFont val="Consolas"/>
        <family val="3"/>
      </rPr>
      <t xml:space="preserve">:MS_TFDistillate :flowsInto :BAcDistillation .   # R1995 </t>
    </r>
    <r>
      <rPr>
        <sz val="10"/>
        <rFont val="Noto Sans CJK SC"/>
        <family val="2"/>
      </rPr>
      <t>薄膜馏出液</t>
    </r>
    <r>
      <rPr>
        <sz val="10"/>
        <rFont val="Consolas"/>
        <family val="3"/>
      </rPr>
      <t>(BA/</t>
    </r>
    <r>
      <rPr>
        <sz val="10"/>
        <rFont val="Noto Sans CJK SC"/>
        <family val="2"/>
      </rPr>
      <t>水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丁酯精馏塔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丁酯脱色塔</t>
    </r>
  </si>
  <si>
    <r>
      <rPr>
        <sz val="10"/>
        <rFont val="Consolas"/>
        <family val="3"/>
      </rPr>
      <t xml:space="preserve">:BuOHDistillation :connectedToNext :BuOHDecolorTower .   # R1996 </t>
    </r>
    <r>
      <rPr>
        <sz val="10"/>
        <rFont val="Noto Sans CJK SC"/>
        <family val="2"/>
      </rPr>
      <t xml:space="preserve">丁醇精馏塔组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丁醇脱色塔组</t>
    </r>
  </si>
  <si>
    <r>
      <rPr>
        <sz val="10"/>
        <rFont val="Consolas"/>
        <family val="3"/>
      </rPr>
      <t xml:space="preserve">:BuOHDecolorTower :connectedToNext :SolventQCTanks .   # R1997 </t>
    </r>
    <r>
      <rPr>
        <sz val="10"/>
        <rFont val="Noto Sans CJK SC"/>
        <family val="2"/>
      </rPr>
      <t xml:space="preserve">丁醇脱色塔组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溶媒待检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成品罐组</t>
    </r>
  </si>
  <si>
    <r>
      <rPr>
        <sz val="10"/>
        <rFont val="Consolas"/>
        <family val="3"/>
      </rPr>
      <t xml:space="preserve">:BAcDistillation :connectedToNext :SolventQCTanks .   # R1998 </t>
    </r>
    <r>
      <rPr>
        <sz val="10"/>
        <rFont val="Noto Sans CJK SC"/>
        <family val="2"/>
      </rPr>
      <t>丁酯精馏塔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丁酯脱色塔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溶媒待检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成品罐组</t>
    </r>
  </si>
  <si>
    <r>
      <rPr>
        <sz val="10"/>
        <rFont val="Consolas"/>
        <family val="3"/>
      </rPr>
      <t xml:space="preserve">:SolventQCTanks :produces :MS_RecoveredSolvent .   # R1999 </t>
    </r>
    <r>
      <rPr>
        <sz val="10"/>
        <rFont val="Noto Sans CJK SC"/>
        <family val="2"/>
      </rPr>
      <t>溶媒待检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成品罐组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回收混合溶媒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丁酯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丁醇</t>
    </r>
  </si>
  <si>
    <r>
      <rPr>
        <sz val="10"/>
        <rFont val="Consolas"/>
        <family val="3"/>
      </rPr>
      <t xml:space="preserve">:MS_Steam :suppliesUtility :BuOHDistillation .   # R2000 </t>
    </r>
    <r>
      <rPr>
        <sz val="10"/>
        <rFont val="Noto Sans CJK SC"/>
        <family val="2"/>
      </rPr>
      <t xml:space="preserve">蒸汽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供给介质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丁醇精馏塔组</t>
    </r>
  </si>
  <si>
    <r>
      <rPr>
        <sz val="10"/>
        <rFont val="Consolas"/>
        <family val="3"/>
      </rPr>
      <t xml:space="preserve">:MS_Steam :suppliesUtility :BAcDistillation .   # R2001 </t>
    </r>
    <r>
      <rPr>
        <sz val="10"/>
        <rFont val="Noto Sans CJK SC"/>
        <family val="2"/>
      </rPr>
      <t xml:space="preserve">蒸汽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供给介质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丁酯精馏塔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丁酯脱色塔</t>
    </r>
  </si>
  <si>
    <r>
      <rPr>
        <sz val="10"/>
        <rFont val="Consolas"/>
        <family val="3"/>
      </rPr>
      <t xml:space="preserve">:Attr_206 :affects :QKPI_299 .   # R2002 </t>
    </r>
    <r>
      <rPr>
        <sz val="10"/>
        <rFont val="Noto Sans CJK SC"/>
        <family val="2"/>
      </rPr>
      <t xml:space="preserve">丁醇精馏塔釜温度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回收溶媒纯度</t>
    </r>
  </si>
  <si>
    <r>
      <rPr>
        <sz val="10"/>
        <rFont val="Consolas"/>
        <family val="3"/>
      </rPr>
      <t xml:space="preserve">:Attr_212 :affects :QKPI_299 .   # R2003 </t>
    </r>
    <r>
      <rPr>
        <sz val="10"/>
        <rFont val="Noto Sans CJK SC"/>
        <family val="2"/>
      </rPr>
      <t xml:space="preserve">丁酯精馏塔顶温度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回收溶媒纯度</t>
    </r>
  </si>
  <si>
    <r>
      <rPr>
        <sz val="10"/>
        <rFont val="Consolas"/>
        <family val="3"/>
      </rPr>
      <t xml:space="preserve">:QKPI_299 :affects :Attr_278 .   # R2004 </t>
    </r>
    <r>
      <rPr>
        <sz val="10"/>
        <rFont val="Noto Sans CJK SC"/>
        <family val="2"/>
      </rPr>
      <t xml:space="preserve">回收溶媒纯度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萃取分配平衡度</t>
    </r>
  </si>
  <si>
    <r>
      <rPr>
        <sz val="10"/>
        <rFont val="Consolas"/>
        <family val="3"/>
      </rPr>
      <t xml:space="preserve">:QKPI_299 :negativelyAffects :BKPI_302 .   # R2005 </t>
    </r>
    <r>
      <rPr>
        <sz val="10"/>
        <rFont val="Noto Sans CJK SC"/>
        <family val="2"/>
      </rPr>
      <t xml:space="preserve">回收溶媒纯度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溶媒单耗</t>
    </r>
  </si>
  <si>
    <r>
      <rPr>
        <sz val="10"/>
        <rFont val="Consolas"/>
        <family val="3"/>
      </rPr>
      <t xml:space="preserve">
# --- S19 </t>
    </r>
    <r>
      <rPr>
        <sz val="10"/>
        <rFont val="Noto Sans CJK SC"/>
        <family val="2"/>
      </rPr>
      <t xml:space="preserve">苯乙酸回收与混合溶媒配制 </t>
    </r>
    <r>
      <rPr>
        <sz val="10"/>
        <rFont val="Consolas"/>
        <family val="3"/>
      </rPr>
      <t>---</t>
    </r>
  </si>
  <si>
    <r>
      <rPr>
        <sz val="10"/>
        <rFont val="Consolas"/>
        <family val="3"/>
      </rPr>
      <t xml:space="preserve">:Area_S19_PAARecovery :connectedToNext :Area_S12_PAAExtraction .   # R2006 </t>
    </r>
    <r>
      <rPr>
        <sz val="10"/>
        <rFont val="Noto Sans CJK SC"/>
        <family val="2"/>
      </rPr>
      <t xml:space="preserve">苯乙酸回收与混合溶媒配制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萃取与反萃（苯乙酸分离）</t>
    </r>
  </si>
  <si>
    <r>
      <rPr>
        <sz val="10"/>
        <rFont val="Consolas"/>
        <family val="3"/>
      </rPr>
      <t xml:space="preserve">:Area_S19_PAARecovery :hasEquipment :PAAVacuumTower .   # R2007 </t>
    </r>
    <r>
      <rPr>
        <sz val="10"/>
        <rFont val="Noto Sans CJK SC"/>
        <family val="2"/>
      </rPr>
      <t xml:space="preserve">苯乙酸回收与混合溶媒配制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苯乙酸减压塔</t>
    </r>
  </si>
  <si>
    <r>
      <rPr>
        <sz val="10"/>
        <rFont val="Consolas"/>
        <family val="3"/>
      </rPr>
      <t xml:space="preserve">:PAAVacuumTower :hasPart :PAAVacuumTower_P01 .   # R2008 </t>
    </r>
    <r>
      <rPr>
        <sz val="10"/>
        <rFont val="Noto Sans CJK SC"/>
        <family val="2"/>
      </rPr>
      <t xml:space="preserve">苯乙酸减压塔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苯乙酸减压塔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再沸器</t>
    </r>
  </si>
  <si>
    <r>
      <rPr>
        <sz val="10"/>
        <rFont val="Consolas"/>
        <family val="3"/>
      </rPr>
      <t xml:space="preserve">:PAAVacuumTower :hasPart :PAAVacuumTower_P02 .   # R2009 </t>
    </r>
    <r>
      <rPr>
        <sz val="10"/>
        <rFont val="Noto Sans CJK SC"/>
        <family val="2"/>
      </rPr>
      <t xml:space="preserve">苯乙酸减压塔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苯乙酸减压塔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中间罐</t>
    </r>
  </si>
  <si>
    <r>
      <rPr>
        <sz val="10"/>
        <rFont val="Consolas"/>
        <family val="3"/>
      </rPr>
      <t xml:space="preserve">:Area_S19_PAARecovery :hasEquipment :PAAStorage .   # R2010 </t>
    </r>
    <r>
      <rPr>
        <sz val="10"/>
        <rFont val="Noto Sans CJK SC"/>
        <family val="2"/>
      </rPr>
      <t xml:space="preserve">苯乙酸回收与混合溶媒配制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苯乙酸储罐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成品罐</t>
    </r>
  </si>
  <si>
    <r>
      <rPr>
        <sz val="10"/>
        <rFont val="Consolas"/>
        <family val="3"/>
      </rPr>
      <t xml:space="preserve">:PAAStorage :hasMember :PAAStorage_M01 .   # R2011 </t>
    </r>
    <r>
      <rPr>
        <sz val="10"/>
        <rFont val="Noto Sans CJK SC"/>
        <family val="2"/>
      </rPr>
      <t>苯乙酸储罐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成品罐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苯乙酸储罐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</si>
  <si>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:PAAStorage :hasMember :PAAStorage_M02 .   # R2012 </t>
    </r>
    <r>
      <rPr>
        <sz val="10"/>
        <rFont val="Noto Sans CJK SC"/>
        <family val="2"/>
      </rPr>
      <t>苯乙酸储罐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成品罐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苯乙酸储罐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</si>
  <si>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:PAAStorage :hasMember :PAAStorage_M03 .   # R2013 </t>
    </r>
    <r>
      <rPr>
        <sz val="10"/>
        <rFont val="Noto Sans CJK SC"/>
        <family val="2"/>
      </rPr>
      <t>苯乙酸储罐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成品罐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苯乙酸储罐</t>
    </r>
    <r>
      <rPr>
        <sz val="10"/>
        <rFont val="Consolas"/>
        <family val="3"/>
      </rPr>
      <t>C</t>
    </r>
  </si>
  <si>
    <r>
      <rPr>
        <sz val="10"/>
        <rFont val="Consolas"/>
        <family val="3"/>
      </rPr>
      <t xml:space="preserve">:PAAStorage :hasMember :PAAStorage_M04 .   # R2014 </t>
    </r>
    <r>
      <rPr>
        <sz val="10"/>
        <rFont val="Noto Sans CJK SC"/>
        <family val="2"/>
      </rPr>
      <t>苯乙酸储罐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成品罐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苯乙酸成品罐</t>
    </r>
  </si>
  <si>
    <r>
      <rPr>
        <sz val="10"/>
        <rFont val="Consolas"/>
        <family val="3"/>
      </rPr>
      <t xml:space="preserve">:PAAStorage :hasMember :PAAStorage_M05 .   # R2015 </t>
    </r>
    <r>
      <rPr>
        <sz val="10"/>
        <rFont val="Noto Sans CJK SC"/>
        <family val="2"/>
      </rPr>
      <t>苯乙酸储罐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成品罐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苯乙酸室外储罐</t>
    </r>
  </si>
  <si>
    <r>
      <rPr>
        <sz val="10"/>
        <rFont val="Consolas"/>
        <family val="3"/>
      </rPr>
      <t xml:space="preserve">:Area_S19_PAARecovery :hasEquipment :MixedSolventPrep .   # R2016 </t>
    </r>
    <r>
      <rPr>
        <sz val="10"/>
        <rFont val="Noto Sans CJK SC"/>
        <family val="2"/>
      </rPr>
      <t xml:space="preserve">苯乙酸回收与混合溶媒配制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混合溶媒配制罐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混合溶媒塔</t>
    </r>
  </si>
  <si>
    <r>
      <rPr>
        <sz val="10"/>
        <rFont val="Consolas"/>
        <family val="3"/>
      </rPr>
      <t xml:space="preserve">:MixedSolventPrep :hasMember :MixedSolventPrep_M01 .   # R2017 </t>
    </r>
    <r>
      <rPr>
        <sz val="10"/>
        <rFont val="Noto Sans CJK SC"/>
        <family val="2"/>
      </rPr>
      <t>混合溶媒配制罐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混合溶媒塔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混合溶媒配制罐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</si>
  <si>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:MixedSolventPrep :hasMember :MixedSolventPrep_M02 .   # R2018 </t>
    </r>
    <r>
      <rPr>
        <sz val="10"/>
        <rFont val="Noto Sans CJK SC"/>
        <family val="2"/>
      </rPr>
      <t>混合溶媒配制罐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混合溶媒塔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混合溶媒配制罐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</si>
  <si>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:MixedSolventPrep :hasMember :MixedSolventPrep_M03 .   # R2019 </t>
    </r>
    <r>
      <rPr>
        <sz val="10"/>
        <rFont val="Noto Sans CJK SC"/>
        <family val="2"/>
      </rPr>
      <t>混合溶媒配制罐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混合溶媒塔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混合溶媒</t>
    </r>
    <r>
      <rPr>
        <sz val="10"/>
        <rFont val="Consolas"/>
        <family val="3"/>
      </rPr>
      <t>A</t>
    </r>
    <r>
      <rPr>
        <sz val="10"/>
        <rFont val="Noto Sans CJK SC"/>
        <family val="2"/>
      </rPr>
      <t>塔</t>
    </r>
  </si>
  <si>
    <r>
      <rPr>
        <sz val="10"/>
        <rFont val="Consolas"/>
        <family val="3"/>
      </rPr>
      <t xml:space="preserve">:MixedSolventPrep :hasMember :MixedSolventPrep_M04 .   # R2020 </t>
    </r>
    <r>
      <rPr>
        <sz val="10"/>
        <rFont val="Noto Sans CJK SC"/>
        <family val="2"/>
      </rPr>
      <t>混合溶媒配制罐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混合溶媒塔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混合溶媒</t>
    </r>
    <r>
      <rPr>
        <sz val="10"/>
        <rFont val="Consolas"/>
        <family val="3"/>
      </rPr>
      <t>B</t>
    </r>
    <r>
      <rPr>
        <sz val="10"/>
        <rFont val="Noto Sans CJK SC"/>
        <family val="2"/>
      </rPr>
      <t>塔</t>
    </r>
  </si>
  <si>
    <r>
      <rPr>
        <sz val="10"/>
        <rFont val="Consolas"/>
        <family val="3"/>
      </rPr>
      <t xml:space="preserve">:MixedSolventPrep :hasPart :MixedSolventPrep_P01 .   # R2021 </t>
    </r>
    <r>
      <rPr>
        <sz val="10"/>
        <rFont val="Noto Sans CJK SC"/>
        <family val="2"/>
      </rPr>
      <t>混合溶媒配制罐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混合溶媒塔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混合溶媒配制罐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混合溶媒塔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在线丁醇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丁酯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水分含量检测</t>
    </r>
  </si>
  <si>
    <r>
      <rPr>
        <sz val="10"/>
        <rFont val="Consolas"/>
        <family val="3"/>
      </rPr>
      <t xml:space="preserve">:Area_S19_PAARecovery :hasEquipment :CausticWashTanks .   # R2022 </t>
    </r>
    <r>
      <rPr>
        <sz val="10"/>
        <rFont val="Noto Sans CJK SC"/>
        <family val="2"/>
      </rPr>
      <t xml:space="preserve">苯乙酸回收与混合溶媒配制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碱洗罐组</t>
    </r>
  </si>
  <si>
    <r>
      <rPr>
        <sz val="10"/>
        <rFont val="Consolas"/>
        <family val="3"/>
      </rPr>
      <t xml:space="preserve">:CausticWashTanks :hasMember :CausticWashTanks_M01 .   # R2023 </t>
    </r>
    <r>
      <rPr>
        <sz val="10"/>
        <rFont val="Noto Sans CJK SC"/>
        <family val="2"/>
      </rPr>
      <t xml:space="preserve">碱洗罐组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碱洗</t>
    </r>
    <r>
      <rPr>
        <sz val="10"/>
        <rFont val="Consolas"/>
        <family val="3"/>
      </rPr>
      <t>A</t>
    </r>
    <r>
      <rPr>
        <sz val="10"/>
        <rFont val="Noto Sans CJK SC"/>
        <family val="2"/>
      </rPr>
      <t>罐</t>
    </r>
  </si>
  <si>
    <r>
      <rPr>
        <sz val="10"/>
        <rFont val="Consolas"/>
        <family val="3"/>
      </rPr>
      <t xml:space="preserve">:CausticWashTanks :hasMember :CausticWashTanks_M02 .   # R2024 </t>
    </r>
    <r>
      <rPr>
        <sz val="10"/>
        <rFont val="Noto Sans CJK SC"/>
        <family val="2"/>
      </rPr>
      <t xml:space="preserve">碱洗罐组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碱洗</t>
    </r>
    <r>
      <rPr>
        <sz val="10"/>
        <rFont val="Consolas"/>
        <family val="3"/>
      </rPr>
      <t>B</t>
    </r>
    <r>
      <rPr>
        <sz val="10"/>
        <rFont val="Noto Sans CJK SC"/>
        <family val="2"/>
      </rPr>
      <t>罐</t>
    </r>
  </si>
  <si>
    <r>
      <rPr>
        <sz val="10"/>
        <rFont val="Consolas"/>
        <family val="3"/>
      </rPr>
      <t xml:space="preserve">:CausticWashTanks :hasPart :CausticWashTanks_P01 .   # R2025 </t>
    </r>
    <r>
      <rPr>
        <sz val="10"/>
        <rFont val="Noto Sans CJK SC"/>
        <family val="2"/>
      </rPr>
      <t xml:space="preserve">碱洗罐组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碱洗罐组</t>
    </r>
    <r>
      <rPr>
        <sz val="10"/>
        <rFont val="Consolas"/>
        <family val="3"/>
      </rPr>
      <t>·pH</t>
    </r>
    <r>
      <rPr>
        <sz val="10"/>
        <rFont val="Noto Sans CJK SC"/>
        <family val="2"/>
      </rPr>
      <t>计</t>
    </r>
  </si>
  <si>
    <r>
      <rPr>
        <sz val="10"/>
        <rFont val="Consolas"/>
        <family val="3"/>
      </rPr>
      <t xml:space="preserve">:PAAVacuumTower :hasAttribute :Attr_216 .   # R2026 </t>
    </r>
    <r>
      <rPr>
        <sz val="10"/>
        <rFont val="Noto Sans CJK SC"/>
        <family val="2"/>
      </rPr>
      <t xml:space="preserve">苯乙酸减压塔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苯乙酸塔釜温度</t>
    </r>
  </si>
  <si>
    <r>
      <rPr>
        <sz val="10"/>
        <rFont val="Consolas"/>
        <family val="3"/>
      </rPr>
      <t xml:space="preserve">:PAAVacuumTower :hasAttribute :Attr_217 .   # R2027 </t>
    </r>
    <r>
      <rPr>
        <sz val="10"/>
        <rFont val="Noto Sans CJK SC"/>
        <family val="2"/>
      </rPr>
      <t xml:space="preserve">苯乙酸减压塔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苯乙酸塔顶温度</t>
    </r>
  </si>
  <si>
    <r>
      <rPr>
        <sz val="10"/>
        <rFont val="Consolas"/>
        <family val="3"/>
      </rPr>
      <t xml:space="preserve">:PAAVacuumTower :hasAttribute :Attr_218 .   # R2028 </t>
    </r>
    <r>
      <rPr>
        <sz val="10"/>
        <rFont val="Noto Sans CJK SC"/>
        <family val="2"/>
      </rPr>
      <t xml:space="preserve">苯乙酸减压塔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苯乙酸塔压力</t>
    </r>
  </si>
  <si>
    <r>
      <rPr>
        <sz val="10"/>
        <rFont val="Consolas"/>
        <family val="3"/>
      </rPr>
      <t xml:space="preserve">:PAAVacuumTower :hasAttribute :Attr_219 .   # R2029 </t>
    </r>
    <r>
      <rPr>
        <sz val="10"/>
        <rFont val="Noto Sans CJK SC"/>
        <family val="2"/>
      </rPr>
      <t xml:space="preserve">苯乙酸减压塔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苯乙酸塔进料流量</t>
    </r>
  </si>
  <si>
    <r>
      <rPr>
        <sz val="10"/>
        <rFont val="Consolas"/>
        <family val="3"/>
      </rPr>
      <t xml:space="preserve">:PAAVacuumTower :hasAttribute :Attr_220 .   # R2030 </t>
    </r>
    <r>
      <rPr>
        <sz val="10"/>
        <rFont val="Noto Sans CJK SC"/>
        <family val="2"/>
      </rPr>
      <t xml:space="preserve">苯乙酸减压塔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苯乙酸塔蒸汽流量</t>
    </r>
  </si>
  <si>
    <r>
      <rPr>
        <sz val="10"/>
        <rFont val="Consolas"/>
        <family val="3"/>
      </rPr>
      <t xml:space="preserve">:PAAStorage :hasAttribute :Attr_221 .   # R2031 </t>
    </r>
    <r>
      <rPr>
        <sz val="10"/>
        <rFont val="Noto Sans CJK SC"/>
        <family val="2"/>
      </rPr>
      <t>苯乙酸储罐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成品罐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苯乙酸成品罐液位</t>
    </r>
  </si>
  <si>
    <r>
      <rPr>
        <sz val="10"/>
        <rFont val="Consolas"/>
        <family val="3"/>
      </rPr>
      <t xml:space="preserve">:MixedSolventPrep :hasAttribute :Attr_222 .   # R2032 </t>
    </r>
    <r>
      <rPr>
        <sz val="10"/>
        <rFont val="Noto Sans CJK SC"/>
        <family val="2"/>
      </rPr>
      <t>混合溶媒配制罐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混合溶媒塔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混合溶媒丁酯含量</t>
    </r>
  </si>
  <si>
    <r>
      <rPr>
        <sz val="10"/>
        <rFont val="Consolas"/>
        <family val="3"/>
      </rPr>
      <t xml:space="preserve">:MixedSolventPrep :hasAttribute :Attr_223 .   # R2033 </t>
    </r>
    <r>
      <rPr>
        <sz val="10"/>
        <rFont val="Noto Sans CJK SC"/>
        <family val="2"/>
      </rPr>
      <t>混合溶媒配制罐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混合溶媒塔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混合溶媒水分含量</t>
    </r>
  </si>
  <si>
    <r>
      <rPr>
        <sz val="10"/>
        <rFont val="Consolas"/>
        <family val="3"/>
      </rPr>
      <t xml:space="preserve">:MixedSolventPrep :hasAttribute :Attr_224 .   # R2034 </t>
    </r>
    <r>
      <rPr>
        <sz val="10"/>
        <rFont val="Noto Sans CJK SC"/>
        <family val="2"/>
      </rPr>
      <t>混合溶媒配制罐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混合溶媒塔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混合溶媒丁醇含量</t>
    </r>
  </si>
  <si>
    <r>
      <rPr>
        <sz val="10"/>
        <rFont val="Consolas"/>
        <family val="3"/>
      </rPr>
      <t xml:space="preserve">:CausticWashTanks :hasAttribute :Attr_225 .   # R2035 </t>
    </r>
    <r>
      <rPr>
        <sz val="10"/>
        <rFont val="Noto Sans CJK SC"/>
        <family val="2"/>
      </rPr>
      <t xml:space="preserve">碱洗罐组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碱洗罐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</si>
  <si>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:PAAVacuumTower :hasAttribute :QKPI_300 .   # R2036 </t>
    </r>
    <r>
      <rPr>
        <sz val="10"/>
        <rFont val="Noto Sans CJK SC"/>
        <family val="2"/>
      </rPr>
      <t xml:space="preserve">苯乙酸减压塔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苯乙酸回收率</t>
    </r>
  </si>
  <si>
    <r>
      <rPr>
        <sz val="10"/>
        <rFont val="Consolas"/>
        <family val="3"/>
      </rPr>
      <t xml:space="preserve">:Attr_216 :boundToTag :Tag_TIDCBFAI .   # R2037 </t>
    </r>
    <r>
      <rPr>
        <sz val="10"/>
        <rFont val="Noto Sans CJK SC"/>
        <family val="2"/>
      </rPr>
      <t xml:space="preserve">苯乙酸塔釜温度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TIDCBFAI</t>
    </r>
  </si>
  <si>
    <r>
      <rPr>
        <sz val="10"/>
        <rFont val="Consolas"/>
        <family val="3"/>
      </rPr>
      <t xml:space="preserve">:Attr_216 :boundToTag :Tag_TIBYFAI .   # R2038 </t>
    </r>
    <r>
      <rPr>
        <sz val="10"/>
        <rFont val="Noto Sans CJK SC"/>
        <family val="2"/>
      </rPr>
      <t xml:space="preserve">苯乙酸塔釜温度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TIBYFAI</t>
    </r>
  </si>
  <si>
    <r>
      <rPr>
        <sz val="10"/>
        <rFont val="Consolas"/>
        <family val="3"/>
      </rPr>
      <t xml:space="preserve">:Attr_217 :boundToTag :Tag_TIDCBTAI .   # R2039 </t>
    </r>
    <r>
      <rPr>
        <sz val="10"/>
        <rFont val="Noto Sans CJK SC"/>
        <family val="2"/>
      </rPr>
      <t xml:space="preserve">苯乙酸塔顶温度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TIDCBTAI</t>
    </r>
  </si>
  <si>
    <r>
      <rPr>
        <sz val="10"/>
        <rFont val="Consolas"/>
        <family val="3"/>
      </rPr>
      <t xml:space="preserve">:Attr_217 :boundToTag :Tag_TIBYTAI .   # R2040 </t>
    </r>
    <r>
      <rPr>
        <sz val="10"/>
        <rFont val="Noto Sans CJK SC"/>
        <family val="2"/>
      </rPr>
      <t xml:space="preserve">苯乙酸塔顶温度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TIBYTAI</t>
    </r>
  </si>
  <si>
    <r>
      <rPr>
        <sz val="10"/>
        <rFont val="Consolas"/>
        <family val="3"/>
      </rPr>
      <t xml:space="preserve">:Attr_218 :boundToTag :Tag_PIBYAI .   # R2041 </t>
    </r>
    <r>
      <rPr>
        <sz val="10"/>
        <rFont val="Noto Sans CJK SC"/>
        <family val="2"/>
      </rPr>
      <t xml:space="preserve">苯乙酸塔压力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PIBYAI</t>
    </r>
  </si>
  <si>
    <r>
      <rPr>
        <sz val="10"/>
        <rFont val="Consolas"/>
        <family val="3"/>
      </rPr>
      <t xml:space="preserve">:Attr_218 :boundToTag :Tag_LIMYDZAAI .   # R2042 </t>
    </r>
    <r>
      <rPr>
        <sz val="10"/>
        <rFont val="Noto Sans CJK SC"/>
        <family val="2"/>
      </rPr>
      <t xml:space="preserve">苯乙酸塔压力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LIMYDZAAI</t>
    </r>
  </si>
  <si>
    <r>
      <rPr>
        <sz val="10"/>
        <rFont val="Consolas"/>
        <family val="3"/>
      </rPr>
      <t xml:space="preserve">:Attr_219 :boundToTag :Tag_FIDCBJAI .   # R2043 </t>
    </r>
    <r>
      <rPr>
        <sz val="10"/>
        <rFont val="Noto Sans CJK SC"/>
        <family val="2"/>
      </rPr>
      <t xml:space="preserve">苯乙酸塔进料流量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FIDCBJAI</t>
    </r>
  </si>
  <si>
    <r>
      <rPr>
        <sz val="10"/>
        <rFont val="Consolas"/>
        <family val="3"/>
      </rPr>
      <t xml:space="preserve">:Attr_219 :boundToTag :Tag_FIBYJAI .   # R2044 </t>
    </r>
    <r>
      <rPr>
        <sz val="10"/>
        <rFont val="Noto Sans CJK SC"/>
        <family val="2"/>
      </rPr>
      <t xml:space="preserve">苯乙酸塔进料流量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FIBYJAI</t>
    </r>
  </si>
  <si>
    <r>
      <rPr>
        <sz val="10"/>
        <rFont val="Consolas"/>
        <family val="3"/>
      </rPr>
      <t xml:space="preserve">:Attr_220 :boundToTag :Tag_FIDCSBAI .   # R2045 </t>
    </r>
    <r>
      <rPr>
        <sz val="10"/>
        <rFont val="Noto Sans CJK SC"/>
        <family val="2"/>
      </rPr>
      <t xml:space="preserve">苯乙酸塔蒸汽流量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FIDCSBAI</t>
    </r>
  </si>
  <si>
    <r>
      <rPr>
        <sz val="10"/>
        <rFont val="Consolas"/>
        <family val="3"/>
      </rPr>
      <t xml:space="preserve">:Attr_220 :boundToTag :Tag_FIBYSAI .   # R2046 </t>
    </r>
    <r>
      <rPr>
        <sz val="10"/>
        <rFont val="Noto Sans CJK SC"/>
        <family val="2"/>
      </rPr>
      <t xml:space="preserve">苯乙酸塔蒸汽流量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FIBYSAI</t>
    </r>
  </si>
  <si>
    <r>
      <rPr>
        <sz val="10"/>
        <rFont val="Consolas"/>
        <family val="3"/>
      </rPr>
      <t xml:space="preserve">:Attr_221 :boundToTag :Tag_TISQYYWAI .   # R2047 </t>
    </r>
    <r>
      <rPr>
        <sz val="10"/>
        <rFont val="Noto Sans CJK SC"/>
        <family val="2"/>
      </rPr>
      <t xml:space="preserve">苯乙酸成品罐液位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TISQYYWAI</t>
    </r>
  </si>
  <si>
    <r>
      <rPr>
        <sz val="10"/>
        <rFont val="Consolas"/>
        <family val="3"/>
      </rPr>
      <t xml:space="preserve">:Attr_222 :boundToTag :Tag_FT_3030 .   # R2048 </t>
    </r>
    <r>
      <rPr>
        <sz val="10"/>
        <rFont val="Noto Sans CJK SC"/>
        <family val="2"/>
      </rPr>
      <t xml:space="preserve">混合溶媒丁酯含量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FT_3030</t>
    </r>
  </si>
  <si>
    <r>
      <rPr>
        <sz val="10"/>
        <rFont val="Consolas"/>
        <family val="3"/>
      </rPr>
      <t xml:space="preserve">:Attr_223 :boundToTag :Tag_FT_3031 .   # R2049 </t>
    </r>
    <r>
      <rPr>
        <sz val="10"/>
        <rFont val="Noto Sans CJK SC"/>
        <family val="2"/>
      </rPr>
      <t xml:space="preserve">混合溶媒水分含量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FT_3031</t>
    </r>
  </si>
  <si>
    <r>
      <rPr>
        <sz val="10"/>
        <rFont val="Consolas"/>
        <family val="3"/>
      </rPr>
      <t xml:space="preserve">:Attr_224 :boundToTag :Tag_FT_3032 .   # R2050 </t>
    </r>
    <r>
      <rPr>
        <sz val="10"/>
        <rFont val="Noto Sans CJK SC"/>
        <family val="2"/>
      </rPr>
      <t xml:space="preserve">混合溶媒丁醇含量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FT_3032</t>
    </r>
  </si>
  <si>
    <r>
      <rPr>
        <sz val="10"/>
        <rFont val="Consolas"/>
        <family val="3"/>
      </rPr>
      <t xml:space="preserve">:Attr_225 :boundToTag :Tag_PH_LCYCGA .   # R2051 </t>
    </r>
    <r>
      <rPr>
        <sz val="10"/>
        <rFont val="Noto Sans CJK SC"/>
        <family val="2"/>
      </rPr>
      <t>碱洗罐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PH_LCYCGA</t>
    </r>
  </si>
  <si>
    <r>
      <rPr>
        <sz val="10"/>
        <rFont val="Consolas"/>
        <family val="3"/>
      </rPr>
      <t xml:space="preserve">:Attr_225 :boundToTag :Tag_PH_LCYCGB .   # R2052 </t>
    </r>
    <r>
      <rPr>
        <sz val="10"/>
        <rFont val="Noto Sans CJK SC"/>
        <family val="2"/>
      </rPr>
      <t>碱洗罐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PH_LCYCGB</t>
    </r>
  </si>
  <si>
    <r>
      <rPr>
        <sz val="10"/>
        <rFont val="Consolas"/>
        <family val="3"/>
      </rPr>
      <t xml:space="preserve">:MS_BackExtHeavy :flowsInto :PAAVacuumTower .   # R2053 </t>
    </r>
    <r>
      <rPr>
        <sz val="10"/>
        <rFont val="Noto Sans CJK SC"/>
        <family val="2"/>
      </rPr>
      <t>反萃重相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苯乙酸钠液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苯乙酸减压塔</t>
    </r>
  </si>
  <si>
    <r>
      <rPr>
        <sz val="10"/>
        <rFont val="Consolas"/>
        <family val="3"/>
      </rPr>
      <t xml:space="preserve">:PAAVacuumTower :produces :MS_PAA_Product .   # R2054 </t>
    </r>
    <r>
      <rPr>
        <sz val="10"/>
        <rFont val="Noto Sans CJK SC"/>
        <family val="2"/>
      </rPr>
      <t xml:space="preserve">苯乙酸减压塔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苯乙酸成品</t>
    </r>
  </si>
  <si>
    <r>
      <rPr>
        <sz val="10"/>
        <rFont val="Consolas"/>
        <family val="3"/>
      </rPr>
      <t xml:space="preserve">:MS_PAA_Product :flowsInto :PAAStorage .   # R2055 </t>
    </r>
    <r>
      <rPr>
        <sz val="10"/>
        <rFont val="Noto Sans CJK SC"/>
        <family val="2"/>
      </rPr>
      <t xml:space="preserve">苯乙酸成品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苯乙酸储罐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成品罐</t>
    </r>
  </si>
  <si>
    <r>
      <rPr>
        <sz val="10"/>
        <rFont val="Consolas"/>
        <family val="3"/>
      </rPr>
      <t xml:space="preserve">:MS_RecoveredSolvent :flowsInto :MixedSolventPrep .   # R2056 </t>
    </r>
    <r>
      <rPr>
        <sz val="10"/>
        <rFont val="Noto Sans CJK SC"/>
        <family val="2"/>
      </rPr>
      <t>回收混合溶媒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丁酯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丁醇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混合溶媒配制罐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混合溶媒塔</t>
    </r>
  </si>
  <si>
    <r>
      <rPr>
        <sz val="10"/>
        <rFont val="Consolas"/>
        <family val="3"/>
      </rPr>
      <t xml:space="preserve">:MixedSolventPrep :produces :MS_MixedSolvent .   # R2057 </t>
    </r>
    <r>
      <rPr>
        <sz val="10"/>
        <rFont val="Noto Sans CJK SC"/>
        <family val="2"/>
      </rPr>
      <t>混合溶媒配制罐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混合溶媒塔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混合溶媒</t>
    </r>
  </si>
  <si>
    <r>
      <rPr>
        <sz val="10"/>
        <rFont val="Consolas"/>
        <family val="3"/>
      </rPr>
      <t xml:space="preserve">:MS_MixedSolvent :flowsInto :MixedSolventTank .   # R2058 </t>
    </r>
    <r>
      <rPr>
        <sz val="10"/>
        <rFont val="Noto Sans CJK SC"/>
        <family val="2"/>
      </rPr>
      <t xml:space="preserve">混合溶媒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混合溶媒罐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缓冲罐</t>
    </r>
  </si>
  <si>
    <r>
      <rPr>
        <sz val="10"/>
        <rFont val="Consolas"/>
        <family val="3"/>
      </rPr>
      <t xml:space="preserve">:CausticWashTanks :connectedToNext :BuOHDistillation .   # R2059 </t>
    </r>
    <r>
      <rPr>
        <sz val="10"/>
        <rFont val="Noto Sans CJK SC"/>
        <family val="2"/>
      </rPr>
      <t xml:space="preserve">碱洗罐组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丁醇精馏塔组</t>
    </r>
  </si>
  <si>
    <r>
      <rPr>
        <sz val="10"/>
        <rFont val="Consolas"/>
        <family val="3"/>
      </rPr>
      <t xml:space="preserve">:Attr_224 :affects :Attr_276 .   # R2060 </t>
    </r>
    <r>
      <rPr>
        <sz val="10"/>
        <rFont val="Noto Sans CJK SC"/>
        <family val="2"/>
      </rPr>
      <t xml:space="preserve">混合溶媒丁醇含量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苯乙酸两相分配系数</t>
    </r>
  </si>
  <si>
    <r>
      <rPr>
        <sz val="10"/>
        <rFont val="Consolas"/>
        <family val="3"/>
      </rPr>
      <t xml:space="preserve">:Attr_223 :negativelyAffects :Attr_278 .   # R2061 </t>
    </r>
    <r>
      <rPr>
        <sz val="10"/>
        <rFont val="Noto Sans CJK SC"/>
        <family val="2"/>
      </rPr>
      <t xml:space="preserve">混合溶媒水分含量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萃取分配平衡度</t>
    </r>
  </si>
  <si>
    <r>
      <rPr>
        <sz val="10"/>
        <rFont val="Consolas"/>
        <family val="3"/>
      </rPr>
      <t xml:space="preserve">:Attr_216 :affects :QKPI_300 .   # R2062 </t>
    </r>
    <r>
      <rPr>
        <sz val="10"/>
        <rFont val="Noto Sans CJK SC"/>
        <family val="2"/>
      </rPr>
      <t xml:space="preserve">苯乙酸塔釜温度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苯乙酸回收率</t>
    </r>
  </si>
  <si>
    <r>
      <rPr>
        <sz val="10"/>
        <rFont val="Consolas"/>
        <family val="3"/>
      </rPr>
      <t xml:space="preserve">
# --- S20 </t>
    </r>
    <r>
      <rPr>
        <sz val="10"/>
        <rFont val="Noto Sans CJK SC"/>
        <family val="2"/>
      </rPr>
      <t xml:space="preserve">废酸水处理与蒸氨 </t>
    </r>
    <r>
      <rPr>
        <sz val="10"/>
        <rFont val="Consolas"/>
        <family val="3"/>
      </rPr>
      <t>---</t>
    </r>
  </si>
  <si>
    <r>
      <rPr>
        <sz val="10"/>
        <rFont val="Consolas"/>
        <family val="3"/>
      </rPr>
      <t xml:space="preserve">:Area_S20_WastewaterTreatment :connectedToNext :Area_S18_SolventDistillation .   # R2063 </t>
    </r>
    <r>
      <rPr>
        <sz val="10"/>
        <rFont val="Noto Sans CJK SC"/>
        <family val="2"/>
      </rPr>
      <t xml:space="preserve">废酸水处理与蒸氨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丁醇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丁酯精馏（溶媒回收）</t>
    </r>
  </si>
  <si>
    <r>
      <rPr>
        <sz val="10"/>
        <rFont val="Consolas"/>
        <family val="3"/>
      </rPr>
      <t xml:space="preserve">:Area_S20_WastewaterTreatment :hasEquipment :WasteAcidTowers .   # R2064 </t>
    </r>
    <r>
      <rPr>
        <sz val="10"/>
        <rFont val="Noto Sans CJK SC"/>
        <family val="2"/>
      </rPr>
      <t xml:space="preserve">废酸水处理与蒸氨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废酸水汽提塔</t>
    </r>
    <r>
      <rPr>
        <sz val="10"/>
        <rFont val="Consolas"/>
        <family val="3"/>
      </rPr>
      <t>A/B/C</t>
    </r>
  </si>
  <si>
    <r>
      <rPr>
        <sz val="10"/>
        <rFont val="Consolas"/>
        <family val="3"/>
      </rPr>
      <t xml:space="preserve">:WasteAcidTowers :hasMember :WasteAcidTowers_M01 .   # R2065 </t>
    </r>
    <r>
      <rPr>
        <sz val="10"/>
        <rFont val="Noto Sans CJK SC"/>
        <family val="2"/>
      </rPr>
      <t>废酸水汽提塔</t>
    </r>
    <r>
      <rPr>
        <sz val="10"/>
        <rFont val="Consolas"/>
        <family val="3"/>
      </rPr>
      <t>A/B/C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</t>
    </r>
    <r>
      <rPr>
        <sz val="10"/>
        <rFont val="Consolas"/>
        <family val="3"/>
      </rPr>
      <t>A</t>
    </r>
    <r>
      <rPr>
        <sz val="10"/>
        <rFont val="Noto Sans CJK SC"/>
        <family val="2"/>
      </rPr>
      <t>塔</t>
    </r>
  </si>
  <si>
    <r>
      <rPr>
        <sz val="10"/>
        <rFont val="Consolas"/>
        <family val="3"/>
      </rPr>
      <t xml:space="preserve">:WasteAcidTowers :hasMember :WasteAcidTowers_M02 .   # R2066 </t>
    </r>
    <r>
      <rPr>
        <sz val="10"/>
        <rFont val="Noto Sans CJK SC"/>
        <family val="2"/>
      </rPr>
      <t>废酸水汽提塔</t>
    </r>
    <r>
      <rPr>
        <sz val="10"/>
        <rFont val="Consolas"/>
        <family val="3"/>
      </rPr>
      <t>A/B/C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</t>
    </r>
    <r>
      <rPr>
        <sz val="10"/>
        <rFont val="Consolas"/>
        <family val="3"/>
      </rPr>
      <t>B</t>
    </r>
    <r>
      <rPr>
        <sz val="10"/>
        <rFont val="Noto Sans CJK SC"/>
        <family val="2"/>
      </rPr>
      <t>塔</t>
    </r>
  </si>
  <si>
    <r>
      <rPr>
        <sz val="10"/>
        <rFont val="Consolas"/>
        <family val="3"/>
      </rPr>
      <t xml:space="preserve">:WasteAcidTowers :hasMember :WasteAcidTowers_M03 .   # R2067 </t>
    </r>
    <r>
      <rPr>
        <sz val="10"/>
        <rFont val="Noto Sans CJK SC"/>
        <family val="2"/>
      </rPr>
      <t>废酸水汽提塔</t>
    </r>
    <r>
      <rPr>
        <sz val="10"/>
        <rFont val="Consolas"/>
        <family val="3"/>
      </rPr>
      <t>A/B/C 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</t>
    </r>
    <r>
      <rPr>
        <sz val="10"/>
        <rFont val="Consolas"/>
        <family val="3"/>
      </rPr>
      <t>C</t>
    </r>
    <r>
      <rPr>
        <sz val="10"/>
        <rFont val="Noto Sans CJK SC"/>
        <family val="2"/>
      </rPr>
      <t>塔</t>
    </r>
  </si>
  <si>
    <r>
      <rPr>
        <sz val="10"/>
        <rFont val="Consolas"/>
        <family val="3"/>
      </rPr>
      <t xml:space="preserve">:WasteAcidTowers :hasPart :WasteAcidTowers_P01 .   # R2068 </t>
    </r>
    <r>
      <rPr>
        <sz val="10"/>
        <rFont val="Noto Sans CJK SC"/>
        <family val="2"/>
      </rPr>
      <t>废酸水汽提塔</t>
    </r>
    <r>
      <rPr>
        <sz val="10"/>
        <rFont val="Consolas"/>
        <family val="3"/>
      </rPr>
      <t>A/B/C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废酸水汽提塔</t>
    </r>
    <r>
      <rPr>
        <sz val="10"/>
        <rFont val="Consolas"/>
        <family val="3"/>
      </rPr>
      <t>A/B/C·</t>
    </r>
    <r>
      <rPr>
        <sz val="10"/>
        <rFont val="Noto Sans CJK SC"/>
        <family val="2"/>
      </rPr>
      <t>预热器</t>
    </r>
  </si>
  <si>
    <r>
      <rPr>
        <sz val="10"/>
        <rFont val="Consolas"/>
        <family val="3"/>
      </rPr>
      <t xml:space="preserve">:WasteAcidTowers :hasPart :WasteAcidTowers_P02 .   # R2069 </t>
    </r>
    <r>
      <rPr>
        <sz val="10"/>
        <rFont val="Noto Sans CJK SC"/>
        <family val="2"/>
      </rPr>
      <t>废酸水汽提塔</t>
    </r>
    <r>
      <rPr>
        <sz val="10"/>
        <rFont val="Consolas"/>
        <family val="3"/>
      </rPr>
      <t>A/B/C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废酸水汽提塔</t>
    </r>
    <r>
      <rPr>
        <sz val="10"/>
        <rFont val="Consolas"/>
        <family val="3"/>
      </rPr>
      <t>A/B/C·</t>
    </r>
    <r>
      <rPr>
        <sz val="10"/>
        <rFont val="Noto Sans CJK SC"/>
        <family val="2"/>
      </rPr>
      <t>降膜</t>
    </r>
  </si>
  <si>
    <r>
      <rPr>
        <sz val="10"/>
        <rFont val="Consolas"/>
        <family val="3"/>
      </rPr>
      <t xml:space="preserve">:WasteAcidTowers :hasPart :WasteAcidTowers_P03 .   # R2070 </t>
    </r>
    <r>
      <rPr>
        <sz val="10"/>
        <rFont val="Noto Sans CJK SC"/>
        <family val="2"/>
      </rPr>
      <t>废酸水汽提塔</t>
    </r>
    <r>
      <rPr>
        <sz val="10"/>
        <rFont val="Consolas"/>
        <family val="3"/>
      </rPr>
      <t>A/B/C 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废酸水汽提塔</t>
    </r>
    <r>
      <rPr>
        <sz val="10"/>
        <rFont val="Consolas"/>
        <family val="3"/>
      </rPr>
      <t>A/B/C·</t>
    </r>
    <r>
      <rPr>
        <sz val="10"/>
        <rFont val="Noto Sans CJK SC"/>
        <family val="2"/>
      </rPr>
      <t>二冷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尾冷</t>
    </r>
  </si>
  <si>
    <r>
      <rPr>
        <sz val="10"/>
        <rFont val="Consolas"/>
        <family val="3"/>
      </rPr>
      <t xml:space="preserve">:Area_S20_WastewaterTreatment :hasEquipment :AmmoniaStripper .   # R2071 </t>
    </r>
    <r>
      <rPr>
        <sz val="10"/>
        <rFont val="Noto Sans CJK SC"/>
        <family val="2"/>
      </rPr>
      <t xml:space="preserve">废酸水处理与蒸氨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蒸氨塔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氨吸收塔</t>
    </r>
  </si>
  <si>
    <r>
      <rPr>
        <sz val="10"/>
        <rFont val="Consolas"/>
        <family val="3"/>
      </rPr>
      <t xml:space="preserve">:AmmoniaStripper :hasMember :AmmoniaStripper_M01 .   # R2072 </t>
    </r>
    <r>
      <rPr>
        <sz val="10"/>
        <rFont val="Noto Sans CJK SC"/>
        <family val="2"/>
      </rPr>
      <t>蒸氨塔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氨吸收塔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蒸氨塔</t>
    </r>
  </si>
  <si>
    <r>
      <rPr>
        <sz val="10"/>
        <rFont val="Consolas"/>
        <family val="3"/>
      </rPr>
      <t xml:space="preserve">:AmmoniaStripper :hasMember :AmmoniaStripper_M02 .   # R2073 </t>
    </r>
    <r>
      <rPr>
        <sz val="10"/>
        <rFont val="Noto Sans CJK SC"/>
        <family val="2"/>
      </rPr>
      <t>蒸氨塔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氨吸收塔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氨吸收塔</t>
    </r>
  </si>
  <si>
    <r>
      <rPr>
        <sz val="10"/>
        <rFont val="Consolas"/>
        <family val="3"/>
      </rPr>
      <t xml:space="preserve">:AmmoniaStripper :hasPart :AmmoniaStripper_P01 .   # R2074 </t>
    </r>
    <r>
      <rPr>
        <sz val="10"/>
        <rFont val="Noto Sans CJK SC"/>
        <family val="2"/>
      </rPr>
      <t>蒸氨塔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氨吸收塔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蒸氨塔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氨吸收塔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分凝器</t>
    </r>
  </si>
  <si>
    <r>
      <rPr>
        <sz val="10"/>
        <rFont val="Consolas"/>
        <family val="3"/>
      </rPr>
      <t xml:space="preserve">:AmmoniaStripper :hasPart :AmmoniaStripper_P02 .   # R2075 </t>
    </r>
    <r>
      <rPr>
        <sz val="10"/>
        <rFont val="Noto Sans CJK SC"/>
        <family val="2"/>
      </rPr>
      <t>蒸氨塔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氨吸收塔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蒸氨塔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氨吸收塔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上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下段回流泵</t>
    </r>
  </si>
  <si>
    <r>
      <rPr>
        <sz val="10"/>
        <rFont val="Consolas"/>
        <family val="3"/>
      </rPr>
      <t xml:space="preserve">:Area_S20_WastewaterTreatment :hasEquipment :AcidWaterHX .   # R2076 </t>
    </r>
    <r>
      <rPr>
        <sz val="10"/>
        <rFont val="Noto Sans CJK SC"/>
        <family val="2"/>
      </rPr>
      <t xml:space="preserve">废酸水处理与蒸氨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酸水高效换热器</t>
    </r>
  </si>
  <si>
    <r>
      <rPr>
        <sz val="10"/>
        <rFont val="Consolas"/>
        <family val="3"/>
      </rPr>
      <t xml:space="preserve">:Area_S20_WastewaterTreatment :hasEquipment :WasteAcidTanks .   # R2077 </t>
    </r>
    <r>
      <rPr>
        <sz val="10"/>
        <rFont val="Noto Sans CJK SC"/>
        <family val="2"/>
      </rPr>
      <t xml:space="preserve">废酸水处理与蒸氨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废酸水储罐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中间罐</t>
    </r>
  </si>
  <si>
    <r>
      <rPr>
        <sz val="10"/>
        <rFont val="Consolas"/>
        <family val="3"/>
      </rPr>
      <t xml:space="preserve">:WasteAcidTanks :hasMember :WasteAcidTanks_M01 .   # R2078 </t>
    </r>
    <r>
      <rPr>
        <sz val="10"/>
        <rFont val="Noto Sans CJK SC"/>
        <family val="2"/>
      </rPr>
      <t>废酸水储罐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中间罐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废酸水储罐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</si>
  <si>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:WasteAcidTanks :hasMember :WasteAcidTanks_M02 .   # R2079 </t>
    </r>
    <r>
      <rPr>
        <sz val="10"/>
        <rFont val="Noto Sans CJK SC"/>
        <family val="2"/>
      </rPr>
      <t>废酸水储罐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中间罐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废酸水储罐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</si>
  <si>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:WasteAcidTanks :hasMember :WasteAcidTanks_M03 .   # R2080 </t>
    </r>
    <r>
      <rPr>
        <sz val="10"/>
        <rFont val="Noto Sans CJK SC"/>
        <family val="2"/>
      </rPr>
      <t>废酸水储罐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中间罐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废酸水中间罐</t>
    </r>
  </si>
  <si>
    <r>
      <rPr>
        <sz val="10"/>
        <rFont val="Consolas"/>
        <family val="3"/>
      </rPr>
      <t xml:space="preserve">:WasteAcidTanks :hasPart :WasteAcidTanks_P01 .   # R2081 </t>
    </r>
    <r>
      <rPr>
        <sz val="10"/>
        <rFont val="Noto Sans CJK SC"/>
        <family val="2"/>
      </rPr>
      <t>废酸水储罐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中间罐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废酸水储罐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中间罐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密度计</t>
    </r>
    <r>
      <rPr>
        <sz val="10"/>
        <rFont val="Consolas"/>
        <family val="3"/>
      </rPr>
      <t>DT_9002</t>
    </r>
  </si>
  <si>
    <r>
      <rPr>
        <sz val="10"/>
        <rFont val="Consolas"/>
        <family val="3"/>
      </rPr>
      <t xml:space="preserve">:WasteAcidTowers :hasAttribute :Attr_226 .   # R2082 </t>
    </r>
    <r>
      <rPr>
        <sz val="10"/>
        <rFont val="Noto Sans CJK SC"/>
        <family val="2"/>
      </rPr>
      <t>废酸水汽提塔</t>
    </r>
    <r>
      <rPr>
        <sz val="10"/>
        <rFont val="Consolas"/>
        <family val="3"/>
      </rPr>
      <t>A/B/C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废酸水塔进料流量</t>
    </r>
  </si>
  <si>
    <r>
      <rPr>
        <sz val="10"/>
        <rFont val="Consolas"/>
        <family val="3"/>
      </rPr>
      <t xml:space="preserve">:WasteAcidTowers :hasAttribute :Attr_227 .   # R2083 </t>
    </r>
    <r>
      <rPr>
        <sz val="10"/>
        <rFont val="Noto Sans CJK SC"/>
        <family val="2"/>
      </rPr>
      <t>废酸水汽提塔</t>
    </r>
    <r>
      <rPr>
        <sz val="10"/>
        <rFont val="Consolas"/>
        <family val="3"/>
      </rPr>
      <t>A/B/C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废酸水塔蒸汽流量</t>
    </r>
  </si>
  <si>
    <r>
      <rPr>
        <sz val="10"/>
        <rFont val="Consolas"/>
        <family val="3"/>
      </rPr>
      <t xml:space="preserve">:WasteAcidTowers :hasAttribute :Attr_228 .   # R2084 </t>
    </r>
    <r>
      <rPr>
        <sz val="10"/>
        <rFont val="Noto Sans CJK SC"/>
        <family val="2"/>
      </rPr>
      <t>废酸水汽提塔</t>
    </r>
    <r>
      <rPr>
        <sz val="10"/>
        <rFont val="Consolas"/>
        <family val="3"/>
      </rPr>
      <t>A/B/C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</t>
    </r>
    <r>
      <rPr>
        <sz val="10"/>
        <rFont val="Consolas"/>
        <family val="3"/>
      </rPr>
      <t>C</t>
    </r>
    <r>
      <rPr>
        <sz val="10"/>
        <rFont val="Noto Sans CJK SC"/>
        <family val="2"/>
      </rPr>
      <t>塔顶温度</t>
    </r>
  </si>
  <si>
    <r>
      <rPr>
        <sz val="10"/>
        <rFont val="Consolas"/>
        <family val="3"/>
      </rPr>
      <t xml:space="preserve">:WasteAcidTanks :hasAttribute :Attr_229 .   # R2085 </t>
    </r>
    <r>
      <rPr>
        <sz val="10"/>
        <rFont val="Noto Sans CJK SC"/>
        <family val="2"/>
      </rPr>
      <t>废酸水储罐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中间罐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废酸水进料密度</t>
    </r>
  </si>
  <si>
    <r>
      <rPr>
        <sz val="10"/>
        <rFont val="Consolas"/>
        <family val="3"/>
      </rPr>
      <t xml:space="preserve">:AmmoniaStripper :hasAttribute :Attr_230 .   # R2086 </t>
    </r>
    <r>
      <rPr>
        <sz val="10"/>
        <rFont val="Noto Sans CJK SC"/>
        <family val="2"/>
      </rPr>
      <t>蒸氨塔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氨吸收塔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蒸氨塔进料流量</t>
    </r>
  </si>
  <si>
    <r>
      <rPr>
        <sz val="10"/>
        <rFont val="Consolas"/>
        <family val="3"/>
      </rPr>
      <t xml:space="preserve">:AmmoniaStripper :hasAttribute :Attr_231 .   # R2087 </t>
    </r>
    <r>
      <rPr>
        <sz val="10"/>
        <rFont val="Noto Sans CJK SC"/>
        <family val="2"/>
      </rPr>
      <t>蒸氨塔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氨吸收塔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蒸氨塔进料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</si>
  <si>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:AmmoniaStripper :hasAttribute :Attr_232 .   # R2088 </t>
    </r>
    <r>
      <rPr>
        <sz val="10"/>
        <rFont val="Noto Sans CJK SC"/>
        <family val="2"/>
      </rPr>
      <t>蒸氨塔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氨吸收塔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蒸氨塔温度</t>
    </r>
  </si>
  <si>
    <r>
      <rPr>
        <sz val="10"/>
        <rFont val="Consolas"/>
        <family val="3"/>
      </rPr>
      <t xml:space="preserve">:AmmoniaStripper :hasAttribute :Attr_233 .   # R2089 </t>
    </r>
    <r>
      <rPr>
        <sz val="10"/>
        <rFont val="Noto Sans CJK SC"/>
        <family val="2"/>
      </rPr>
      <t>蒸氨塔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氨吸收塔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氨吸收塔采出流量</t>
    </r>
  </si>
  <si>
    <r>
      <rPr>
        <sz val="10"/>
        <rFont val="Consolas"/>
        <family val="3"/>
      </rPr>
      <t xml:space="preserve">:AcidWaterHX :hasAttribute :Attr_234 .   # R2090 </t>
    </r>
    <r>
      <rPr>
        <sz val="10"/>
        <rFont val="Noto Sans CJK SC"/>
        <family val="2"/>
      </rPr>
      <t xml:space="preserve">酸水高效换热器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高效换热器温度</t>
    </r>
  </si>
  <si>
    <r>
      <rPr>
        <sz val="10"/>
        <rFont val="Consolas"/>
        <family val="3"/>
      </rPr>
      <t xml:space="preserve">:WasteAcidTowers :hasAttribute :QKPI_301 .   # R2091 </t>
    </r>
    <r>
      <rPr>
        <sz val="10"/>
        <rFont val="Noto Sans CJK SC"/>
        <family val="2"/>
      </rPr>
      <t>废酸水汽提塔</t>
    </r>
    <r>
      <rPr>
        <sz val="10"/>
        <rFont val="Consolas"/>
        <family val="3"/>
      </rPr>
      <t>A/B/C 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废酸水溶媒残留</t>
    </r>
    <r>
      <rPr>
        <sz val="10"/>
        <rFont val="Consolas"/>
        <family val="3"/>
      </rPr>
      <t>(COD)</t>
    </r>
  </si>
  <si>
    <r>
      <rPr>
        <sz val="10"/>
        <rFont val="Consolas"/>
        <family val="3"/>
      </rPr>
      <t xml:space="preserve">:Attr_226 :boundToTag :Tag_FIFSAAI .   # R2092 </t>
    </r>
    <r>
      <rPr>
        <sz val="10"/>
        <rFont val="Noto Sans CJK SC"/>
        <family val="2"/>
      </rPr>
      <t xml:space="preserve">废酸水塔进料流量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FIFSAAI</t>
    </r>
  </si>
  <si>
    <r>
      <rPr>
        <sz val="10"/>
        <rFont val="Consolas"/>
        <family val="3"/>
      </rPr>
      <t xml:space="preserve">:Attr_226 :boundToTag :Tag_FIFSBAI .   # R2093 </t>
    </r>
    <r>
      <rPr>
        <sz val="10"/>
        <rFont val="Noto Sans CJK SC"/>
        <family val="2"/>
      </rPr>
      <t xml:space="preserve">废酸水塔进料流量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FIFSBAI</t>
    </r>
  </si>
  <si>
    <r>
      <rPr>
        <sz val="10"/>
        <rFont val="Consolas"/>
        <family val="3"/>
      </rPr>
      <t xml:space="preserve">:Attr_226 :boundToTag :Tag_FIFSCAI .   # R2094 </t>
    </r>
    <r>
      <rPr>
        <sz val="10"/>
        <rFont val="Noto Sans CJK SC"/>
        <family val="2"/>
      </rPr>
      <t xml:space="preserve">废酸水塔进料流量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FIFSCAI</t>
    </r>
  </si>
  <si>
    <r>
      <rPr>
        <sz val="10"/>
        <rFont val="Consolas"/>
        <family val="3"/>
      </rPr>
      <t xml:space="preserve">:Attr_227 :boundToTag :Tag_FIFSASAI .   # R2095 </t>
    </r>
    <r>
      <rPr>
        <sz val="10"/>
        <rFont val="Noto Sans CJK SC"/>
        <family val="2"/>
      </rPr>
      <t xml:space="preserve">废酸水塔蒸汽流量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FIFSASAI</t>
    </r>
  </si>
  <si>
    <r>
      <rPr>
        <sz val="10"/>
        <rFont val="Consolas"/>
        <family val="3"/>
      </rPr>
      <t xml:space="preserve">:Attr_227 :boundToTag :Tag_FIFSBSAI .   # R2096 </t>
    </r>
    <r>
      <rPr>
        <sz val="10"/>
        <rFont val="Noto Sans CJK SC"/>
        <family val="2"/>
      </rPr>
      <t xml:space="preserve">废酸水塔蒸汽流量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FIFSBSAI</t>
    </r>
  </si>
  <si>
    <r>
      <rPr>
        <sz val="10"/>
        <rFont val="Consolas"/>
        <family val="3"/>
      </rPr>
      <t xml:space="preserve">:Attr_227 :boundToTag :Tag_FIFSCSAI .   # R2097 </t>
    </r>
    <r>
      <rPr>
        <sz val="10"/>
        <rFont val="Noto Sans CJK SC"/>
        <family val="2"/>
      </rPr>
      <t xml:space="preserve">废酸水塔蒸汽流量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FIFSCSAI</t>
    </r>
  </si>
  <si>
    <r>
      <rPr>
        <sz val="10"/>
        <rFont val="Consolas"/>
        <family val="3"/>
      </rPr>
      <t xml:space="preserve">:Attr_228 :boundToTag :Tag_TIFSCTAI .   # R2098 </t>
    </r>
    <r>
      <rPr>
        <sz val="10"/>
        <rFont val="Noto Sans CJK SC"/>
        <family val="2"/>
      </rPr>
      <t>废酸水</t>
    </r>
    <r>
      <rPr>
        <sz val="10"/>
        <rFont val="Consolas"/>
        <family val="3"/>
      </rPr>
      <t>C</t>
    </r>
    <r>
      <rPr>
        <sz val="10"/>
        <rFont val="Noto Sans CJK SC"/>
        <family val="2"/>
      </rPr>
      <t xml:space="preserve">塔顶温度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TIFSCTAI</t>
    </r>
  </si>
  <si>
    <r>
      <rPr>
        <sz val="10"/>
        <rFont val="Consolas"/>
        <family val="3"/>
      </rPr>
      <t xml:space="preserve">:Attr_228 :boundToTag :Tag_TE_9001A .   # R2099 </t>
    </r>
    <r>
      <rPr>
        <sz val="10"/>
        <rFont val="Noto Sans CJK SC"/>
        <family val="2"/>
      </rPr>
      <t>废酸水</t>
    </r>
    <r>
      <rPr>
        <sz val="10"/>
        <rFont val="Consolas"/>
        <family val="3"/>
      </rPr>
      <t>C</t>
    </r>
    <r>
      <rPr>
        <sz val="10"/>
        <rFont val="Noto Sans CJK SC"/>
        <family val="2"/>
      </rPr>
      <t xml:space="preserve">塔顶温度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TE_9001A</t>
    </r>
  </si>
  <si>
    <r>
      <rPr>
        <sz val="10"/>
        <rFont val="Consolas"/>
        <family val="3"/>
      </rPr>
      <t xml:space="preserve">:Attr_228 :boundToTag :Tag_TE_9001B .   # R2100 </t>
    </r>
    <r>
      <rPr>
        <sz val="10"/>
        <rFont val="Noto Sans CJK SC"/>
        <family val="2"/>
      </rPr>
      <t>废酸水</t>
    </r>
    <r>
      <rPr>
        <sz val="10"/>
        <rFont val="Consolas"/>
        <family val="3"/>
      </rPr>
      <t>C</t>
    </r>
    <r>
      <rPr>
        <sz val="10"/>
        <rFont val="Noto Sans CJK SC"/>
        <family val="2"/>
      </rPr>
      <t xml:space="preserve">塔顶温度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TE_9001B</t>
    </r>
  </si>
  <si>
    <r>
      <rPr>
        <sz val="10"/>
        <rFont val="Consolas"/>
        <family val="3"/>
      </rPr>
      <t xml:space="preserve">:Attr_228 :boundToTag :Tag_TE_9001C .   # R2101 </t>
    </r>
    <r>
      <rPr>
        <sz val="10"/>
        <rFont val="Noto Sans CJK SC"/>
        <family val="2"/>
      </rPr>
      <t>废酸水</t>
    </r>
    <r>
      <rPr>
        <sz val="10"/>
        <rFont val="Consolas"/>
        <family val="3"/>
      </rPr>
      <t>C</t>
    </r>
    <r>
      <rPr>
        <sz val="10"/>
        <rFont val="Noto Sans CJK SC"/>
        <family val="2"/>
      </rPr>
      <t xml:space="preserve">塔顶温度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TE_9001C</t>
    </r>
  </si>
  <si>
    <r>
      <rPr>
        <sz val="10"/>
        <rFont val="Consolas"/>
        <family val="3"/>
      </rPr>
      <t xml:space="preserve">:Attr_229 :boundToTag :Tag_DT_9002 .   # R2102 </t>
    </r>
    <r>
      <rPr>
        <sz val="10"/>
        <rFont val="Noto Sans CJK SC"/>
        <family val="2"/>
      </rPr>
      <t xml:space="preserve">废酸水进料密度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DT_9002</t>
    </r>
  </si>
  <si>
    <r>
      <rPr>
        <sz val="10"/>
        <rFont val="Consolas"/>
        <family val="3"/>
      </rPr>
      <t xml:space="preserve">:Attr_230 :boundToTag :Tag_FIT3105 .   # R2103 </t>
    </r>
    <r>
      <rPr>
        <sz val="10"/>
        <rFont val="Noto Sans CJK SC"/>
        <family val="2"/>
      </rPr>
      <t xml:space="preserve">蒸氨塔进料流量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FIT3105</t>
    </r>
  </si>
  <si>
    <r>
      <rPr>
        <sz val="10"/>
        <rFont val="Consolas"/>
        <family val="3"/>
      </rPr>
      <t xml:space="preserve">:Attr_230 :boundToTag :Tag_FT_ZJ3118 .   # R2104 </t>
    </r>
    <r>
      <rPr>
        <sz val="10"/>
        <rFont val="Noto Sans CJK SC"/>
        <family val="2"/>
      </rPr>
      <t xml:space="preserve">蒸氨塔进料流量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FT_ZJ3118</t>
    </r>
  </si>
  <si>
    <r>
      <rPr>
        <sz val="10"/>
        <rFont val="Consolas"/>
        <family val="3"/>
      </rPr>
      <t xml:space="preserve">:Attr_231 :boundToTag :Tag_PH3105A .   # R2105 </t>
    </r>
    <r>
      <rPr>
        <sz val="10"/>
        <rFont val="Noto Sans CJK SC"/>
        <family val="2"/>
      </rPr>
      <t>蒸氨塔进料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PH3105A</t>
    </r>
  </si>
  <si>
    <r>
      <rPr>
        <sz val="10"/>
        <rFont val="Consolas"/>
        <family val="3"/>
      </rPr>
      <t xml:space="preserve">:Attr_232 :boundToTag :Tag_TE3105A .   # R2106 </t>
    </r>
    <r>
      <rPr>
        <sz val="10"/>
        <rFont val="Noto Sans CJK SC"/>
        <family val="2"/>
      </rPr>
      <t xml:space="preserve">蒸氨塔温度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TE3105A</t>
    </r>
  </si>
  <si>
    <r>
      <rPr>
        <sz val="10"/>
        <rFont val="Consolas"/>
        <family val="3"/>
      </rPr>
      <t xml:space="preserve">:Attr_232 :boundToTag :Tag_TE3105B .   # R2107 </t>
    </r>
    <r>
      <rPr>
        <sz val="10"/>
        <rFont val="Noto Sans CJK SC"/>
        <family val="2"/>
      </rPr>
      <t xml:space="preserve">蒸氨塔温度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TE3105B</t>
    </r>
  </si>
  <si>
    <r>
      <rPr>
        <sz val="10"/>
        <rFont val="Consolas"/>
        <family val="3"/>
      </rPr>
      <t xml:space="preserve">:Attr_232 :boundToTag :Tag_TE3105C .   # R2108 </t>
    </r>
    <r>
      <rPr>
        <sz val="10"/>
        <rFont val="Noto Sans CJK SC"/>
        <family val="2"/>
      </rPr>
      <t xml:space="preserve">蒸氨塔温度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TE3105C</t>
    </r>
  </si>
  <si>
    <r>
      <rPr>
        <sz val="10"/>
        <rFont val="Consolas"/>
        <family val="3"/>
      </rPr>
      <t xml:space="preserve">:Attr_232 :boundToTag :Tag_TE3105D .   # R2109 </t>
    </r>
    <r>
      <rPr>
        <sz val="10"/>
        <rFont val="Noto Sans CJK SC"/>
        <family val="2"/>
      </rPr>
      <t xml:space="preserve">蒸氨塔温度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TE3105D</t>
    </r>
  </si>
  <si>
    <r>
      <rPr>
        <sz val="10"/>
        <rFont val="Consolas"/>
        <family val="3"/>
      </rPr>
      <t xml:space="preserve">:Attr_233 :boundToTag :Tag_FIT3108 .   # R2110 </t>
    </r>
    <r>
      <rPr>
        <sz val="10"/>
        <rFont val="Noto Sans CJK SC"/>
        <family val="2"/>
      </rPr>
      <t xml:space="preserve">氨吸收塔采出流量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FIT3108</t>
    </r>
  </si>
  <si>
    <r>
      <rPr>
        <sz val="10"/>
        <rFont val="Consolas"/>
        <family val="3"/>
      </rPr>
      <t xml:space="preserve">:Attr_234 :boundToTag :Tag_FSSGX_TI01 .   # R2111 </t>
    </r>
    <r>
      <rPr>
        <sz val="10"/>
        <rFont val="Noto Sans CJK SC"/>
        <family val="2"/>
      </rPr>
      <t xml:space="preserve">高效换热器温度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FSSGX_TI01</t>
    </r>
  </si>
  <si>
    <r>
      <rPr>
        <sz val="10"/>
        <rFont val="Consolas"/>
        <family val="3"/>
      </rPr>
      <t xml:space="preserve">:Attr_234 :boundToTag :Tag_FSSGX_TI02 .   # R2112 </t>
    </r>
    <r>
      <rPr>
        <sz val="10"/>
        <rFont val="Noto Sans CJK SC"/>
        <family val="2"/>
      </rPr>
      <t xml:space="preserve">高效换热器温度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FSSGX_TI02</t>
    </r>
  </si>
  <si>
    <r>
      <rPr>
        <sz val="10"/>
        <rFont val="Consolas"/>
        <family val="3"/>
      </rPr>
      <t xml:space="preserve">:Attr_234 :boundToTag :Tag_FSSGX_TI03 .   # R2113 </t>
    </r>
    <r>
      <rPr>
        <sz val="10"/>
        <rFont val="Noto Sans CJK SC"/>
        <family val="2"/>
      </rPr>
      <t xml:space="preserve">高效换热器温度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FSSGX_TI03</t>
    </r>
  </si>
  <si>
    <r>
      <rPr>
        <sz val="10"/>
        <rFont val="Consolas"/>
        <family val="3"/>
      </rPr>
      <t xml:space="preserve">:Attr_234 :boundToTag :Tag_FSSGX_TI04 .   # R2114 </t>
    </r>
    <r>
      <rPr>
        <sz val="10"/>
        <rFont val="Noto Sans CJK SC"/>
        <family val="2"/>
      </rPr>
      <t xml:space="preserve">高效换热器温度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FSSGX_TI04</t>
    </r>
  </si>
  <si>
    <r>
      <rPr>
        <sz val="10"/>
        <rFont val="Consolas"/>
        <family val="3"/>
      </rPr>
      <t xml:space="preserve">:Attr_234 :boundToTag :Tag_FSSGX_TI05 .   # R2115 </t>
    </r>
    <r>
      <rPr>
        <sz val="10"/>
        <rFont val="Noto Sans CJK SC"/>
        <family val="2"/>
      </rPr>
      <t xml:space="preserve">高效换热器温度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FSSGX_TI05</t>
    </r>
  </si>
  <si>
    <r>
      <rPr>
        <sz val="10"/>
        <rFont val="Consolas"/>
        <family val="3"/>
      </rPr>
      <t xml:space="preserve">:Attr_234 :boundToTag :Tag_FSSGX_TI06 .   # R2116 </t>
    </r>
    <r>
      <rPr>
        <sz val="10"/>
        <rFont val="Noto Sans CJK SC"/>
        <family val="2"/>
      </rPr>
      <t xml:space="preserve">高效换热器温度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FSSGX_TI06</t>
    </r>
  </si>
  <si>
    <r>
      <rPr>
        <sz val="10"/>
        <rFont val="Consolas"/>
        <family val="3"/>
      </rPr>
      <t xml:space="preserve">:MS_WasteAcid3 :flowsInto :WasteAcidTanks .   # R2117 </t>
    </r>
    <r>
      <rPr>
        <sz val="10"/>
        <rFont val="Noto Sans CJK SC"/>
        <family val="2"/>
      </rPr>
      <t xml:space="preserve">三级废酸水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废酸水储罐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中间罐</t>
    </r>
  </si>
  <si>
    <r>
      <rPr>
        <sz val="10"/>
        <rFont val="Consolas"/>
        <family val="3"/>
      </rPr>
      <t xml:space="preserve">:WasteAcidTanks :connectedToNext :AcidWaterHX .   # R2118 </t>
    </r>
    <r>
      <rPr>
        <sz val="10"/>
        <rFont val="Noto Sans CJK SC"/>
        <family val="2"/>
      </rPr>
      <t>废酸水储罐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中间罐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酸水高效换热器</t>
    </r>
  </si>
  <si>
    <r>
      <rPr>
        <sz val="10"/>
        <rFont val="Consolas"/>
        <family val="3"/>
      </rPr>
      <t xml:space="preserve">:AcidWaterHX :connectedToNext :WasteAcidTowers .   # R2119 </t>
    </r>
    <r>
      <rPr>
        <sz val="10"/>
        <rFont val="Noto Sans CJK SC"/>
        <family val="2"/>
      </rPr>
      <t xml:space="preserve">酸水高效换热器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废酸水汽提塔</t>
    </r>
    <r>
      <rPr>
        <sz val="10"/>
        <rFont val="Consolas"/>
        <family val="3"/>
      </rPr>
      <t>A/B/C</t>
    </r>
  </si>
  <si>
    <r>
      <rPr>
        <sz val="10"/>
        <rFont val="Consolas"/>
        <family val="3"/>
      </rPr>
      <t xml:space="preserve">:MS_Steam :suppliesUtility :WasteAcidTowers .   # R2120 </t>
    </r>
    <r>
      <rPr>
        <sz val="10"/>
        <rFont val="Noto Sans CJK SC"/>
        <family val="2"/>
      </rPr>
      <t xml:space="preserve">蒸汽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供给介质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废酸水汽提塔</t>
    </r>
    <r>
      <rPr>
        <sz val="10"/>
        <rFont val="Consolas"/>
        <family val="3"/>
      </rPr>
      <t>A/B/C</t>
    </r>
  </si>
  <si>
    <r>
      <rPr>
        <sz val="10"/>
        <rFont val="Consolas"/>
        <family val="3"/>
      </rPr>
      <t xml:space="preserve">:WasteAcidTowers :produces :MS_RecoveredSolvent .   # R2121 </t>
    </r>
    <r>
      <rPr>
        <sz val="10"/>
        <rFont val="Noto Sans CJK SC"/>
        <family val="2"/>
      </rPr>
      <t>废酸水汽提塔</t>
    </r>
    <r>
      <rPr>
        <sz val="10"/>
        <rFont val="Consolas"/>
        <family val="3"/>
      </rPr>
      <t>A/B/C 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回收混合溶媒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丁酯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丁醇</t>
    </r>
  </si>
  <si>
    <r>
      <rPr>
        <sz val="10"/>
        <rFont val="Consolas"/>
        <family val="3"/>
      </rPr>
      <t xml:space="preserve">:AmmoniaStripper :produces :MS_Ammonia_Hydro .   # R2122 </t>
    </r>
    <r>
      <rPr>
        <sz val="10"/>
        <rFont val="Noto Sans CJK SC"/>
        <family val="2"/>
      </rPr>
      <t>蒸氨塔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氨吸收塔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中和氨水</t>
    </r>
  </si>
  <si>
    <r>
      <rPr>
        <sz val="10"/>
        <rFont val="Consolas"/>
        <family val="3"/>
      </rPr>
      <t xml:space="preserve">:MS_MotherLiquor :flowsInto :AmmoniaStripper .   # R2123 </t>
    </r>
    <r>
      <rPr>
        <sz val="10"/>
        <rFont val="Noto Sans CJK SC"/>
        <family val="2"/>
      </rPr>
      <t xml:space="preserve">结晶离心母液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流入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蒸氨塔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氨吸收塔</t>
    </r>
  </si>
  <si>
    <r>
      <rPr>
        <sz val="10"/>
        <rFont val="Consolas"/>
        <family val="3"/>
      </rPr>
      <t xml:space="preserve">:Attr_227 :negativelyAffects :QKPI_301 .   # R2124 </t>
    </r>
    <r>
      <rPr>
        <sz val="10"/>
        <rFont val="Noto Sans CJK SC"/>
        <family val="2"/>
      </rPr>
      <t xml:space="preserve">废酸水塔蒸汽流量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废酸水溶媒残留</t>
    </r>
    <r>
      <rPr>
        <sz val="10"/>
        <rFont val="Consolas"/>
        <family val="3"/>
      </rPr>
      <t>(COD)</t>
    </r>
  </si>
  <si>
    <r>
      <rPr>
        <sz val="10"/>
        <rFont val="Consolas"/>
        <family val="3"/>
      </rPr>
      <t xml:space="preserve">:QKPI_301 :positivelyAffects :BKPI_302 .   # R2125 </t>
    </r>
    <r>
      <rPr>
        <sz val="10"/>
        <rFont val="Noto Sans CJK SC"/>
        <family val="2"/>
      </rPr>
      <t>废酸水溶媒残留</t>
    </r>
    <r>
      <rPr>
        <sz val="10"/>
        <rFont val="Consolas"/>
        <family val="3"/>
      </rPr>
      <t>(COD) 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溶媒单耗</t>
    </r>
  </si>
  <si>
    <r>
      <rPr>
        <sz val="10"/>
        <rFont val="Consolas"/>
        <family val="3"/>
      </rPr>
      <t xml:space="preserve">:Attr_227 :positivelyAffects :BKPI_305 .   # R2126 </t>
    </r>
    <r>
      <rPr>
        <sz val="10"/>
        <rFont val="Noto Sans CJK SC"/>
        <family val="2"/>
      </rPr>
      <t xml:space="preserve">废酸水塔蒸汽流量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>-&gt; 6-APA</t>
    </r>
    <r>
      <rPr>
        <sz val="10"/>
        <rFont val="Noto Sans CJK SC"/>
        <family val="2"/>
      </rPr>
      <t>单位能耗</t>
    </r>
  </si>
  <si>
    <r>
      <rPr>
        <sz val="10"/>
        <rFont val="Consolas"/>
        <family val="3"/>
      </rPr>
      <t xml:space="preserve">
# --- S21 </t>
    </r>
    <r>
      <rPr>
        <sz val="10"/>
        <rFont val="Noto Sans CJK SC"/>
        <family val="2"/>
      </rPr>
      <t xml:space="preserve">吸附与树脂解析（辅助） </t>
    </r>
    <r>
      <rPr>
        <sz val="10"/>
        <rFont val="Consolas"/>
        <family val="3"/>
      </rPr>
      <t>---</t>
    </r>
  </si>
  <si>
    <r>
      <rPr>
        <sz val="10"/>
        <rFont val="Consolas"/>
        <family val="3"/>
      </rPr>
      <t xml:space="preserve">:Area_S21_AdsorptionElution :hasEquipment :AdsorptionColumns .   # R2127 </t>
    </r>
    <r>
      <rPr>
        <sz val="10"/>
        <rFont val="Noto Sans CJK SC"/>
        <family val="2"/>
      </rPr>
      <t xml:space="preserve">吸附与树脂解析（辅助）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吸附柱组</t>
    </r>
  </si>
  <si>
    <r>
      <rPr>
        <sz val="10"/>
        <rFont val="Consolas"/>
        <family val="3"/>
      </rPr>
      <t xml:space="preserve">:AdsorptionColumns :hasMember :AdsorptionColumns_M01 .   # R2128 </t>
    </r>
    <r>
      <rPr>
        <sz val="10"/>
        <rFont val="Noto Sans CJK SC"/>
        <family val="2"/>
      </rPr>
      <t xml:space="preserve">吸附柱组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吸附柱</t>
    </r>
    <r>
      <rPr>
        <sz val="10"/>
        <rFont val="Consolas"/>
        <family val="3"/>
      </rPr>
      <t>542127A–C</t>
    </r>
  </si>
  <si>
    <r>
      <rPr>
        <sz val="10"/>
        <rFont val="Consolas"/>
        <family val="3"/>
      </rPr>
      <t xml:space="preserve">:AdsorptionColumns :hasMember :AdsorptionColumns_M02 .   # R2129 </t>
    </r>
    <r>
      <rPr>
        <sz val="10"/>
        <rFont val="Noto Sans CJK SC"/>
        <family val="2"/>
      </rPr>
      <t xml:space="preserve">吸附柱组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吸附柱</t>
    </r>
    <r>
      <rPr>
        <sz val="10"/>
        <rFont val="Consolas"/>
        <family val="3"/>
      </rPr>
      <t>542128A–C</t>
    </r>
  </si>
  <si>
    <r>
      <rPr>
        <sz val="10"/>
        <rFont val="Consolas"/>
        <family val="3"/>
      </rPr>
      <t xml:space="preserve">:AdsorptionColumns :hasMember :AdsorptionColumns_M03 .   # R2130 </t>
    </r>
    <r>
      <rPr>
        <sz val="10"/>
        <rFont val="Noto Sans CJK SC"/>
        <family val="2"/>
      </rPr>
      <t xml:space="preserve">吸附柱组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吸附柱</t>
    </r>
    <r>
      <rPr>
        <sz val="10"/>
        <rFont val="Consolas"/>
        <family val="3"/>
      </rPr>
      <t>542129A–C</t>
    </r>
  </si>
  <si>
    <r>
      <rPr>
        <sz val="10"/>
        <rFont val="Consolas"/>
        <family val="3"/>
      </rPr>
      <t xml:space="preserve">:AdsorptionColumns :hasPart :AdsorptionColumns_P01 .   # R2131 </t>
    </r>
    <r>
      <rPr>
        <sz val="10"/>
        <rFont val="Noto Sans CJK SC"/>
        <family val="2"/>
      </rPr>
      <t xml:space="preserve">吸附柱组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吸附柱组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进料流量计</t>
    </r>
  </si>
  <si>
    <r>
      <rPr>
        <sz val="10"/>
        <rFont val="Consolas"/>
        <family val="3"/>
      </rPr>
      <t xml:space="preserve">:AdsorptionColumns :hasPart :AdsorptionColumns_P02 .   # R2132 </t>
    </r>
    <r>
      <rPr>
        <sz val="10"/>
        <rFont val="Noto Sans CJK SC"/>
        <family val="2"/>
      </rPr>
      <t xml:space="preserve">吸附柱组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吸附柱组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甲醇进口</t>
    </r>
  </si>
  <si>
    <r>
      <rPr>
        <sz val="10"/>
        <rFont val="Consolas"/>
        <family val="3"/>
      </rPr>
      <t xml:space="preserve">:Area_S21_AdsorptionElution :hasEquipment :ElutionCollectTanks .   # R2133 </t>
    </r>
    <r>
      <rPr>
        <sz val="10"/>
        <rFont val="Noto Sans CJK SC"/>
        <family val="2"/>
      </rPr>
      <t xml:space="preserve">吸附与树脂解析（辅助）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解析液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水洗液收集罐</t>
    </r>
  </si>
  <si>
    <r>
      <rPr>
        <sz val="10"/>
        <rFont val="Consolas"/>
        <family val="3"/>
      </rPr>
      <t xml:space="preserve">:ElutionCollectTanks :hasMember :ElutionCollectTanks_M01 .   # R2134 </t>
    </r>
    <r>
      <rPr>
        <sz val="10"/>
        <rFont val="Noto Sans CJK SC"/>
        <family val="2"/>
      </rPr>
      <t>解析液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水洗液收集罐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解析液收集罐</t>
    </r>
    <r>
      <rPr>
        <sz val="10"/>
        <rFont val="Consolas"/>
        <family val="3"/>
      </rPr>
      <t>A–C</t>
    </r>
  </si>
  <si>
    <r>
      <rPr>
        <sz val="10"/>
        <rFont val="Consolas"/>
        <family val="3"/>
      </rPr>
      <t xml:space="preserve">:ElutionCollectTanks :hasMember :ElutionCollectTanks_M02 .   # R2135 </t>
    </r>
    <r>
      <rPr>
        <sz val="10"/>
        <rFont val="Noto Sans CJK SC"/>
        <family val="2"/>
      </rPr>
      <t>解析液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水洗液收集罐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水洗液收集罐</t>
    </r>
  </si>
  <si>
    <r>
      <rPr>
        <sz val="10"/>
        <rFont val="Consolas"/>
        <family val="3"/>
      </rPr>
      <t xml:space="preserve">:ElutionCollectTanks :hasMember :ElutionCollectTanks_M03 .   # R2136 </t>
    </r>
    <r>
      <rPr>
        <sz val="10"/>
        <rFont val="Noto Sans CJK SC"/>
        <family val="2"/>
      </rPr>
      <t>解析液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水洗液收集罐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水洗液中转罐</t>
    </r>
    <r>
      <rPr>
        <sz val="10"/>
        <rFont val="Consolas"/>
        <family val="3"/>
      </rPr>
      <t>A/B</t>
    </r>
  </si>
  <si>
    <r>
      <rPr>
        <sz val="10"/>
        <rFont val="Consolas"/>
        <family val="3"/>
      </rPr>
      <t xml:space="preserve">:Area_S21_AdsorptionElution :hasEquipment :CrudeCrystallizers .   # R2137 </t>
    </r>
    <r>
      <rPr>
        <sz val="10"/>
        <rFont val="Noto Sans CJK SC"/>
        <family val="2"/>
      </rPr>
      <t xml:space="preserve">吸附与树脂解析（辅助）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粗品结晶罐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精制溶解罐</t>
    </r>
  </si>
  <si>
    <r>
      <rPr>
        <sz val="10"/>
        <rFont val="Consolas"/>
        <family val="3"/>
      </rPr>
      <t xml:space="preserve">:CrudeCrystallizers :hasMember :CrudeCrystallizers_M01 .   # R2138 </t>
    </r>
    <r>
      <rPr>
        <sz val="10"/>
        <rFont val="Noto Sans CJK SC"/>
        <family val="2"/>
      </rPr>
      <t>粗品结晶罐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精制溶解罐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粗品结晶罐</t>
    </r>
    <r>
      <rPr>
        <sz val="10"/>
        <rFont val="Consolas"/>
        <family val="3"/>
      </rPr>
      <t>A–E</t>
    </r>
  </si>
  <si>
    <r>
      <rPr>
        <sz val="10"/>
        <rFont val="Consolas"/>
        <family val="3"/>
      </rPr>
      <t xml:space="preserve">:CrudeCrystallizers :hasMember :CrudeCrystallizers_M02 .   # R2139 </t>
    </r>
    <r>
      <rPr>
        <sz val="10"/>
        <rFont val="Noto Sans CJK SC"/>
        <family val="2"/>
      </rPr>
      <t>粗品结晶罐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精制溶解罐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精制溶解罐</t>
    </r>
    <r>
      <rPr>
        <sz val="10"/>
        <rFont val="Consolas"/>
        <family val="3"/>
      </rPr>
      <t>A/B</t>
    </r>
  </si>
  <si>
    <r>
      <rPr>
        <sz val="10"/>
        <rFont val="Consolas"/>
        <family val="3"/>
      </rPr>
      <t xml:space="preserve">:CrudeCrystallizers :hasPart :CrudeCrystallizers_P01 .   # R2140 </t>
    </r>
    <r>
      <rPr>
        <sz val="10"/>
        <rFont val="Noto Sans CJK SC"/>
        <family val="2"/>
      </rPr>
      <t>粗品结晶罐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精制溶解罐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粗品结晶罐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精制溶解罐</t>
    </r>
    <r>
      <rPr>
        <sz val="10"/>
        <rFont val="Consolas"/>
        <family val="3"/>
      </rPr>
      <t>·pH</t>
    </r>
    <r>
      <rPr>
        <sz val="10"/>
        <rFont val="Noto Sans CJK SC"/>
        <family val="2"/>
      </rPr>
      <t>计</t>
    </r>
  </si>
  <si>
    <r>
      <rPr>
        <sz val="10"/>
        <rFont val="Consolas"/>
        <family val="3"/>
      </rPr>
      <t xml:space="preserve">:Area_S21_AdsorptionElution :hasEquipment :SolventMeterTanks .   # R2141 </t>
    </r>
    <r>
      <rPr>
        <sz val="10"/>
        <rFont val="Noto Sans CJK SC"/>
        <family val="2"/>
      </rPr>
      <t xml:space="preserve">吸附与树脂解析（辅助）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丙酮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甲醇计量与回收罐</t>
    </r>
  </si>
  <si>
    <r>
      <rPr>
        <sz val="10"/>
        <rFont val="Consolas"/>
        <family val="3"/>
      </rPr>
      <t xml:space="preserve">:SolventMeterTanks :hasMember :SolventMeterTanks_M01 .   # R2142 </t>
    </r>
    <r>
      <rPr>
        <sz val="10"/>
        <rFont val="Noto Sans CJK SC"/>
        <family val="2"/>
      </rPr>
      <t>丙酮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甲醇计量与回收罐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丙酮计量罐</t>
    </r>
    <r>
      <rPr>
        <sz val="10"/>
        <rFont val="Consolas"/>
        <family val="3"/>
      </rPr>
      <t>A/B</t>
    </r>
  </si>
  <si>
    <r>
      <rPr>
        <sz val="10"/>
        <rFont val="Consolas"/>
        <family val="3"/>
      </rPr>
      <t xml:space="preserve">:SolventMeterTanks :hasMember :SolventMeterTanks_M02 .   # R2143 </t>
    </r>
    <r>
      <rPr>
        <sz val="10"/>
        <rFont val="Noto Sans CJK SC"/>
        <family val="2"/>
      </rPr>
      <t>丙酮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甲醇计量与回收罐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甲醇待检罐</t>
    </r>
    <r>
      <rPr>
        <sz val="10"/>
        <rFont val="Consolas"/>
        <family val="3"/>
      </rPr>
      <t>A/B</t>
    </r>
  </si>
  <si>
    <r>
      <rPr>
        <sz val="10"/>
        <rFont val="Consolas"/>
        <family val="3"/>
      </rPr>
      <t xml:space="preserve">:SolventMeterTanks :hasMember :SolventMeterTanks_M03 .   # R2144 </t>
    </r>
    <r>
      <rPr>
        <sz val="10"/>
        <rFont val="Noto Sans CJK SC"/>
        <family val="2"/>
      </rPr>
      <t>丙酮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甲醇计量与回收罐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丙酮母液罐</t>
    </r>
    <r>
      <rPr>
        <sz val="10"/>
        <rFont val="Consolas"/>
        <family val="3"/>
      </rPr>
      <t>A/B</t>
    </r>
  </si>
  <si>
    <r>
      <rPr>
        <sz val="10"/>
        <rFont val="Consolas"/>
        <family val="3"/>
      </rPr>
      <t xml:space="preserve">:SolventMeterTanks :hasMember :SolventMeterTanks_M04 .   # R2145 </t>
    </r>
    <r>
      <rPr>
        <sz val="10"/>
        <rFont val="Noto Sans CJK SC"/>
        <family val="2"/>
      </rPr>
      <t>丙酮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甲醇计量与回收罐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丙酮待检罐</t>
    </r>
    <r>
      <rPr>
        <sz val="10"/>
        <rFont val="Consolas"/>
        <family val="3"/>
      </rPr>
      <t>A/B</t>
    </r>
  </si>
  <si>
    <r>
      <rPr>
        <sz val="10"/>
        <rFont val="Consolas"/>
        <family val="3"/>
      </rPr>
      <t xml:space="preserve">:AdsorptionColumns :hasAttribute :Attr_235 .   # R2146 </t>
    </r>
    <r>
      <rPr>
        <sz val="10"/>
        <rFont val="Noto Sans CJK SC"/>
        <family val="2"/>
      </rPr>
      <t xml:space="preserve">吸附柱组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吸附柱进料流量</t>
    </r>
  </si>
  <si>
    <r>
      <rPr>
        <sz val="10"/>
        <rFont val="Consolas"/>
        <family val="3"/>
      </rPr>
      <t xml:space="preserve">:AdsorptionColumns :hasAttribute :Attr_236 .   # R2147 </t>
    </r>
    <r>
      <rPr>
        <sz val="10"/>
        <rFont val="Noto Sans CJK SC"/>
        <family val="2"/>
      </rPr>
      <t xml:space="preserve">吸附柱组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吸附柱进甲醇流量</t>
    </r>
  </si>
  <si>
    <r>
      <rPr>
        <sz val="10"/>
        <rFont val="Consolas"/>
        <family val="3"/>
      </rPr>
      <t xml:space="preserve">:CrudeCrystallizers :hasAttribute :Attr_237 .   # R2148 </t>
    </r>
    <r>
      <rPr>
        <sz val="10"/>
        <rFont val="Noto Sans CJK SC"/>
        <family val="2"/>
      </rPr>
      <t>粗品结晶罐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精制溶解罐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粗品结晶罐</t>
    </r>
    <r>
      <rPr>
        <sz val="10"/>
        <rFont val="Consolas"/>
        <family val="3"/>
      </rPr>
      <t>pH</t>
    </r>
  </si>
  <si>
    <r>
      <rPr>
        <sz val="10"/>
        <rFont val="Consolas"/>
        <family val="3"/>
      </rPr>
      <t xml:space="preserve">:SolventMeterTanks :hasAttribute :Attr_238 .   # R2149 </t>
    </r>
    <r>
      <rPr>
        <sz val="10"/>
        <rFont val="Noto Sans CJK SC"/>
        <family val="2"/>
      </rPr>
      <t>丙酮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甲醇计量与回收罐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丙酮计量流量</t>
    </r>
  </si>
  <si>
    <r>
      <rPr>
        <sz val="10"/>
        <rFont val="Consolas"/>
        <family val="3"/>
      </rPr>
      <t xml:space="preserve">:Attr_235 :boundToTag :Tag_FIR542127A .   # R2150 </t>
    </r>
    <r>
      <rPr>
        <sz val="10"/>
        <rFont val="Noto Sans CJK SC"/>
        <family val="2"/>
      </rPr>
      <t xml:space="preserve">吸附柱进料流量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FIR542127A</t>
    </r>
  </si>
  <si>
    <r>
      <rPr>
        <sz val="10"/>
        <rFont val="Consolas"/>
        <family val="3"/>
      </rPr>
      <t xml:space="preserve">:Attr_235 :boundToTag :Tag_FIR542128A .   # R2151 </t>
    </r>
    <r>
      <rPr>
        <sz val="10"/>
        <rFont val="Noto Sans CJK SC"/>
        <family val="2"/>
      </rPr>
      <t xml:space="preserve">吸附柱进料流量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FIR542128A</t>
    </r>
  </si>
  <si>
    <r>
      <rPr>
        <sz val="10"/>
        <rFont val="Consolas"/>
        <family val="3"/>
      </rPr>
      <t xml:space="preserve">:Attr_235 :boundToTag :Tag_FIR542129A .   # R2152 </t>
    </r>
    <r>
      <rPr>
        <sz val="10"/>
        <rFont val="Noto Sans CJK SC"/>
        <family val="2"/>
      </rPr>
      <t xml:space="preserve">吸附柱进料流量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FIR542129A</t>
    </r>
  </si>
  <si>
    <r>
      <rPr>
        <sz val="10"/>
        <rFont val="Consolas"/>
        <family val="3"/>
      </rPr>
      <t xml:space="preserve">:Attr_236 :boundToTag :Tag_FIR542133A .   # R2153 </t>
    </r>
    <r>
      <rPr>
        <sz val="10"/>
        <rFont val="Noto Sans CJK SC"/>
        <family val="2"/>
      </rPr>
      <t xml:space="preserve">吸附柱进甲醇流量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FIR542133A</t>
    </r>
  </si>
  <si>
    <r>
      <rPr>
        <sz val="10"/>
        <rFont val="Consolas"/>
        <family val="3"/>
      </rPr>
      <t xml:space="preserve">:Attr_236 :boundToTag :Tag_FIR542134A .   # R2154 </t>
    </r>
    <r>
      <rPr>
        <sz val="10"/>
        <rFont val="Noto Sans CJK SC"/>
        <family val="2"/>
      </rPr>
      <t xml:space="preserve">吸附柱进甲醇流量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FIR542134A</t>
    </r>
  </si>
  <si>
    <r>
      <rPr>
        <sz val="10"/>
        <rFont val="Consolas"/>
        <family val="3"/>
      </rPr>
      <t xml:space="preserve">:Attr_236 :boundToTag :Tag_FIR542135A .   # R2155 </t>
    </r>
    <r>
      <rPr>
        <sz val="10"/>
        <rFont val="Noto Sans CJK SC"/>
        <family val="2"/>
      </rPr>
      <t xml:space="preserve">吸附柱进甲醇流量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FIR542135A</t>
    </r>
  </si>
  <si>
    <r>
      <rPr>
        <sz val="10"/>
        <rFont val="Consolas"/>
        <family val="3"/>
      </rPr>
      <t xml:space="preserve">:Attr_237 :boundToTag :Tag_APHIR542120A .   # R2156 </t>
    </r>
    <r>
      <rPr>
        <sz val="10"/>
        <rFont val="Noto Sans CJK SC"/>
        <family val="2"/>
      </rPr>
      <t>粗品结晶罐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APHIR542120A</t>
    </r>
  </si>
  <si>
    <r>
      <rPr>
        <sz val="10"/>
        <rFont val="Consolas"/>
        <family val="3"/>
      </rPr>
      <t xml:space="preserve">:Attr_237 :boundToTag :Tag_APHIR542120B .   # R2157 </t>
    </r>
    <r>
      <rPr>
        <sz val="10"/>
        <rFont val="Noto Sans CJK SC"/>
        <family val="2"/>
      </rPr>
      <t>粗品结晶罐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APHIR542120B</t>
    </r>
  </si>
  <si>
    <r>
      <rPr>
        <sz val="10"/>
        <rFont val="Consolas"/>
        <family val="3"/>
      </rPr>
      <t xml:space="preserve">:Attr_237 :boundToTag :Tag_APHIR542120C .   # R2158 </t>
    </r>
    <r>
      <rPr>
        <sz val="10"/>
        <rFont val="Noto Sans CJK SC"/>
        <family val="2"/>
      </rPr>
      <t>粗品结晶罐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APHIR542120C</t>
    </r>
  </si>
  <si>
    <r>
      <rPr>
        <sz val="10"/>
        <rFont val="Consolas"/>
        <family val="3"/>
      </rPr>
      <t xml:space="preserve">:Attr_237 :boundToTag :Tag_APHIR542120D .   # R2159 </t>
    </r>
    <r>
      <rPr>
        <sz val="10"/>
        <rFont val="Noto Sans CJK SC"/>
        <family val="2"/>
      </rPr>
      <t>粗品结晶罐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APHIR542120D</t>
    </r>
  </si>
  <si>
    <r>
      <rPr>
        <sz val="10"/>
        <rFont val="Consolas"/>
        <family val="3"/>
      </rPr>
      <t xml:space="preserve">:Attr_237 :boundToTag :Tag_APHIR542120E .   # R2160 </t>
    </r>
    <r>
      <rPr>
        <sz val="10"/>
        <rFont val="Noto Sans CJK SC"/>
        <family val="2"/>
      </rPr>
      <t>粗品结晶罐</t>
    </r>
    <r>
      <rPr>
        <sz val="10"/>
        <rFont val="Consolas"/>
        <family val="3"/>
      </rPr>
      <t>pH 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APHIR542120E</t>
    </r>
  </si>
  <si>
    <r>
      <rPr>
        <sz val="10"/>
        <rFont val="Consolas"/>
        <family val="3"/>
      </rPr>
      <t xml:space="preserve">:Attr_238 :boundToTag :Tag_FIR542136A .   # R2161 </t>
    </r>
    <r>
      <rPr>
        <sz val="10"/>
        <rFont val="Noto Sans CJK SC"/>
        <family val="2"/>
      </rPr>
      <t xml:space="preserve">丙酮计量流量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FIR542136A</t>
    </r>
  </si>
  <si>
    <r>
      <rPr>
        <sz val="10"/>
        <rFont val="Consolas"/>
        <family val="3"/>
      </rPr>
      <t xml:space="preserve">:Attr_238 :boundToTag :Tag_FIR542136B .   # R2162 </t>
    </r>
    <r>
      <rPr>
        <sz val="10"/>
        <rFont val="Noto Sans CJK SC"/>
        <family val="2"/>
      </rPr>
      <t xml:space="preserve">丙酮计量流量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FIR542136B</t>
    </r>
  </si>
  <si>
    <r>
      <rPr>
        <sz val="10"/>
        <rFont val="Consolas"/>
        <family val="3"/>
      </rPr>
      <t xml:space="preserve">:AdsorptionColumns :connectedToNext :ElutionCollectTanks .   # R2163 </t>
    </r>
    <r>
      <rPr>
        <sz val="10"/>
        <rFont val="Noto Sans CJK SC"/>
        <family val="2"/>
      </rPr>
      <t xml:space="preserve">吸附柱组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解析液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水洗液收集罐</t>
    </r>
  </si>
  <si>
    <r>
      <rPr>
        <sz val="10"/>
        <rFont val="Consolas"/>
        <family val="3"/>
      </rPr>
      <t xml:space="preserve">:SolventMeterTanks :connectedToNext :AdsorptionColumns .   # R2164 </t>
    </r>
    <r>
      <rPr>
        <sz val="10"/>
        <rFont val="Noto Sans CJK SC"/>
        <family val="2"/>
      </rPr>
      <t>丙酮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甲醇计量与回收罐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吸附柱组</t>
    </r>
  </si>
  <si>
    <r>
      <rPr>
        <sz val="10"/>
        <rFont val="Consolas"/>
        <family val="3"/>
      </rPr>
      <t xml:space="preserve">:ElutionCollectTanks :connectedToNext :CrudeCrystallizers .   # R2165 </t>
    </r>
    <r>
      <rPr>
        <sz val="10"/>
        <rFont val="Noto Sans CJK SC"/>
        <family val="2"/>
      </rPr>
      <t>解析液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水洗液收集罐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粗品结晶罐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精制溶解罐</t>
    </r>
  </si>
  <si>
    <r>
      <rPr>
        <sz val="10"/>
        <rFont val="Consolas"/>
        <family val="3"/>
      </rPr>
      <t xml:space="preserve">
# --- S22 </t>
    </r>
    <r>
      <rPr>
        <sz val="10"/>
        <rFont val="Noto Sans CJK SC"/>
        <family val="2"/>
      </rPr>
      <t xml:space="preserve">公用工程 </t>
    </r>
    <r>
      <rPr>
        <sz val="10"/>
        <rFont val="Consolas"/>
        <family val="3"/>
      </rPr>
      <t>---</t>
    </r>
  </si>
  <si>
    <r>
      <rPr>
        <sz val="10"/>
        <rFont val="Consolas"/>
        <family val="3"/>
      </rPr>
      <t xml:space="preserve">:Area_S22_Utilities :connectedToNext :Area_S12_PAAExtraction .   # R2166 </t>
    </r>
    <r>
      <rPr>
        <sz val="10"/>
        <rFont val="Noto Sans CJK SC"/>
        <family val="2"/>
      </rPr>
      <t xml:space="preserve">公用工程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萃取与反萃（苯乙酸分离）</t>
    </r>
  </si>
  <si>
    <r>
      <rPr>
        <sz val="10"/>
        <rFont val="Consolas"/>
        <family val="3"/>
      </rPr>
      <t xml:space="preserve">:Area_S22_Utilities :connectedToNext :Area_S09_ThinFilmEvaporation .   # R2167 </t>
    </r>
    <r>
      <rPr>
        <sz val="10"/>
        <rFont val="Noto Sans CJK SC"/>
        <family val="2"/>
      </rPr>
      <t xml:space="preserve">公用工程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薄膜蒸发（</t>
    </r>
    <r>
      <rPr>
        <sz val="10"/>
        <rFont val="Consolas"/>
        <family val="3"/>
      </rPr>
      <t>RB</t>
    </r>
    <r>
      <rPr>
        <sz val="10"/>
        <rFont val="Noto Sans CJK SC"/>
        <family val="2"/>
      </rPr>
      <t>脱溶）</t>
    </r>
  </si>
  <si>
    <r>
      <rPr>
        <sz val="10"/>
        <rFont val="Consolas"/>
        <family val="3"/>
      </rPr>
      <t xml:space="preserve">:Area_S22_Utilities :connectedToNext :Area_S14_ContinuousCrystallization .   # R2168 </t>
    </r>
    <r>
      <rPr>
        <sz val="10"/>
        <rFont val="Noto Sans CJK SC"/>
        <family val="2"/>
      </rPr>
      <t xml:space="preserve">公用工程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连续结晶</t>
    </r>
  </si>
  <si>
    <r>
      <rPr>
        <sz val="10"/>
        <rFont val="Consolas"/>
        <family val="3"/>
      </rPr>
      <t xml:space="preserve">:Area_S22_Utilities :connectedToNext :Area_S16_Drying .   # R2169 </t>
    </r>
    <r>
      <rPr>
        <sz val="10"/>
        <rFont val="Noto Sans CJK SC"/>
        <family val="2"/>
      </rPr>
      <t xml:space="preserve">公用工程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干燥</t>
    </r>
  </si>
  <si>
    <r>
      <rPr>
        <sz val="10"/>
        <rFont val="Consolas"/>
        <family val="3"/>
      </rPr>
      <t xml:space="preserve">:Area_S22_Utilities :hasEquipment :ChilledWaterSystem .   # R2170 </t>
    </r>
    <r>
      <rPr>
        <sz val="10"/>
        <rFont val="Noto Sans CJK SC"/>
        <family val="2"/>
      </rPr>
      <t xml:space="preserve">公用工程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冷冻水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冷盐水系统</t>
    </r>
  </si>
  <si>
    <r>
      <rPr>
        <sz val="10"/>
        <rFont val="Consolas"/>
        <family val="3"/>
      </rPr>
      <t xml:space="preserve">:ChilledWaterSystem :hasMember :ChilledWaterSystem_M01 .   # R2171 </t>
    </r>
    <r>
      <rPr>
        <sz val="10"/>
        <rFont val="Noto Sans CJK SC"/>
        <family val="2"/>
      </rPr>
      <t>冷冻水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冷盐水系统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冷盐水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冰盐水</t>
    </r>
    <r>
      <rPr>
        <sz val="10"/>
        <rFont val="Consolas"/>
        <family val="3"/>
      </rPr>
      <t>)</t>
    </r>
    <r>
      <rPr>
        <sz val="10"/>
        <rFont val="Noto Sans CJK SC"/>
        <family val="2"/>
      </rPr>
      <t>管网</t>
    </r>
  </si>
  <si>
    <r>
      <rPr>
        <sz val="10"/>
        <rFont val="Consolas"/>
        <family val="3"/>
      </rPr>
      <t xml:space="preserve">:ChilledWaterSystem :hasMember :ChilledWaterSystem_M02 .   # R2172 </t>
    </r>
    <r>
      <rPr>
        <sz val="10"/>
        <rFont val="Noto Sans CJK SC"/>
        <family val="2"/>
      </rPr>
      <t>冷冻水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冷盐水系统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7℃</t>
    </r>
    <r>
      <rPr>
        <sz val="10"/>
        <rFont val="Noto Sans CJK SC"/>
        <family val="2"/>
      </rPr>
      <t>水管网</t>
    </r>
  </si>
  <si>
    <r>
      <rPr>
        <sz val="10"/>
        <rFont val="Consolas"/>
        <family val="3"/>
      </rPr>
      <t xml:space="preserve">:ChilledWaterSystem :hasPart :ChilledWaterSystem_P01 .   # R2173 </t>
    </r>
    <r>
      <rPr>
        <sz val="10"/>
        <rFont val="Noto Sans CJK SC"/>
        <family val="2"/>
      </rPr>
      <t>冷冻水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冷盐水系统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冷冻水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冷盐水系统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冷盐水总阀</t>
    </r>
    <r>
      <rPr>
        <sz val="10"/>
        <rFont val="Consolas"/>
        <family val="3"/>
      </rPr>
      <t>HV_1010</t>
    </r>
  </si>
  <si>
    <r>
      <rPr>
        <sz val="10"/>
        <rFont val="Consolas"/>
        <family val="3"/>
      </rPr>
      <t xml:space="preserve">:Area_S22_Utilities :hasEquipment :SteamCondensateSystem .   # R2174 </t>
    </r>
    <r>
      <rPr>
        <sz val="10"/>
        <rFont val="Noto Sans CJK SC"/>
        <family val="2"/>
      </rPr>
      <t xml:space="preserve">公用工程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蒸汽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冷凝水系统</t>
    </r>
  </si>
  <si>
    <r>
      <rPr>
        <sz val="10"/>
        <rFont val="Consolas"/>
        <family val="3"/>
      </rPr>
      <t xml:space="preserve">:SteamCondensateSystem :hasPart :SteamCondensateSystem_P01 .   # R2175 </t>
    </r>
    <r>
      <rPr>
        <sz val="10"/>
        <rFont val="Noto Sans CJK SC"/>
        <family val="2"/>
      </rPr>
      <t>蒸汽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冷凝水系统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蒸汽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冷凝水系统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冷凝水泵</t>
    </r>
  </si>
  <si>
    <r>
      <rPr>
        <sz val="10"/>
        <rFont val="Consolas"/>
        <family val="3"/>
      </rPr>
      <t xml:space="preserve">:SteamCondensateSystem :hasPart :SteamCondensateSystem_P02 .   # R2176 </t>
    </r>
    <r>
      <rPr>
        <sz val="10"/>
        <rFont val="Noto Sans CJK SC"/>
        <family val="2"/>
      </rPr>
      <t>蒸汽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冷凝水系统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蒸汽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冷凝水系统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暖器水罐</t>
    </r>
  </si>
  <si>
    <r>
      <rPr>
        <sz val="10"/>
        <rFont val="Consolas"/>
        <family val="3"/>
      </rPr>
      <t xml:space="preserve">:Area_S22_Utilities :hasEquipment :ProcessWaterSystem .   # R2177 </t>
    </r>
    <r>
      <rPr>
        <sz val="10"/>
        <rFont val="Noto Sans CJK SC"/>
        <family val="2"/>
      </rPr>
      <t xml:space="preserve">公用工程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工艺水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软水系统</t>
    </r>
  </si>
  <si>
    <r>
      <rPr>
        <sz val="10"/>
        <rFont val="Consolas"/>
        <family val="3"/>
      </rPr>
      <t xml:space="preserve">:ProcessWaterSystem :hasPart :ProcessWaterSystem_P01 .   # R2178 </t>
    </r>
    <r>
      <rPr>
        <sz val="10"/>
        <rFont val="Noto Sans CJK SC"/>
        <family val="2"/>
      </rPr>
      <t>工艺水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软水系统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工艺水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软水系统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软水泵</t>
    </r>
  </si>
  <si>
    <r>
      <rPr>
        <sz val="10"/>
        <rFont val="Consolas"/>
        <family val="3"/>
      </rPr>
      <t xml:space="preserve">:ProcessWaterSystem :hasPart :ProcessWaterSystem_P02 .   # R2179 </t>
    </r>
    <r>
      <rPr>
        <sz val="10"/>
        <rFont val="Noto Sans CJK SC"/>
        <family val="2"/>
      </rPr>
      <t>工艺水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软水系统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工艺水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软水系统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软水总阀</t>
    </r>
  </si>
  <si>
    <r>
      <rPr>
        <sz val="10"/>
        <rFont val="Consolas"/>
        <family val="3"/>
      </rPr>
      <t xml:space="preserve">:Area_S22_Utilities :hasEquipment :HVACSystem .   # R2180 </t>
    </r>
    <r>
      <rPr>
        <sz val="10"/>
        <rFont val="Noto Sans CJK SC"/>
        <family val="2"/>
      </rPr>
      <t xml:space="preserve">公用工程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车间暖通排风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送风系统</t>
    </r>
  </si>
  <si>
    <r>
      <rPr>
        <sz val="10"/>
        <rFont val="Consolas"/>
        <family val="3"/>
      </rPr>
      <t xml:space="preserve">:HVACSystem :hasMember :HVACSystem_M01 .   # R2181 </t>
    </r>
    <r>
      <rPr>
        <sz val="10"/>
        <rFont val="Noto Sans CJK SC"/>
        <family val="2"/>
      </rPr>
      <t>车间暖通排风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送风系统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F1–F5</t>
    </r>
    <r>
      <rPr>
        <sz val="10"/>
        <rFont val="Noto Sans CJK SC"/>
        <family val="2"/>
      </rPr>
      <t>排风机</t>
    </r>
  </si>
  <si>
    <r>
      <rPr>
        <sz val="10"/>
        <rFont val="Consolas"/>
        <family val="3"/>
      </rPr>
      <t xml:space="preserve">:HVACSystem :hasMember :HVACSystem_M02 .   # R2182 </t>
    </r>
    <r>
      <rPr>
        <sz val="10"/>
        <rFont val="Noto Sans CJK SC"/>
        <family val="2"/>
      </rPr>
      <t>车间暖通排风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送风系统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P1–P11/S1–S14</t>
    </r>
    <r>
      <rPr>
        <sz val="10"/>
        <rFont val="Noto Sans CJK SC"/>
        <family val="2"/>
      </rPr>
      <t>变频器</t>
    </r>
  </si>
  <si>
    <r>
      <rPr>
        <sz val="10"/>
        <rFont val="Consolas"/>
        <family val="3"/>
      </rPr>
      <t xml:space="preserve">:HVACSystem :hasMember :HVACSystem_M03 .   # R2183 </t>
    </r>
    <r>
      <rPr>
        <sz val="10"/>
        <rFont val="Noto Sans CJK SC"/>
        <family val="2"/>
      </rPr>
      <t>车间暖通排风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送风系统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>-&gt; 101–115</t>
    </r>
    <r>
      <rPr>
        <sz val="10"/>
        <rFont val="Noto Sans CJK SC"/>
        <family val="2"/>
      </rPr>
      <t>送风管</t>
    </r>
  </si>
  <si>
    <r>
      <rPr>
        <sz val="10"/>
        <rFont val="Consolas"/>
        <family val="3"/>
      </rPr>
      <t xml:space="preserve">:HVACSystem :hasPart :HVACSystem_P01 .   # R2184 </t>
    </r>
    <r>
      <rPr>
        <sz val="10"/>
        <rFont val="Noto Sans CJK SC"/>
        <family val="2"/>
      </rPr>
      <t>车间暖通排风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送风系统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车间暖通排风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送风系统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电动调节阀</t>
    </r>
    <r>
      <rPr>
        <sz val="10"/>
        <rFont val="Consolas"/>
        <family val="3"/>
      </rPr>
      <t>DV_101~118</t>
    </r>
  </si>
  <si>
    <r>
      <rPr>
        <sz val="10"/>
        <rFont val="Consolas"/>
        <family val="3"/>
      </rPr>
      <t xml:space="preserve">:Area_S22_Utilities :hasEquipment :InstrumentAirSystem .   # R2185 </t>
    </r>
    <r>
      <rPr>
        <sz val="10"/>
        <rFont val="Noto Sans CJK SC"/>
        <family val="2"/>
      </rPr>
      <t xml:space="preserve">公用工程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压缩空气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仪表气系统</t>
    </r>
  </si>
  <si>
    <r>
      <rPr>
        <sz val="10"/>
        <rFont val="Consolas"/>
        <family val="3"/>
      </rPr>
      <t xml:space="preserve">:InstrumentAirSystem :hasMember :InstrumentAirSystem_M01 .   # R2186 </t>
    </r>
    <r>
      <rPr>
        <sz val="10"/>
        <rFont val="Noto Sans CJK SC"/>
        <family val="2"/>
      </rPr>
      <t>压缩空气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仪表气系统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压缩空气罐</t>
    </r>
  </si>
  <si>
    <r>
      <rPr>
        <sz val="10"/>
        <rFont val="Consolas"/>
        <family val="3"/>
      </rPr>
      <t xml:space="preserve">:InstrumentAirSystem :hasMember :InstrumentAirSystem_M02 .   # R2187 </t>
    </r>
    <r>
      <rPr>
        <sz val="10"/>
        <rFont val="Noto Sans CJK SC"/>
        <family val="2"/>
      </rPr>
      <t>压缩空气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仪表气系统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仪表气罐</t>
    </r>
  </si>
  <si>
    <r>
      <rPr>
        <sz val="10"/>
        <rFont val="Consolas"/>
        <family val="3"/>
      </rPr>
      <t xml:space="preserve">:ChilledWaterSystem :hasAttribute :Attr_239 .   # R2188 </t>
    </r>
    <r>
      <rPr>
        <sz val="10"/>
        <rFont val="Noto Sans CJK SC"/>
        <family val="2"/>
      </rPr>
      <t>冷冻水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冷盐水系统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冰盐水流量</t>
    </r>
  </si>
  <si>
    <r>
      <rPr>
        <sz val="10"/>
        <rFont val="Consolas"/>
        <family val="3"/>
      </rPr>
      <t xml:space="preserve">:ChilledWaterSystem :hasAttribute :Attr_240 .   # R2189 </t>
    </r>
    <r>
      <rPr>
        <sz val="10"/>
        <rFont val="Noto Sans CJK SC"/>
        <family val="2"/>
      </rPr>
      <t>冷冻水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冷盐水系统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7℃</t>
    </r>
    <r>
      <rPr>
        <sz val="10"/>
        <rFont val="Noto Sans CJK SC"/>
        <family val="2"/>
      </rPr>
      <t>水流量</t>
    </r>
  </si>
  <si>
    <r>
      <rPr>
        <sz val="10"/>
        <rFont val="Consolas"/>
        <family val="3"/>
      </rPr>
      <t xml:space="preserve">:ChilledWaterSystem :hasAttribute :Attr_241 .   # R2190 </t>
    </r>
    <r>
      <rPr>
        <sz val="10"/>
        <rFont val="Noto Sans CJK SC"/>
        <family val="2"/>
      </rPr>
      <t>冷冻水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冷盐水系统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>-&gt; 7℃</t>
    </r>
    <r>
      <rPr>
        <sz val="10"/>
        <rFont val="Noto Sans CJK SC"/>
        <family val="2"/>
      </rPr>
      <t>水压力</t>
    </r>
  </si>
  <si>
    <r>
      <rPr>
        <sz val="10"/>
        <rFont val="Consolas"/>
        <family val="3"/>
      </rPr>
      <t xml:space="preserve">:SteamCondensateSystem :hasAttribute :Attr_242 .   # R2191 </t>
    </r>
    <r>
      <rPr>
        <sz val="10"/>
        <rFont val="Noto Sans CJK SC"/>
        <family val="2"/>
      </rPr>
      <t>蒸汽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冷凝水系统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锅炉去冷凝水流量</t>
    </r>
  </si>
  <si>
    <r>
      <rPr>
        <sz val="10"/>
        <rFont val="Consolas"/>
        <family val="3"/>
      </rPr>
      <t xml:space="preserve">:ProcessWaterSystem :hasAttribute :Attr_243 .   # R2192 </t>
    </r>
    <r>
      <rPr>
        <sz val="10"/>
        <rFont val="Noto Sans CJK SC"/>
        <family val="2"/>
      </rPr>
      <t>工艺水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软水系统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工艺水流量</t>
    </r>
  </si>
  <si>
    <r>
      <rPr>
        <sz val="10"/>
        <rFont val="Consolas"/>
        <family val="3"/>
      </rPr>
      <t xml:space="preserve">:HVACSystem :hasAttribute :Attr_244 .   # R2193 </t>
    </r>
    <r>
      <rPr>
        <sz val="10"/>
        <rFont val="Noto Sans CJK SC"/>
        <family val="2"/>
      </rPr>
      <t>车间暖通排风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送风系统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送风管温度</t>
    </r>
  </si>
  <si>
    <r>
      <rPr>
        <sz val="10"/>
        <rFont val="Consolas"/>
        <family val="3"/>
      </rPr>
      <t xml:space="preserve">:HVACSystem :hasAttribute :Attr_245 .   # R2194 </t>
    </r>
    <r>
      <rPr>
        <sz val="10"/>
        <rFont val="Noto Sans CJK SC"/>
        <family val="2"/>
      </rPr>
      <t>车间暖通排风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送风系统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送风管湿度</t>
    </r>
  </si>
  <si>
    <r>
      <rPr>
        <sz val="10"/>
        <rFont val="Consolas"/>
        <family val="3"/>
      </rPr>
      <t xml:space="preserve">:Attr_239 :boundToTag :Tag_FT_BYSC .   # R2195 </t>
    </r>
    <r>
      <rPr>
        <sz val="10"/>
        <rFont val="Noto Sans CJK SC"/>
        <family val="2"/>
      </rPr>
      <t xml:space="preserve">冰盐水流量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FT_BYSC</t>
    </r>
  </si>
  <si>
    <r>
      <rPr>
        <sz val="10"/>
        <rFont val="Consolas"/>
        <family val="3"/>
      </rPr>
      <t>:Attr_240 :boundToTag :Tag_FT_7DSC .   # R2196 7℃</t>
    </r>
    <r>
      <rPr>
        <sz val="10"/>
        <rFont val="Noto Sans CJK SC"/>
        <family val="2"/>
      </rPr>
      <t xml:space="preserve">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FT_7DSC</t>
    </r>
  </si>
  <si>
    <r>
      <rPr>
        <sz val="10"/>
        <rFont val="Consolas"/>
        <family val="3"/>
      </rPr>
      <t>:Attr_240 :boundToTag :Tag_FI7AI .   # R2197 7℃</t>
    </r>
    <r>
      <rPr>
        <sz val="10"/>
        <rFont val="Noto Sans CJK SC"/>
        <family val="2"/>
      </rPr>
      <t xml:space="preserve">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FI7AI</t>
    </r>
  </si>
  <si>
    <r>
      <rPr>
        <sz val="10"/>
        <rFont val="Consolas"/>
        <family val="3"/>
      </rPr>
      <t>:Attr_241 :boundToTag :Tag_PI7AI .   # R2198 7℃</t>
    </r>
    <r>
      <rPr>
        <sz val="10"/>
        <rFont val="Noto Sans CJK SC"/>
        <family val="2"/>
      </rPr>
      <t xml:space="preserve">水压力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PI7AI</t>
    </r>
  </si>
  <si>
    <r>
      <rPr>
        <sz val="10"/>
        <rFont val="Consolas"/>
        <family val="3"/>
      </rPr>
      <t>:Attr_241 :boundToTag :Tag_PT_3079 .   # R2199 7℃</t>
    </r>
    <r>
      <rPr>
        <sz val="10"/>
        <rFont val="Noto Sans CJK SC"/>
        <family val="2"/>
      </rPr>
      <t xml:space="preserve">水压力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PT_3079</t>
    </r>
  </si>
  <si>
    <r>
      <rPr>
        <sz val="10"/>
        <rFont val="Consolas"/>
        <family val="3"/>
      </rPr>
      <t xml:space="preserve">:Attr_242 :boundToTag :Tag_GLFIETZQAI .   # R2200 </t>
    </r>
    <r>
      <rPr>
        <sz val="10"/>
        <rFont val="Noto Sans CJK SC"/>
        <family val="2"/>
      </rPr>
      <t xml:space="preserve">锅炉去冷凝水流量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GLFIETZQAI</t>
    </r>
  </si>
  <si>
    <r>
      <rPr>
        <sz val="10"/>
        <rFont val="Consolas"/>
        <family val="3"/>
      </rPr>
      <t xml:space="preserve">:Attr_243 :boundToTag :Tag_FIT3118 .   # R2201 </t>
    </r>
    <r>
      <rPr>
        <sz val="10"/>
        <rFont val="Noto Sans CJK SC"/>
        <family val="2"/>
      </rPr>
      <t xml:space="preserve">工艺水流量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FIT3118</t>
    </r>
  </si>
  <si>
    <r>
      <rPr>
        <sz val="10"/>
        <rFont val="Consolas"/>
        <family val="3"/>
      </rPr>
      <t xml:space="preserve">:Attr_244 :boundToTag :Tag_WS_101_01 .   # R2202 </t>
    </r>
    <r>
      <rPr>
        <sz val="10"/>
        <rFont val="Noto Sans CJK SC"/>
        <family val="2"/>
      </rPr>
      <t xml:space="preserve">送风管温度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WS_101_01</t>
    </r>
  </si>
  <si>
    <r>
      <rPr>
        <sz val="10"/>
        <rFont val="Consolas"/>
        <family val="3"/>
      </rPr>
      <t xml:space="preserve">:Attr_244 :boundToTag :Tag_WS_102_01 .   # R2203 </t>
    </r>
    <r>
      <rPr>
        <sz val="10"/>
        <rFont val="Noto Sans CJK SC"/>
        <family val="2"/>
      </rPr>
      <t xml:space="preserve">送风管温度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WS_102_01</t>
    </r>
  </si>
  <si>
    <r>
      <rPr>
        <sz val="10"/>
        <rFont val="Consolas"/>
        <family val="3"/>
      </rPr>
      <t xml:space="preserve">:Attr_244 :boundToTag :Tag_WS_103_01 .   # R2204 </t>
    </r>
    <r>
      <rPr>
        <sz val="10"/>
        <rFont val="Noto Sans CJK SC"/>
        <family val="2"/>
      </rPr>
      <t xml:space="preserve">送风管温度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WS_103_01</t>
    </r>
  </si>
  <si>
    <r>
      <rPr>
        <sz val="10"/>
        <rFont val="Consolas"/>
        <family val="3"/>
      </rPr>
      <t xml:space="preserve">:Attr_245 :boundToTag :Tag_WS_101_02 .   # R2205 </t>
    </r>
    <r>
      <rPr>
        <sz val="10"/>
        <rFont val="Noto Sans CJK SC"/>
        <family val="2"/>
      </rPr>
      <t xml:space="preserve">送风管湿度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WS_101_02</t>
    </r>
  </si>
  <si>
    <r>
      <rPr>
        <sz val="10"/>
        <rFont val="Consolas"/>
        <family val="3"/>
      </rPr>
      <t xml:space="preserve">:Attr_245 :boundToTag :Tag_WS_102_02 .   # R2206 </t>
    </r>
    <r>
      <rPr>
        <sz val="10"/>
        <rFont val="Noto Sans CJK SC"/>
        <family val="2"/>
      </rPr>
      <t xml:space="preserve">送风管湿度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WS_102_02</t>
    </r>
  </si>
  <si>
    <r>
      <rPr>
        <sz val="10"/>
        <rFont val="Consolas"/>
        <family val="3"/>
      </rPr>
      <t xml:space="preserve">:Attr_245 :boundToTag :Tag_WS_103_02 .   # R2207 </t>
    </r>
    <r>
      <rPr>
        <sz val="10"/>
        <rFont val="Noto Sans CJK SC"/>
        <family val="2"/>
      </rPr>
      <t xml:space="preserve">送风管湿度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WS_103_02</t>
    </r>
  </si>
  <si>
    <r>
      <rPr>
        <sz val="10"/>
        <rFont val="Consolas"/>
        <family val="3"/>
      </rPr>
      <t xml:space="preserve">:ChilledWaterSystem :produces :MS_Brine .   # R2208 </t>
    </r>
    <r>
      <rPr>
        <sz val="10"/>
        <rFont val="Noto Sans CJK SC"/>
        <family val="2"/>
      </rPr>
      <t>冷冻水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冷盐水系统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冷盐水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冰盐水</t>
    </r>
  </si>
  <si>
    <r>
      <rPr>
        <sz val="10"/>
        <rFont val="Consolas"/>
        <family val="3"/>
      </rPr>
      <t xml:space="preserve">:ChilledWaterSystem :produces :MS_ChilledWater7 .   # R2209 </t>
    </r>
    <r>
      <rPr>
        <sz val="10"/>
        <rFont val="Noto Sans CJK SC"/>
        <family val="2"/>
      </rPr>
      <t>冷冻水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冷盐水系统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>-&gt; 7℃</t>
    </r>
    <r>
      <rPr>
        <sz val="10"/>
        <rFont val="Noto Sans CJK SC"/>
        <family val="2"/>
      </rPr>
      <t>水</t>
    </r>
  </si>
  <si>
    <r>
      <rPr>
        <sz val="10"/>
        <rFont val="Consolas"/>
        <family val="3"/>
      </rPr>
      <t xml:space="preserve">:SteamCondensateSystem :produces :MS_Steam .   # R2210 </t>
    </r>
    <r>
      <rPr>
        <sz val="10"/>
        <rFont val="Noto Sans CJK SC"/>
        <family val="2"/>
      </rPr>
      <t>蒸汽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冷凝水系统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蒸汽</t>
    </r>
  </si>
  <si>
    <r>
      <rPr>
        <sz val="10"/>
        <rFont val="Consolas"/>
        <family val="3"/>
      </rPr>
      <t xml:space="preserve">:ProcessWaterSystem :produces :MS_SoftWater .   # R2211 </t>
    </r>
    <r>
      <rPr>
        <sz val="10"/>
        <rFont val="Noto Sans CJK SC"/>
        <family val="2"/>
      </rPr>
      <t>工艺水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软水系统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软水</t>
    </r>
  </si>
  <si>
    <r>
      <rPr>
        <sz val="10"/>
        <rFont val="Consolas"/>
        <family val="3"/>
      </rPr>
      <t xml:space="preserve">:InstrumentAirSystem :produces :MS_CompAir .   # R2212 </t>
    </r>
    <r>
      <rPr>
        <sz val="10"/>
        <rFont val="Noto Sans CJK SC"/>
        <family val="2"/>
      </rPr>
      <t>压缩空气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仪表气系统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产出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压缩空气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仪表气</t>
    </r>
  </si>
  <si>
    <r>
      <rPr>
        <sz val="10"/>
        <rFont val="Consolas"/>
        <family val="3"/>
      </rPr>
      <t>:Attr_241 :negativelyAffects :Attr_097 .   # R2213 7℃</t>
    </r>
    <r>
      <rPr>
        <sz val="10"/>
        <rFont val="Noto Sans CJK SC"/>
        <family val="2"/>
      </rPr>
      <t xml:space="preserve">水压力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冷凝器出口温度</t>
    </r>
  </si>
  <si>
    <r>
      <rPr>
        <sz val="10"/>
        <rFont val="Consolas"/>
        <family val="3"/>
      </rPr>
      <t xml:space="preserve">:Attr_239 :negativelyAffects :Attr_133 .   # R2214 </t>
    </r>
    <r>
      <rPr>
        <sz val="10"/>
        <rFont val="Noto Sans CJK SC"/>
        <family val="2"/>
      </rPr>
      <t xml:space="preserve">冰盐水流量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水解进料换热温度</t>
    </r>
  </si>
  <si>
    <r>
      <rPr>
        <sz val="10"/>
        <rFont val="Consolas"/>
        <family val="3"/>
      </rPr>
      <t xml:space="preserve">
# --- S23 </t>
    </r>
    <r>
      <rPr>
        <sz val="10"/>
        <rFont val="Noto Sans CJK SC"/>
        <family val="2"/>
      </rPr>
      <t xml:space="preserve">尾气与环保 </t>
    </r>
    <r>
      <rPr>
        <sz val="10"/>
        <rFont val="Consolas"/>
        <family val="3"/>
      </rPr>
      <t>---</t>
    </r>
  </si>
  <si>
    <r>
      <rPr>
        <sz val="10"/>
        <rFont val="Consolas"/>
        <family val="3"/>
      </rPr>
      <t xml:space="preserve">:Area_S23_OffgasTreatment :hasEquipment :OffgasCompressors .   # R2215 </t>
    </r>
    <r>
      <rPr>
        <sz val="10"/>
        <rFont val="Noto Sans CJK SC"/>
        <family val="2"/>
      </rPr>
      <t xml:space="preserve">尾气与环保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尾气压缩机组</t>
    </r>
  </si>
  <si>
    <r>
      <rPr>
        <sz val="10"/>
        <rFont val="Consolas"/>
        <family val="3"/>
      </rPr>
      <t xml:space="preserve">:OffgasCompressors :hasMember :OffgasCompressors_M01 .   # R2216 </t>
    </r>
    <r>
      <rPr>
        <sz val="10"/>
        <rFont val="Noto Sans CJK SC"/>
        <family val="2"/>
      </rPr>
      <t xml:space="preserve">尾气压缩机组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尾气压缩机</t>
    </r>
    <r>
      <rPr>
        <sz val="10"/>
        <rFont val="Consolas"/>
        <family val="3"/>
      </rPr>
      <t>A</t>
    </r>
  </si>
  <si>
    <r>
      <rPr>
        <sz val="10"/>
        <rFont val="Consolas"/>
        <family val="3"/>
      </rPr>
      <t xml:space="preserve">:OffgasCompressors :hasMember :OffgasCompressors_M02 .   # R2217 </t>
    </r>
    <r>
      <rPr>
        <sz val="10"/>
        <rFont val="Noto Sans CJK SC"/>
        <family val="2"/>
      </rPr>
      <t xml:space="preserve">尾气压缩机组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尾气压缩机</t>
    </r>
    <r>
      <rPr>
        <sz val="10"/>
        <rFont val="Consolas"/>
        <family val="3"/>
      </rPr>
      <t>B</t>
    </r>
  </si>
  <si>
    <r>
      <rPr>
        <sz val="10"/>
        <rFont val="Consolas"/>
        <family val="3"/>
      </rPr>
      <t xml:space="preserve">:OffgasCompressors :hasMember :OffgasCompressors_M03 .   # R2218 </t>
    </r>
    <r>
      <rPr>
        <sz val="10"/>
        <rFont val="Noto Sans CJK SC"/>
        <family val="2"/>
      </rPr>
      <t xml:space="preserve">尾气压缩机组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尾气压缩机</t>
    </r>
    <r>
      <rPr>
        <sz val="10"/>
        <rFont val="Consolas"/>
        <family val="3"/>
      </rPr>
      <t>C</t>
    </r>
  </si>
  <si>
    <r>
      <rPr>
        <sz val="10"/>
        <rFont val="Consolas"/>
        <family val="3"/>
      </rPr>
      <t xml:space="preserve">:OffgasCompressors :hasPart :OffgasCompressors_P01 .   # R2219 </t>
    </r>
    <r>
      <rPr>
        <sz val="10"/>
        <rFont val="Noto Sans CJK SC"/>
        <family val="2"/>
      </rPr>
      <t xml:space="preserve">尾气压缩机组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尾气压缩机组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油泵</t>
    </r>
  </si>
  <si>
    <r>
      <rPr>
        <sz val="10"/>
        <rFont val="Consolas"/>
        <family val="3"/>
      </rPr>
      <t xml:space="preserve">:OffgasCompressors :hasPart :OffgasCompressors_P02 .   # R2220 </t>
    </r>
    <r>
      <rPr>
        <sz val="10"/>
        <rFont val="Noto Sans CJK SC"/>
        <family val="2"/>
      </rPr>
      <t xml:space="preserve">尾气压缩机组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尾气压缩机组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风机</t>
    </r>
  </si>
  <si>
    <r>
      <rPr>
        <sz val="10"/>
        <rFont val="Consolas"/>
        <family val="3"/>
      </rPr>
      <t xml:space="preserve">:OffgasCompressors :hasPart :OffgasCompressors_P03 .   # R2221 </t>
    </r>
    <r>
      <rPr>
        <sz val="10"/>
        <rFont val="Noto Sans CJK SC"/>
        <family val="2"/>
      </rPr>
      <t xml:space="preserve">尾气压缩机组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尾气压缩机组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紧急补液阀</t>
    </r>
  </si>
  <si>
    <r>
      <rPr>
        <sz val="10"/>
        <rFont val="Consolas"/>
        <family val="3"/>
      </rPr>
      <t xml:space="preserve">:OffgasCompressors :hasPart :OffgasCompressors_P04 .   # R2222 </t>
    </r>
    <r>
      <rPr>
        <sz val="10"/>
        <rFont val="Noto Sans CJK SC"/>
        <family val="2"/>
      </rPr>
      <t xml:space="preserve">尾气压缩机组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尾气压缩机组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循环液切断阀</t>
    </r>
  </si>
  <si>
    <r>
      <rPr>
        <sz val="10"/>
        <rFont val="Consolas"/>
        <family val="3"/>
      </rPr>
      <t xml:space="preserve">:Area_S23_OffgasTreatment :hasEquipment :OffgasScrubber .   # R2223 </t>
    </r>
    <r>
      <rPr>
        <sz val="10"/>
        <rFont val="Noto Sans CJK SC"/>
        <family val="2"/>
      </rPr>
      <t xml:space="preserve">尾气与环保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包含设备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尾气喷淋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碱洗塔</t>
    </r>
  </si>
  <si>
    <r>
      <rPr>
        <sz val="10"/>
        <rFont val="Consolas"/>
        <family val="3"/>
      </rPr>
      <t xml:space="preserve">:OffgasScrubber :hasMember :OffgasScrubber_M01 .   # R2224 </t>
    </r>
    <r>
      <rPr>
        <sz val="10"/>
        <rFont val="Noto Sans CJK SC"/>
        <family val="2"/>
      </rPr>
      <t>尾气喷淋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碱洗塔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尾气喷淋泵</t>
    </r>
    <r>
      <rPr>
        <sz val="10"/>
        <rFont val="Consolas"/>
        <family val="3"/>
      </rPr>
      <t>01–04</t>
    </r>
  </si>
  <si>
    <r>
      <rPr>
        <sz val="10"/>
        <rFont val="Consolas"/>
        <family val="3"/>
      </rPr>
      <t xml:space="preserve">:OffgasScrubber :hasMember :OffgasScrubber_M02 .   # R2225 </t>
    </r>
    <r>
      <rPr>
        <sz val="10"/>
        <rFont val="Noto Sans CJK SC"/>
        <family val="2"/>
      </rPr>
      <t>尾气喷淋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碱洗塔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包含实例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碱洗塔</t>
    </r>
  </si>
  <si>
    <r>
      <rPr>
        <sz val="10"/>
        <rFont val="Consolas"/>
        <family val="3"/>
      </rPr>
      <t xml:space="preserve">:OffgasScrubber :hasPart :OffgasScrubber_P01 .   # R2226 </t>
    </r>
    <r>
      <rPr>
        <sz val="10"/>
        <rFont val="Noto Sans CJK SC"/>
        <family val="2"/>
      </rPr>
      <t>尾气喷淋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碱洗塔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尾气喷淋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碱洗塔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进碱阀</t>
    </r>
  </si>
  <si>
    <r>
      <rPr>
        <sz val="10"/>
        <rFont val="Consolas"/>
        <family val="3"/>
      </rPr>
      <t xml:space="preserve">:OffgasScrubber :hasPart :OffgasScrubber_P02 .   # R2227 </t>
    </r>
    <r>
      <rPr>
        <sz val="10"/>
        <rFont val="Noto Sans CJK SC"/>
        <family val="2"/>
      </rPr>
      <t>尾气喷淋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 xml:space="preserve">碱洗塔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具有部件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尾气喷淋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碱洗塔</t>
    </r>
    <r>
      <rPr>
        <sz val="10"/>
        <rFont val="Consolas"/>
        <family val="3"/>
      </rPr>
      <t>·</t>
    </r>
    <r>
      <rPr>
        <sz val="10"/>
        <rFont val="Noto Sans CJK SC"/>
        <family val="2"/>
      </rPr>
      <t>排液阀</t>
    </r>
  </si>
  <si>
    <r>
      <rPr>
        <sz val="10"/>
        <rFont val="Consolas"/>
        <family val="3"/>
      </rPr>
      <t xml:space="preserve">:OffgasCompressors :hasAttribute :Attr_246 .   # R2228 </t>
    </r>
    <r>
      <rPr>
        <sz val="10"/>
        <rFont val="Noto Sans CJK SC"/>
        <family val="2"/>
      </rPr>
      <t xml:space="preserve">尾气压缩机组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尾气压缩机频率</t>
    </r>
  </si>
  <si>
    <r>
      <rPr>
        <sz val="10"/>
        <rFont val="Consolas"/>
        <family val="3"/>
      </rPr>
      <t xml:space="preserve">:OffgasCompressors :hasAttribute :Attr_247 .   # R2229 </t>
    </r>
    <r>
      <rPr>
        <sz val="10"/>
        <rFont val="Noto Sans CJK SC"/>
        <family val="2"/>
      </rPr>
      <t xml:space="preserve">尾气压缩机组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具有属性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尾气压缩机电流</t>
    </r>
  </si>
  <si>
    <r>
      <rPr>
        <sz val="10"/>
        <rFont val="Consolas"/>
        <family val="3"/>
      </rPr>
      <t xml:space="preserve">:Attr_246 :boundToTag :Tag_WQ101PL_FK .   # R2230 </t>
    </r>
    <r>
      <rPr>
        <sz val="10"/>
        <rFont val="Noto Sans CJK SC"/>
        <family val="2"/>
      </rPr>
      <t xml:space="preserve">尾气压缩机频率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WQ101PL_FK</t>
    </r>
  </si>
  <si>
    <r>
      <rPr>
        <sz val="10"/>
        <rFont val="Consolas"/>
        <family val="3"/>
      </rPr>
      <t xml:space="preserve">:Attr_246 :boundToTag :Tag_WQ102PL_FK .   # R2231 </t>
    </r>
    <r>
      <rPr>
        <sz val="10"/>
        <rFont val="Noto Sans CJK SC"/>
        <family val="2"/>
      </rPr>
      <t xml:space="preserve">尾气压缩机频率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WQ102PL_FK</t>
    </r>
  </si>
  <si>
    <r>
      <rPr>
        <sz val="10"/>
        <rFont val="Consolas"/>
        <family val="3"/>
      </rPr>
      <t xml:space="preserve">:Attr_246 :boundToTag :Tag_WQ103PL_FK .   # R2232 </t>
    </r>
    <r>
      <rPr>
        <sz val="10"/>
        <rFont val="Noto Sans CJK SC"/>
        <family val="2"/>
      </rPr>
      <t xml:space="preserve">尾气压缩机频率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WQ103PL_FK</t>
    </r>
  </si>
  <si>
    <r>
      <rPr>
        <sz val="10"/>
        <rFont val="Consolas"/>
        <family val="3"/>
      </rPr>
      <t xml:space="preserve">:Attr_247 :boundToTag :Tag_WQ101DL_FK .   # R2233 </t>
    </r>
    <r>
      <rPr>
        <sz val="10"/>
        <rFont val="Noto Sans CJK SC"/>
        <family val="2"/>
      </rPr>
      <t xml:space="preserve">尾气压缩机电流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WQ101DL_FK</t>
    </r>
  </si>
  <si>
    <r>
      <rPr>
        <sz val="10"/>
        <rFont val="Consolas"/>
        <family val="3"/>
      </rPr>
      <t xml:space="preserve">:Attr_247 :boundToTag :Tag_WQ102DL_FK .   # R2234 </t>
    </r>
    <r>
      <rPr>
        <sz val="10"/>
        <rFont val="Noto Sans CJK SC"/>
        <family val="2"/>
      </rPr>
      <t xml:space="preserve">尾气压缩机电流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WQ102DL_FK</t>
    </r>
  </si>
  <si>
    <r>
      <rPr>
        <sz val="10"/>
        <rFont val="Consolas"/>
        <family val="3"/>
      </rPr>
      <t xml:space="preserve">:Attr_247 :boundToTag :Tag_WQ103DL_FK .   # R2235 </t>
    </r>
    <r>
      <rPr>
        <sz val="10"/>
        <rFont val="Noto Sans CJK SC"/>
        <family val="2"/>
      </rPr>
      <t xml:space="preserve">尾气压缩机电流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绑定测点</t>
    </r>
    <r>
      <rPr>
        <sz val="10"/>
        <rFont val="Consolas"/>
        <family val="3"/>
      </rPr>
      <t>-&gt; WQ103DL_FK</t>
    </r>
  </si>
  <si>
    <r>
      <rPr>
        <sz val="10"/>
        <rFont val="Consolas"/>
        <family val="3"/>
      </rPr>
      <t>:DryerGroup :connectedToNext :OffgasCompressors .   # R2236 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尾气压缩机组</t>
    </r>
  </si>
  <si>
    <r>
      <rPr>
        <sz val="10"/>
        <rFont val="Consolas"/>
        <family val="3"/>
      </rPr>
      <t xml:space="preserve">:OffgasCompressors :connectedToNext :OffgasScrubber .   # R2237 </t>
    </r>
    <r>
      <rPr>
        <sz val="10"/>
        <rFont val="Noto Sans CJK SC"/>
        <family val="2"/>
      </rPr>
      <t xml:space="preserve">尾气压缩机组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尾气喷淋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碱洗塔</t>
    </r>
  </si>
  <si>
    <r>
      <rPr>
        <sz val="10"/>
        <rFont val="Consolas"/>
        <family val="3"/>
      </rPr>
      <t xml:space="preserve">
# --- S99 </t>
    </r>
    <r>
      <rPr>
        <sz val="10"/>
        <rFont val="Noto Sans CJK SC"/>
        <family val="2"/>
      </rPr>
      <t xml:space="preserve">跨工段协同 </t>
    </r>
    <r>
      <rPr>
        <sz val="10"/>
        <rFont val="Consolas"/>
        <family val="3"/>
      </rPr>
      <t>---</t>
    </r>
  </si>
  <si>
    <r>
      <rPr>
        <sz val="10"/>
        <rFont val="Consolas"/>
        <family val="3"/>
      </rPr>
      <t>:RSE300CentrifugeGroup :connectedToNext :PrimaryBATank .   # R2238 RSE300</t>
    </r>
    <r>
      <rPr>
        <sz val="10"/>
        <rFont val="Noto Sans CJK SC"/>
        <family val="2"/>
      </rPr>
      <t xml:space="preserve">提取离心机组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一次</t>
    </r>
    <r>
      <rPr>
        <sz val="10"/>
        <rFont val="Consolas"/>
        <family val="3"/>
      </rPr>
      <t>BA</t>
    </r>
    <r>
      <rPr>
        <sz val="10"/>
        <rFont val="Noto Sans CJK SC"/>
        <family val="2"/>
      </rPr>
      <t>缓冲罐</t>
    </r>
    <r>
      <rPr>
        <sz val="10"/>
        <rFont val="Consolas"/>
        <family val="3"/>
      </rPr>
      <t>V2136</t>
    </r>
  </si>
  <si>
    <r>
      <rPr>
        <sz val="10"/>
        <rFont val="Consolas"/>
        <family val="3"/>
      </rPr>
      <t xml:space="preserve">:BackExtCentrifuge1 :connectedToNext :TFEvaporatorGroup .   # R2239 </t>
    </r>
    <r>
      <rPr>
        <sz val="10"/>
        <rFont val="Noto Sans CJK SC"/>
        <family val="2"/>
      </rPr>
      <t>抽提一级离心机组</t>
    </r>
    <r>
      <rPr>
        <sz val="10"/>
        <rFont val="Consolas"/>
        <family val="3"/>
      </rPr>
      <t>(CT1) 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薄膜蒸发器组</t>
    </r>
  </si>
  <si>
    <r>
      <rPr>
        <sz val="10"/>
        <rFont val="Consolas"/>
        <family val="3"/>
      </rPr>
      <t xml:space="preserve">:HydrolysisReactorGroup :connectedToNext :HydrolysateBuffer .   # R2240 </t>
    </r>
    <r>
      <rPr>
        <sz val="10"/>
        <rFont val="Noto Sans CJK SC"/>
        <family val="2"/>
      </rPr>
      <t>水解反应釜组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水解罐</t>
    </r>
    <r>
      <rPr>
        <sz val="10"/>
        <rFont val="Consolas"/>
        <family val="3"/>
      </rPr>
      <t>A–K) 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水解液缓冲罐</t>
    </r>
  </si>
  <si>
    <r>
      <rPr>
        <sz val="10"/>
        <rFont val="Consolas"/>
        <family val="3"/>
      </rPr>
      <t xml:space="preserve">:HydrolysateCoolers :connectedToNext :ExtractionEjector .   # R2241 </t>
    </r>
    <r>
      <rPr>
        <sz val="10"/>
        <rFont val="Noto Sans CJK SC"/>
        <family val="2"/>
      </rPr>
      <t xml:space="preserve">水解液换热器组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萃取喷射器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酸化混合器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</si>
  <si>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 xml:space="preserve">:ExtractionEjector :connectedToNext :ExtCentrifuge1 .   # R2242 </t>
    </r>
    <r>
      <rPr>
        <sz val="10"/>
        <rFont val="Noto Sans CJK SC"/>
        <family val="2"/>
      </rPr>
      <t>萃取喷射器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酸化混合器</t>
    </r>
    <r>
      <rPr>
        <sz val="10"/>
        <rFont val="Consolas"/>
        <family val="3"/>
      </rPr>
      <t>) 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一萃离心机组</t>
    </r>
  </si>
  <si>
    <r>
      <rPr>
        <sz val="10"/>
        <rFont val="Consolas"/>
        <family val="3"/>
      </rPr>
      <t xml:space="preserve">:ExtCentrifuge1 :connectedToNext :ExtCentrifuge2 .   # R2243 </t>
    </r>
    <r>
      <rPr>
        <sz val="10"/>
        <rFont val="Noto Sans CJK SC"/>
        <family val="2"/>
      </rPr>
      <t xml:space="preserve">一萃离心机组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二萃离心机组</t>
    </r>
  </si>
  <si>
    <r>
      <rPr>
        <sz val="10"/>
        <rFont val="Consolas"/>
        <family val="3"/>
      </rPr>
      <t xml:space="preserve">:ExtCentrifuge2 :connectedToNext :PhaseSeparator .   # R2244 </t>
    </r>
    <r>
      <rPr>
        <sz val="10"/>
        <rFont val="Noto Sans CJK SC"/>
        <family val="2"/>
      </rPr>
      <t xml:space="preserve">二萃离心机组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萃取分相罐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室外分相罐</t>
    </r>
  </si>
  <si>
    <r>
      <rPr>
        <sz val="10"/>
        <rFont val="Consolas"/>
        <family val="3"/>
      </rPr>
      <t xml:space="preserve">:ExtCentrifuge1 :connectedToNext :ExtLightTank .   # R2245 </t>
    </r>
    <r>
      <rPr>
        <sz val="10"/>
        <rFont val="Noto Sans CJK SC"/>
        <family val="2"/>
      </rPr>
      <t xml:space="preserve">一萃离心机组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萃取轻相罐</t>
    </r>
  </si>
  <si>
    <r>
      <rPr>
        <sz val="10"/>
        <rFont val="Consolas"/>
        <family val="3"/>
      </rPr>
      <t xml:space="preserve">:BackExtCentrifugeR :connectedToNext :PAAVacuumTower .   # R2246 </t>
    </r>
    <r>
      <rPr>
        <sz val="10"/>
        <rFont val="Noto Sans CJK SC"/>
        <family val="2"/>
      </rPr>
      <t xml:space="preserve">反萃离心机组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苯乙酸减压塔</t>
    </r>
  </si>
  <si>
    <r>
      <rPr>
        <sz val="10"/>
        <rFont val="Consolas"/>
        <family val="3"/>
      </rPr>
      <t>:Centrifuge1600Group :connectedToNext :DryerGroup .   # R2247 1600</t>
    </r>
    <r>
      <rPr>
        <sz val="10"/>
        <rFont val="Noto Sans CJK SC"/>
        <family val="2"/>
      </rPr>
      <t xml:space="preserve">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>-&gt; 6APA</t>
    </r>
    <r>
      <rPr>
        <sz val="10"/>
        <rFont val="Noto Sans CJK SC"/>
        <family val="2"/>
      </rPr>
      <t>干燥系统</t>
    </r>
    <r>
      <rPr>
        <sz val="10"/>
        <rFont val="Consolas"/>
        <family val="3"/>
      </rPr>
      <t>(</t>
    </r>
    <r>
      <rPr>
        <sz val="10"/>
        <rFont val="Noto Sans CJK SC"/>
        <family val="2"/>
      </rPr>
      <t>双锥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二合一</t>
    </r>
    <r>
      <rPr>
        <sz val="10"/>
        <rFont val="Consolas"/>
        <family val="3"/>
      </rPr>
      <t>)</t>
    </r>
  </si>
  <si>
    <r>
      <rPr>
        <sz val="10"/>
        <rFont val="Consolas"/>
        <family val="3"/>
      </rPr>
      <t>:Centrifuge1600Group :connectedToNext :CrystMotherTanks .   # R2248 1600</t>
    </r>
    <r>
      <rPr>
        <sz val="10"/>
        <rFont val="Noto Sans CJK SC"/>
        <family val="2"/>
      </rPr>
      <t xml:space="preserve">离心机组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串联下游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离心母液罐</t>
    </r>
    <r>
      <rPr>
        <sz val="10"/>
        <rFont val="Consolas"/>
        <family val="3"/>
      </rPr>
      <t>/</t>
    </r>
    <r>
      <rPr>
        <sz val="10"/>
        <rFont val="Noto Sans CJK SC"/>
        <family val="2"/>
      </rPr>
      <t>洗液罐</t>
    </r>
  </si>
  <si>
    <r>
      <rPr>
        <sz val="10"/>
        <rFont val="Consolas"/>
        <family val="3"/>
      </rPr>
      <t xml:space="preserve">:BKPI_254 :positivelyAffects :BKPI_304 .   # R2249 </t>
    </r>
    <r>
      <rPr>
        <sz val="10"/>
        <rFont val="Noto Sans CJK SC"/>
        <family val="2"/>
      </rPr>
      <t xml:space="preserve">提取收率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全厂批次最终提取收率</t>
    </r>
  </si>
  <si>
    <r>
      <rPr>
        <sz val="10"/>
        <rFont val="Consolas"/>
        <family val="3"/>
      </rPr>
      <t xml:space="preserve">:BKPI_303 :positivelyAffects :BKPI_304 .   # R2250 </t>
    </r>
    <r>
      <rPr>
        <sz val="10"/>
        <rFont val="Noto Sans CJK SC"/>
        <family val="2"/>
      </rPr>
      <t xml:space="preserve">产品批次提取收率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全厂批次最终提取收率</t>
    </r>
  </si>
  <si>
    <r>
      <rPr>
        <sz val="10"/>
        <rFont val="Consolas"/>
        <family val="3"/>
      </rPr>
      <t xml:space="preserve">:QKPI_274 :positivelyAffects :BKPI_304 .   # R2251 </t>
    </r>
    <r>
      <rPr>
        <sz val="10"/>
        <rFont val="Noto Sans CJK SC"/>
        <family val="2"/>
      </rPr>
      <t xml:space="preserve">水解酶解转化率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正向影响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全厂批次最终提取收率</t>
    </r>
  </si>
  <si>
    <r>
      <rPr>
        <sz val="10"/>
        <rFont val="Consolas"/>
        <family val="3"/>
      </rPr>
      <t xml:space="preserve">:QKPI_283 :negativelyAffects :BKPI_304 .   # R2252 </t>
    </r>
    <r>
      <rPr>
        <sz val="10"/>
        <rFont val="Noto Sans CJK SC"/>
        <family val="2"/>
      </rPr>
      <t>废有机相</t>
    </r>
    <r>
      <rPr>
        <sz val="10"/>
        <rFont val="Consolas"/>
        <family val="3"/>
      </rPr>
      <t>6-APA</t>
    </r>
    <r>
      <rPr>
        <sz val="10"/>
        <rFont val="Noto Sans CJK SC"/>
        <family val="2"/>
      </rPr>
      <t xml:space="preserve">夹带残效 </t>
    </r>
    <r>
      <rPr>
        <sz val="10"/>
        <rFont val="Consolas"/>
        <family val="3"/>
      </rPr>
      <t>-</t>
    </r>
    <r>
      <rPr>
        <sz val="10"/>
        <rFont val="Noto Sans CJK SC"/>
        <family val="2"/>
      </rPr>
      <t>负向影响</t>
    </r>
    <r>
      <rPr>
        <sz val="10"/>
        <rFont val="Consolas"/>
        <family val="3"/>
      </rPr>
      <t xml:space="preserve">-&gt; </t>
    </r>
    <r>
      <rPr>
        <sz val="10"/>
        <rFont val="Noto Sans CJK SC"/>
        <family val="2"/>
      </rPr>
      <t>全厂批次最终提取收率</t>
    </r>
  </si>
  <si>
    <r>
      <rPr>
        <b/>
        <sz val="15"/>
        <color rgb="FF1B365D"/>
        <rFont val="Noto Sans CJK SC"/>
        <family val="2"/>
      </rPr>
      <t>原关系（</t>
    </r>
    <r>
      <rPr>
        <b/>
        <sz val="15"/>
        <color rgb="FF1B365D"/>
        <rFont val="微软雅黑"/>
        <family val="2"/>
        <charset val="134"/>
      </rPr>
      <t>v1</t>
    </r>
    <r>
      <rPr>
        <b/>
        <sz val="15"/>
        <color rgb="FF1B365D"/>
        <rFont val="Noto Sans CJK SC"/>
        <family val="2"/>
      </rPr>
      <t>，</t>
    </r>
    <r>
      <rPr>
        <b/>
        <sz val="15"/>
        <color rgb="FF1B365D"/>
        <rFont val="微软雅黑"/>
        <family val="2"/>
        <charset val="134"/>
      </rPr>
      <t>71</t>
    </r>
    <r>
      <rPr>
        <b/>
        <sz val="15"/>
        <color rgb="FF1B365D"/>
        <rFont val="Noto Sans CJK SC"/>
        <family val="2"/>
      </rPr>
      <t>条）逐条处理记录</t>
    </r>
  </si>
  <si>
    <r>
      <rPr>
        <sz val="10"/>
        <color rgb="FF9C2B23"/>
        <rFont val="Noto Sans CJK SC"/>
        <family val="2"/>
      </rPr>
      <t>原文件萃取工段将“水洗碟片离心机组</t>
    </r>
    <r>
      <rPr>
        <sz val="10"/>
        <color rgb="FF9C2B23"/>
        <rFont val="微软雅黑"/>
        <family val="2"/>
        <charset val="134"/>
      </rPr>
      <t>+</t>
    </r>
    <r>
      <rPr>
        <sz val="10"/>
        <color rgb="FF9C2B23"/>
        <rFont val="Noto Sans CJK SC"/>
        <family val="2"/>
      </rPr>
      <t>稀硫酸</t>
    </r>
    <r>
      <rPr>
        <sz val="10"/>
        <color rgb="FF9C2B23"/>
        <rFont val="微软雅黑"/>
        <family val="2"/>
        <charset val="134"/>
      </rPr>
      <t>+</t>
    </r>
    <r>
      <rPr>
        <sz val="10"/>
        <color rgb="FF9C2B23"/>
        <rFont val="Noto Sans CJK SC"/>
        <family val="2"/>
      </rPr>
      <t>醋酸丁酯</t>
    </r>
    <r>
      <rPr>
        <sz val="10"/>
        <color rgb="FF9C2B23"/>
        <rFont val="微软雅黑"/>
        <family val="2"/>
        <charset val="134"/>
      </rPr>
      <t>+</t>
    </r>
    <r>
      <rPr>
        <sz val="10"/>
        <color rgb="FF9C2B23"/>
        <rFont val="Noto Sans CJK SC"/>
        <family val="2"/>
      </rPr>
      <t>破乳剂”作为萃取主体，与流程图不符：
稀硫酸</t>
    </r>
    <r>
      <rPr>
        <sz val="10"/>
        <color rgb="FF9C2B23"/>
        <rFont val="微软雅黑"/>
        <family val="2"/>
        <charset val="134"/>
      </rPr>
      <t>/</t>
    </r>
    <r>
      <rPr>
        <sz val="10"/>
        <color rgb="FF9C2B23"/>
        <rFont val="Noto Sans CJK SC"/>
        <family val="2"/>
      </rPr>
      <t>破乳剂</t>
    </r>
    <r>
      <rPr>
        <sz val="10"/>
        <color rgb="FF9C2B23"/>
        <rFont val="微软雅黑"/>
        <family val="2"/>
        <charset val="134"/>
      </rPr>
      <t>/</t>
    </r>
    <r>
      <rPr>
        <sz val="10"/>
        <color rgb="FF9C2B23"/>
        <rFont val="Noto Sans CJK SC"/>
        <family val="2"/>
      </rPr>
      <t>丁酯属于提取工段</t>
    </r>
    <r>
      <rPr>
        <sz val="10"/>
        <color rgb="FF9C2B23"/>
        <rFont val="微软雅黑"/>
        <family val="2"/>
        <charset val="134"/>
      </rPr>
      <t>(RSE300/RSE200)</t>
    </r>
    <r>
      <rPr>
        <sz val="10"/>
        <color rgb="FF9C2B23"/>
        <rFont val="Noto Sans CJK SC"/>
        <family val="2"/>
      </rPr>
      <t>；萃取工段</t>
    </r>
    <r>
      <rPr>
        <sz val="10"/>
        <color rgb="FF9C2B23"/>
        <rFont val="微软雅黑"/>
        <family val="2"/>
        <charset val="134"/>
      </rPr>
      <t>(</t>
    </r>
    <r>
      <rPr>
        <sz val="10"/>
        <color rgb="FF9C2B23"/>
        <rFont val="Noto Sans CJK SC"/>
        <family val="2"/>
      </rPr>
      <t>萃取画面</t>
    </r>
    <r>
      <rPr>
        <sz val="10"/>
        <color rgb="FF9C2B23"/>
        <rFont val="微软雅黑"/>
        <family val="2"/>
        <charset val="134"/>
      </rPr>
      <t>)</t>
    </r>
    <r>
      <rPr>
        <sz val="10"/>
        <color rgb="FF9C2B23"/>
        <rFont val="Noto Sans CJK SC"/>
        <family val="2"/>
      </rPr>
      <t>为“萃取离心机</t>
    </r>
    <r>
      <rPr>
        <sz val="10"/>
        <color rgb="FF9C2B23"/>
        <rFont val="微软雅黑"/>
        <family val="2"/>
        <charset val="134"/>
      </rPr>
      <t xml:space="preserve">A–J + </t>
    </r>
    <r>
      <rPr>
        <sz val="10"/>
        <color rgb="FF9C2B23"/>
        <rFont val="Noto Sans CJK SC"/>
        <family val="2"/>
      </rPr>
      <t xml:space="preserve">盐酸 </t>
    </r>
    <r>
      <rPr>
        <sz val="10"/>
        <color rgb="FF9C2B23"/>
        <rFont val="微软雅黑"/>
        <family val="2"/>
        <charset val="134"/>
      </rPr>
      <t xml:space="preserve">+ </t>
    </r>
    <r>
      <rPr>
        <sz val="10"/>
        <color rgb="FF9C2B23"/>
        <rFont val="Noto Sans CJK SC"/>
        <family val="2"/>
      </rPr>
      <t>混合溶媒”，轻相先去反萃再回收，而非直接去苯乙酸精馏。</t>
    </r>
  </si>
  <si>
    <t>原行号</t>
  </si>
  <si>
    <t>原工段</t>
  </si>
  <si>
    <t>原三元组</t>
  </si>
  <si>
    <t>处理</t>
  </si>
  <si>
    <r>
      <rPr>
        <b/>
        <sz val="10"/>
        <color rgb="FFFFFFFF"/>
        <rFont val="微软雅黑"/>
        <family val="2"/>
        <charset val="134"/>
      </rPr>
      <t>v2</t>
    </r>
    <r>
      <rPr>
        <b/>
        <sz val="10"/>
        <color rgb="FFFFFFFF"/>
        <rFont val="Noto Sans CJK SC"/>
        <family val="2"/>
      </rPr>
      <t>三元组</t>
    </r>
  </si>
  <si>
    <r>
      <rPr>
        <b/>
        <sz val="10"/>
        <color rgb="FFFFFFFF"/>
        <rFont val="微软雅黑"/>
        <family val="2"/>
        <charset val="134"/>
      </rPr>
      <t>v2</t>
    </r>
    <r>
      <rPr>
        <b/>
        <sz val="10"/>
        <color rgb="FFFFFFFF"/>
        <rFont val="Noto Sans CJK SC"/>
        <family val="2"/>
      </rPr>
      <t>关系</t>
    </r>
    <r>
      <rPr>
        <b/>
        <sz val="10"/>
        <color rgb="FFFFFFFF"/>
        <rFont val="微软雅黑"/>
        <family val="2"/>
        <charset val="134"/>
      </rPr>
      <t>ID</t>
    </r>
  </si>
  <si>
    <t>修订依据</t>
  </si>
  <si>
    <t>水解工段</t>
  </si>
  <si>
    <t>水解反应釜 —具有部件→ 夹套换热系统</t>
  </si>
  <si>
    <t>修订</t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</si>
  <si>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 —</t>
    </r>
    <r>
      <rPr>
        <sz val="10"/>
        <rFont val="Noto Sans CJK SC"/>
        <family val="2"/>
      </rPr>
      <t>具有部件→ 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A–K)·</t>
    </r>
    <r>
      <rPr>
        <sz val="10"/>
        <rFont val="Noto Sans CJK SC"/>
        <family val="2"/>
      </rPr>
      <t>夹套换热系统</t>
    </r>
  </si>
  <si>
    <t>水解反应釜 —具有部件→ 机械搅拌装置</t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</si>
  <si>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 —</t>
    </r>
    <r>
      <rPr>
        <sz val="10"/>
        <rFont val="Noto Sans CJK SC"/>
        <family val="2"/>
      </rPr>
      <t>具有部件→ 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A–K)·</t>
    </r>
    <r>
      <rPr>
        <sz val="10"/>
        <rFont val="Noto Sans CJK SC"/>
        <family val="2"/>
      </rPr>
      <t>机械搅拌装置</t>
    </r>
  </si>
  <si>
    <t>水解反应釜 —具有属性→ 釜内反应温度</t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</si>
  <si>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 —</t>
    </r>
    <r>
      <rPr>
        <sz val="10"/>
        <rFont val="Noto Sans CJK SC"/>
        <family val="2"/>
      </rPr>
      <t>具有属性→ 釜内反应温度</t>
    </r>
  </si>
  <si>
    <r>
      <rPr>
        <sz val="10"/>
        <rFont val="Noto Sans CJK SC"/>
        <family val="2"/>
      </rPr>
      <t>水解反应釜 —具有属性→ 反应体系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</si>
  <si>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 —</t>
    </r>
    <r>
      <rPr>
        <sz val="10"/>
        <rFont val="Noto Sans CJK SC"/>
        <family val="2"/>
      </rPr>
      <t>具有属性→ 反应体系</t>
    </r>
    <r>
      <rPr>
        <sz val="10"/>
        <rFont val="微软雅黑"/>
        <family val="2"/>
        <charset val="134"/>
      </rPr>
      <t>pH</t>
    </r>
  </si>
  <si>
    <t>水解反应釜 —具有属性→ 釜内反应液位</t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</si>
  <si>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 —</t>
    </r>
    <r>
      <rPr>
        <sz val="10"/>
        <rFont val="Noto Sans CJK SC"/>
        <family val="2"/>
      </rPr>
      <t>具有属性→ 釜内反应液位</t>
    </r>
  </si>
  <si>
    <t>水解反应釜 —具有属性→ 搅拌运行转速</t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</si>
  <si>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 —</t>
    </r>
    <r>
      <rPr>
        <sz val="10"/>
        <rFont val="Noto Sans CJK SC"/>
        <family val="2"/>
      </rPr>
      <t>具有属性→ 搅拌运行状态</t>
    </r>
  </si>
  <si>
    <r>
      <rPr>
        <sz val="10"/>
        <rFont val="Noto Sans CJK SC"/>
        <family val="2"/>
      </rPr>
      <t>点表仅有水解罐搅拌启停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运行状态（</t>
    </r>
    <r>
      <rPr>
        <sz val="10"/>
        <rFont val="微软雅黑"/>
        <family val="2"/>
        <charset val="134"/>
      </rPr>
      <t>P_1303x</t>
    </r>
    <r>
      <rPr>
        <sz val="10"/>
        <rFont val="Noto Sans CJK SC"/>
        <family val="2"/>
      </rPr>
      <t>），无转速测点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</si>
  <si>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 xml:space="preserve">浓缩原料液 —具有属性→ 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进料温度</t>
    </r>
  </si>
  <si>
    <r>
      <rPr>
        <sz val="10"/>
        <rFont val="Noto Sans CJK SC"/>
        <family val="2"/>
      </rPr>
      <t>脱溶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 xml:space="preserve">液 —具有属性→ 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进料温度</t>
    </r>
  </si>
  <si>
    <r>
      <rPr>
        <sz val="10"/>
        <rFont val="Noto Sans CJK SC"/>
        <family val="2"/>
      </rPr>
      <t>统一为“脱溶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液”（薄膜脱溶后），与上游“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液”区分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</si>
  <si>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 xml:space="preserve">浓缩原料液 —具有属性→ 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进料流量</t>
    </r>
  </si>
  <si>
    <r>
      <rPr>
        <sz val="10"/>
        <rFont val="Noto Sans CJK SC"/>
        <family val="2"/>
      </rPr>
      <t>脱溶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 xml:space="preserve">液 —具有属性→ 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进料流量</t>
    </r>
  </si>
  <si>
    <t>硼酸缓冲液 —具有属性→ 硼酸溶液温度</t>
  </si>
  <si>
    <t>保留</t>
  </si>
  <si>
    <t>名称统一</t>
  </si>
  <si>
    <t>硼酸缓冲液 —具有属性→ 硼酸进料流量</t>
  </si>
  <si>
    <t>中和氨水 —具有属性→ 氨水加料流量</t>
  </si>
  <si>
    <t>中和氨水 —具有属性→ 氨水累计加量</t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</si>
  <si>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指示控制器</t>
    </r>
    <r>
      <rPr>
        <sz val="10"/>
        <rFont val="微软雅黑"/>
        <family val="2"/>
        <charset val="134"/>
      </rPr>
      <t>(AIC) —</t>
    </r>
    <r>
      <rPr>
        <sz val="10"/>
        <rFont val="Noto Sans CJK SC"/>
        <family val="2"/>
      </rPr>
      <t>控制→ 氨水加料气动调节阀</t>
    </r>
  </si>
  <si>
    <r>
      <rPr>
        <sz val="10"/>
        <rFont val="Noto Sans CJK SC"/>
        <family val="2"/>
      </rPr>
      <t>水解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指示控制器</t>
    </r>
    <r>
      <rPr>
        <sz val="10"/>
        <rFont val="微软雅黑"/>
        <family val="2"/>
        <charset val="134"/>
      </rPr>
      <t>(AIC-1301) —</t>
    </r>
    <r>
      <rPr>
        <sz val="10"/>
        <rFont val="Noto Sans CJK SC"/>
        <family val="2"/>
      </rPr>
      <t>控制→ 氨水调节阀</t>
    </r>
    <r>
      <rPr>
        <sz val="10"/>
        <rFont val="微软雅黑"/>
        <family val="2"/>
        <charset val="134"/>
      </rPr>
      <t>HV_1302</t>
    </r>
  </si>
  <si>
    <r>
      <rPr>
        <sz val="10"/>
        <rFont val="Noto Sans CJK SC"/>
        <family val="2"/>
      </rPr>
      <t>反应体系</t>
    </r>
    <r>
      <rPr>
        <sz val="10"/>
        <rFont val="微软雅黑"/>
        <family val="2"/>
        <charset val="134"/>
      </rPr>
      <t>pH —</t>
    </r>
    <r>
      <rPr>
        <sz val="10"/>
        <rFont val="Noto Sans CJK SC"/>
        <family val="2"/>
      </rPr>
      <t xml:space="preserve">反馈给→ 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指示控制器</t>
    </r>
    <r>
      <rPr>
        <sz val="10"/>
        <rFont val="微软雅黑"/>
        <family val="2"/>
        <charset val="134"/>
      </rPr>
      <t>(AIC)</t>
    </r>
  </si>
  <si>
    <r>
      <rPr>
        <sz val="10"/>
        <rFont val="Noto Sans CJK SC"/>
        <family val="2"/>
      </rPr>
      <t>反应体系</t>
    </r>
    <r>
      <rPr>
        <sz val="10"/>
        <rFont val="微软雅黑"/>
        <family val="2"/>
        <charset val="134"/>
      </rPr>
      <t>pH —</t>
    </r>
    <r>
      <rPr>
        <sz val="10"/>
        <rFont val="Noto Sans CJK SC"/>
        <family val="2"/>
      </rPr>
      <t>反馈给→ 水解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指示控制器</t>
    </r>
    <r>
      <rPr>
        <sz val="10"/>
        <rFont val="微软雅黑"/>
        <family val="2"/>
        <charset val="134"/>
      </rPr>
      <t>(AIC-1301)</t>
    </r>
  </si>
  <si>
    <r>
      <rPr>
        <sz val="10"/>
        <rFont val="Noto Sans CJK SC"/>
        <family val="2"/>
      </rPr>
      <t>温度指示控制器</t>
    </r>
    <r>
      <rPr>
        <sz val="10"/>
        <rFont val="微软雅黑"/>
        <family val="2"/>
        <charset val="134"/>
      </rPr>
      <t>(TIC) —</t>
    </r>
    <r>
      <rPr>
        <sz val="10"/>
        <rFont val="Noto Sans CJK SC"/>
        <family val="2"/>
      </rPr>
      <t>控制→ 夹套伴热蒸汽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冷水调节阀</t>
    </r>
  </si>
  <si>
    <r>
      <rPr>
        <sz val="10"/>
        <rFont val="Noto Sans CJK SC"/>
        <family val="2"/>
      </rPr>
      <t>水解温度指示控制器</t>
    </r>
    <r>
      <rPr>
        <sz val="10"/>
        <rFont val="微软雅黑"/>
        <family val="2"/>
        <charset val="134"/>
      </rPr>
      <t>(TIC-1301) —</t>
    </r>
    <r>
      <rPr>
        <sz val="10"/>
        <rFont val="Noto Sans CJK SC"/>
        <family val="2"/>
      </rPr>
      <t>控制→ 热水阀</t>
    </r>
    <r>
      <rPr>
        <sz val="10"/>
        <rFont val="微软雅黑"/>
        <family val="2"/>
        <charset val="134"/>
      </rPr>
      <t>HV_1301</t>
    </r>
  </si>
  <si>
    <r>
      <rPr>
        <sz val="10"/>
        <rFont val="Noto Sans CJK SC"/>
        <family val="2"/>
      </rPr>
      <t>釜内反应温度 —反馈给→ 温度指示控制器</t>
    </r>
    <r>
      <rPr>
        <sz val="10"/>
        <rFont val="微软雅黑"/>
        <family val="2"/>
        <charset val="134"/>
      </rPr>
      <t>(TIC)</t>
    </r>
  </si>
  <si>
    <r>
      <rPr>
        <sz val="10"/>
        <rFont val="Noto Sans CJK SC"/>
        <family val="2"/>
      </rPr>
      <t>釜内反应温度 —反馈给→ 水解温度指示控制器</t>
    </r>
    <r>
      <rPr>
        <sz val="10"/>
        <rFont val="微软雅黑"/>
        <family val="2"/>
        <charset val="134"/>
      </rPr>
      <t>(TIC-1301)</t>
    </r>
  </si>
  <si>
    <r>
      <rPr>
        <sz val="10"/>
        <rFont val="Noto Sans CJK SC"/>
        <family val="2"/>
      </rPr>
      <t>水解罐进出料气动切断阀 —被控制→ 连续水解批次调度程序</t>
    </r>
    <r>
      <rPr>
        <sz val="10"/>
        <rFont val="微软雅黑"/>
        <family val="2"/>
        <charset val="134"/>
      </rPr>
      <t>(SFC)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</si>
  <si>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浓缩原料液 —流入→ 水解反应釜</t>
    </r>
  </si>
  <si>
    <r>
      <rPr>
        <sz val="10"/>
        <rFont val="Noto Sans CJK SC"/>
        <family val="2"/>
      </rPr>
      <t>脱溶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 —流入→ 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</t>
    </r>
  </si>
  <si>
    <t>硼酸缓冲液 —流入→ 水解反应釜</t>
  </si>
  <si>
    <r>
      <rPr>
        <sz val="10"/>
        <rFont val="Noto Sans CJK SC"/>
        <family val="2"/>
      </rPr>
      <t>硼酸缓冲液 —流入→ 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</t>
    </r>
  </si>
  <si>
    <t>中和氨水 —滴加入→ 水解反应釜</t>
  </si>
  <si>
    <r>
      <rPr>
        <sz val="10"/>
        <rFont val="Noto Sans CJK SC"/>
        <family val="2"/>
      </rPr>
      <t>中和氨水 —滴加入→ 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</t>
    </r>
  </si>
  <si>
    <t>水解反应釜 —产出→ 酶解水解反应液</t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</si>
  <si>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 —</t>
    </r>
    <r>
      <rPr>
        <sz val="10"/>
        <rFont val="Noto Sans CJK SC"/>
        <family val="2"/>
      </rPr>
      <t>产出→ 酶解水解反应液</t>
    </r>
  </si>
  <si>
    <t>酶解水解反应液 —流入→ 水解田缓冲罐</t>
  </si>
  <si>
    <t>酶解水解反应液 —流入→ 水解液缓冲罐</t>
  </si>
  <si>
    <r>
      <rPr>
        <sz val="10"/>
        <rFont val="Noto Sans CJK SC"/>
        <family val="2"/>
      </rPr>
      <t>笔误，应为水解液缓冲罐（</t>
    </r>
    <r>
      <rPr>
        <sz val="10"/>
        <rFont val="微软雅黑"/>
        <family val="2"/>
        <charset val="134"/>
      </rPr>
      <t>LT_1303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</si>
  <si>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 xml:space="preserve">热水罐出水温度 —正向影响→ 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进料温度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</si>
  <si>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进料温度 —正向影响→ 釜内反应温度</t>
    </r>
  </si>
  <si>
    <t>硼酸溶液温度 —正向影响→ 釜内反应温度</t>
  </si>
  <si>
    <t>夹套伴热蒸汽流量 —正向影响→ 釜内反应温度</t>
  </si>
  <si>
    <r>
      <rPr>
        <sz val="10"/>
        <rFont val="Noto Sans CJK SC"/>
        <family val="2"/>
      </rPr>
      <t>夹套热水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蒸汽加热量 —正向影响→ 釜内反应温度</t>
    </r>
  </si>
  <si>
    <t>釜内反应温度 —负向影响→ 固定化酶活力稳定性</t>
  </si>
  <si>
    <r>
      <rPr>
        <sz val="10"/>
        <rFont val="Noto Sans CJK SC"/>
        <family val="2"/>
      </rPr>
      <t xml:space="preserve">釜内反应温度 —负向影响→ 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热降解损失率</t>
    </r>
  </si>
  <si>
    <r>
      <rPr>
        <sz val="10"/>
        <rFont val="Noto Sans CJK SC"/>
        <family val="2"/>
      </rPr>
      <t>氨水加料流量 —正向影响→ 反应体系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</si>
  <si>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氨水累计加量 —正向影响→ 反应体系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</si>
  <si>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反应体系</t>
    </r>
    <r>
      <rPr>
        <sz val="10"/>
        <rFont val="微软雅黑"/>
        <family val="2"/>
        <charset val="134"/>
      </rPr>
      <t>pH —</t>
    </r>
    <r>
      <rPr>
        <sz val="10"/>
        <rFont val="Noto Sans CJK SC"/>
        <family val="2"/>
      </rPr>
      <t>正向影响→ 酶催化水解反应速率</t>
    </r>
  </si>
  <si>
    <r>
      <rPr>
        <sz val="10"/>
        <rFont val="Noto Sans CJK SC"/>
        <family val="2"/>
      </rPr>
      <t>反应体系</t>
    </r>
    <r>
      <rPr>
        <sz val="10"/>
        <rFont val="微软雅黑"/>
        <family val="2"/>
        <charset val="134"/>
      </rPr>
      <t>pH —</t>
    </r>
    <r>
      <rPr>
        <sz val="10"/>
        <rFont val="Noto Sans CJK SC"/>
        <family val="2"/>
      </rPr>
      <t>影响→ 酶催化水解反应速率</t>
    </r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</si>
  <si>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对酶反应速率为钟形（最适</t>
    </r>
    <r>
      <rPr>
        <sz val="10"/>
        <rFont val="微软雅黑"/>
        <family val="2"/>
        <charset val="134"/>
      </rPr>
      <t>7.8–8.2</t>
    </r>
    <r>
      <rPr>
        <sz val="10"/>
        <rFont val="Noto Sans CJK SC"/>
        <family val="2"/>
      </rPr>
      <t>）非单调关系，谓词由“正向影响”改为“影响”</t>
    </r>
  </si>
  <si>
    <t>搅拌运行转速 —正向影响→ 固液传质速率</t>
  </si>
  <si>
    <t>搅拌运行状态 —正向影响→ 固液传质速率</t>
  </si>
  <si>
    <t>搅拌运行转速 —负向影响→ 固定化酶载体寿命</t>
  </si>
  <si>
    <t>搅拌运行状态 —负向影响→ 固定化酶载体寿命</t>
  </si>
  <si>
    <t>酶催化水解反应速率 —正向影响→ 水解酶解转化率</t>
  </si>
  <si>
    <t>固定化酶活力稳定性 —正向影响→ 水解酶解转化率</t>
  </si>
  <si>
    <t>水解酶解转化率 —正向影响→ 产品批次提取收率</t>
  </si>
  <si>
    <t>萃取工段</t>
  </si>
  <si>
    <t>水洗碟片离心机组 —具有部件→ 碟片分离转鼓</t>
  </si>
  <si>
    <r>
      <rPr>
        <sz val="10"/>
        <rFont val="Noto Sans CJK SC"/>
        <family val="2"/>
      </rPr>
      <t>一萃离心机组 —具有部件→ 一萃离心机组</t>
    </r>
    <r>
      <rPr>
        <sz val="10"/>
        <rFont val="微软雅黑"/>
        <family val="2"/>
        <charset val="134"/>
      </rPr>
      <t>·</t>
    </r>
    <r>
      <rPr>
        <sz val="10"/>
        <rFont val="Noto Sans CJK SC"/>
        <family val="2"/>
      </rPr>
      <t>碟片分离转鼓</t>
    </r>
  </si>
  <si>
    <r>
      <rPr>
        <sz val="10"/>
        <rFont val="Noto Sans CJK SC"/>
        <family val="2"/>
      </rPr>
      <t>流程图中“水洗离心机”属提取水洗段</t>
    </r>
    <r>
      <rPr>
        <sz val="10"/>
        <rFont val="微软雅黑"/>
        <family val="2"/>
        <charset val="134"/>
      </rPr>
      <t>(BA</t>
    </r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；萃取工段使用萃取离心机</t>
    </r>
    <r>
      <rPr>
        <sz val="10"/>
        <rFont val="微软雅黑"/>
        <family val="2"/>
        <charset val="134"/>
      </rPr>
      <t>A–J</t>
    </r>
    <r>
      <rPr>
        <sz val="10"/>
        <rFont val="Noto Sans CJK SC"/>
        <family val="2"/>
      </rPr>
      <t>（一萃</t>
    </r>
    <r>
      <rPr>
        <sz val="10"/>
        <rFont val="微软雅黑"/>
        <family val="2"/>
        <charset val="134"/>
      </rPr>
      <t>A–D/</t>
    </r>
    <r>
      <rPr>
        <sz val="10"/>
        <rFont val="Noto Sans CJK SC"/>
        <family val="2"/>
      </rPr>
      <t>二萃</t>
    </r>
    <r>
      <rPr>
        <sz val="10"/>
        <rFont val="微软雅黑"/>
        <family val="2"/>
        <charset val="134"/>
      </rPr>
      <t>E–H/</t>
    </r>
    <r>
      <rPr>
        <sz val="10"/>
        <rFont val="Noto Sans CJK SC"/>
        <family val="2"/>
      </rPr>
      <t>反萃</t>
    </r>
    <r>
      <rPr>
        <sz val="10"/>
        <rFont val="微软雅黑"/>
        <family val="2"/>
        <charset val="134"/>
      </rPr>
      <t>I–J</t>
    </r>
    <r>
      <rPr>
        <sz val="10"/>
        <rFont val="Noto Sans CJK SC"/>
        <family val="2"/>
      </rPr>
      <t>）</t>
    </r>
  </si>
  <si>
    <t>水洗碟片离心机组 —具有属性→ 离心机转速</t>
  </si>
  <si>
    <t>一萃离心机组 —具有属性→ 萃取离心机转速</t>
  </si>
  <si>
    <t>水洗碟片离心机组 —具有属性→ 轻相出口背压</t>
  </si>
  <si>
    <t>一萃离心机组 —具有属性→ 萃取离心机轻相背压</t>
  </si>
  <si>
    <t>水洗碟片离心机组 —具有属性→ 重相出口背压</t>
  </si>
  <si>
    <t>一萃离心机组 —具有属性→ 萃取离心机重相背压</t>
  </si>
  <si>
    <r>
      <rPr>
        <sz val="10"/>
        <rFont val="Noto Sans CJK SC"/>
        <family val="2"/>
      </rPr>
      <t>萃取酸化混合器 —具有属性→ 酸化体系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</si>
  <si>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萃取喷射器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酸化混合器</t>
    </r>
    <r>
      <rPr>
        <sz val="10"/>
        <rFont val="微软雅黑"/>
        <family val="2"/>
        <charset val="134"/>
      </rPr>
      <t>) —</t>
    </r>
    <r>
      <rPr>
        <sz val="10"/>
        <rFont val="Noto Sans CJK SC"/>
        <family val="2"/>
      </rPr>
      <t>具有属性→ 酸化体系</t>
    </r>
    <r>
      <rPr>
        <sz val="10"/>
        <rFont val="微软雅黑"/>
        <family val="2"/>
        <charset val="134"/>
      </rPr>
      <t>pH</t>
    </r>
  </si>
  <si>
    <t>进料预冷换热器 —具有属性→ 水解进料换热温度</t>
  </si>
  <si>
    <t>水解液换热器组 —具有属性→ 水解进料换热温度</t>
  </si>
  <si>
    <r>
      <rPr>
        <sz val="10"/>
        <rFont val="Noto Sans CJK SC"/>
        <family val="2"/>
      </rPr>
      <t>醋酸丁酯</t>
    </r>
    <r>
      <rPr>
        <sz val="10"/>
        <rFont val="微软雅黑"/>
        <family val="2"/>
        <charset val="134"/>
      </rPr>
      <t>(BA</t>
    </r>
    <r>
      <rPr>
        <sz val="10"/>
        <rFont val="Noto Sans CJK SC"/>
        <family val="2"/>
      </rPr>
      <t>溶媒</t>
    </r>
    <r>
      <rPr>
        <sz val="10"/>
        <rFont val="微软雅黑"/>
        <family val="2"/>
        <charset val="134"/>
      </rPr>
      <t>) —</t>
    </r>
    <r>
      <rPr>
        <sz val="10"/>
        <rFont val="Noto Sans CJK SC"/>
        <family val="2"/>
      </rPr>
      <t>具有属性→ 丁酯进料流量</t>
    </r>
  </si>
  <si>
    <t>混合溶媒 —具有属性→ 混合溶媒进料流量</t>
  </si>
  <si>
    <r>
      <rPr>
        <sz val="10"/>
        <rFont val="Noto Sans CJK SC"/>
        <family val="2"/>
      </rPr>
      <t>萃取画面溶剂为“混合溶媒”（丁酯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丁醇），纯丁酯用于提取段</t>
    </r>
  </si>
  <si>
    <t>水解酸化液 —具有属性→ 酸化液进料流量</t>
  </si>
  <si>
    <t>酶解水解反应液 —具有属性→ 水解液进料流量</t>
  </si>
  <si>
    <t>破乳剂溶液 —具有属性→ 破乳剂加入量</t>
  </si>
  <si>
    <t>破乳剂溶液 —具有属性→ 破乳剂进料流量</t>
  </si>
  <si>
    <r>
      <rPr>
        <sz val="10"/>
        <rFont val="Noto Sans CJK SC"/>
        <family val="2"/>
      </rPr>
      <t>破乳剂只在提取离心机投加（</t>
    </r>
    <r>
      <rPr>
        <sz val="10"/>
        <rFont val="微软雅黑"/>
        <family val="2"/>
        <charset val="134"/>
      </rPr>
      <t>FT_1101/HV_1002</t>
    </r>
    <r>
      <rPr>
        <sz val="10"/>
        <rFont val="Noto Sans CJK SC"/>
        <family val="2"/>
      </rPr>
      <t>），萃取画面无破乳剂，已迁移至</t>
    </r>
    <r>
      <rPr>
        <sz val="10"/>
        <rFont val="微软雅黑"/>
        <family val="2"/>
        <charset val="134"/>
      </rPr>
      <t>S01</t>
    </r>
    <r>
      <rPr>
        <sz val="10"/>
        <rFont val="Noto Sans CJK SC"/>
        <family val="2"/>
      </rPr>
      <t>提取；同上，迁移至</t>
    </r>
    <r>
      <rPr>
        <sz val="10"/>
        <rFont val="微软雅黑"/>
        <family val="2"/>
        <charset val="134"/>
      </rPr>
      <t>S01</t>
    </r>
    <r>
      <rPr>
        <sz val="10"/>
        <rFont val="Noto Sans CJK SC"/>
        <family val="2"/>
      </rPr>
      <t>提取</t>
    </r>
  </si>
  <si>
    <r>
      <rPr>
        <sz val="10"/>
        <rFont val="Noto Sans CJK SC"/>
        <family val="2"/>
      </rPr>
      <t>酸化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指示控制器</t>
    </r>
    <r>
      <rPr>
        <sz val="10"/>
        <rFont val="微软雅黑"/>
        <family val="2"/>
        <charset val="134"/>
      </rPr>
      <t>(AIC) —</t>
    </r>
    <r>
      <rPr>
        <sz val="10"/>
        <rFont val="Noto Sans CJK SC"/>
        <family val="2"/>
      </rPr>
      <t>控制→ 稀硫酸进料气动调节阀</t>
    </r>
  </si>
  <si>
    <r>
      <rPr>
        <sz val="10"/>
        <rFont val="Noto Sans CJK SC"/>
        <family val="2"/>
      </rPr>
      <t>萃取酸化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控制器</t>
    </r>
    <r>
      <rPr>
        <sz val="10"/>
        <rFont val="微软雅黑"/>
        <family val="2"/>
        <charset val="134"/>
      </rPr>
      <t>(AIC-1302) —</t>
    </r>
    <r>
      <rPr>
        <sz val="10"/>
        <rFont val="Noto Sans CJK SC"/>
        <family val="2"/>
      </rPr>
      <t>控制→ 盐酸流量调节阀</t>
    </r>
    <r>
      <rPr>
        <sz val="10"/>
        <rFont val="微软雅黑"/>
        <family val="2"/>
        <charset val="134"/>
      </rPr>
      <t>HV_1305</t>
    </r>
  </si>
  <si>
    <r>
      <rPr>
        <sz val="10"/>
        <rFont val="Noto Sans CJK SC"/>
        <family val="2"/>
      </rPr>
      <t>点表对应盐酸流量控制</t>
    </r>
    <r>
      <rPr>
        <sz val="10"/>
        <rFont val="微软雅黑"/>
        <family val="2"/>
        <charset val="134"/>
      </rPr>
      <t>HV_1305</t>
    </r>
  </si>
  <si>
    <r>
      <rPr>
        <sz val="10"/>
        <rFont val="Noto Sans CJK SC"/>
        <family val="2"/>
      </rPr>
      <t>酸化体系</t>
    </r>
    <r>
      <rPr>
        <sz val="10"/>
        <rFont val="微软雅黑"/>
        <family val="2"/>
        <charset val="134"/>
      </rPr>
      <t>pH —</t>
    </r>
    <r>
      <rPr>
        <sz val="10"/>
        <rFont val="Noto Sans CJK SC"/>
        <family val="2"/>
      </rPr>
      <t>反馈给→ 酸化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指示控制器</t>
    </r>
    <r>
      <rPr>
        <sz val="10"/>
        <rFont val="微软雅黑"/>
        <family val="2"/>
        <charset val="134"/>
      </rPr>
      <t>(AIC)</t>
    </r>
  </si>
  <si>
    <r>
      <rPr>
        <sz val="10"/>
        <rFont val="Noto Sans CJK SC"/>
        <family val="2"/>
      </rPr>
      <t>酸化体系</t>
    </r>
    <r>
      <rPr>
        <sz val="10"/>
        <rFont val="微软雅黑"/>
        <family val="2"/>
        <charset val="134"/>
      </rPr>
      <t>pH —</t>
    </r>
    <r>
      <rPr>
        <sz val="10"/>
        <rFont val="Noto Sans CJK SC"/>
        <family val="2"/>
      </rPr>
      <t>反馈给→ 萃取酸化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控制器</t>
    </r>
    <r>
      <rPr>
        <sz val="10"/>
        <rFont val="微软雅黑"/>
        <family val="2"/>
        <charset val="134"/>
      </rPr>
      <t>(AIC-1302)</t>
    </r>
  </si>
  <si>
    <r>
      <rPr>
        <sz val="10"/>
        <rFont val="Noto Sans CJK SC"/>
        <family val="2"/>
      </rPr>
      <t>温度指示控制器</t>
    </r>
    <r>
      <rPr>
        <sz val="10"/>
        <rFont val="微软雅黑"/>
        <family val="2"/>
        <charset val="134"/>
      </rPr>
      <t>(TIC) —</t>
    </r>
    <r>
      <rPr>
        <sz val="10"/>
        <rFont val="Noto Sans CJK SC"/>
        <family val="2"/>
      </rPr>
      <t>控制→ 换热器冷盐水调节阀</t>
    </r>
  </si>
  <si>
    <r>
      <rPr>
        <sz val="10"/>
        <rFont val="Noto Sans CJK SC"/>
        <family val="2"/>
      </rPr>
      <t>水解液去萃取温度控制器</t>
    </r>
    <r>
      <rPr>
        <sz val="10"/>
        <rFont val="微软雅黑"/>
        <family val="2"/>
        <charset val="134"/>
      </rPr>
      <t>(TIC-1006) —</t>
    </r>
    <r>
      <rPr>
        <sz val="10"/>
        <rFont val="Noto Sans CJK SC"/>
        <family val="2"/>
      </rPr>
      <t>控制→ 去萃取换热器冷盐水调节阀</t>
    </r>
    <r>
      <rPr>
        <sz val="10"/>
        <rFont val="微软雅黑"/>
        <family val="2"/>
        <charset val="134"/>
      </rPr>
      <t>HV_1016A/B/HV_1018</t>
    </r>
  </si>
  <si>
    <r>
      <rPr>
        <sz val="10"/>
        <rFont val="Noto Sans CJK SC"/>
        <family val="2"/>
      </rPr>
      <t>水解进料换热温度 —反馈给→ 温度指示控制器</t>
    </r>
    <r>
      <rPr>
        <sz val="10"/>
        <rFont val="微软雅黑"/>
        <family val="2"/>
        <charset val="134"/>
      </rPr>
      <t>(TIC)</t>
    </r>
  </si>
  <si>
    <r>
      <rPr>
        <sz val="10"/>
        <rFont val="Noto Sans CJK SC"/>
        <family val="2"/>
      </rPr>
      <t>水解进料换热温度 —反馈给→ 水解液去萃取温度控制器</t>
    </r>
    <r>
      <rPr>
        <sz val="10"/>
        <rFont val="微软雅黑"/>
        <family val="2"/>
        <charset val="134"/>
      </rPr>
      <t>(TIC-1006)</t>
    </r>
  </si>
  <si>
    <r>
      <rPr>
        <sz val="10"/>
        <rFont val="Noto Sans CJK SC"/>
        <family val="2"/>
      </rPr>
      <t>流量比值控制器</t>
    </r>
    <r>
      <rPr>
        <sz val="10"/>
        <rFont val="微软雅黑"/>
        <family val="2"/>
        <charset val="134"/>
      </rPr>
      <t>(FFC) —</t>
    </r>
    <r>
      <rPr>
        <sz val="10"/>
        <rFont val="Noto Sans CJK SC"/>
        <family val="2"/>
      </rPr>
      <t>控制→ 丁酯溶媒进料调节阀</t>
    </r>
  </si>
  <si>
    <r>
      <rPr>
        <sz val="10"/>
        <rFont val="Noto Sans CJK SC"/>
        <family val="2"/>
      </rPr>
      <t>混合溶媒比值控制器</t>
    </r>
    <r>
      <rPr>
        <sz val="10"/>
        <rFont val="微软雅黑"/>
        <family val="2"/>
        <charset val="134"/>
      </rPr>
      <t>(FFC-1303) —</t>
    </r>
    <r>
      <rPr>
        <sz val="10"/>
        <rFont val="Noto Sans CJK SC"/>
        <family val="2"/>
      </rPr>
      <t>控制→ 溶媒流量调节阀</t>
    </r>
    <r>
      <rPr>
        <sz val="10"/>
        <rFont val="微软雅黑"/>
        <family val="2"/>
        <charset val="134"/>
      </rPr>
      <t>HV_1303</t>
    </r>
  </si>
  <si>
    <t>酶解水解反应液 —流入→ 进料预冷换热器</t>
  </si>
  <si>
    <t>酶解水解反应液 —流入→ 水解液换热器组</t>
  </si>
  <si>
    <t>预冷水解液 —流入→ 萃取酸化混合器</t>
  </si>
  <si>
    <r>
      <rPr>
        <sz val="10"/>
        <rFont val="Noto Sans CJK SC"/>
        <family val="2"/>
      </rPr>
      <t>酶解水解反应液 —流入→ 萃取喷射器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酸化混合器</t>
    </r>
    <r>
      <rPr>
        <sz val="10"/>
        <rFont val="微软雅黑"/>
        <family val="2"/>
        <charset val="134"/>
      </rPr>
      <t>)</t>
    </r>
  </si>
  <si>
    <t>稀硫酸溶液 —注入→ 萃取酸化混合器</t>
  </si>
  <si>
    <r>
      <rPr>
        <sz val="10"/>
        <rFont val="Noto Sans CJK SC"/>
        <family val="2"/>
      </rPr>
      <t>盐酸 —注入→ 萃取喷射器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酸化混合器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</si>
  <si>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萃取酸化使用盐酸（</t>
    </r>
    <r>
      <rPr>
        <sz val="10"/>
        <rFont val="微软雅黑"/>
        <family val="2"/>
        <charset val="134"/>
      </rPr>
      <t>FT_1305/HV_1305</t>
    </r>
    <r>
      <rPr>
        <sz val="10"/>
        <rFont val="Noto Sans CJK SC"/>
        <family val="2"/>
      </rPr>
      <t>，盐酸</t>
    </r>
    <r>
      <rPr>
        <sz val="10"/>
        <rFont val="微软雅黑"/>
        <family val="2"/>
        <charset val="134"/>
      </rPr>
      <t>1–6</t>
    </r>
    <r>
      <rPr>
        <sz val="10"/>
        <rFont val="Noto Sans CJK SC"/>
        <family val="2"/>
      </rPr>
      <t>号投入）；稀硫酸用于提取段</t>
    </r>
  </si>
  <si>
    <t>酸化后水相 —流入→ 水洗碟片离心机组</t>
  </si>
  <si>
    <t>酸化萃取混合液 —流入→ 一萃离心机组</t>
  </si>
  <si>
    <r>
      <rPr>
        <sz val="10"/>
        <rFont val="Noto Sans CJK SC"/>
        <family val="2"/>
      </rPr>
      <t>醋酸丁酯</t>
    </r>
    <r>
      <rPr>
        <sz val="10"/>
        <rFont val="微软雅黑"/>
        <family val="2"/>
        <charset val="134"/>
      </rPr>
      <t>(BA</t>
    </r>
    <r>
      <rPr>
        <sz val="10"/>
        <rFont val="Noto Sans CJK SC"/>
        <family val="2"/>
      </rPr>
      <t>溶媒</t>
    </r>
    <r>
      <rPr>
        <sz val="10"/>
        <rFont val="微软雅黑"/>
        <family val="2"/>
        <charset val="134"/>
      </rPr>
      <t>) —</t>
    </r>
    <r>
      <rPr>
        <sz val="10"/>
        <rFont val="Noto Sans CJK SC"/>
        <family val="2"/>
      </rPr>
      <t>流入→ 水洗碟片离心机组</t>
    </r>
  </si>
  <si>
    <r>
      <rPr>
        <sz val="10"/>
        <rFont val="Noto Sans CJK SC"/>
        <family val="2"/>
      </rPr>
      <t>混合溶媒 —流入→ 萃取喷射器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酸化混合器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</si>
  <si>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混合溶媒在萃取喷射器与水解液、盐酸混合后进一萃离心机；萃取画面溶剂为“混合溶媒”（丁酯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丁醇），纯丁酯用于提取段；流程图中“水洗离心机”属提取水洗段</t>
    </r>
    <r>
      <rPr>
        <sz val="10"/>
        <rFont val="微软雅黑"/>
        <family val="2"/>
        <charset val="134"/>
      </rPr>
      <t>(BA</t>
    </r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；萃取工段使用萃取离心机</t>
    </r>
    <r>
      <rPr>
        <sz val="10"/>
        <rFont val="微软雅黑"/>
        <family val="2"/>
        <charset val="134"/>
      </rPr>
      <t>A–J</t>
    </r>
    <r>
      <rPr>
        <sz val="10"/>
        <rFont val="Noto Sans CJK SC"/>
        <family val="2"/>
      </rPr>
      <t>（一萃</t>
    </r>
    <r>
      <rPr>
        <sz val="10"/>
        <rFont val="微软雅黑"/>
        <family val="2"/>
        <charset val="134"/>
      </rPr>
      <t>A–D/</t>
    </r>
    <r>
      <rPr>
        <sz val="10"/>
        <rFont val="Noto Sans CJK SC"/>
        <family val="2"/>
      </rPr>
      <t>二萃</t>
    </r>
    <r>
      <rPr>
        <sz val="10"/>
        <rFont val="微软雅黑"/>
        <family val="2"/>
        <charset val="134"/>
      </rPr>
      <t>E–H/</t>
    </r>
    <r>
      <rPr>
        <sz val="10"/>
        <rFont val="Noto Sans CJK SC"/>
        <family val="2"/>
      </rPr>
      <t>反萃</t>
    </r>
    <r>
      <rPr>
        <sz val="10"/>
        <rFont val="微软雅黑"/>
        <family val="2"/>
        <charset val="134"/>
      </rPr>
      <t>I–J</t>
    </r>
    <r>
      <rPr>
        <sz val="10"/>
        <rFont val="Noto Sans CJK SC"/>
        <family val="2"/>
      </rPr>
      <t>）</t>
    </r>
  </si>
  <si>
    <t>水洗碟片离心机组 —分离产出→ 含苯乙酸废有机相</t>
  </si>
  <si>
    <r>
      <rPr>
        <sz val="10"/>
        <rFont val="Noto Sans CJK SC"/>
        <family val="2"/>
      </rPr>
      <t>一萃离心机组 —分离产出→ 萃取轻相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富苯乙酸溶媒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</si>
  <si>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流程图中“水洗离心机”属提取水洗段</t>
    </r>
    <r>
      <rPr>
        <sz val="10"/>
        <rFont val="微软雅黑"/>
        <family val="2"/>
        <charset val="134"/>
      </rPr>
      <t>(BA</t>
    </r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；萃取工段使用萃取离心机</t>
    </r>
    <r>
      <rPr>
        <sz val="10"/>
        <rFont val="微软雅黑"/>
        <family val="2"/>
        <charset val="134"/>
      </rPr>
      <t>A–J</t>
    </r>
    <r>
      <rPr>
        <sz val="10"/>
        <rFont val="Noto Sans CJK SC"/>
        <family val="2"/>
      </rPr>
      <t>（一萃</t>
    </r>
    <r>
      <rPr>
        <sz val="10"/>
        <rFont val="微软雅黑"/>
        <family val="2"/>
        <charset val="134"/>
      </rPr>
      <t>A–D/</t>
    </r>
    <r>
      <rPr>
        <sz val="10"/>
        <rFont val="Noto Sans CJK SC"/>
        <family val="2"/>
      </rPr>
      <t>二萃</t>
    </r>
    <r>
      <rPr>
        <sz val="10"/>
        <rFont val="微软雅黑"/>
        <family val="2"/>
        <charset val="134"/>
      </rPr>
      <t>E–H/</t>
    </r>
    <r>
      <rPr>
        <sz val="10"/>
        <rFont val="Noto Sans CJK SC"/>
        <family val="2"/>
      </rPr>
      <t>反萃</t>
    </r>
    <r>
      <rPr>
        <sz val="10"/>
        <rFont val="微软雅黑"/>
        <family val="2"/>
        <charset val="134"/>
      </rPr>
      <t>I–J</t>
    </r>
    <r>
      <rPr>
        <sz val="10"/>
        <rFont val="Noto Sans CJK SC"/>
        <family val="2"/>
      </rPr>
      <t>）；萃取轻相先去萃取轻相罐→反萃，而非直接去精馏</t>
    </r>
  </si>
  <si>
    <r>
      <rPr>
        <sz val="10"/>
        <rFont val="Noto Sans CJK SC"/>
        <family val="2"/>
      </rPr>
      <t xml:space="preserve">水洗碟片离心机组 —分离产出→ 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精制水相重液</t>
    </r>
  </si>
  <si>
    <r>
      <rPr>
        <sz val="10"/>
        <rFont val="Noto Sans CJK SC"/>
        <family val="2"/>
      </rPr>
      <t xml:space="preserve">二萃离心机组 —分离产出→ </t>
    </r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重液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</si>
  <si>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重液为二萃重相，非一萃直接产出；流程图中“水洗离心机”属提取水洗段</t>
    </r>
    <r>
      <rPr>
        <sz val="10"/>
        <rFont val="微软雅黑"/>
        <family val="2"/>
        <charset val="134"/>
      </rPr>
      <t>(BA</t>
    </r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；萃取工段使用萃取离心机</t>
    </r>
    <r>
      <rPr>
        <sz val="10"/>
        <rFont val="微软雅黑"/>
        <family val="2"/>
        <charset val="134"/>
      </rPr>
      <t>A–J</t>
    </r>
    <r>
      <rPr>
        <sz val="10"/>
        <rFont val="Noto Sans CJK SC"/>
        <family val="2"/>
      </rPr>
      <t>（一萃</t>
    </r>
    <r>
      <rPr>
        <sz val="10"/>
        <rFont val="微软雅黑"/>
        <family val="2"/>
        <charset val="134"/>
      </rPr>
      <t>A–D/</t>
    </r>
    <r>
      <rPr>
        <sz val="10"/>
        <rFont val="Noto Sans CJK SC"/>
        <family val="2"/>
      </rPr>
      <t>二萃</t>
    </r>
    <r>
      <rPr>
        <sz val="10"/>
        <rFont val="微软雅黑"/>
        <family val="2"/>
        <charset val="134"/>
      </rPr>
      <t>E–H/</t>
    </r>
    <r>
      <rPr>
        <sz val="10"/>
        <rFont val="Noto Sans CJK SC"/>
        <family val="2"/>
      </rPr>
      <t>反萃</t>
    </r>
    <r>
      <rPr>
        <sz val="10"/>
        <rFont val="微软雅黑"/>
        <family val="2"/>
        <charset val="134"/>
      </rPr>
      <t>I–J</t>
    </r>
    <r>
      <rPr>
        <sz val="10"/>
        <rFont val="Noto Sans CJK SC"/>
        <family val="2"/>
      </rPr>
      <t>）</t>
    </r>
  </si>
  <si>
    <t>换热器冷盐水流量 —负向影响→ 水解进料换热温度</t>
  </si>
  <si>
    <r>
      <rPr>
        <sz val="10"/>
        <rFont val="Noto Sans CJK SC"/>
        <family val="2"/>
      </rPr>
      <t>冷盐水流量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水解液换热器</t>
    </r>
    <r>
      <rPr>
        <sz val="10"/>
        <rFont val="微软雅黑"/>
        <family val="2"/>
        <charset val="134"/>
      </rPr>
      <t>) —</t>
    </r>
    <r>
      <rPr>
        <sz val="10"/>
        <rFont val="Noto Sans CJK SC"/>
        <family val="2"/>
      </rPr>
      <t>负向影响→ 水解进料换热温度</t>
    </r>
  </si>
  <si>
    <t>水解进料换热温度 —正向影响→ 相界面热乳化程度</t>
  </si>
  <si>
    <r>
      <rPr>
        <sz val="10"/>
        <rFont val="Noto Sans CJK SC"/>
        <family val="2"/>
      </rPr>
      <t>稀硫酸进料流量 —负向影响→ 酸化体系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</si>
  <si>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盐酸进料流量 —负向影响→ 酸化体系</t>
    </r>
    <r>
      <rPr>
        <sz val="10"/>
        <rFont val="微软雅黑"/>
        <family val="2"/>
        <charset val="134"/>
      </rPr>
      <t>pH</t>
    </r>
  </si>
  <si>
    <t>同上，萃取加酸为盐酸</t>
  </si>
  <si>
    <r>
      <rPr>
        <sz val="10"/>
        <rFont val="Noto Sans CJK SC"/>
        <family val="2"/>
      </rPr>
      <t>酸化体系</t>
    </r>
    <r>
      <rPr>
        <sz val="10"/>
        <rFont val="微软雅黑"/>
        <family val="2"/>
        <charset val="134"/>
      </rPr>
      <t>pH —</t>
    </r>
    <r>
      <rPr>
        <sz val="10"/>
        <rFont val="Noto Sans CJK SC"/>
        <family val="2"/>
      </rPr>
      <t>影响→ 苯乙酸两相分配系数</t>
    </r>
  </si>
  <si>
    <r>
      <rPr>
        <sz val="10"/>
        <rFont val="Noto Sans CJK SC"/>
        <family val="2"/>
      </rPr>
      <t>丁酯进料流量 —正向影响→ 有机水相相比</t>
    </r>
    <r>
      <rPr>
        <sz val="10"/>
        <rFont val="微软雅黑"/>
        <family val="2"/>
        <charset val="134"/>
      </rPr>
      <t>(O/A</t>
    </r>
    <r>
      <rPr>
        <sz val="10"/>
        <rFont val="Noto Sans CJK SC"/>
        <family val="2"/>
      </rPr>
      <t>比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</si>
  <si>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混合溶媒进料流量 —正向影响→ 有机水相相比</t>
    </r>
    <r>
      <rPr>
        <sz val="10"/>
        <rFont val="微软雅黑"/>
        <family val="2"/>
        <charset val="134"/>
      </rPr>
      <t>(O/A</t>
    </r>
    <r>
      <rPr>
        <sz val="10"/>
        <rFont val="Noto Sans CJK SC"/>
        <family val="2"/>
      </rPr>
      <t>比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</si>
  <si>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有机水相相比</t>
    </r>
    <r>
      <rPr>
        <sz val="10"/>
        <rFont val="微软雅黑"/>
        <family val="2"/>
        <charset val="134"/>
      </rPr>
      <t>(O/A</t>
    </r>
    <r>
      <rPr>
        <sz val="10"/>
        <rFont val="Noto Sans CJK SC"/>
        <family val="2"/>
      </rPr>
      <t>比</t>
    </r>
    <r>
      <rPr>
        <sz val="10"/>
        <rFont val="微软雅黑"/>
        <family val="2"/>
        <charset val="134"/>
      </rPr>
      <t>) —</t>
    </r>
    <r>
      <rPr>
        <sz val="10"/>
        <rFont val="Noto Sans CJK SC"/>
        <family val="2"/>
      </rPr>
      <t>影响→ 萃取分配平衡度</t>
    </r>
  </si>
  <si>
    <t>破乳剂加入量 —负向影响→ 相界面乳化层厚度</t>
  </si>
  <si>
    <t>破乳剂进料流量 —负向影响→ 相界面乳化层厚度</t>
  </si>
  <si>
    <r>
      <rPr>
        <sz val="10"/>
        <rFont val="Noto Sans CJK SC"/>
        <family val="2"/>
      </rPr>
      <t>同上，迁移至</t>
    </r>
    <r>
      <rPr>
        <sz val="10"/>
        <rFont val="微软雅黑"/>
        <family val="2"/>
        <charset val="134"/>
      </rPr>
      <t>S01</t>
    </r>
    <r>
      <rPr>
        <sz val="10"/>
        <rFont val="Noto Sans CJK SC"/>
        <family val="2"/>
      </rPr>
      <t>提取</t>
    </r>
  </si>
  <si>
    <r>
      <rPr>
        <sz val="10"/>
        <rFont val="Noto Sans CJK SC"/>
        <family val="2"/>
      </rPr>
      <t>轻相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重相出口背压差 —影响→ 离心机分相交界面位置</t>
    </r>
  </si>
  <si>
    <t>萃取离心机轻重相背压差 —影响→ 离心机分相交界面位置</t>
  </si>
  <si>
    <t>相界面热乳化程度 —负向影响→ 离心分相澄清度</t>
  </si>
  <si>
    <r>
      <rPr>
        <sz val="10"/>
        <rFont val="Noto Sans CJK SC"/>
        <family val="2"/>
      </rPr>
      <t>离心分相澄清度 —负向影响→ 废有机相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夹带残效</t>
    </r>
  </si>
  <si>
    <r>
      <rPr>
        <sz val="10"/>
        <rFont val="Noto Sans CJK SC"/>
        <family val="2"/>
      </rPr>
      <t>废有机相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夹带残效 —负向影响→ 产品批次提取收率</t>
    </r>
  </si>
  <si>
    <t>水解反应釜 —串联下游→ 水洗碟片离心机组</t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</si>
  <si>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 —</t>
    </r>
    <r>
      <rPr>
        <sz val="10"/>
        <rFont val="Noto Sans CJK SC"/>
        <family val="2"/>
      </rPr>
      <t>串联下游→ 水解液缓冲罐</t>
    </r>
  </si>
  <si>
    <r>
      <rPr>
        <sz val="10"/>
        <rFont val="Noto Sans CJK SC"/>
        <family val="2"/>
      </rPr>
      <t>中间经水解液缓冲罐→换热器→萃取喷射器→一萃离心机，已拆为设备级主链；流程图中“水洗离心机”属提取水洗段</t>
    </r>
    <r>
      <rPr>
        <sz val="10"/>
        <rFont val="微软雅黑"/>
        <family val="2"/>
        <charset val="134"/>
      </rPr>
      <t>(BA</t>
    </r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；萃取工段使用萃取离心机</t>
    </r>
    <r>
      <rPr>
        <sz val="10"/>
        <rFont val="微软雅黑"/>
        <family val="2"/>
        <charset val="134"/>
      </rPr>
      <t>A–J</t>
    </r>
    <r>
      <rPr>
        <sz val="10"/>
        <rFont val="Noto Sans CJK SC"/>
        <family val="2"/>
      </rPr>
      <t>（一萃</t>
    </r>
    <r>
      <rPr>
        <sz val="10"/>
        <rFont val="微软雅黑"/>
        <family val="2"/>
        <charset val="134"/>
      </rPr>
      <t>A–D/</t>
    </r>
    <r>
      <rPr>
        <sz val="10"/>
        <rFont val="Noto Sans CJK SC"/>
        <family val="2"/>
      </rPr>
      <t>二萃</t>
    </r>
    <r>
      <rPr>
        <sz val="10"/>
        <rFont val="微软雅黑"/>
        <family val="2"/>
        <charset val="134"/>
      </rPr>
      <t>E–H/</t>
    </r>
    <r>
      <rPr>
        <sz val="10"/>
        <rFont val="Noto Sans CJK SC"/>
        <family val="2"/>
      </rPr>
      <t>反萃</t>
    </r>
    <r>
      <rPr>
        <sz val="10"/>
        <rFont val="微软雅黑"/>
        <family val="2"/>
        <charset val="134"/>
      </rPr>
      <t>I–J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</si>
  <si>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 xml:space="preserve">水洗碟片离心机组 —串联下游→ 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结晶反应釜</t>
    </r>
  </si>
  <si>
    <r>
      <rPr>
        <sz val="10"/>
        <rFont val="Noto Sans CJK SC"/>
        <family val="2"/>
      </rPr>
      <t xml:space="preserve">萃取重液过滤器 —串联下游→ </t>
    </r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</t>
    </r>
  </si>
  <si>
    <r>
      <rPr>
        <sz val="10"/>
        <rFont val="Noto Sans CJK SC"/>
        <family val="2"/>
      </rPr>
      <t>重液经分相罐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重液缓冲罐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过滤器后去结晶；流程图中“水洗离心机”属提取水洗段</t>
    </r>
    <r>
      <rPr>
        <sz val="10"/>
        <rFont val="微软雅黑"/>
        <family val="2"/>
        <charset val="134"/>
      </rPr>
      <t>(BA</t>
    </r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；萃取工段使用萃取离心机</t>
    </r>
    <r>
      <rPr>
        <sz val="10"/>
        <rFont val="微软雅黑"/>
        <family val="2"/>
        <charset val="134"/>
      </rPr>
      <t>A–J</t>
    </r>
    <r>
      <rPr>
        <sz val="10"/>
        <rFont val="Noto Sans CJK SC"/>
        <family val="2"/>
      </rPr>
      <t>（一萃</t>
    </r>
    <r>
      <rPr>
        <sz val="10"/>
        <rFont val="微软雅黑"/>
        <family val="2"/>
        <charset val="134"/>
      </rPr>
      <t>A–D/</t>
    </r>
    <r>
      <rPr>
        <sz val="10"/>
        <rFont val="Noto Sans CJK SC"/>
        <family val="2"/>
      </rPr>
      <t>二萃</t>
    </r>
    <r>
      <rPr>
        <sz val="10"/>
        <rFont val="微软雅黑"/>
        <family val="2"/>
        <charset val="134"/>
      </rPr>
      <t>E–H/</t>
    </r>
    <r>
      <rPr>
        <sz val="10"/>
        <rFont val="Noto Sans CJK SC"/>
        <family val="2"/>
      </rPr>
      <t>反萃</t>
    </r>
    <r>
      <rPr>
        <sz val="10"/>
        <rFont val="微软雅黑"/>
        <family val="2"/>
        <charset val="134"/>
      </rPr>
      <t>I–J</t>
    </r>
    <r>
      <rPr>
        <sz val="10"/>
        <rFont val="Noto Sans CJK SC"/>
        <family val="2"/>
      </rPr>
      <t>）；对应</t>
    </r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结晶北排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南排</t>
    </r>
    <r>
      <rPr>
        <sz val="10"/>
        <rFont val="微软雅黑"/>
        <family val="2"/>
        <charset val="134"/>
      </rPr>
      <t>R112–R125</t>
    </r>
  </si>
  <si>
    <t>水洗碟片离心机组 —串联下游→ 苯乙酸精馏回收塔</t>
  </si>
  <si>
    <t>反萃离心机组 —串联下游→ 苯乙酸减压塔</t>
  </si>
  <si>
    <r>
      <rPr>
        <sz val="10"/>
        <rFont val="Noto Sans CJK SC"/>
        <family val="2"/>
      </rPr>
      <t>萃取轻相先经液碱反萃，反萃重相再去苯乙酸回收；流程图中“水洗离心机”属提取水洗段</t>
    </r>
    <r>
      <rPr>
        <sz val="10"/>
        <rFont val="微软雅黑"/>
        <family val="2"/>
        <charset val="134"/>
      </rPr>
      <t>(BA</t>
    </r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；萃取工段使用萃取离心机</t>
    </r>
    <r>
      <rPr>
        <sz val="10"/>
        <rFont val="微软雅黑"/>
        <family val="2"/>
        <charset val="134"/>
      </rPr>
      <t>A–J</t>
    </r>
    <r>
      <rPr>
        <sz val="10"/>
        <rFont val="Noto Sans CJK SC"/>
        <family val="2"/>
      </rPr>
      <t>（一萃</t>
    </r>
    <r>
      <rPr>
        <sz val="10"/>
        <rFont val="微软雅黑"/>
        <family val="2"/>
        <charset val="134"/>
      </rPr>
      <t>A–D/</t>
    </r>
    <r>
      <rPr>
        <sz val="10"/>
        <rFont val="Noto Sans CJK SC"/>
        <family val="2"/>
      </rPr>
      <t>二萃</t>
    </r>
    <r>
      <rPr>
        <sz val="10"/>
        <rFont val="微软雅黑"/>
        <family val="2"/>
        <charset val="134"/>
      </rPr>
      <t>E–H/</t>
    </r>
    <r>
      <rPr>
        <sz val="10"/>
        <rFont val="Noto Sans CJK SC"/>
        <family val="2"/>
      </rPr>
      <t>反萃</t>
    </r>
    <r>
      <rPr>
        <sz val="10"/>
        <rFont val="微软雅黑"/>
        <family val="2"/>
        <charset val="134"/>
      </rPr>
      <t>I–J</t>
    </r>
    <r>
      <rPr>
        <sz val="10"/>
        <rFont val="Noto Sans CJK SC"/>
        <family val="2"/>
      </rPr>
      <t>）；点表对应苯乙酸减压塔（站</t>
    </r>
    <r>
      <rPr>
        <sz val="10"/>
        <rFont val="微软雅黑"/>
        <family val="2"/>
        <charset val="134"/>
      </rPr>
      <t>17</t>
    </r>
    <r>
      <rPr>
        <sz val="10"/>
        <rFont val="Noto Sans CJK SC"/>
        <family val="2"/>
      </rPr>
      <t>）</t>
    </r>
  </si>
  <si>
    <t>水解酶解转化率 —正向影响→ 全厂批次最终提取收率</t>
  </si>
  <si>
    <r>
      <rPr>
        <sz val="10"/>
        <rFont val="Noto Sans CJK SC"/>
        <family val="2"/>
      </rPr>
      <t>废有机相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夹带残效 —负向影响→ 全厂批次最终提取收率</t>
    </r>
  </si>
  <si>
    <r>
      <rPr>
        <b/>
        <sz val="11"/>
        <color rgb="FFFFFFFF"/>
        <rFont val="Noto Sans CJK SC"/>
        <family val="2"/>
      </rPr>
      <t xml:space="preserve">工段 </t>
    </r>
    <r>
      <rPr>
        <b/>
        <sz val="11"/>
        <color rgb="FFFFFFFF"/>
        <rFont val="微软雅黑"/>
        <family val="2"/>
        <charset val="134"/>
      </rPr>
      <t>(Area)</t>
    </r>
  </si>
  <si>
    <r>
      <rPr>
        <b/>
        <sz val="11"/>
        <color rgb="FFFFFFFF"/>
        <rFont val="Noto Sans CJK SC"/>
        <family val="2"/>
      </rPr>
      <t xml:space="preserve">关系大类 </t>
    </r>
    <r>
      <rPr>
        <b/>
        <sz val="11"/>
        <color rgb="FFFFFFFF"/>
        <rFont val="微软雅黑"/>
        <family val="2"/>
        <charset val="134"/>
      </rPr>
      <t>(Category)</t>
    </r>
  </si>
  <si>
    <r>
      <rPr>
        <b/>
        <sz val="11"/>
        <color rgb="FFFFFFFF"/>
        <rFont val="Noto Sans CJK SC"/>
        <family val="2"/>
      </rPr>
      <t xml:space="preserve">起始对象类型 </t>
    </r>
    <r>
      <rPr>
        <b/>
        <sz val="11"/>
        <color rgb="FFFFFFFF"/>
        <rFont val="微软雅黑"/>
        <family val="2"/>
        <charset val="134"/>
      </rPr>
      <t>(Subject Type)</t>
    </r>
  </si>
  <si>
    <r>
      <rPr>
        <b/>
        <sz val="11"/>
        <color rgb="FFFFFFFF"/>
        <rFont val="Noto Sans CJK SC"/>
        <family val="2"/>
      </rPr>
      <t xml:space="preserve">起始对象语义名称 </t>
    </r>
    <r>
      <rPr>
        <b/>
        <sz val="11"/>
        <color rgb="FFFFFFFF"/>
        <rFont val="微软雅黑"/>
        <family val="2"/>
        <charset val="134"/>
      </rPr>
      <t>(Subject Entity)</t>
    </r>
  </si>
  <si>
    <r>
      <rPr>
        <b/>
        <sz val="11"/>
        <color rgb="FFFFFFFF"/>
        <rFont val="Noto Sans CJK SC"/>
        <family val="2"/>
      </rPr>
      <t xml:space="preserve">关系谓词 </t>
    </r>
    <r>
      <rPr>
        <b/>
        <sz val="11"/>
        <color rgb="FFFFFFFF"/>
        <rFont val="微软雅黑"/>
        <family val="2"/>
        <charset val="134"/>
      </rPr>
      <t xml:space="preserve">/ </t>
    </r>
    <r>
      <rPr>
        <b/>
        <sz val="11"/>
        <color rgb="FFFFFFFF"/>
        <rFont val="Noto Sans CJK SC"/>
        <family val="2"/>
      </rPr>
      <t xml:space="preserve">边类型 </t>
    </r>
    <r>
      <rPr>
        <b/>
        <sz val="11"/>
        <color rgb="FFFFFFFF"/>
        <rFont val="微软雅黑"/>
        <family val="2"/>
        <charset val="134"/>
      </rPr>
      <t>(Predicate)</t>
    </r>
  </si>
  <si>
    <r>
      <rPr>
        <b/>
        <sz val="11"/>
        <color rgb="FFFFFFFF"/>
        <rFont val="Noto Sans CJK SC"/>
        <family val="2"/>
      </rPr>
      <t xml:space="preserve">目标对象类型 </t>
    </r>
    <r>
      <rPr>
        <b/>
        <sz val="11"/>
        <color rgb="FFFFFFFF"/>
        <rFont val="微软雅黑"/>
        <family val="2"/>
        <charset val="134"/>
      </rPr>
      <t>(Object Type)</t>
    </r>
  </si>
  <si>
    <r>
      <rPr>
        <b/>
        <sz val="11"/>
        <color rgb="FFFFFFFF"/>
        <rFont val="Noto Sans CJK SC"/>
        <family val="2"/>
      </rPr>
      <t xml:space="preserve">目标对象语义名称 </t>
    </r>
    <r>
      <rPr>
        <b/>
        <sz val="11"/>
        <color rgb="FFFFFFFF"/>
        <rFont val="微软雅黑"/>
        <family val="2"/>
        <charset val="134"/>
      </rPr>
      <t>(Object Entity)</t>
    </r>
  </si>
  <si>
    <r>
      <rPr>
        <b/>
        <sz val="11"/>
        <color rgb="FFFFFFFF"/>
        <rFont val="Noto Sans CJK SC"/>
        <family val="2"/>
      </rPr>
      <t xml:space="preserve">工艺机理与业务因果说明 </t>
    </r>
    <r>
      <rPr>
        <b/>
        <sz val="11"/>
        <color rgb="FFFFFFFF"/>
        <rFont val="微软雅黑"/>
        <family val="2"/>
        <charset val="134"/>
      </rPr>
      <t>(Domain Description)</t>
    </r>
  </si>
  <si>
    <t>水解反应釜</t>
  </si>
  <si>
    <t>水解罐配置温控夹套用于反应控温</t>
  </si>
  <si>
    <t>水解罐配置搅拌电机与桨叶提供混合剪切</t>
  </si>
  <si>
    <t>水解反应釜内部反应温度</t>
  </si>
  <si>
    <r>
      <rPr>
        <sz val="10"/>
        <rFont val="Noto Sans CJK SC"/>
        <family val="2"/>
      </rPr>
      <t>反应体系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</si>
  <si>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水解反应釜内部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值</t>
    </r>
  </si>
  <si>
    <t>水解反应釜物料液位</t>
  </si>
  <si>
    <t>搅拌运行转速</t>
  </si>
  <si>
    <t>反应釜搅拌电机转速与剪切速率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</si>
  <si>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浓缩原料液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</si>
  <si>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进料温度</t>
    </r>
  </si>
  <si>
    <r>
      <rPr>
        <sz val="10"/>
        <rFont val="Noto Sans CJK SC"/>
        <family val="2"/>
      </rPr>
      <t>底物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原料液管道来料温度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</si>
  <si>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进料流量</t>
    </r>
  </si>
  <si>
    <r>
      <rPr>
        <sz val="10"/>
        <rFont val="Noto Sans CJK SC"/>
        <family val="2"/>
      </rPr>
      <t>底物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原料液瞬时进料流量</t>
    </r>
  </si>
  <si>
    <t>辅料硼酸缓冲液配制来料温度</t>
  </si>
  <si>
    <t>辅料硼酸缓冲液进料流量</t>
  </si>
  <si>
    <t>氨水加料流量</t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</si>
  <si>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中和滴加氨水瞬时流量</t>
    </r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</si>
  <si>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指示控制器</t>
    </r>
    <r>
      <rPr>
        <sz val="10"/>
        <rFont val="微软雅黑"/>
        <family val="2"/>
        <charset val="134"/>
      </rPr>
      <t>(AIC)</t>
    </r>
  </si>
  <si>
    <t>氨水加料气动调节阀</t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</si>
  <si>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控制器根据偏差实时调节氨水滴加阀开度</t>
    </r>
  </si>
  <si>
    <r>
      <rPr>
        <sz val="10"/>
        <rFont val="Noto Sans CJK SC"/>
        <family val="2"/>
      </rPr>
      <t>反应釜内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检测值作为过程变量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</t>
    </r>
    <r>
      <rPr>
        <sz val="10"/>
        <rFont val="微软雅黑"/>
        <family val="2"/>
        <charset val="134"/>
      </rPr>
      <t>AIC</t>
    </r>
  </si>
  <si>
    <r>
      <rPr>
        <sz val="10"/>
        <rFont val="Noto Sans CJK SC"/>
        <family val="2"/>
      </rPr>
      <t>温度指示控制器</t>
    </r>
    <r>
      <rPr>
        <sz val="10"/>
        <rFont val="微软雅黑"/>
        <family val="2"/>
        <charset val="134"/>
      </rPr>
      <t>(TIC)</t>
    </r>
  </si>
  <si>
    <r>
      <rPr>
        <sz val="10"/>
        <rFont val="Noto Sans CJK SC"/>
        <family val="2"/>
      </rPr>
      <t>夹套伴热蒸汽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冷水调节阀</t>
    </r>
  </si>
  <si>
    <r>
      <rPr>
        <sz val="10"/>
        <rFont val="Noto Sans CJK SC"/>
        <family val="2"/>
      </rPr>
      <t>温度控制器调节夹套进汽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进水量维持恒温</t>
    </r>
  </si>
  <si>
    <r>
      <rPr>
        <sz val="10"/>
        <rFont val="Noto Sans CJK SC"/>
        <family val="2"/>
      </rPr>
      <t>反应釜内温度作为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反馈给</t>
    </r>
    <r>
      <rPr>
        <sz val="10"/>
        <rFont val="微软雅黑"/>
        <family val="2"/>
        <charset val="134"/>
      </rPr>
      <t>TIC</t>
    </r>
  </si>
  <si>
    <r>
      <rPr>
        <sz val="10"/>
        <rFont val="Noto Sans CJK SC"/>
        <family val="2"/>
      </rPr>
      <t>连续水解批次调度程序</t>
    </r>
    <r>
      <rPr>
        <sz val="10"/>
        <rFont val="微软雅黑"/>
        <family val="2"/>
        <charset val="134"/>
      </rPr>
      <t>(SFC)</t>
    </r>
  </si>
  <si>
    <t>批次时序程序控制阀门自动启闭完成换罐</t>
  </si>
  <si>
    <r>
      <rPr>
        <sz val="10"/>
        <rFont val="Noto Sans CJK SC"/>
        <family val="2"/>
      </rPr>
      <t>根据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动态微量滴加氨水</t>
    </r>
  </si>
  <si>
    <r>
      <rPr>
        <sz val="10"/>
        <rFont val="Noto Sans CJK SC"/>
        <family val="2"/>
      </rPr>
      <t>酶催化裂解生成含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与苯乙酸的混合反应液</t>
    </r>
  </si>
  <si>
    <t>水解田缓冲罐</t>
  </si>
  <si>
    <t>水解终点出料汇入水解田缓冲罐暂存</t>
  </si>
  <si>
    <r>
      <rPr>
        <sz val="10"/>
        <rFont val="Noto Sans CJK SC"/>
        <family val="2"/>
      </rPr>
      <t>热水预热伴热温度升高，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进料温度同向升高</t>
    </r>
  </si>
  <si>
    <t>底物来料温度高直接拉高初始釜温，破坏恒温控制</t>
  </si>
  <si>
    <t>夹套伴热蒸汽流量</t>
  </si>
  <si>
    <t>伴热进汽量增大导致反应釜温上升</t>
  </si>
  <si>
    <r>
      <rPr>
        <sz val="10"/>
        <rFont val="Noto Sans CJK SC"/>
        <family val="2"/>
      </rPr>
      <t>反应超温</t>
    </r>
    <r>
      <rPr>
        <sz val="10"/>
        <rFont val="微软雅黑"/>
        <family val="2"/>
        <charset val="134"/>
      </rPr>
      <t>(&gt;35℃)</t>
    </r>
    <r>
      <rPr>
        <sz val="10"/>
        <rFont val="Noto Sans CJK SC"/>
        <family val="2"/>
      </rPr>
      <t>导致酰化酶蛋白热变性失活</t>
    </r>
  </si>
  <si>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热降解损失率</t>
    </r>
  </si>
  <si>
    <r>
      <rPr>
        <sz val="10"/>
        <rFont val="Noto Sans CJK SC"/>
        <family val="2"/>
      </rPr>
      <t>反应超温加速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母环开环水解产生降解杂质</t>
    </r>
  </si>
  <si>
    <r>
      <rPr>
        <sz val="10"/>
        <rFont val="Noto Sans CJK SC"/>
        <family val="2"/>
      </rPr>
      <t>滴加氨水迅速中和解离的苯乙酸，抬升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</si>
  <si>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在最适</t>
    </r>
    <r>
      <rPr>
        <sz val="10"/>
        <rFont val="微软雅黑"/>
        <family val="2"/>
        <charset val="134"/>
      </rPr>
      <t>pH(7.8-8.2)</t>
    </r>
    <r>
      <rPr>
        <sz val="10"/>
        <rFont val="Noto Sans CJK SC"/>
        <family val="2"/>
      </rPr>
      <t>区间催化效率最高，偏离则酶活受抑</t>
    </r>
  </si>
  <si>
    <t>适度剪切加速底物向固定化酶颗粒内微孔扩散</t>
  </si>
  <si>
    <r>
      <rPr>
        <sz val="10"/>
        <rFont val="Noto Sans CJK SC"/>
        <family val="2"/>
      </rPr>
      <t>机械搅拌转速过高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剪切过大造成酶颗粒破碎流失</t>
    </r>
  </si>
  <si>
    <t>反应速率快且彻底，青霉素水解转化率高</t>
  </si>
  <si>
    <t>酶活稳定保证批次转化彻底，残余青霉素少</t>
  </si>
  <si>
    <t>前体转化不完全直接导致终点结晶收率大幅下跌</t>
  </si>
  <si>
    <t>水洗碟片离心机组</t>
  </si>
  <si>
    <r>
      <rPr>
        <sz val="10"/>
        <rFont val="Noto Sans CJK SC"/>
        <family val="2"/>
      </rPr>
      <t>离心机核心部件提供超强离心力场进行固液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液液分离</t>
    </r>
  </si>
  <si>
    <t>离心机转速</t>
  </si>
  <si>
    <r>
      <rPr>
        <sz val="10"/>
        <rFont val="Noto Sans CJK SC"/>
        <family val="2"/>
      </rPr>
      <t>碟片离心机运行分离因数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转速</t>
    </r>
  </si>
  <si>
    <t>轻相出口背压</t>
  </si>
  <si>
    <t>离心机有机相出口向心泵调节背压</t>
  </si>
  <si>
    <t>重相出口背压</t>
  </si>
  <si>
    <t>离心机水相出口向心泵调节背压</t>
  </si>
  <si>
    <t>萃取酸化混合器</t>
  </si>
  <si>
    <r>
      <rPr>
        <sz val="10"/>
        <rFont val="Noto Sans CJK SC"/>
        <family val="2"/>
      </rPr>
      <t>酸化体系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</si>
  <si>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水解液与稀硫酸在线混合酸化后的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值</t>
    </r>
  </si>
  <si>
    <t>进料预冷换热器</t>
  </si>
  <si>
    <t>水解液进入萃取前冷却后的工艺温度</t>
  </si>
  <si>
    <r>
      <rPr>
        <sz val="10"/>
        <rFont val="Noto Sans CJK SC"/>
        <family val="2"/>
      </rPr>
      <t>醋酸丁酯</t>
    </r>
    <r>
      <rPr>
        <sz val="10"/>
        <rFont val="微软雅黑"/>
        <family val="2"/>
        <charset val="134"/>
      </rPr>
      <t>(BA</t>
    </r>
    <r>
      <rPr>
        <sz val="10"/>
        <rFont val="Noto Sans CJK SC"/>
        <family val="2"/>
      </rPr>
      <t>溶媒</t>
    </r>
    <r>
      <rPr>
        <sz val="10"/>
        <rFont val="微软雅黑"/>
        <family val="2"/>
        <charset val="134"/>
      </rPr>
      <t>)</t>
    </r>
  </si>
  <si>
    <t>丁酯进料流量</t>
  </si>
  <si>
    <t>萃取剂醋酸丁酯瞬时进料流量</t>
  </si>
  <si>
    <t>水解酸化液</t>
  </si>
  <si>
    <t>酸化液进料流量</t>
  </si>
  <si>
    <t>水解水相进料瞬时流量</t>
  </si>
  <si>
    <t>破乳剂加入量</t>
  </si>
  <si>
    <t>微量连续注入破乳剂消除界面乳化</t>
  </si>
  <si>
    <r>
      <rPr>
        <sz val="10"/>
        <rFont val="Noto Sans CJK SC"/>
        <family val="2"/>
      </rPr>
      <t>酸化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指示控制器</t>
    </r>
    <r>
      <rPr>
        <sz val="10"/>
        <rFont val="微软雅黑"/>
        <family val="2"/>
        <charset val="134"/>
      </rPr>
      <t>(AIC)</t>
    </r>
  </si>
  <si>
    <t>稀硫酸进料气动调节阀</t>
  </si>
  <si>
    <r>
      <rPr>
        <sz val="10"/>
        <rFont val="Noto Sans CJK SC"/>
        <family val="2"/>
      </rPr>
      <t>根据在线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反馈实时控制稀硫酸注入量</t>
    </r>
  </si>
  <si>
    <r>
      <rPr>
        <sz val="10"/>
        <rFont val="Noto Sans CJK SC"/>
        <family val="2"/>
      </rPr>
      <t>酸化混合管路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检测值作为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</t>
    </r>
  </si>
  <si>
    <t>换热器冷盐水调节阀</t>
  </si>
  <si>
    <r>
      <rPr>
        <sz val="10"/>
        <rFont val="Noto Sans CJK SC"/>
        <family val="2"/>
      </rPr>
      <t>换热器出口料温作为</t>
    </r>
    <r>
      <rPr>
        <sz val="10"/>
        <rFont val="微软雅黑"/>
        <family val="2"/>
        <charset val="134"/>
      </rPr>
      <t>PV</t>
    </r>
    <r>
      <rPr>
        <sz val="10"/>
        <rFont val="Noto Sans CJK SC"/>
        <family val="2"/>
      </rPr>
      <t>反馈</t>
    </r>
  </si>
  <si>
    <r>
      <rPr>
        <sz val="10"/>
        <rFont val="Noto Sans CJK SC"/>
        <family val="2"/>
      </rPr>
      <t>流量比值控制器</t>
    </r>
    <r>
      <rPr>
        <sz val="10"/>
        <rFont val="微软雅黑"/>
        <family val="2"/>
        <charset val="134"/>
      </rPr>
      <t>(FFC)</t>
    </r>
  </si>
  <si>
    <t>丁酯溶媒进料调节阀</t>
  </si>
  <si>
    <t>根据水相流量自动跟踪调节丁酯流量维持相比稳定</t>
  </si>
  <si>
    <t>预冷水解液</t>
  </si>
  <si>
    <r>
      <rPr>
        <sz val="10"/>
        <rFont val="Noto Sans CJK SC"/>
        <family val="2"/>
      </rPr>
      <t>与稀硫酸逆流混合调节等电点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游离酸</t>
    </r>
  </si>
  <si>
    <t>稀硫酸溶液</t>
  </si>
  <si>
    <t>酸化促使苯乙酸转为非解离态</t>
  </si>
  <si>
    <t>酸化后水相</t>
  </si>
  <si>
    <t>酸性物料与丁酯有机相逆流萃取分离</t>
  </si>
  <si>
    <t>有机溶媒萃取萃出游离苯乙酸</t>
  </si>
  <si>
    <t>含苯乙酸废有机相</t>
  </si>
  <si>
    <t>轻相引出送往苯乙酸回收精馏工段</t>
  </si>
  <si>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精制水相重液</t>
    </r>
  </si>
  <si>
    <t>重相引出送往结晶工段结晶析出</t>
  </si>
  <si>
    <t>换热器冷盐水流量</t>
  </si>
  <si>
    <t>萃取来料超温加剧有机溶剂挥发与相界面乳化</t>
  </si>
  <si>
    <t>稀硫酸进料流量</t>
  </si>
  <si>
    <r>
      <rPr>
        <sz val="10"/>
        <rFont val="Noto Sans CJK SC"/>
        <family val="2"/>
      </rPr>
      <t>加酸量增加，体系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降低</t>
    </r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</si>
  <si>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偏高导致苯乙酸离子化无法进入丁酯，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过低导致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降解</t>
    </r>
  </si>
  <si>
    <r>
      <rPr>
        <sz val="10"/>
        <rFont val="Noto Sans CJK SC"/>
        <family val="2"/>
      </rPr>
      <t>有机水相相比</t>
    </r>
    <r>
      <rPr>
        <sz val="10"/>
        <rFont val="微软雅黑"/>
        <family val="2"/>
        <charset val="134"/>
      </rPr>
      <t>(O/A</t>
    </r>
    <r>
      <rPr>
        <sz val="10"/>
        <rFont val="Noto Sans CJK SC"/>
        <family val="2"/>
      </rPr>
      <t>比</t>
    </r>
    <r>
      <rPr>
        <sz val="10"/>
        <rFont val="微软雅黑"/>
        <family val="2"/>
        <charset val="134"/>
      </rPr>
      <t>)</t>
    </r>
  </si>
  <si>
    <t>丁酯流量增加，萃取相比上升</t>
  </si>
  <si>
    <t>相比失衡导致苯乙酸萃取不彻底或后段溶剂负荷过大</t>
  </si>
  <si>
    <t>破乳剂破坏蛋白质等表面活性膜，消除乳化层</t>
  </si>
  <si>
    <r>
      <rPr>
        <sz val="10"/>
        <rFont val="Noto Sans CJK SC"/>
        <family val="2"/>
      </rPr>
      <t>轻相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重相出口背压差</t>
    </r>
  </si>
  <si>
    <t>背压不稳引起零界面内移或外移，造成严重跑相夹带</t>
  </si>
  <si>
    <t>乳化严重造成两相分不开，澄清度下降</t>
  </si>
  <si>
    <r>
      <rPr>
        <sz val="10"/>
        <rFont val="Noto Sans CJK SC"/>
        <family val="2"/>
      </rPr>
      <t>废有机相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夹带残效</t>
    </r>
  </si>
  <si>
    <r>
      <rPr>
        <sz val="10"/>
        <rFont val="Noto Sans CJK SC"/>
        <family val="2"/>
      </rPr>
      <t>分相不清导致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随轻相丁酯外排损失</t>
    </r>
  </si>
  <si>
    <t>废有机相夹带残效直接构成物料永久性流失</t>
  </si>
  <si>
    <t>水解酶解液作为萃取工段进料原料</t>
  </si>
  <si>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结晶反应釜</t>
    </r>
  </si>
  <si>
    <t>萃取重相纯净水溶液送往结晶釜调节等电点析晶</t>
  </si>
  <si>
    <t>苯乙酸精馏回收塔</t>
  </si>
  <si>
    <t>萃取轻相丁酯富集相送往精馏塔减压精馏回收苯乙酸</t>
  </si>
  <si>
    <r>
      <rPr>
        <sz val="10"/>
        <rFont val="Noto Sans CJK SC"/>
        <family val="2"/>
      </rPr>
      <t>水解转化率直接决定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生成上限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</si>
</sst>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宋体"/>
      <family val="2"/>
      <charset val="1"/>
    </font>
    <font>
      <b/>
      <sz val="15"/>
      <color rgb="FF1B365D"/>
      <name val="微软雅黑"/>
      <family val="2"/>
      <charset val="134"/>
    </font>
    <font>
      <b/>
      <sz val="15"/>
      <color rgb="FF1B365D"/>
      <name val="Noto Sans CJK SC"/>
      <family val="2"/>
    </font>
    <font>
      <b/>
      <sz val="10"/>
      <name val="Noto Sans CJK SC"/>
      <family val="2"/>
    </font>
    <font>
      <sz val="10"/>
      <name val="微软雅黑"/>
      <family val="2"/>
      <charset val="134"/>
    </font>
    <font>
      <sz val="10"/>
      <name val="Noto Sans CJK SC"/>
      <family val="2"/>
    </font>
    <font>
      <b/>
      <sz val="10"/>
      <name val="微软雅黑"/>
      <family val="2"/>
      <charset val="134"/>
    </font>
    <font>
      <b/>
      <sz val="10"/>
      <color rgb="FFFFFFFF"/>
      <name val="Noto Sans CJK SC"/>
      <family val="2"/>
    </font>
    <font>
      <b/>
      <sz val="10"/>
      <color rgb="FFFFFFFF"/>
      <name val="微软雅黑"/>
      <family val="2"/>
      <charset val="134"/>
    </font>
    <font>
      <sz val="10"/>
      <color rgb="FF555555"/>
      <name val="Noto Sans CJK SC"/>
      <family val="2"/>
    </font>
    <font>
      <sz val="10"/>
      <color rgb="FF555555"/>
      <name val="微软雅黑"/>
      <family val="2"/>
      <charset val="134"/>
    </font>
    <font>
      <b/>
      <sz val="12"/>
      <color rgb="FF1B365D"/>
      <name val="Noto Sans CJK SC"/>
      <family val="2"/>
    </font>
    <font>
      <b/>
      <sz val="12"/>
      <color rgb="FF1B365D"/>
      <name val="微软雅黑"/>
      <family val="2"/>
      <charset val="134"/>
    </font>
    <font>
      <b/>
      <sz val="13"/>
      <color rgb="FF1B365D"/>
      <name val="微软雅黑"/>
      <family val="2"/>
      <charset val="134"/>
    </font>
    <font>
      <b/>
      <sz val="13"/>
      <color rgb="FF1B365D"/>
      <name val="Noto Sans CJK SC"/>
      <family val="2"/>
    </font>
    <font>
      <sz val="10"/>
      <name val="Consolas"/>
      <family val="3"/>
    </font>
    <font>
      <sz val="10"/>
      <color rgb="FF1F4E79"/>
      <name val="Consolas"/>
      <family val="3"/>
    </font>
    <font>
      <sz val="10"/>
      <color rgb="FF1F4E79"/>
      <name val="Noto Sans CJK SC"/>
      <family val="2"/>
    </font>
    <font>
      <sz val="10"/>
      <color rgb="FF9C2B23"/>
      <name val="Noto Sans CJK SC"/>
      <family val="2"/>
    </font>
    <font>
      <sz val="10"/>
      <color rgb="FF9C2B23"/>
      <name val="微软雅黑"/>
      <family val="2"/>
      <charset val="134"/>
    </font>
    <font>
      <b/>
      <sz val="11"/>
      <color rgb="FFFFFFFF"/>
      <name val="Noto Sans CJK SC"/>
      <family val="2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008000"/>
      <name val="Noto Sans CJK SC"/>
      <family val="2"/>
    </font>
    <font>
      <b/>
      <sz val="10"/>
      <color rgb="FFC00000"/>
      <name val="Noto Sans CJK SC"/>
      <family val="2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B365D"/>
        <bgColor rgb="FF333333"/>
      </patternFill>
    </fill>
    <fill>
      <patternFill patternType="solid">
        <fgColor rgb="FF2F7D5B"/>
        <bgColor rgb="FF008080"/>
      </patternFill>
    </fill>
    <fill>
      <patternFill patternType="solid">
        <fgColor rgb="FFDCEFE3"/>
        <bgColor rgb="FFE3ECF7"/>
      </patternFill>
    </fill>
    <fill>
      <patternFill patternType="solid">
        <fgColor rgb="FFF7F9FC"/>
        <bgColor rgb="FFFFFFFF"/>
      </patternFill>
    </fill>
    <fill>
      <patternFill patternType="solid">
        <fgColor rgb="FFFFF4D6"/>
        <bgColor rgb="FFFBE3E1"/>
      </patternFill>
    </fill>
    <fill>
      <patternFill patternType="solid">
        <fgColor rgb="FFFBE3E1"/>
        <bgColor rgb="FFFFF4D6"/>
      </patternFill>
    </fill>
    <fill>
      <patternFill patternType="solid">
        <fgColor rgb="FFE3ECF7"/>
        <bgColor rgb="FFDCEFE3"/>
      </patternFill>
    </fill>
    <fill>
      <patternFill patternType="solid">
        <fgColor rgb="FF2E5B88"/>
        <bgColor rgb="FF1F4E79"/>
      </patternFill>
    </fill>
  </fills>
  <borders count="3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" fillId="0" borderId="0" xfId="0" applyFont="1"/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5" fillId="5" borderId="0" xfId="0" applyFont="1" applyFill="1" applyAlignment="1">
      <alignment vertical="center" wrapText="1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2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0" xfId="0" applyFont="1"/>
    <xf numFmtId="0" fontId="7" fillId="9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1" fillId="0" borderId="0" xfId="0" applyFont="1"/>
    <xf numFmtId="9" fontId="4" fillId="0" borderId="1" xfId="0" applyNumberFormat="1" applyFont="1" applyBorder="1" applyAlignment="1">
      <alignment horizontal="center" vertical="center"/>
    </xf>
    <xf numFmtId="0" fontId="13" fillId="0" borderId="0" xfId="0" applyFont="1"/>
    <xf numFmtId="0" fontId="15" fillId="0" borderId="0" xfId="0" applyFont="1"/>
    <xf numFmtId="0" fontId="16" fillId="0" borderId="0" xfId="0" applyFont="1"/>
    <xf numFmtId="0" fontId="15" fillId="0" borderId="0" xfId="0" applyFont="1" applyAlignment="1">
      <alignment wrapText="1"/>
    </xf>
    <xf numFmtId="0" fontId="20" fillId="2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22" fillId="5" borderId="2" xfId="0" applyFont="1" applyFill="1" applyBorder="1" applyAlignment="1">
      <alignment horizontal="left"/>
    </xf>
    <xf numFmtId="0" fontId="23" fillId="5" borderId="2" xfId="0" applyFont="1" applyFill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4" fillId="5" borderId="2" xfId="0" applyFont="1" applyFill="1" applyBorder="1" applyAlignment="1">
      <alignment horizontal="center"/>
    </xf>
    <xf numFmtId="0" fontId="24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3D3"/>
      <rgbColor rgb="FF808080"/>
      <rgbColor rgb="FF9999FF"/>
      <rgbColor rgb="FF993366"/>
      <rgbColor rgb="FFFFF4D6"/>
      <rgbColor rgb="FFE3ECF7"/>
      <rgbColor rgb="FF660066"/>
      <rgbColor rgb="FFFF8080"/>
      <rgbColor rgb="FF2E5B88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DCEFE3"/>
      <rgbColor rgb="FFFFFF99"/>
      <rgbColor rgb="FF99CCFF"/>
      <rgbColor rgb="FFFF99CC"/>
      <rgbColor rgb="FFCC99FF"/>
      <rgbColor rgb="FFFBE3E1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365D"/>
      <rgbColor rgb="FF2F7D5B"/>
      <rgbColor rgb="FF003300"/>
      <rgbColor rgb="FF333300"/>
      <rgbColor rgb="FF9C2B23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253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5" defaultRowHeight="13.5"/>
  <cols>
    <col min="1" max="1" width="20" customWidth="1"/>
    <col min="2" max="2" width="13" customWidth="1"/>
    <col min="3" max="3" width="12" customWidth="1"/>
    <col min="4" max="4" width="30" customWidth="1"/>
    <col min="5" max="6" width="12" customWidth="1"/>
    <col min="7" max="7" width="30" customWidth="1"/>
    <col min="8" max="8" width="52" customWidth="1"/>
    <col min="9" max="9" width="11" customWidth="1"/>
    <col min="10" max="10" width="6" customWidth="1"/>
    <col min="11" max="11" width="8" customWidth="1"/>
    <col min="12" max="12" width="9" customWidth="1"/>
    <col min="13" max="13" width="30" customWidth="1"/>
    <col min="14" max="14" width="20" customWidth="1"/>
    <col min="15" max="15" width="30" customWidth="1"/>
    <col min="16" max="16" width="34" customWidth="1"/>
    <col min="17" max="17" width="16" customWidth="1"/>
    <col min="18" max="18" width="7" customWidth="1"/>
    <col min="19" max="19" width="18" customWidth="1"/>
    <col min="20" max="20" width="10" customWidth="1"/>
  </cols>
  <sheetData>
    <row r="1" spans="1:20" ht="45.75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10" t="s">
        <v>33</v>
      </c>
      <c r="L1" s="10" t="s">
        <v>34</v>
      </c>
      <c r="M1" s="10" t="s">
        <v>35</v>
      </c>
      <c r="N1" s="10" t="s">
        <v>36</v>
      </c>
      <c r="O1" s="10" t="s">
        <v>37</v>
      </c>
      <c r="P1" s="10" t="s">
        <v>38</v>
      </c>
      <c r="Q1" s="10" t="s">
        <v>39</v>
      </c>
      <c r="R1" s="10" t="s">
        <v>7</v>
      </c>
      <c r="S1" s="10" t="s">
        <v>40</v>
      </c>
      <c r="T1" s="10" t="s">
        <v>41</v>
      </c>
    </row>
    <row r="2" spans="1:20" ht="16.5">
      <c r="A2" s="11" t="s">
        <v>42</v>
      </c>
      <c r="B2" s="11" t="s">
        <v>43</v>
      </c>
      <c r="C2" s="11" t="s">
        <v>44</v>
      </c>
      <c r="D2" s="12" t="s">
        <v>42</v>
      </c>
      <c r="E2" s="11" t="s">
        <v>45</v>
      </c>
      <c r="F2" s="11" t="s">
        <v>44</v>
      </c>
      <c r="G2" s="12" t="s">
        <v>46</v>
      </c>
      <c r="H2" s="13" t="s">
        <v>47</v>
      </c>
      <c r="I2" s="11" t="s">
        <v>43</v>
      </c>
      <c r="J2" s="11">
        <v>1</v>
      </c>
      <c r="K2" s="14" t="s">
        <v>48</v>
      </c>
      <c r="L2" s="14" t="s">
        <v>49</v>
      </c>
      <c r="M2" s="15" t="s">
        <v>50</v>
      </c>
      <c r="N2" s="15" t="s">
        <v>51</v>
      </c>
      <c r="O2" s="15" t="s">
        <v>52</v>
      </c>
      <c r="P2" s="15"/>
      <c r="Q2" s="12" t="s">
        <v>53</v>
      </c>
      <c r="R2" s="16" t="s">
        <v>54</v>
      </c>
      <c r="S2" s="15"/>
      <c r="T2" s="14" t="s">
        <v>55</v>
      </c>
    </row>
    <row r="3" spans="1:20" ht="29.25">
      <c r="A3" s="17" t="s">
        <v>42</v>
      </c>
      <c r="B3" s="17" t="s">
        <v>43</v>
      </c>
      <c r="C3" s="17" t="s">
        <v>44</v>
      </c>
      <c r="D3" s="18" t="s">
        <v>42</v>
      </c>
      <c r="E3" s="17" t="s">
        <v>45</v>
      </c>
      <c r="F3" s="17" t="s">
        <v>44</v>
      </c>
      <c r="G3" s="19" t="s">
        <v>56</v>
      </c>
      <c r="H3" s="20" t="s">
        <v>57</v>
      </c>
      <c r="I3" s="17" t="s">
        <v>43</v>
      </c>
      <c r="J3" s="17">
        <v>1</v>
      </c>
      <c r="K3" s="21" t="s">
        <v>48</v>
      </c>
      <c r="L3" s="21" t="s">
        <v>58</v>
      </c>
      <c r="M3" s="19" t="s">
        <v>50</v>
      </c>
      <c r="N3" s="19" t="s">
        <v>51</v>
      </c>
      <c r="O3" s="19" t="s">
        <v>59</v>
      </c>
      <c r="P3" s="19"/>
      <c r="Q3" s="18" t="s">
        <v>53</v>
      </c>
      <c r="R3" s="16" t="s">
        <v>54</v>
      </c>
      <c r="S3" s="19"/>
      <c r="T3" s="21" t="s">
        <v>55</v>
      </c>
    </row>
    <row r="4" spans="1:20" ht="16.5">
      <c r="A4" s="11" t="s">
        <v>42</v>
      </c>
      <c r="B4" s="11" t="s">
        <v>60</v>
      </c>
      <c r="C4" s="11" t="s">
        <v>44</v>
      </c>
      <c r="D4" s="12" t="s">
        <v>42</v>
      </c>
      <c r="E4" s="11" t="s">
        <v>61</v>
      </c>
      <c r="F4" s="11" t="s">
        <v>62</v>
      </c>
      <c r="G4" s="12" t="s">
        <v>63</v>
      </c>
      <c r="H4" s="13" t="s">
        <v>64</v>
      </c>
      <c r="I4" s="11" t="s">
        <v>65</v>
      </c>
      <c r="J4" s="14">
        <v>1</v>
      </c>
      <c r="K4" s="14" t="s">
        <v>48</v>
      </c>
      <c r="L4" s="14" t="s">
        <v>66</v>
      </c>
      <c r="M4" s="15" t="s">
        <v>50</v>
      </c>
      <c r="N4" s="15" t="s">
        <v>67</v>
      </c>
      <c r="O4" s="15" t="s">
        <v>68</v>
      </c>
      <c r="P4" s="15"/>
      <c r="Q4" s="12" t="s">
        <v>69</v>
      </c>
      <c r="R4" s="16" t="s">
        <v>54</v>
      </c>
      <c r="S4" s="12" t="s">
        <v>70</v>
      </c>
      <c r="T4" s="14" t="s">
        <v>55</v>
      </c>
    </row>
    <row r="5" spans="1:20" ht="16.5">
      <c r="A5" s="17" t="s">
        <v>42</v>
      </c>
      <c r="B5" s="17" t="s">
        <v>60</v>
      </c>
      <c r="C5" s="17" t="s">
        <v>62</v>
      </c>
      <c r="D5" s="18" t="s">
        <v>63</v>
      </c>
      <c r="E5" s="17" t="s">
        <v>71</v>
      </c>
      <c r="F5" s="17" t="s">
        <v>72</v>
      </c>
      <c r="G5" s="18" t="s">
        <v>73</v>
      </c>
      <c r="H5" s="20" t="s">
        <v>74</v>
      </c>
      <c r="I5" s="17" t="s">
        <v>65</v>
      </c>
      <c r="J5" s="21">
        <v>1</v>
      </c>
      <c r="K5" s="21" t="s">
        <v>48</v>
      </c>
      <c r="L5" s="21" t="s">
        <v>75</v>
      </c>
      <c r="M5" s="19" t="s">
        <v>68</v>
      </c>
      <c r="N5" s="19" t="s">
        <v>76</v>
      </c>
      <c r="O5" s="19" t="s">
        <v>77</v>
      </c>
      <c r="P5" s="19"/>
      <c r="Q5" s="18" t="s">
        <v>69</v>
      </c>
      <c r="R5" s="16" t="s">
        <v>54</v>
      </c>
      <c r="S5" s="18" t="s">
        <v>70</v>
      </c>
      <c r="T5" s="21" t="s">
        <v>55</v>
      </c>
    </row>
    <row r="6" spans="1:20" ht="16.5">
      <c r="A6" s="11" t="s">
        <v>42</v>
      </c>
      <c r="B6" s="11" t="s">
        <v>60</v>
      </c>
      <c r="C6" s="11" t="s">
        <v>62</v>
      </c>
      <c r="D6" s="12" t="s">
        <v>63</v>
      </c>
      <c r="E6" s="11" t="s">
        <v>71</v>
      </c>
      <c r="F6" s="11" t="s">
        <v>72</v>
      </c>
      <c r="G6" s="12" t="s">
        <v>78</v>
      </c>
      <c r="H6" s="13" t="s">
        <v>74</v>
      </c>
      <c r="I6" s="11" t="s">
        <v>65</v>
      </c>
      <c r="J6" s="14">
        <v>1</v>
      </c>
      <c r="K6" s="14" t="s">
        <v>48</v>
      </c>
      <c r="L6" s="14" t="s">
        <v>79</v>
      </c>
      <c r="M6" s="15" t="s">
        <v>68</v>
      </c>
      <c r="N6" s="15" t="s">
        <v>76</v>
      </c>
      <c r="O6" s="15" t="s">
        <v>80</v>
      </c>
      <c r="P6" s="15"/>
      <c r="Q6" s="12" t="s">
        <v>69</v>
      </c>
      <c r="R6" s="16" t="s">
        <v>54</v>
      </c>
      <c r="S6" s="12" t="s">
        <v>70</v>
      </c>
      <c r="T6" s="14" t="s">
        <v>55</v>
      </c>
    </row>
    <row r="7" spans="1:20" ht="16.5">
      <c r="A7" s="17" t="s">
        <v>42</v>
      </c>
      <c r="B7" s="17" t="s">
        <v>60</v>
      </c>
      <c r="C7" s="17" t="s">
        <v>62</v>
      </c>
      <c r="D7" s="18" t="s">
        <v>63</v>
      </c>
      <c r="E7" s="17" t="s">
        <v>81</v>
      </c>
      <c r="F7" s="17" t="s">
        <v>82</v>
      </c>
      <c r="G7" s="18" t="s">
        <v>83</v>
      </c>
      <c r="H7" s="20" t="s">
        <v>84</v>
      </c>
      <c r="I7" s="17" t="s">
        <v>65</v>
      </c>
      <c r="J7" s="21">
        <v>1</v>
      </c>
      <c r="K7" s="21" t="s">
        <v>48</v>
      </c>
      <c r="L7" s="21" t="s">
        <v>85</v>
      </c>
      <c r="M7" s="19" t="s">
        <v>68</v>
      </c>
      <c r="N7" s="19" t="s">
        <v>86</v>
      </c>
      <c r="O7" s="19" t="s">
        <v>87</v>
      </c>
      <c r="P7" s="19"/>
      <c r="Q7" s="18" t="s">
        <v>53</v>
      </c>
      <c r="R7" s="22" t="s">
        <v>88</v>
      </c>
      <c r="S7" s="18" t="s">
        <v>70</v>
      </c>
      <c r="T7" s="21" t="s">
        <v>55</v>
      </c>
    </row>
    <row r="8" spans="1:20" ht="16.5">
      <c r="A8" s="11" t="s">
        <v>42</v>
      </c>
      <c r="B8" s="11" t="s">
        <v>60</v>
      </c>
      <c r="C8" s="11" t="s">
        <v>62</v>
      </c>
      <c r="D8" s="12" t="s">
        <v>63</v>
      </c>
      <c r="E8" s="11" t="s">
        <v>81</v>
      </c>
      <c r="F8" s="11" t="s">
        <v>82</v>
      </c>
      <c r="G8" s="12" t="s">
        <v>89</v>
      </c>
      <c r="H8" s="13" t="s">
        <v>90</v>
      </c>
      <c r="I8" s="11" t="s">
        <v>65</v>
      </c>
      <c r="J8" s="14">
        <v>1</v>
      </c>
      <c r="K8" s="14" t="s">
        <v>48</v>
      </c>
      <c r="L8" s="14" t="s">
        <v>91</v>
      </c>
      <c r="M8" s="15" t="s">
        <v>68</v>
      </c>
      <c r="N8" s="15" t="s">
        <v>86</v>
      </c>
      <c r="O8" s="15" t="s">
        <v>92</v>
      </c>
      <c r="P8" s="15"/>
      <c r="Q8" s="12" t="s">
        <v>53</v>
      </c>
      <c r="R8" s="22" t="s">
        <v>88</v>
      </c>
      <c r="S8" s="12" t="s">
        <v>70</v>
      </c>
      <c r="T8" s="14" t="s">
        <v>55</v>
      </c>
    </row>
    <row r="9" spans="1:20" ht="16.5">
      <c r="A9" s="17" t="s">
        <v>42</v>
      </c>
      <c r="B9" s="17" t="s">
        <v>60</v>
      </c>
      <c r="C9" s="17" t="s">
        <v>44</v>
      </c>
      <c r="D9" s="18" t="s">
        <v>42</v>
      </c>
      <c r="E9" s="17" t="s">
        <v>61</v>
      </c>
      <c r="F9" s="17" t="s">
        <v>62</v>
      </c>
      <c r="G9" s="18" t="s">
        <v>93</v>
      </c>
      <c r="H9" s="20" t="s">
        <v>94</v>
      </c>
      <c r="I9" s="17" t="s">
        <v>65</v>
      </c>
      <c r="J9" s="21">
        <v>1</v>
      </c>
      <c r="K9" s="21" t="s">
        <v>48</v>
      </c>
      <c r="L9" s="21" t="s">
        <v>95</v>
      </c>
      <c r="M9" s="19" t="s">
        <v>50</v>
      </c>
      <c r="N9" s="19" t="s">
        <v>67</v>
      </c>
      <c r="O9" s="19" t="s">
        <v>96</v>
      </c>
      <c r="P9" s="19"/>
      <c r="Q9" s="18" t="s">
        <v>69</v>
      </c>
      <c r="R9" s="16" t="s">
        <v>54</v>
      </c>
      <c r="S9" s="18" t="s">
        <v>70</v>
      </c>
      <c r="T9" s="21" t="s">
        <v>55</v>
      </c>
    </row>
    <row r="10" spans="1:20" ht="16.5">
      <c r="A10" s="11" t="s">
        <v>42</v>
      </c>
      <c r="B10" s="11" t="s">
        <v>60</v>
      </c>
      <c r="C10" s="11" t="s">
        <v>62</v>
      </c>
      <c r="D10" s="12" t="s">
        <v>93</v>
      </c>
      <c r="E10" s="11" t="s">
        <v>71</v>
      </c>
      <c r="F10" s="11" t="s">
        <v>72</v>
      </c>
      <c r="G10" s="12" t="s">
        <v>97</v>
      </c>
      <c r="H10" s="13" t="s">
        <v>98</v>
      </c>
      <c r="I10" s="11" t="s">
        <v>65</v>
      </c>
      <c r="J10" s="14">
        <v>1</v>
      </c>
      <c r="K10" s="14" t="s">
        <v>48</v>
      </c>
      <c r="L10" s="14" t="s">
        <v>99</v>
      </c>
      <c r="M10" s="15" t="s">
        <v>96</v>
      </c>
      <c r="N10" s="15" t="s">
        <v>76</v>
      </c>
      <c r="O10" s="15" t="s">
        <v>100</v>
      </c>
      <c r="P10" s="15"/>
      <c r="Q10" s="12" t="s">
        <v>69</v>
      </c>
      <c r="R10" s="16" t="s">
        <v>54</v>
      </c>
      <c r="S10" s="12" t="s">
        <v>70</v>
      </c>
      <c r="T10" s="14" t="s">
        <v>55</v>
      </c>
    </row>
    <row r="11" spans="1:20" ht="16.5">
      <c r="A11" s="17" t="s">
        <v>42</v>
      </c>
      <c r="B11" s="17" t="s">
        <v>60</v>
      </c>
      <c r="C11" s="17" t="s">
        <v>62</v>
      </c>
      <c r="D11" s="18" t="s">
        <v>93</v>
      </c>
      <c r="E11" s="17" t="s">
        <v>71</v>
      </c>
      <c r="F11" s="17" t="s">
        <v>72</v>
      </c>
      <c r="G11" s="18" t="s">
        <v>101</v>
      </c>
      <c r="H11" s="20" t="s">
        <v>98</v>
      </c>
      <c r="I11" s="17" t="s">
        <v>65</v>
      </c>
      <c r="J11" s="21">
        <v>1</v>
      </c>
      <c r="K11" s="21" t="s">
        <v>48</v>
      </c>
      <c r="L11" s="21" t="s">
        <v>102</v>
      </c>
      <c r="M11" s="19" t="s">
        <v>96</v>
      </c>
      <c r="N11" s="19" t="s">
        <v>76</v>
      </c>
      <c r="O11" s="19" t="s">
        <v>103</v>
      </c>
      <c r="P11" s="19"/>
      <c r="Q11" s="18" t="s">
        <v>69</v>
      </c>
      <c r="R11" s="16" t="s">
        <v>54</v>
      </c>
      <c r="S11" s="18" t="s">
        <v>70</v>
      </c>
      <c r="T11" s="21" t="s">
        <v>55</v>
      </c>
    </row>
    <row r="12" spans="1:20" ht="16.5">
      <c r="A12" s="11" t="s">
        <v>42</v>
      </c>
      <c r="B12" s="11" t="s">
        <v>60</v>
      </c>
      <c r="C12" s="11" t="s">
        <v>62</v>
      </c>
      <c r="D12" s="12" t="s">
        <v>93</v>
      </c>
      <c r="E12" s="11" t="s">
        <v>71</v>
      </c>
      <c r="F12" s="11" t="s">
        <v>72</v>
      </c>
      <c r="G12" s="12" t="s">
        <v>104</v>
      </c>
      <c r="H12" s="13" t="s">
        <v>98</v>
      </c>
      <c r="I12" s="11" t="s">
        <v>65</v>
      </c>
      <c r="J12" s="14">
        <v>1</v>
      </c>
      <c r="K12" s="14" t="s">
        <v>48</v>
      </c>
      <c r="L12" s="14" t="s">
        <v>105</v>
      </c>
      <c r="M12" s="15" t="s">
        <v>96</v>
      </c>
      <c r="N12" s="15" t="s">
        <v>76</v>
      </c>
      <c r="O12" s="15" t="s">
        <v>106</v>
      </c>
      <c r="P12" s="15"/>
      <c r="Q12" s="12" t="s">
        <v>69</v>
      </c>
      <c r="R12" s="16" t="s">
        <v>54</v>
      </c>
      <c r="S12" s="12" t="s">
        <v>70</v>
      </c>
      <c r="T12" s="14" t="s">
        <v>55</v>
      </c>
    </row>
    <row r="13" spans="1:20" ht="16.5">
      <c r="A13" s="17" t="s">
        <v>42</v>
      </c>
      <c r="B13" s="17" t="s">
        <v>60</v>
      </c>
      <c r="C13" s="17" t="s">
        <v>62</v>
      </c>
      <c r="D13" s="18" t="s">
        <v>93</v>
      </c>
      <c r="E13" s="17" t="s">
        <v>71</v>
      </c>
      <c r="F13" s="17" t="s">
        <v>72</v>
      </c>
      <c r="G13" s="18" t="s">
        <v>107</v>
      </c>
      <c r="H13" s="20" t="s">
        <v>98</v>
      </c>
      <c r="I13" s="17" t="s">
        <v>65</v>
      </c>
      <c r="J13" s="21">
        <v>1</v>
      </c>
      <c r="K13" s="21" t="s">
        <v>48</v>
      </c>
      <c r="L13" s="21" t="s">
        <v>108</v>
      </c>
      <c r="M13" s="19" t="s">
        <v>96</v>
      </c>
      <c r="N13" s="19" t="s">
        <v>76</v>
      </c>
      <c r="O13" s="19" t="s">
        <v>109</v>
      </c>
      <c r="P13" s="19"/>
      <c r="Q13" s="18" t="s">
        <v>69</v>
      </c>
      <c r="R13" s="16" t="s">
        <v>54</v>
      </c>
      <c r="S13" s="18" t="s">
        <v>70</v>
      </c>
      <c r="T13" s="21" t="s">
        <v>55</v>
      </c>
    </row>
    <row r="14" spans="1:20" ht="16.5">
      <c r="A14" s="11" t="s">
        <v>42</v>
      </c>
      <c r="B14" s="11" t="s">
        <v>60</v>
      </c>
      <c r="C14" s="11" t="s">
        <v>62</v>
      </c>
      <c r="D14" s="12" t="s">
        <v>93</v>
      </c>
      <c r="E14" s="11" t="s">
        <v>71</v>
      </c>
      <c r="F14" s="11" t="s">
        <v>72</v>
      </c>
      <c r="G14" s="12" t="s">
        <v>110</v>
      </c>
      <c r="H14" s="13" t="s">
        <v>98</v>
      </c>
      <c r="I14" s="11" t="s">
        <v>65</v>
      </c>
      <c r="J14" s="14">
        <v>1</v>
      </c>
      <c r="K14" s="14" t="s">
        <v>48</v>
      </c>
      <c r="L14" s="14" t="s">
        <v>111</v>
      </c>
      <c r="M14" s="15" t="s">
        <v>96</v>
      </c>
      <c r="N14" s="15" t="s">
        <v>76</v>
      </c>
      <c r="O14" s="15" t="s">
        <v>112</v>
      </c>
      <c r="P14" s="15"/>
      <c r="Q14" s="12" t="s">
        <v>69</v>
      </c>
      <c r="R14" s="16" t="s">
        <v>54</v>
      </c>
      <c r="S14" s="12" t="s">
        <v>70</v>
      </c>
      <c r="T14" s="14" t="s">
        <v>55</v>
      </c>
    </row>
    <row r="15" spans="1:20" ht="16.5">
      <c r="A15" s="17" t="s">
        <v>42</v>
      </c>
      <c r="B15" s="17" t="s">
        <v>60</v>
      </c>
      <c r="C15" s="17" t="s">
        <v>62</v>
      </c>
      <c r="D15" s="18" t="s">
        <v>93</v>
      </c>
      <c r="E15" s="17" t="s">
        <v>71</v>
      </c>
      <c r="F15" s="17" t="s">
        <v>72</v>
      </c>
      <c r="G15" s="18" t="s">
        <v>113</v>
      </c>
      <c r="H15" s="20" t="s">
        <v>98</v>
      </c>
      <c r="I15" s="17" t="s">
        <v>65</v>
      </c>
      <c r="J15" s="21">
        <v>1</v>
      </c>
      <c r="K15" s="21" t="s">
        <v>48</v>
      </c>
      <c r="L15" s="21" t="s">
        <v>114</v>
      </c>
      <c r="M15" s="19" t="s">
        <v>96</v>
      </c>
      <c r="N15" s="19" t="s">
        <v>76</v>
      </c>
      <c r="O15" s="19" t="s">
        <v>115</v>
      </c>
      <c r="P15" s="19"/>
      <c r="Q15" s="18" t="s">
        <v>69</v>
      </c>
      <c r="R15" s="16" t="s">
        <v>54</v>
      </c>
      <c r="S15" s="18" t="s">
        <v>70</v>
      </c>
      <c r="T15" s="21" t="s">
        <v>55</v>
      </c>
    </row>
    <row r="16" spans="1:20" ht="16.5">
      <c r="A16" s="11" t="s">
        <v>42</v>
      </c>
      <c r="B16" s="11" t="s">
        <v>60</v>
      </c>
      <c r="C16" s="11" t="s">
        <v>62</v>
      </c>
      <c r="D16" s="12" t="s">
        <v>93</v>
      </c>
      <c r="E16" s="11" t="s">
        <v>81</v>
      </c>
      <c r="F16" s="11" t="s">
        <v>82</v>
      </c>
      <c r="G16" s="12" t="s">
        <v>116</v>
      </c>
      <c r="H16" s="13" t="s">
        <v>117</v>
      </c>
      <c r="I16" s="11" t="s">
        <v>65</v>
      </c>
      <c r="J16" s="14">
        <v>1</v>
      </c>
      <c r="K16" s="14" t="s">
        <v>48</v>
      </c>
      <c r="L16" s="14" t="s">
        <v>118</v>
      </c>
      <c r="M16" s="15" t="s">
        <v>96</v>
      </c>
      <c r="N16" s="15" t="s">
        <v>86</v>
      </c>
      <c r="O16" s="15" t="s">
        <v>119</v>
      </c>
      <c r="P16" s="15"/>
      <c r="Q16" s="12" t="s">
        <v>53</v>
      </c>
      <c r="R16" s="22" t="s">
        <v>88</v>
      </c>
      <c r="S16" s="12" t="s">
        <v>70</v>
      </c>
      <c r="T16" s="14" t="s">
        <v>55</v>
      </c>
    </row>
    <row r="17" spans="1:20" ht="16.5">
      <c r="A17" s="17" t="s">
        <v>42</v>
      </c>
      <c r="B17" s="17" t="s">
        <v>60</v>
      </c>
      <c r="C17" s="17" t="s">
        <v>44</v>
      </c>
      <c r="D17" s="18" t="s">
        <v>42</v>
      </c>
      <c r="E17" s="17" t="s">
        <v>61</v>
      </c>
      <c r="F17" s="17" t="s">
        <v>62</v>
      </c>
      <c r="G17" s="19" t="s">
        <v>120</v>
      </c>
      <c r="H17" s="20" t="s">
        <v>121</v>
      </c>
      <c r="I17" s="17" t="s">
        <v>65</v>
      </c>
      <c r="J17" s="21">
        <v>1</v>
      </c>
      <c r="K17" s="21" t="s">
        <v>48</v>
      </c>
      <c r="L17" s="21" t="s">
        <v>122</v>
      </c>
      <c r="M17" s="19" t="s">
        <v>50</v>
      </c>
      <c r="N17" s="19" t="s">
        <v>67</v>
      </c>
      <c r="O17" s="19" t="s">
        <v>123</v>
      </c>
      <c r="P17" s="19"/>
      <c r="Q17" s="18" t="s">
        <v>69</v>
      </c>
      <c r="R17" s="16" t="s">
        <v>54</v>
      </c>
      <c r="S17" s="18" t="s">
        <v>70</v>
      </c>
      <c r="T17" s="21" t="s">
        <v>55</v>
      </c>
    </row>
    <row r="18" spans="1:20" ht="16.5">
      <c r="A18" s="11" t="s">
        <v>42</v>
      </c>
      <c r="B18" s="11" t="s">
        <v>60</v>
      </c>
      <c r="C18" s="11" t="s">
        <v>62</v>
      </c>
      <c r="D18" s="15" t="s">
        <v>120</v>
      </c>
      <c r="E18" s="11" t="s">
        <v>71</v>
      </c>
      <c r="F18" s="11" t="s">
        <v>72</v>
      </c>
      <c r="G18" s="12" t="s">
        <v>124</v>
      </c>
      <c r="H18" s="23" t="s">
        <v>125</v>
      </c>
      <c r="I18" s="11" t="s">
        <v>65</v>
      </c>
      <c r="J18" s="14">
        <v>1</v>
      </c>
      <c r="K18" s="14" t="s">
        <v>48</v>
      </c>
      <c r="L18" s="14" t="s">
        <v>126</v>
      </c>
      <c r="M18" s="15" t="s">
        <v>123</v>
      </c>
      <c r="N18" s="15" t="s">
        <v>76</v>
      </c>
      <c r="O18" s="15" t="s">
        <v>127</v>
      </c>
      <c r="P18" s="15"/>
      <c r="Q18" s="12" t="s">
        <v>69</v>
      </c>
      <c r="R18" s="16" t="s">
        <v>54</v>
      </c>
      <c r="S18" s="12" t="s">
        <v>70</v>
      </c>
      <c r="T18" s="14" t="s">
        <v>55</v>
      </c>
    </row>
    <row r="19" spans="1:20" ht="16.5">
      <c r="A19" s="17" t="s">
        <v>42</v>
      </c>
      <c r="B19" s="17" t="s">
        <v>60</v>
      </c>
      <c r="C19" s="17" t="s">
        <v>62</v>
      </c>
      <c r="D19" s="19" t="s">
        <v>120</v>
      </c>
      <c r="E19" s="17" t="s">
        <v>71</v>
      </c>
      <c r="F19" s="17" t="s">
        <v>72</v>
      </c>
      <c r="G19" s="18" t="s">
        <v>128</v>
      </c>
      <c r="H19" s="24" t="s">
        <v>125</v>
      </c>
      <c r="I19" s="17" t="s">
        <v>65</v>
      </c>
      <c r="J19" s="21">
        <v>1</v>
      </c>
      <c r="K19" s="21" t="s">
        <v>48</v>
      </c>
      <c r="L19" s="21" t="s">
        <v>129</v>
      </c>
      <c r="M19" s="19" t="s">
        <v>123</v>
      </c>
      <c r="N19" s="19" t="s">
        <v>76</v>
      </c>
      <c r="O19" s="19" t="s">
        <v>130</v>
      </c>
      <c r="P19" s="19"/>
      <c r="Q19" s="18" t="s">
        <v>69</v>
      </c>
      <c r="R19" s="16" t="s">
        <v>54</v>
      </c>
      <c r="S19" s="18" t="s">
        <v>70</v>
      </c>
      <c r="T19" s="21" t="s">
        <v>55</v>
      </c>
    </row>
    <row r="20" spans="1:20" ht="16.5">
      <c r="A20" s="11" t="s">
        <v>42</v>
      </c>
      <c r="B20" s="11" t="s">
        <v>60</v>
      </c>
      <c r="C20" s="11" t="s">
        <v>62</v>
      </c>
      <c r="D20" s="15" t="s">
        <v>120</v>
      </c>
      <c r="E20" s="11" t="s">
        <v>71</v>
      </c>
      <c r="F20" s="11" t="s">
        <v>72</v>
      </c>
      <c r="G20" s="12" t="s">
        <v>131</v>
      </c>
      <c r="H20" s="23" t="s">
        <v>125</v>
      </c>
      <c r="I20" s="11" t="s">
        <v>65</v>
      </c>
      <c r="J20" s="14">
        <v>1</v>
      </c>
      <c r="K20" s="14" t="s">
        <v>48</v>
      </c>
      <c r="L20" s="14" t="s">
        <v>132</v>
      </c>
      <c r="M20" s="15" t="s">
        <v>123</v>
      </c>
      <c r="N20" s="15" t="s">
        <v>76</v>
      </c>
      <c r="O20" s="15" t="s">
        <v>133</v>
      </c>
      <c r="P20" s="15"/>
      <c r="Q20" s="12" t="s">
        <v>69</v>
      </c>
      <c r="R20" s="16" t="s">
        <v>54</v>
      </c>
      <c r="S20" s="12" t="s">
        <v>70</v>
      </c>
      <c r="T20" s="14" t="s">
        <v>55</v>
      </c>
    </row>
    <row r="21" spans="1:20" ht="16.5">
      <c r="A21" s="17" t="s">
        <v>42</v>
      </c>
      <c r="B21" s="17" t="s">
        <v>60</v>
      </c>
      <c r="C21" s="17" t="s">
        <v>62</v>
      </c>
      <c r="D21" s="19" t="s">
        <v>120</v>
      </c>
      <c r="E21" s="17" t="s">
        <v>71</v>
      </c>
      <c r="F21" s="17" t="s">
        <v>72</v>
      </c>
      <c r="G21" s="18" t="s">
        <v>134</v>
      </c>
      <c r="H21" s="24" t="s">
        <v>125</v>
      </c>
      <c r="I21" s="17" t="s">
        <v>65</v>
      </c>
      <c r="J21" s="21">
        <v>1</v>
      </c>
      <c r="K21" s="21" t="s">
        <v>48</v>
      </c>
      <c r="L21" s="21" t="s">
        <v>135</v>
      </c>
      <c r="M21" s="19" t="s">
        <v>123</v>
      </c>
      <c r="N21" s="19" t="s">
        <v>76</v>
      </c>
      <c r="O21" s="19" t="s">
        <v>136</v>
      </c>
      <c r="P21" s="19"/>
      <c r="Q21" s="18" t="s">
        <v>69</v>
      </c>
      <c r="R21" s="16" t="s">
        <v>54</v>
      </c>
      <c r="S21" s="18" t="s">
        <v>70</v>
      </c>
      <c r="T21" s="21" t="s">
        <v>55</v>
      </c>
    </row>
    <row r="22" spans="1:20" ht="16.5">
      <c r="A22" s="11" t="s">
        <v>42</v>
      </c>
      <c r="B22" s="11" t="s">
        <v>60</v>
      </c>
      <c r="C22" s="11" t="s">
        <v>62</v>
      </c>
      <c r="D22" s="15" t="s">
        <v>120</v>
      </c>
      <c r="E22" s="11" t="s">
        <v>71</v>
      </c>
      <c r="F22" s="11" t="s">
        <v>72</v>
      </c>
      <c r="G22" s="12" t="s">
        <v>137</v>
      </c>
      <c r="H22" s="23" t="s">
        <v>125</v>
      </c>
      <c r="I22" s="11" t="s">
        <v>65</v>
      </c>
      <c r="J22" s="14">
        <v>1</v>
      </c>
      <c r="K22" s="14" t="s">
        <v>48</v>
      </c>
      <c r="L22" s="14" t="s">
        <v>138</v>
      </c>
      <c r="M22" s="15" t="s">
        <v>123</v>
      </c>
      <c r="N22" s="15" t="s">
        <v>76</v>
      </c>
      <c r="O22" s="15" t="s">
        <v>139</v>
      </c>
      <c r="P22" s="15"/>
      <c r="Q22" s="12" t="s">
        <v>69</v>
      </c>
      <c r="R22" s="16" t="s">
        <v>54</v>
      </c>
      <c r="S22" s="12" t="s">
        <v>70</v>
      </c>
      <c r="T22" s="14" t="s">
        <v>55</v>
      </c>
    </row>
    <row r="23" spans="1:20" ht="16.5">
      <c r="A23" s="17" t="s">
        <v>42</v>
      </c>
      <c r="B23" s="17" t="s">
        <v>60</v>
      </c>
      <c r="C23" s="17" t="s">
        <v>62</v>
      </c>
      <c r="D23" s="19" t="s">
        <v>120</v>
      </c>
      <c r="E23" s="17" t="s">
        <v>71</v>
      </c>
      <c r="F23" s="17" t="s">
        <v>72</v>
      </c>
      <c r="G23" s="18" t="s">
        <v>140</v>
      </c>
      <c r="H23" s="24" t="s">
        <v>125</v>
      </c>
      <c r="I23" s="17" t="s">
        <v>65</v>
      </c>
      <c r="J23" s="21">
        <v>1</v>
      </c>
      <c r="K23" s="21" t="s">
        <v>48</v>
      </c>
      <c r="L23" s="21" t="s">
        <v>141</v>
      </c>
      <c r="M23" s="19" t="s">
        <v>123</v>
      </c>
      <c r="N23" s="19" t="s">
        <v>76</v>
      </c>
      <c r="O23" s="19" t="s">
        <v>142</v>
      </c>
      <c r="P23" s="19"/>
      <c r="Q23" s="18" t="s">
        <v>69</v>
      </c>
      <c r="R23" s="16" t="s">
        <v>54</v>
      </c>
      <c r="S23" s="18" t="s">
        <v>70</v>
      </c>
      <c r="T23" s="21" t="s">
        <v>55</v>
      </c>
    </row>
    <row r="24" spans="1:20" ht="16.5">
      <c r="A24" s="11" t="s">
        <v>42</v>
      </c>
      <c r="B24" s="11" t="s">
        <v>60</v>
      </c>
      <c r="C24" s="11" t="s">
        <v>62</v>
      </c>
      <c r="D24" s="15" t="s">
        <v>120</v>
      </c>
      <c r="E24" s="11" t="s">
        <v>81</v>
      </c>
      <c r="F24" s="11" t="s">
        <v>82</v>
      </c>
      <c r="G24" s="15" t="s">
        <v>143</v>
      </c>
      <c r="H24" s="23" t="s">
        <v>144</v>
      </c>
      <c r="I24" s="11" t="s">
        <v>65</v>
      </c>
      <c r="J24" s="14">
        <v>1</v>
      </c>
      <c r="K24" s="14" t="s">
        <v>48</v>
      </c>
      <c r="L24" s="14" t="s">
        <v>145</v>
      </c>
      <c r="M24" s="15" t="s">
        <v>123</v>
      </c>
      <c r="N24" s="15" t="s">
        <v>86</v>
      </c>
      <c r="O24" s="15" t="s">
        <v>146</v>
      </c>
      <c r="P24" s="15"/>
      <c r="Q24" s="12" t="s">
        <v>53</v>
      </c>
      <c r="R24" s="22" t="s">
        <v>88</v>
      </c>
      <c r="S24" s="12" t="s">
        <v>70</v>
      </c>
      <c r="T24" s="14" t="s">
        <v>55</v>
      </c>
    </row>
    <row r="25" spans="1:20" ht="16.5">
      <c r="A25" s="17" t="s">
        <v>42</v>
      </c>
      <c r="B25" s="17" t="s">
        <v>60</v>
      </c>
      <c r="C25" s="17" t="s">
        <v>62</v>
      </c>
      <c r="D25" s="19" t="s">
        <v>120</v>
      </c>
      <c r="E25" s="17" t="s">
        <v>81</v>
      </c>
      <c r="F25" s="17" t="s">
        <v>82</v>
      </c>
      <c r="G25" s="19" t="s">
        <v>147</v>
      </c>
      <c r="H25" s="24" t="s">
        <v>148</v>
      </c>
      <c r="I25" s="17" t="s">
        <v>65</v>
      </c>
      <c r="J25" s="21">
        <v>1</v>
      </c>
      <c r="K25" s="21" t="s">
        <v>48</v>
      </c>
      <c r="L25" s="21" t="s">
        <v>149</v>
      </c>
      <c r="M25" s="19" t="s">
        <v>123</v>
      </c>
      <c r="N25" s="19" t="s">
        <v>86</v>
      </c>
      <c r="O25" s="19" t="s">
        <v>150</v>
      </c>
      <c r="P25" s="19"/>
      <c r="Q25" s="18" t="s">
        <v>53</v>
      </c>
      <c r="R25" s="22" t="s">
        <v>88</v>
      </c>
      <c r="S25" s="18" t="s">
        <v>70</v>
      </c>
      <c r="T25" s="21" t="s">
        <v>55</v>
      </c>
    </row>
    <row r="26" spans="1:20" ht="16.5">
      <c r="A26" s="11" t="s">
        <v>42</v>
      </c>
      <c r="B26" s="11" t="s">
        <v>60</v>
      </c>
      <c r="C26" s="11" t="s">
        <v>62</v>
      </c>
      <c r="D26" s="15" t="s">
        <v>120</v>
      </c>
      <c r="E26" s="11" t="s">
        <v>81</v>
      </c>
      <c r="F26" s="11" t="s">
        <v>82</v>
      </c>
      <c r="G26" s="15" t="s">
        <v>151</v>
      </c>
      <c r="H26" s="23" t="s">
        <v>152</v>
      </c>
      <c r="I26" s="11" t="s">
        <v>65</v>
      </c>
      <c r="J26" s="14">
        <v>1</v>
      </c>
      <c r="K26" s="14" t="s">
        <v>48</v>
      </c>
      <c r="L26" s="14" t="s">
        <v>153</v>
      </c>
      <c r="M26" s="15" t="s">
        <v>123</v>
      </c>
      <c r="N26" s="15" t="s">
        <v>86</v>
      </c>
      <c r="O26" s="15" t="s">
        <v>154</v>
      </c>
      <c r="P26" s="15"/>
      <c r="Q26" s="12" t="s">
        <v>53</v>
      </c>
      <c r="R26" s="22" t="s">
        <v>88</v>
      </c>
      <c r="S26" s="12" t="s">
        <v>70</v>
      </c>
      <c r="T26" s="14" t="s">
        <v>55</v>
      </c>
    </row>
    <row r="27" spans="1:20" ht="16.5">
      <c r="A27" s="17" t="s">
        <v>42</v>
      </c>
      <c r="B27" s="17" t="s">
        <v>60</v>
      </c>
      <c r="C27" s="17" t="s">
        <v>62</v>
      </c>
      <c r="D27" s="19" t="s">
        <v>120</v>
      </c>
      <c r="E27" s="17" t="s">
        <v>81</v>
      </c>
      <c r="F27" s="17" t="s">
        <v>82</v>
      </c>
      <c r="G27" s="19" t="s">
        <v>155</v>
      </c>
      <c r="H27" s="24" t="s">
        <v>156</v>
      </c>
      <c r="I27" s="17" t="s">
        <v>65</v>
      </c>
      <c r="J27" s="21">
        <v>1</v>
      </c>
      <c r="K27" s="21" t="s">
        <v>48</v>
      </c>
      <c r="L27" s="21" t="s">
        <v>157</v>
      </c>
      <c r="M27" s="19" t="s">
        <v>123</v>
      </c>
      <c r="N27" s="19" t="s">
        <v>86</v>
      </c>
      <c r="O27" s="19" t="s">
        <v>158</v>
      </c>
      <c r="P27" s="19"/>
      <c r="Q27" s="18" t="s">
        <v>53</v>
      </c>
      <c r="R27" s="22" t="s">
        <v>88</v>
      </c>
      <c r="S27" s="18" t="s">
        <v>70</v>
      </c>
      <c r="T27" s="21" t="s">
        <v>55</v>
      </c>
    </row>
    <row r="28" spans="1:20" ht="16.5">
      <c r="A28" s="11" t="s">
        <v>42</v>
      </c>
      <c r="B28" s="11" t="s">
        <v>60</v>
      </c>
      <c r="C28" s="11" t="s">
        <v>62</v>
      </c>
      <c r="D28" s="15" t="s">
        <v>120</v>
      </c>
      <c r="E28" s="11" t="s">
        <v>81</v>
      </c>
      <c r="F28" s="11" t="s">
        <v>82</v>
      </c>
      <c r="G28" s="15" t="s">
        <v>159</v>
      </c>
      <c r="H28" s="23" t="s">
        <v>160</v>
      </c>
      <c r="I28" s="11" t="s">
        <v>65</v>
      </c>
      <c r="J28" s="14">
        <v>1</v>
      </c>
      <c r="K28" s="14" t="s">
        <v>48</v>
      </c>
      <c r="L28" s="14" t="s">
        <v>161</v>
      </c>
      <c r="M28" s="15" t="s">
        <v>123</v>
      </c>
      <c r="N28" s="15" t="s">
        <v>86</v>
      </c>
      <c r="O28" s="15" t="s">
        <v>162</v>
      </c>
      <c r="P28" s="15"/>
      <c r="Q28" s="12" t="s">
        <v>53</v>
      </c>
      <c r="R28" s="22" t="s">
        <v>88</v>
      </c>
      <c r="S28" s="12" t="s">
        <v>70</v>
      </c>
      <c r="T28" s="14" t="s">
        <v>55</v>
      </c>
    </row>
    <row r="29" spans="1:20" ht="16.5">
      <c r="A29" s="17" t="s">
        <v>42</v>
      </c>
      <c r="B29" s="17" t="s">
        <v>60</v>
      </c>
      <c r="C29" s="17" t="s">
        <v>44</v>
      </c>
      <c r="D29" s="18" t="s">
        <v>42</v>
      </c>
      <c r="E29" s="17" t="s">
        <v>61</v>
      </c>
      <c r="F29" s="17" t="s">
        <v>62</v>
      </c>
      <c r="G29" s="18" t="s">
        <v>163</v>
      </c>
      <c r="H29" s="20" t="s">
        <v>164</v>
      </c>
      <c r="I29" s="17" t="s">
        <v>65</v>
      </c>
      <c r="J29" s="21">
        <v>1</v>
      </c>
      <c r="K29" s="21" t="s">
        <v>48</v>
      </c>
      <c r="L29" s="21" t="s">
        <v>165</v>
      </c>
      <c r="M29" s="19" t="s">
        <v>50</v>
      </c>
      <c r="N29" s="19" t="s">
        <v>67</v>
      </c>
      <c r="O29" s="19" t="s">
        <v>166</v>
      </c>
      <c r="P29" s="19"/>
      <c r="Q29" s="18" t="s">
        <v>69</v>
      </c>
      <c r="R29" s="16" t="s">
        <v>54</v>
      </c>
      <c r="S29" s="18" t="s">
        <v>70</v>
      </c>
      <c r="T29" s="21" t="s">
        <v>55</v>
      </c>
    </row>
    <row r="30" spans="1:20" ht="16.5">
      <c r="A30" s="11" t="s">
        <v>42</v>
      </c>
      <c r="B30" s="11" t="s">
        <v>60</v>
      </c>
      <c r="C30" s="11" t="s">
        <v>62</v>
      </c>
      <c r="D30" s="12" t="s">
        <v>163</v>
      </c>
      <c r="E30" s="11" t="s">
        <v>71</v>
      </c>
      <c r="F30" s="11" t="s">
        <v>72</v>
      </c>
      <c r="G30" s="15" t="s">
        <v>167</v>
      </c>
      <c r="H30" s="13" t="s">
        <v>168</v>
      </c>
      <c r="I30" s="11" t="s">
        <v>65</v>
      </c>
      <c r="J30" s="14">
        <v>1</v>
      </c>
      <c r="K30" s="14" t="s">
        <v>48</v>
      </c>
      <c r="L30" s="14" t="s">
        <v>169</v>
      </c>
      <c r="M30" s="15" t="s">
        <v>166</v>
      </c>
      <c r="N30" s="15" t="s">
        <v>76</v>
      </c>
      <c r="O30" s="15" t="s">
        <v>170</v>
      </c>
      <c r="P30" s="15"/>
      <c r="Q30" s="12" t="s">
        <v>69</v>
      </c>
      <c r="R30" s="16" t="s">
        <v>54</v>
      </c>
      <c r="S30" s="12" t="s">
        <v>70</v>
      </c>
      <c r="T30" s="14" t="s">
        <v>55</v>
      </c>
    </row>
    <row r="31" spans="1:20" ht="16.5">
      <c r="A31" s="17" t="s">
        <v>42</v>
      </c>
      <c r="B31" s="17" t="s">
        <v>60</v>
      </c>
      <c r="C31" s="17" t="s">
        <v>62</v>
      </c>
      <c r="D31" s="18" t="s">
        <v>163</v>
      </c>
      <c r="E31" s="17" t="s">
        <v>71</v>
      </c>
      <c r="F31" s="17" t="s">
        <v>72</v>
      </c>
      <c r="G31" s="19" t="s">
        <v>171</v>
      </c>
      <c r="H31" s="20" t="s">
        <v>168</v>
      </c>
      <c r="I31" s="17" t="s">
        <v>65</v>
      </c>
      <c r="J31" s="21">
        <v>1</v>
      </c>
      <c r="K31" s="21" t="s">
        <v>48</v>
      </c>
      <c r="L31" s="21" t="s">
        <v>172</v>
      </c>
      <c r="M31" s="19" t="s">
        <v>166</v>
      </c>
      <c r="N31" s="19" t="s">
        <v>76</v>
      </c>
      <c r="O31" s="19" t="s">
        <v>173</v>
      </c>
      <c r="P31" s="19"/>
      <c r="Q31" s="18" t="s">
        <v>69</v>
      </c>
      <c r="R31" s="16" t="s">
        <v>54</v>
      </c>
      <c r="S31" s="18" t="s">
        <v>70</v>
      </c>
      <c r="T31" s="21" t="s">
        <v>55</v>
      </c>
    </row>
    <row r="32" spans="1:20" ht="16.5">
      <c r="A32" s="11" t="s">
        <v>42</v>
      </c>
      <c r="B32" s="11" t="s">
        <v>60</v>
      </c>
      <c r="C32" s="11" t="s">
        <v>62</v>
      </c>
      <c r="D32" s="12" t="s">
        <v>163</v>
      </c>
      <c r="E32" s="11" t="s">
        <v>71</v>
      </c>
      <c r="F32" s="11" t="s">
        <v>72</v>
      </c>
      <c r="G32" s="15" t="s">
        <v>174</v>
      </c>
      <c r="H32" s="13" t="s">
        <v>168</v>
      </c>
      <c r="I32" s="11" t="s">
        <v>65</v>
      </c>
      <c r="J32" s="14">
        <v>1</v>
      </c>
      <c r="K32" s="14" t="s">
        <v>48</v>
      </c>
      <c r="L32" s="14" t="s">
        <v>175</v>
      </c>
      <c r="M32" s="15" t="s">
        <v>166</v>
      </c>
      <c r="N32" s="15" t="s">
        <v>76</v>
      </c>
      <c r="O32" s="15" t="s">
        <v>176</v>
      </c>
      <c r="P32" s="15"/>
      <c r="Q32" s="12" t="s">
        <v>69</v>
      </c>
      <c r="R32" s="16" t="s">
        <v>54</v>
      </c>
      <c r="S32" s="12" t="s">
        <v>70</v>
      </c>
      <c r="T32" s="14" t="s">
        <v>55</v>
      </c>
    </row>
    <row r="33" spans="1:20" ht="16.5">
      <c r="A33" s="17" t="s">
        <v>42</v>
      </c>
      <c r="B33" s="17" t="s">
        <v>60</v>
      </c>
      <c r="C33" s="17" t="s">
        <v>62</v>
      </c>
      <c r="D33" s="18" t="s">
        <v>163</v>
      </c>
      <c r="E33" s="17" t="s">
        <v>71</v>
      </c>
      <c r="F33" s="17" t="s">
        <v>72</v>
      </c>
      <c r="G33" s="19" t="s">
        <v>177</v>
      </c>
      <c r="H33" s="20" t="s">
        <v>168</v>
      </c>
      <c r="I33" s="17" t="s">
        <v>65</v>
      </c>
      <c r="J33" s="21">
        <v>1</v>
      </c>
      <c r="K33" s="21" t="s">
        <v>48</v>
      </c>
      <c r="L33" s="21" t="s">
        <v>178</v>
      </c>
      <c r="M33" s="19" t="s">
        <v>166</v>
      </c>
      <c r="N33" s="19" t="s">
        <v>76</v>
      </c>
      <c r="O33" s="19" t="s">
        <v>179</v>
      </c>
      <c r="P33" s="19"/>
      <c r="Q33" s="18" t="s">
        <v>69</v>
      </c>
      <c r="R33" s="16" t="s">
        <v>54</v>
      </c>
      <c r="S33" s="18" t="s">
        <v>70</v>
      </c>
      <c r="T33" s="21" t="s">
        <v>55</v>
      </c>
    </row>
    <row r="34" spans="1:20" ht="16.5">
      <c r="A34" s="11" t="s">
        <v>42</v>
      </c>
      <c r="B34" s="11" t="s">
        <v>60</v>
      </c>
      <c r="C34" s="11" t="s">
        <v>62</v>
      </c>
      <c r="D34" s="12" t="s">
        <v>163</v>
      </c>
      <c r="E34" s="11" t="s">
        <v>71</v>
      </c>
      <c r="F34" s="11" t="s">
        <v>72</v>
      </c>
      <c r="G34" s="15" t="s">
        <v>180</v>
      </c>
      <c r="H34" s="13" t="s">
        <v>168</v>
      </c>
      <c r="I34" s="11" t="s">
        <v>65</v>
      </c>
      <c r="J34" s="14">
        <v>1</v>
      </c>
      <c r="K34" s="14" t="s">
        <v>48</v>
      </c>
      <c r="L34" s="14" t="s">
        <v>181</v>
      </c>
      <c r="M34" s="15" t="s">
        <v>166</v>
      </c>
      <c r="N34" s="15" t="s">
        <v>76</v>
      </c>
      <c r="O34" s="15" t="s">
        <v>182</v>
      </c>
      <c r="P34" s="15"/>
      <c r="Q34" s="12" t="s">
        <v>69</v>
      </c>
      <c r="R34" s="16" t="s">
        <v>54</v>
      </c>
      <c r="S34" s="12" t="s">
        <v>70</v>
      </c>
      <c r="T34" s="14" t="s">
        <v>55</v>
      </c>
    </row>
    <row r="35" spans="1:20" ht="16.5">
      <c r="A35" s="17" t="s">
        <v>42</v>
      </c>
      <c r="B35" s="17" t="s">
        <v>60</v>
      </c>
      <c r="C35" s="17" t="s">
        <v>44</v>
      </c>
      <c r="D35" s="18" t="s">
        <v>42</v>
      </c>
      <c r="E35" s="17" t="s">
        <v>61</v>
      </c>
      <c r="F35" s="17" t="s">
        <v>62</v>
      </c>
      <c r="G35" s="18" t="s">
        <v>183</v>
      </c>
      <c r="H35" s="20" t="s">
        <v>184</v>
      </c>
      <c r="I35" s="17" t="s">
        <v>65</v>
      </c>
      <c r="J35" s="21">
        <v>1</v>
      </c>
      <c r="K35" s="21" t="s">
        <v>48</v>
      </c>
      <c r="L35" s="21" t="s">
        <v>185</v>
      </c>
      <c r="M35" s="19" t="s">
        <v>50</v>
      </c>
      <c r="N35" s="19" t="s">
        <v>67</v>
      </c>
      <c r="O35" s="19" t="s">
        <v>186</v>
      </c>
      <c r="P35" s="19"/>
      <c r="Q35" s="18" t="s">
        <v>69</v>
      </c>
      <c r="R35" s="16" t="s">
        <v>54</v>
      </c>
      <c r="S35" s="18" t="s">
        <v>70</v>
      </c>
      <c r="T35" s="21" t="s">
        <v>55</v>
      </c>
    </row>
    <row r="36" spans="1:20" ht="16.5">
      <c r="A36" s="11" t="s">
        <v>42</v>
      </c>
      <c r="B36" s="11" t="s">
        <v>60</v>
      </c>
      <c r="C36" s="11" t="s">
        <v>62</v>
      </c>
      <c r="D36" s="12" t="s">
        <v>183</v>
      </c>
      <c r="E36" s="11" t="s">
        <v>81</v>
      </c>
      <c r="F36" s="11" t="s">
        <v>82</v>
      </c>
      <c r="G36" s="12" t="s">
        <v>187</v>
      </c>
      <c r="H36" s="13" t="s">
        <v>188</v>
      </c>
      <c r="I36" s="11" t="s">
        <v>65</v>
      </c>
      <c r="J36" s="14">
        <v>1</v>
      </c>
      <c r="K36" s="14" t="s">
        <v>48</v>
      </c>
      <c r="L36" s="14" t="s">
        <v>189</v>
      </c>
      <c r="M36" s="15" t="s">
        <v>186</v>
      </c>
      <c r="N36" s="15" t="s">
        <v>86</v>
      </c>
      <c r="O36" s="15" t="s">
        <v>190</v>
      </c>
      <c r="P36" s="15"/>
      <c r="Q36" s="12" t="s">
        <v>53</v>
      </c>
      <c r="R36" s="22" t="s">
        <v>88</v>
      </c>
      <c r="S36" s="12" t="s">
        <v>70</v>
      </c>
      <c r="T36" s="14" t="s">
        <v>55</v>
      </c>
    </row>
    <row r="37" spans="1:20" ht="16.5">
      <c r="A37" s="17" t="s">
        <v>42</v>
      </c>
      <c r="B37" s="17" t="s">
        <v>60</v>
      </c>
      <c r="C37" s="17" t="s">
        <v>44</v>
      </c>
      <c r="D37" s="18" t="s">
        <v>42</v>
      </c>
      <c r="E37" s="17" t="s">
        <v>61</v>
      </c>
      <c r="F37" s="17" t="s">
        <v>62</v>
      </c>
      <c r="G37" s="18" t="s">
        <v>191</v>
      </c>
      <c r="H37" s="20" t="s">
        <v>192</v>
      </c>
      <c r="I37" s="17" t="s">
        <v>65</v>
      </c>
      <c r="J37" s="21">
        <v>1</v>
      </c>
      <c r="K37" s="21" t="s">
        <v>48</v>
      </c>
      <c r="L37" s="21" t="s">
        <v>193</v>
      </c>
      <c r="M37" s="19" t="s">
        <v>50</v>
      </c>
      <c r="N37" s="19" t="s">
        <v>67</v>
      </c>
      <c r="O37" s="19" t="s">
        <v>194</v>
      </c>
      <c r="P37" s="19"/>
      <c r="Q37" s="18" t="s">
        <v>69</v>
      </c>
      <c r="R37" s="16" t="s">
        <v>54</v>
      </c>
      <c r="S37" s="18" t="s">
        <v>70</v>
      </c>
      <c r="T37" s="21" t="s">
        <v>55</v>
      </c>
    </row>
    <row r="38" spans="1:20" ht="16.5">
      <c r="A38" s="11" t="s">
        <v>42</v>
      </c>
      <c r="B38" s="11" t="s">
        <v>60</v>
      </c>
      <c r="C38" s="11" t="s">
        <v>62</v>
      </c>
      <c r="D38" s="12" t="s">
        <v>191</v>
      </c>
      <c r="E38" s="11" t="s">
        <v>81</v>
      </c>
      <c r="F38" s="11" t="s">
        <v>82</v>
      </c>
      <c r="G38" s="12" t="s">
        <v>195</v>
      </c>
      <c r="H38" s="13" t="s">
        <v>196</v>
      </c>
      <c r="I38" s="11" t="s">
        <v>65</v>
      </c>
      <c r="J38" s="14">
        <v>1</v>
      </c>
      <c r="K38" s="14" t="s">
        <v>48</v>
      </c>
      <c r="L38" s="14" t="s">
        <v>197</v>
      </c>
      <c r="M38" s="15" t="s">
        <v>194</v>
      </c>
      <c r="N38" s="15" t="s">
        <v>86</v>
      </c>
      <c r="O38" s="15" t="s">
        <v>198</v>
      </c>
      <c r="P38" s="15"/>
      <c r="Q38" s="12" t="s">
        <v>53</v>
      </c>
      <c r="R38" s="22" t="s">
        <v>88</v>
      </c>
      <c r="S38" s="12" t="s">
        <v>70</v>
      </c>
      <c r="T38" s="14" t="s">
        <v>55</v>
      </c>
    </row>
    <row r="39" spans="1:20" ht="16.5">
      <c r="A39" s="17" t="s">
        <v>42</v>
      </c>
      <c r="B39" s="17" t="s">
        <v>60</v>
      </c>
      <c r="C39" s="17" t="s">
        <v>62</v>
      </c>
      <c r="D39" s="18" t="s">
        <v>191</v>
      </c>
      <c r="E39" s="17" t="s">
        <v>81</v>
      </c>
      <c r="F39" s="17" t="s">
        <v>82</v>
      </c>
      <c r="G39" s="18" t="s">
        <v>199</v>
      </c>
      <c r="H39" s="20" t="s">
        <v>200</v>
      </c>
      <c r="I39" s="17" t="s">
        <v>65</v>
      </c>
      <c r="J39" s="21">
        <v>1</v>
      </c>
      <c r="K39" s="21" t="s">
        <v>48</v>
      </c>
      <c r="L39" s="21" t="s">
        <v>201</v>
      </c>
      <c r="M39" s="19" t="s">
        <v>194</v>
      </c>
      <c r="N39" s="19" t="s">
        <v>86</v>
      </c>
      <c r="O39" s="19" t="s">
        <v>202</v>
      </c>
      <c r="P39" s="19"/>
      <c r="Q39" s="18" t="s">
        <v>53</v>
      </c>
      <c r="R39" s="22" t="s">
        <v>88</v>
      </c>
      <c r="S39" s="18" t="s">
        <v>70</v>
      </c>
      <c r="T39" s="21" t="s">
        <v>55</v>
      </c>
    </row>
    <row r="40" spans="1:20" ht="16.5">
      <c r="A40" s="11" t="s">
        <v>42</v>
      </c>
      <c r="B40" s="11" t="s">
        <v>60</v>
      </c>
      <c r="C40" s="11" t="s">
        <v>62</v>
      </c>
      <c r="D40" s="12" t="s">
        <v>63</v>
      </c>
      <c r="E40" s="11" t="s">
        <v>203</v>
      </c>
      <c r="F40" s="11" t="s">
        <v>204</v>
      </c>
      <c r="G40" s="12" t="s">
        <v>205</v>
      </c>
      <c r="H40" s="13" t="s">
        <v>206</v>
      </c>
      <c r="I40" s="11" t="s">
        <v>65</v>
      </c>
      <c r="J40" s="14">
        <v>1</v>
      </c>
      <c r="K40" s="14" t="s">
        <v>48</v>
      </c>
      <c r="L40" s="14" t="s">
        <v>207</v>
      </c>
      <c r="M40" s="15" t="s">
        <v>68</v>
      </c>
      <c r="N40" s="15" t="s">
        <v>208</v>
      </c>
      <c r="O40" s="15" t="s">
        <v>209</v>
      </c>
      <c r="P40" s="15" t="s">
        <v>210</v>
      </c>
      <c r="Q40" s="15" t="s">
        <v>211</v>
      </c>
      <c r="R40" s="16" t="s">
        <v>54</v>
      </c>
      <c r="S40" s="12" t="s">
        <v>70</v>
      </c>
      <c r="T40" s="14" t="s">
        <v>55</v>
      </c>
    </row>
    <row r="41" spans="1:20" ht="16.5">
      <c r="A41" s="17" t="s">
        <v>42</v>
      </c>
      <c r="B41" s="17" t="s">
        <v>60</v>
      </c>
      <c r="C41" s="17" t="s">
        <v>62</v>
      </c>
      <c r="D41" s="18" t="s">
        <v>63</v>
      </c>
      <c r="E41" s="17" t="s">
        <v>203</v>
      </c>
      <c r="F41" s="17" t="s">
        <v>204</v>
      </c>
      <c r="G41" s="18" t="s">
        <v>212</v>
      </c>
      <c r="H41" s="20" t="s">
        <v>213</v>
      </c>
      <c r="I41" s="17" t="s">
        <v>65</v>
      </c>
      <c r="J41" s="21">
        <v>1</v>
      </c>
      <c r="K41" s="21" t="s">
        <v>48</v>
      </c>
      <c r="L41" s="21" t="s">
        <v>214</v>
      </c>
      <c r="M41" s="19" t="s">
        <v>68</v>
      </c>
      <c r="N41" s="19" t="s">
        <v>208</v>
      </c>
      <c r="O41" s="19" t="s">
        <v>215</v>
      </c>
      <c r="P41" s="19" t="s">
        <v>216</v>
      </c>
      <c r="Q41" s="19" t="s">
        <v>211</v>
      </c>
      <c r="R41" s="16" t="s">
        <v>54</v>
      </c>
      <c r="S41" s="18" t="s">
        <v>70</v>
      </c>
      <c r="T41" s="21" t="s">
        <v>55</v>
      </c>
    </row>
    <row r="42" spans="1:20" ht="16.5">
      <c r="A42" s="11" t="s">
        <v>42</v>
      </c>
      <c r="B42" s="11" t="s">
        <v>60</v>
      </c>
      <c r="C42" s="11" t="s">
        <v>62</v>
      </c>
      <c r="D42" s="12" t="s">
        <v>63</v>
      </c>
      <c r="E42" s="11" t="s">
        <v>203</v>
      </c>
      <c r="F42" s="11" t="s">
        <v>204</v>
      </c>
      <c r="G42" s="12" t="s">
        <v>217</v>
      </c>
      <c r="H42" s="13" t="s">
        <v>218</v>
      </c>
      <c r="I42" s="11" t="s">
        <v>65</v>
      </c>
      <c r="J42" s="14">
        <v>1</v>
      </c>
      <c r="K42" s="14" t="s">
        <v>48</v>
      </c>
      <c r="L42" s="14" t="s">
        <v>219</v>
      </c>
      <c r="M42" s="15" t="s">
        <v>68</v>
      </c>
      <c r="N42" s="15" t="s">
        <v>208</v>
      </c>
      <c r="O42" s="15" t="s">
        <v>220</v>
      </c>
      <c r="P42" s="15" t="s">
        <v>221</v>
      </c>
      <c r="Q42" s="15" t="s">
        <v>211</v>
      </c>
      <c r="R42" s="16" t="s">
        <v>54</v>
      </c>
      <c r="S42" s="12" t="s">
        <v>70</v>
      </c>
      <c r="T42" s="14" t="s">
        <v>55</v>
      </c>
    </row>
    <row r="43" spans="1:20" ht="16.5">
      <c r="A43" s="17" t="s">
        <v>42</v>
      </c>
      <c r="B43" s="17" t="s">
        <v>60</v>
      </c>
      <c r="C43" s="17" t="s">
        <v>62</v>
      </c>
      <c r="D43" s="19" t="s">
        <v>120</v>
      </c>
      <c r="E43" s="17" t="s">
        <v>203</v>
      </c>
      <c r="F43" s="17" t="s">
        <v>204</v>
      </c>
      <c r="G43" s="18" t="s">
        <v>222</v>
      </c>
      <c r="H43" s="24" t="s">
        <v>223</v>
      </c>
      <c r="I43" s="17" t="s">
        <v>65</v>
      </c>
      <c r="J43" s="21">
        <v>1</v>
      </c>
      <c r="K43" s="21" t="s">
        <v>48</v>
      </c>
      <c r="L43" s="21" t="s">
        <v>224</v>
      </c>
      <c r="M43" s="19" t="s">
        <v>123</v>
      </c>
      <c r="N43" s="19" t="s">
        <v>208</v>
      </c>
      <c r="O43" s="19" t="s">
        <v>225</v>
      </c>
      <c r="P43" s="19" t="s">
        <v>226</v>
      </c>
      <c r="Q43" s="19" t="s">
        <v>211</v>
      </c>
      <c r="R43" s="16" t="s">
        <v>54</v>
      </c>
      <c r="S43" s="18" t="s">
        <v>70</v>
      </c>
      <c r="T43" s="21" t="s">
        <v>55</v>
      </c>
    </row>
    <row r="44" spans="1:20" ht="16.5">
      <c r="A44" s="11" t="s">
        <v>42</v>
      </c>
      <c r="B44" s="11" t="s">
        <v>60</v>
      </c>
      <c r="C44" s="11" t="s">
        <v>62</v>
      </c>
      <c r="D44" s="15" t="s">
        <v>120</v>
      </c>
      <c r="E44" s="11" t="s">
        <v>203</v>
      </c>
      <c r="F44" s="11" t="s">
        <v>204</v>
      </c>
      <c r="G44" s="15" t="s">
        <v>227</v>
      </c>
      <c r="H44" s="13" t="s">
        <v>228</v>
      </c>
      <c r="I44" s="11" t="s">
        <v>65</v>
      </c>
      <c r="J44" s="14">
        <v>1</v>
      </c>
      <c r="K44" s="14" t="s">
        <v>48</v>
      </c>
      <c r="L44" s="14" t="s">
        <v>229</v>
      </c>
      <c r="M44" s="15" t="s">
        <v>123</v>
      </c>
      <c r="N44" s="15" t="s">
        <v>208</v>
      </c>
      <c r="O44" s="15" t="s">
        <v>230</v>
      </c>
      <c r="P44" s="15" t="s">
        <v>231</v>
      </c>
      <c r="Q44" s="15" t="s">
        <v>211</v>
      </c>
      <c r="R44" s="16" t="s">
        <v>54</v>
      </c>
      <c r="S44" s="12" t="s">
        <v>70</v>
      </c>
      <c r="T44" s="14" t="s">
        <v>55</v>
      </c>
    </row>
    <row r="45" spans="1:20" ht="16.5">
      <c r="A45" s="17" t="s">
        <v>42</v>
      </c>
      <c r="B45" s="17" t="s">
        <v>60</v>
      </c>
      <c r="C45" s="17" t="s">
        <v>62</v>
      </c>
      <c r="D45" s="19" t="s">
        <v>120</v>
      </c>
      <c r="E45" s="17" t="s">
        <v>203</v>
      </c>
      <c r="F45" s="17" t="s">
        <v>204</v>
      </c>
      <c r="G45" s="18" t="s">
        <v>232</v>
      </c>
      <c r="H45" s="20" t="s">
        <v>233</v>
      </c>
      <c r="I45" s="17" t="s">
        <v>65</v>
      </c>
      <c r="J45" s="21">
        <v>1</v>
      </c>
      <c r="K45" s="21" t="s">
        <v>48</v>
      </c>
      <c r="L45" s="21" t="s">
        <v>234</v>
      </c>
      <c r="M45" s="19" t="s">
        <v>123</v>
      </c>
      <c r="N45" s="19" t="s">
        <v>208</v>
      </c>
      <c r="O45" s="19" t="s">
        <v>235</v>
      </c>
      <c r="P45" s="19" t="s">
        <v>236</v>
      </c>
      <c r="Q45" s="19" t="s">
        <v>211</v>
      </c>
      <c r="R45" s="16" t="s">
        <v>54</v>
      </c>
      <c r="S45" s="18" t="s">
        <v>70</v>
      </c>
      <c r="T45" s="21" t="s">
        <v>55</v>
      </c>
    </row>
    <row r="46" spans="1:20" ht="16.5">
      <c r="A46" s="11" t="s">
        <v>42</v>
      </c>
      <c r="B46" s="11" t="s">
        <v>60</v>
      </c>
      <c r="C46" s="11" t="s">
        <v>62</v>
      </c>
      <c r="D46" s="15" t="s">
        <v>120</v>
      </c>
      <c r="E46" s="11" t="s">
        <v>203</v>
      </c>
      <c r="F46" s="11" t="s">
        <v>204</v>
      </c>
      <c r="G46" s="12" t="s">
        <v>237</v>
      </c>
      <c r="H46" s="13" t="s">
        <v>238</v>
      </c>
      <c r="I46" s="11" t="s">
        <v>65</v>
      </c>
      <c r="J46" s="14">
        <v>1</v>
      </c>
      <c r="K46" s="14" t="s">
        <v>48</v>
      </c>
      <c r="L46" s="14" t="s">
        <v>239</v>
      </c>
      <c r="M46" s="15" t="s">
        <v>123</v>
      </c>
      <c r="N46" s="15" t="s">
        <v>208</v>
      </c>
      <c r="O46" s="15" t="s">
        <v>240</v>
      </c>
      <c r="P46" s="15" t="s">
        <v>241</v>
      </c>
      <c r="Q46" s="15" t="s">
        <v>211</v>
      </c>
      <c r="R46" s="16" t="s">
        <v>54</v>
      </c>
      <c r="S46" s="12" t="s">
        <v>70</v>
      </c>
      <c r="T46" s="14" t="s">
        <v>55</v>
      </c>
    </row>
    <row r="47" spans="1:20" ht="16.5">
      <c r="A47" s="17" t="s">
        <v>42</v>
      </c>
      <c r="B47" s="17" t="s">
        <v>60</v>
      </c>
      <c r="C47" s="17" t="s">
        <v>62</v>
      </c>
      <c r="D47" s="19" t="s">
        <v>120</v>
      </c>
      <c r="E47" s="17" t="s">
        <v>203</v>
      </c>
      <c r="F47" s="17" t="s">
        <v>204</v>
      </c>
      <c r="G47" s="18" t="s">
        <v>242</v>
      </c>
      <c r="H47" s="20" t="s">
        <v>243</v>
      </c>
      <c r="I47" s="17" t="s">
        <v>65</v>
      </c>
      <c r="J47" s="21">
        <v>1</v>
      </c>
      <c r="K47" s="21" t="s">
        <v>48</v>
      </c>
      <c r="L47" s="21" t="s">
        <v>244</v>
      </c>
      <c r="M47" s="19" t="s">
        <v>123</v>
      </c>
      <c r="N47" s="19" t="s">
        <v>208</v>
      </c>
      <c r="O47" s="19" t="s">
        <v>245</v>
      </c>
      <c r="P47" s="19" t="s">
        <v>246</v>
      </c>
      <c r="Q47" s="19" t="s">
        <v>211</v>
      </c>
      <c r="R47" s="16" t="s">
        <v>54</v>
      </c>
      <c r="S47" s="18" t="s">
        <v>70</v>
      </c>
      <c r="T47" s="21" t="s">
        <v>55</v>
      </c>
    </row>
    <row r="48" spans="1:20" ht="16.5">
      <c r="A48" s="11" t="s">
        <v>42</v>
      </c>
      <c r="B48" s="11" t="s">
        <v>60</v>
      </c>
      <c r="C48" s="11" t="s">
        <v>62</v>
      </c>
      <c r="D48" s="15" t="s">
        <v>120</v>
      </c>
      <c r="E48" s="11" t="s">
        <v>203</v>
      </c>
      <c r="F48" s="11" t="s">
        <v>204</v>
      </c>
      <c r="G48" s="12" t="s">
        <v>247</v>
      </c>
      <c r="H48" s="13" t="s">
        <v>248</v>
      </c>
      <c r="I48" s="11" t="s">
        <v>65</v>
      </c>
      <c r="J48" s="14">
        <v>1</v>
      </c>
      <c r="K48" s="14" t="s">
        <v>48</v>
      </c>
      <c r="L48" s="14" t="s">
        <v>249</v>
      </c>
      <c r="M48" s="15" t="s">
        <v>123</v>
      </c>
      <c r="N48" s="15" t="s">
        <v>208</v>
      </c>
      <c r="O48" s="15" t="s">
        <v>250</v>
      </c>
      <c r="P48" s="15" t="s">
        <v>251</v>
      </c>
      <c r="Q48" s="15" t="s">
        <v>211</v>
      </c>
      <c r="R48" s="16" t="s">
        <v>54</v>
      </c>
      <c r="S48" s="12" t="s">
        <v>70</v>
      </c>
      <c r="T48" s="14" t="s">
        <v>55</v>
      </c>
    </row>
    <row r="49" spans="1:20" ht="16.5">
      <c r="A49" s="17" t="s">
        <v>42</v>
      </c>
      <c r="B49" s="17" t="s">
        <v>60</v>
      </c>
      <c r="C49" s="17" t="s">
        <v>62</v>
      </c>
      <c r="D49" s="19" t="s">
        <v>120</v>
      </c>
      <c r="E49" s="17" t="s">
        <v>203</v>
      </c>
      <c r="F49" s="17" t="s">
        <v>204</v>
      </c>
      <c r="G49" s="18" t="s">
        <v>252</v>
      </c>
      <c r="H49" s="20" t="s">
        <v>253</v>
      </c>
      <c r="I49" s="17" t="s">
        <v>65</v>
      </c>
      <c r="J49" s="21">
        <v>1</v>
      </c>
      <c r="K49" s="21" t="s">
        <v>48</v>
      </c>
      <c r="L49" s="21" t="s">
        <v>254</v>
      </c>
      <c r="M49" s="19" t="s">
        <v>123</v>
      </c>
      <c r="N49" s="19" t="s">
        <v>208</v>
      </c>
      <c r="O49" s="19" t="s">
        <v>255</v>
      </c>
      <c r="P49" s="19" t="s">
        <v>256</v>
      </c>
      <c r="Q49" s="19" t="s">
        <v>211</v>
      </c>
      <c r="R49" s="16" t="s">
        <v>54</v>
      </c>
      <c r="S49" s="18" t="s">
        <v>70</v>
      </c>
      <c r="T49" s="21" t="s">
        <v>55</v>
      </c>
    </row>
    <row r="50" spans="1:20" ht="16.5">
      <c r="A50" s="11" t="s">
        <v>42</v>
      </c>
      <c r="B50" s="11" t="s">
        <v>60</v>
      </c>
      <c r="C50" s="11" t="s">
        <v>62</v>
      </c>
      <c r="D50" s="15" t="s">
        <v>120</v>
      </c>
      <c r="E50" s="11" t="s">
        <v>203</v>
      </c>
      <c r="F50" s="11" t="s">
        <v>204</v>
      </c>
      <c r="G50" s="12" t="s">
        <v>257</v>
      </c>
      <c r="H50" s="13" t="s">
        <v>258</v>
      </c>
      <c r="I50" s="11" t="s">
        <v>65</v>
      </c>
      <c r="J50" s="14">
        <v>1</v>
      </c>
      <c r="K50" s="14" t="s">
        <v>48</v>
      </c>
      <c r="L50" s="14" t="s">
        <v>259</v>
      </c>
      <c r="M50" s="15" t="s">
        <v>123</v>
      </c>
      <c r="N50" s="15" t="s">
        <v>208</v>
      </c>
      <c r="O50" s="15" t="s">
        <v>260</v>
      </c>
      <c r="P50" s="15" t="s">
        <v>261</v>
      </c>
      <c r="Q50" s="15" t="s">
        <v>211</v>
      </c>
      <c r="R50" s="16" t="s">
        <v>54</v>
      </c>
      <c r="S50" s="12" t="s">
        <v>70</v>
      </c>
      <c r="T50" s="14" t="s">
        <v>55</v>
      </c>
    </row>
    <row r="51" spans="1:20" ht="16.5">
      <c r="A51" s="17" t="s">
        <v>42</v>
      </c>
      <c r="B51" s="17" t="s">
        <v>60</v>
      </c>
      <c r="C51" s="17" t="s">
        <v>62</v>
      </c>
      <c r="D51" s="18" t="s">
        <v>163</v>
      </c>
      <c r="E51" s="17" t="s">
        <v>203</v>
      </c>
      <c r="F51" s="17" t="s">
        <v>204</v>
      </c>
      <c r="G51" s="18" t="s">
        <v>262</v>
      </c>
      <c r="H51" s="20" t="s">
        <v>263</v>
      </c>
      <c r="I51" s="17" t="s">
        <v>65</v>
      </c>
      <c r="J51" s="21">
        <v>1</v>
      </c>
      <c r="K51" s="21" t="s">
        <v>48</v>
      </c>
      <c r="L51" s="21" t="s">
        <v>264</v>
      </c>
      <c r="M51" s="19" t="s">
        <v>166</v>
      </c>
      <c r="N51" s="19" t="s">
        <v>208</v>
      </c>
      <c r="O51" s="19" t="s">
        <v>265</v>
      </c>
      <c r="P51" s="19" t="s">
        <v>266</v>
      </c>
      <c r="Q51" s="19" t="s">
        <v>211</v>
      </c>
      <c r="R51" s="16" t="s">
        <v>54</v>
      </c>
      <c r="S51" s="18" t="s">
        <v>70</v>
      </c>
      <c r="T51" s="21" t="s">
        <v>55</v>
      </c>
    </row>
    <row r="52" spans="1:20" ht="16.5">
      <c r="A52" s="11" t="s">
        <v>42</v>
      </c>
      <c r="B52" s="11" t="s">
        <v>60</v>
      </c>
      <c r="C52" s="11" t="s">
        <v>62</v>
      </c>
      <c r="D52" s="12" t="s">
        <v>191</v>
      </c>
      <c r="E52" s="11" t="s">
        <v>203</v>
      </c>
      <c r="F52" s="11" t="s">
        <v>204</v>
      </c>
      <c r="G52" s="12" t="s">
        <v>267</v>
      </c>
      <c r="H52" s="13" t="s">
        <v>268</v>
      </c>
      <c r="I52" s="11" t="s">
        <v>65</v>
      </c>
      <c r="J52" s="14">
        <v>1</v>
      </c>
      <c r="K52" s="14" t="s">
        <v>48</v>
      </c>
      <c r="L52" s="14" t="s">
        <v>269</v>
      </c>
      <c r="M52" s="15" t="s">
        <v>194</v>
      </c>
      <c r="N52" s="15" t="s">
        <v>208</v>
      </c>
      <c r="O52" s="15" t="s">
        <v>270</v>
      </c>
      <c r="P52" s="15" t="s">
        <v>271</v>
      </c>
      <c r="Q52" s="15" t="s">
        <v>211</v>
      </c>
      <c r="R52" s="16" t="s">
        <v>54</v>
      </c>
      <c r="S52" s="12" t="s">
        <v>70</v>
      </c>
      <c r="T52" s="14" t="s">
        <v>55</v>
      </c>
    </row>
    <row r="53" spans="1:20" ht="16.5">
      <c r="A53" s="17" t="s">
        <v>42</v>
      </c>
      <c r="B53" s="17" t="s">
        <v>60</v>
      </c>
      <c r="C53" s="17" t="s">
        <v>62</v>
      </c>
      <c r="D53" s="18" t="s">
        <v>191</v>
      </c>
      <c r="E53" s="17" t="s">
        <v>203</v>
      </c>
      <c r="F53" s="17" t="s">
        <v>204</v>
      </c>
      <c r="G53" s="18" t="s">
        <v>272</v>
      </c>
      <c r="H53" s="20" t="s">
        <v>273</v>
      </c>
      <c r="I53" s="17" t="s">
        <v>65</v>
      </c>
      <c r="J53" s="21">
        <v>1</v>
      </c>
      <c r="K53" s="21" t="s">
        <v>48</v>
      </c>
      <c r="L53" s="21" t="s">
        <v>274</v>
      </c>
      <c r="M53" s="19" t="s">
        <v>194</v>
      </c>
      <c r="N53" s="19" t="s">
        <v>208</v>
      </c>
      <c r="O53" s="19" t="s">
        <v>275</v>
      </c>
      <c r="P53" s="19" t="s">
        <v>276</v>
      </c>
      <c r="Q53" s="19" t="s">
        <v>211</v>
      </c>
      <c r="R53" s="16" t="s">
        <v>54</v>
      </c>
      <c r="S53" s="18" t="s">
        <v>70</v>
      </c>
      <c r="T53" s="21" t="s">
        <v>55</v>
      </c>
    </row>
    <row r="54" spans="1:20" ht="16.5">
      <c r="A54" s="11" t="s">
        <v>42</v>
      </c>
      <c r="B54" s="11" t="s">
        <v>60</v>
      </c>
      <c r="C54" s="11" t="s">
        <v>62</v>
      </c>
      <c r="D54" s="12" t="s">
        <v>191</v>
      </c>
      <c r="E54" s="11" t="s">
        <v>203</v>
      </c>
      <c r="F54" s="11" t="s">
        <v>204</v>
      </c>
      <c r="G54" s="12" t="s">
        <v>277</v>
      </c>
      <c r="H54" s="13" t="s">
        <v>278</v>
      </c>
      <c r="I54" s="11" t="s">
        <v>65</v>
      </c>
      <c r="J54" s="14">
        <v>1</v>
      </c>
      <c r="K54" s="14" t="s">
        <v>48</v>
      </c>
      <c r="L54" s="14" t="s">
        <v>279</v>
      </c>
      <c r="M54" s="15" t="s">
        <v>194</v>
      </c>
      <c r="N54" s="15" t="s">
        <v>208</v>
      </c>
      <c r="O54" s="15" t="s">
        <v>280</v>
      </c>
      <c r="P54" s="15" t="s">
        <v>281</v>
      </c>
      <c r="Q54" s="15" t="s">
        <v>211</v>
      </c>
      <c r="R54" s="16" t="s">
        <v>54</v>
      </c>
      <c r="S54" s="12" t="s">
        <v>70</v>
      </c>
      <c r="T54" s="14" t="s">
        <v>55</v>
      </c>
    </row>
    <row r="55" spans="1:20" ht="16.5">
      <c r="A55" s="17" t="s">
        <v>42</v>
      </c>
      <c r="B55" s="17" t="s">
        <v>60</v>
      </c>
      <c r="C55" s="17" t="s">
        <v>62</v>
      </c>
      <c r="D55" s="19" t="s">
        <v>120</v>
      </c>
      <c r="E55" s="17" t="s">
        <v>203</v>
      </c>
      <c r="F55" s="17" t="s">
        <v>204</v>
      </c>
      <c r="G55" s="18" t="s">
        <v>282</v>
      </c>
      <c r="H55" s="20" t="s">
        <v>283</v>
      </c>
      <c r="I55" s="17" t="s">
        <v>65</v>
      </c>
      <c r="J55" s="21">
        <v>1</v>
      </c>
      <c r="K55" s="21" t="s">
        <v>48</v>
      </c>
      <c r="L55" s="21" t="s">
        <v>284</v>
      </c>
      <c r="M55" s="19" t="s">
        <v>123</v>
      </c>
      <c r="N55" s="19" t="s">
        <v>208</v>
      </c>
      <c r="O55" s="19" t="s">
        <v>285</v>
      </c>
      <c r="P55" s="19"/>
      <c r="Q55" s="18" t="s">
        <v>286</v>
      </c>
      <c r="R55" s="22" t="s">
        <v>88</v>
      </c>
      <c r="S55" s="18" t="s">
        <v>70</v>
      </c>
      <c r="T55" s="21" t="s">
        <v>55</v>
      </c>
    </row>
    <row r="56" spans="1:20" ht="16.5">
      <c r="A56" s="11" t="s">
        <v>42</v>
      </c>
      <c r="B56" s="11" t="s">
        <v>60</v>
      </c>
      <c r="C56" s="11" t="s">
        <v>62</v>
      </c>
      <c r="D56" s="15" t="s">
        <v>120</v>
      </c>
      <c r="E56" s="11" t="s">
        <v>203</v>
      </c>
      <c r="F56" s="11" t="s">
        <v>204</v>
      </c>
      <c r="G56" s="12" t="s">
        <v>287</v>
      </c>
      <c r="H56" s="13" t="s">
        <v>288</v>
      </c>
      <c r="I56" s="11" t="s">
        <v>65</v>
      </c>
      <c r="J56" s="14">
        <v>1</v>
      </c>
      <c r="K56" s="14" t="s">
        <v>48</v>
      </c>
      <c r="L56" s="14" t="s">
        <v>289</v>
      </c>
      <c r="M56" s="15" t="s">
        <v>123</v>
      </c>
      <c r="N56" s="15" t="s">
        <v>208</v>
      </c>
      <c r="O56" s="15" t="s">
        <v>290</v>
      </c>
      <c r="P56" s="15"/>
      <c r="Q56" s="12" t="s">
        <v>286</v>
      </c>
      <c r="R56" s="22" t="s">
        <v>88</v>
      </c>
      <c r="S56" s="12" t="s">
        <v>70</v>
      </c>
      <c r="T56" s="14" t="s">
        <v>55</v>
      </c>
    </row>
    <row r="57" spans="1:20" ht="16.5">
      <c r="A57" s="17" t="s">
        <v>42</v>
      </c>
      <c r="B57" s="17" t="s">
        <v>60</v>
      </c>
      <c r="C57" s="17" t="s">
        <v>62</v>
      </c>
      <c r="D57" s="19" t="s">
        <v>120</v>
      </c>
      <c r="E57" s="17" t="s">
        <v>203</v>
      </c>
      <c r="F57" s="17" t="s">
        <v>204</v>
      </c>
      <c r="G57" s="18" t="s">
        <v>291</v>
      </c>
      <c r="H57" s="20" t="s">
        <v>292</v>
      </c>
      <c r="I57" s="17" t="s">
        <v>65</v>
      </c>
      <c r="J57" s="21">
        <v>1</v>
      </c>
      <c r="K57" s="21" t="s">
        <v>48</v>
      </c>
      <c r="L57" s="21" t="s">
        <v>293</v>
      </c>
      <c r="M57" s="19" t="s">
        <v>123</v>
      </c>
      <c r="N57" s="19" t="s">
        <v>208</v>
      </c>
      <c r="O57" s="19" t="s">
        <v>294</v>
      </c>
      <c r="P57" s="19"/>
      <c r="Q57" s="18" t="s">
        <v>286</v>
      </c>
      <c r="R57" s="22" t="s">
        <v>88</v>
      </c>
      <c r="S57" s="18" t="s">
        <v>70</v>
      </c>
      <c r="T57" s="21" t="s">
        <v>55</v>
      </c>
    </row>
    <row r="58" spans="1:20" ht="16.5">
      <c r="A58" s="11" t="s">
        <v>42</v>
      </c>
      <c r="B58" s="11" t="s">
        <v>60</v>
      </c>
      <c r="C58" s="11" t="s">
        <v>62</v>
      </c>
      <c r="D58" s="12" t="s">
        <v>191</v>
      </c>
      <c r="E58" s="11" t="s">
        <v>203</v>
      </c>
      <c r="F58" s="11" t="s">
        <v>295</v>
      </c>
      <c r="G58" s="12" t="s">
        <v>296</v>
      </c>
      <c r="H58" s="13" t="s">
        <v>297</v>
      </c>
      <c r="I58" s="11" t="s">
        <v>65</v>
      </c>
      <c r="J58" s="14">
        <v>1</v>
      </c>
      <c r="K58" s="14" t="s">
        <v>48</v>
      </c>
      <c r="L58" s="14" t="s">
        <v>298</v>
      </c>
      <c r="M58" s="15" t="s">
        <v>194</v>
      </c>
      <c r="N58" s="15" t="s">
        <v>208</v>
      </c>
      <c r="O58" s="15" t="s">
        <v>299</v>
      </c>
      <c r="P58" s="15"/>
      <c r="Q58" s="12" t="s">
        <v>286</v>
      </c>
      <c r="R58" s="22" t="s">
        <v>88</v>
      </c>
      <c r="S58" s="12" t="s">
        <v>70</v>
      </c>
      <c r="T58" s="14" t="s">
        <v>55</v>
      </c>
    </row>
    <row r="59" spans="1:20" ht="16.5">
      <c r="A59" s="17" t="s">
        <v>42</v>
      </c>
      <c r="B59" s="17" t="s">
        <v>60</v>
      </c>
      <c r="C59" s="17" t="s">
        <v>300</v>
      </c>
      <c r="D59" s="18" t="s">
        <v>301</v>
      </c>
      <c r="E59" s="17" t="s">
        <v>203</v>
      </c>
      <c r="F59" s="17" t="s">
        <v>204</v>
      </c>
      <c r="G59" s="18" t="s">
        <v>212</v>
      </c>
      <c r="H59" s="20" t="s">
        <v>302</v>
      </c>
      <c r="I59" s="17" t="s">
        <v>65</v>
      </c>
      <c r="J59" s="21">
        <v>1</v>
      </c>
      <c r="K59" s="21" t="s">
        <v>48</v>
      </c>
      <c r="L59" s="21" t="s">
        <v>303</v>
      </c>
      <c r="M59" s="19" t="s">
        <v>304</v>
      </c>
      <c r="N59" s="19" t="s">
        <v>208</v>
      </c>
      <c r="O59" s="19" t="s">
        <v>215</v>
      </c>
      <c r="P59" s="19" t="s">
        <v>216</v>
      </c>
      <c r="Q59" s="19" t="s">
        <v>211</v>
      </c>
      <c r="R59" s="16" t="s">
        <v>54</v>
      </c>
      <c r="S59" s="18" t="s">
        <v>70</v>
      </c>
      <c r="T59" s="21" t="s">
        <v>55</v>
      </c>
    </row>
    <row r="60" spans="1:20" ht="16.5">
      <c r="A60" s="11" t="s">
        <v>42</v>
      </c>
      <c r="B60" s="11" t="s">
        <v>60</v>
      </c>
      <c r="C60" s="11" t="s">
        <v>300</v>
      </c>
      <c r="D60" s="12" t="s">
        <v>305</v>
      </c>
      <c r="E60" s="11" t="s">
        <v>203</v>
      </c>
      <c r="F60" s="11" t="s">
        <v>295</v>
      </c>
      <c r="G60" s="12" t="s">
        <v>306</v>
      </c>
      <c r="H60" s="13" t="s">
        <v>307</v>
      </c>
      <c r="I60" s="11" t="s">
        <v>65</v>
      </c>
      <c r="J60" s="14">
        <v>1</v>
      </c>
      <c r="K60" s="14" t="s">
        <v>48</v>
      </c>
      <c r="L60" s="14" t="s">
        <v>308</v>
      </c>
      <c r="M60" s="15" t="s">
        <v>309</v>
      </c>
      <c r="N60" s="15" t="s">
        <v>208</v>
      </c>
      <c r="O60" s="15" t="s">
        <v>310</v>
      </c>
      <c r="P60" s="15"/>
      <c r="Q60" s="12" t="s">
        <v>286</v>
      </c>
      <c r="R60" s="22" t="s">
        <v>88</v>
      </c>
      <c r="S60" s="12" t="s">
        <v>70</v>
      </c>
      <c r="T60" s="14" t="s">
        <v>55</v>
      </c>
    </row>
    <row r="61" spans="1:20" ht="16.5">
      <c r="A61" s="17" t="s">
        <v>42</v>
      </c>
      <c r="B61" s="17" t="s">
        <v>311</v>
      </c>
      <c r="C61" s="17" t="s">
        <v>204</v>
      </c>
      <c r="D61" s="18" t="s">
        <v>205</v>
      </c>
      <c r="E61" s="17" t="s">
        <v>312</v>
      </c>
      <c r="F61" s="21" t="s">
        <v>313</v>
      </c>
      <c r="G61" s="19" t="s">
        <v>210</v>
      </c>
      <c r="H61" s="24" t="s">
        <v>314</v>
      </c>
      <c r="I61" s="17" t="s">
        <v>65</v>
      </c>
      <c r="J61" s="21">
        <v>1</v>
      </c>
      <c r="K61" s="21" t="s">
        <v>48</v>
      </c>
      <c r="L61" s="21" t="s">
        <v>315</v>
      </c>
      <c r="M61" s="19" t="s">
        <v>209</v>
      </c>
      <c r="N61" s="19" t="s">
        <v>316</v>
      </c>
      <c r="O61" s="19" t="s">
        <v>317</v>
      </c>
      <c r="P61" s="19" t="s">
        <v>210</v>
      </c>
      <c r="Q61" s="19" t="s">
        <v>211</v>
      </c>
      <c r="R61" s="16" t="s">
        <v>54</v>
      </c>
      <c r="S61" s="18" t="s">
        <v>70</v>
      </c>
      <c r="T61" s="21" t="s">
        <v>55</v>
      </c>
    </row>
    <row r="62" spans="1:20" ht="16.5">
      <c r="A62" s="11" t="s">
        <v>42</v>
      </c>
      <c r="B62" s="11" t="s">
        <v>311</v>
      </c>
      <c r="C62" s="11" t="s">
        <v>204</v>
      </c>
      <c r="D62" s="12" t="s">
        <v>212</v>
      </c>
      <c r="E62" s="11" t="s">
        <v>312</v>
      </c>
      <c r="F62" s="14" t="s">
        <v>313</v>
      </c>
      <c r="G62" s="15" t="s">
        <v>216</v>
      </c>
      <c r="H62" s="23" t="s">
        <v>318</v>
      </c>
      <c r="I62" s="11" t="s">
        <v>65</v>
      </c>
      <c r="J62" s="14">
        <v>1</v>
      </c>
      <c r="K62" s="14" t="s">
        <v>48</v>
      </c>
      <c r="L62" s="14" t="s">
        <v>319</v>
      </c>
      <c r="M62" s="15" t="s">
        <v>215</v>
      </c>
      <c r="N62" s="15" t="s">
        <v>316</v>
      </c>
      <c r="O62" s="15" t="s">
        <v>320</v>
      </c>
      <c r="P62" s="15" t="s">
        <v>216</v>
      </c>
      <c r="Q62" s="15" t="s">
        <v>211</v>
      </c>
      <c r="R62" s="16" t="s">
        <v>54</v>
      </c>
      <c r="S62" s="12" t="s">
        <v>70</v>
      </c>
      <c r="T62" s="14" t="s">
        <v>55</v>
      </c>
    </row>
    <row r="63" spans="1:20" ht="16.5">
      <c r="A63" s="17" t="s">
        <v>42</v>
      </c>
      <c r="B63" s="17" t="s">
        <v>311</v>
      </c>
      <c r="C63" s="17" t="s">
        <v>204</v>
      </c>
      <c r="D63" s="18" t="s">
        <v>217</v>
      </c>
      <c r="E63" s="17" t="s">
        <v>312</v>
      </c>
      <c r="F63" s="21" t="s">
        <v>313</v>
      </c>
      <c r="G63" s="19" t="s">
        <v>321</v>
      </c>
      <c r="H63" s="24" t="s">
        <v>322</v>
      </c>
      <c r="I63" s="17" t="s">
        <v>65</v>
      </c>
      <c r="J63" s="21">
        <v>1</v>
      </c>
      <c r="K63" s="21" t="s">
        <v>48</v>
      </c>
      <c r="L63" s="21" t="s">
        <v>323</v>
      </c>
      <c r="M63" s="19" t="s">
        <v>220</v>
      </c>
      <c r="N63" s="19" t="s">
        <v>316</v>
      </c>
      <c r="O63" s="19" t="s">
        <v>324</v>
      </c>
      <c r="P63" s="19" t="s">
        <v>321</v>
      </c>
      <c r="Q63" s="19" t="s">
        <v>211</v>
      </c>
      <c r="R63" s="16" t="s">
        <v>54</v>
      </c>
      <c r="S63" s="18" t="s">
        <v>70</v>
      </c>
      <c r="T63" s="21" t="s">
        <v>55</v>
      </c>
    </row>
    <row r="64" spans="1:20" ht="16.5">
      <c r="A64" s="11" t="s">
        <v>42</v>
      </c>
      <c r="B64" s="11" t="s">
        <v>311</v>
      </c>
      <c r="C64" s="11" t="s">
        <v>204</v>
      </c>
      <c r="D64" s="12" t="s">
        <v>217</v>
      </c>
      <c r="E64" s="11" t="s">
        <v>312</v>
      </c>
      <c r="F64" s="14" t="s">
        <v>313</v>
      </c>
      <c r="G64" s="15" t="s">
        <v>325</v>
      </c>
      <c r="H64" s="23" t="s">
        <v>326</v>
      </c>
      <c r="I64" s="11" t="s">
        <v>65</v>
      </c>
      <c r="J64" s="14">
        <v>1</v>
      </c>
      <c r="K64" s="14" t="s">
        <v>48</v>
      </c>
      <c r="L64" s="14" t="s">
        <v>327</v>
      </c>
      <c r="M64" s="15" t="s">
        <v>220</v>
      </c>
      <c r="N64" s="15" t="s">
        <v>316</v>
      </c>
      <c r="O64" s="15" t="s">
        <v>328</v>
      </c>
      <c r="P64" s="15" t="s">
        <v>325</v>
      </c>
      <c r="Q64" s="15" t="s">
        <v>211</v>
      </c>
      <c r="R64" s="16" t="s">
        <v>54</v>
      </c>
      <c r="S64" s="12" t="s">
        <v>70</v>
      </c>
      <c r="T64" s="14" t="s">
        <v>55</v>
      </c>
    </row>
    <row r="65" spans="1:20" ht="16.5">
      <c r="A65" s="17" t="s">
        <v>42</v>
      </c>
      <c r="B65" s="17" t="s">
        <v>311</v>
      </c>
      <c r="C65" s="17" t="s">
        <v>204</v>
      </c>
      <c r="D65" s="18" t="s">
        <v>222</v>
      </c>
      <c r="E65" s="17" t="s">
        <v>312</v>
      </c>
      <c r="F65" s="21" t="s">
        <v>313</v>
      </c>
      <c r="G65" s="19" t="s">
        <v>329</v>
      </c>
      <c r="H65" s="24" t="s">
        <v>330</v>
      </c>
      <c r="I65" s="17" t="s">
        <v>65</v>
      </c>
      <c r="J65" s="21">
        <v>1</v>
      </c>
      <c r="K65" s="21" t="s">
        <v>48</v>
      </c>
      <c r="L65" s="21" t="s">
        <v>331</v>
      </c>
      <c r="M65" s="19" t="s">
        <v>225</v>
      </c>
      <c r="N65" s="19" t="s">
        <v>316</v>
      </c>
      <c r="O65" s="19" t="s">
        <v>332</v>
      </c>
      <c r="P65" s="19" t="s">
        <v>329</v>
      </c>
      <c r="Q65" s="19" t="s">
        <v>211</v>
      </c>
      <c r="R65" s="16" t="s">
        <v>54</v>
      </c>
      <c r="S65" s="18" t="s">
        <v>70</v>
      </c>
      <c r="T65" s="21" t="s">
        <v>55</v>
      </c>
    </row>
    <row r="66" spans="1:20" ht="16.5">
      <c r="A66" s="11" t="s">
        <v>42</v>
      </c>
      <c r="B66" s="11" t="s">
        <v>311</v>
      </c>
      <c r="C66" s="11" t="s">
        <v>204</v>
      </c>
      <c r="D66" s="12" t="s">
        <v>222</v>
      </c>
      <c r="E66" s="11" t="s">
        <v>312</v>
      </c>
      <c r="F66" s="14" t="s">
        <v>313</v>
      </c>
      <c r="G66" s="15" t="s">
        <v>333</v>
      </c>
      <c r="H66" s="23" t="s">
        <v>334</v>
      </c>
      <c r="I66" s="11" t="s">
        <v>65</v>
      </c>
      <c r="J66" s="14">
        <v>1</v>
      </c>
      <c r="K66" s="14" t="s">
        <v>48</v>
      </c>
      <c r="L66" s="14" t="s">
        <v>335</v>
      </c>
      <c r="M66" s="15" t="s">
        <v>225</v>
      </c>
      <c r="N66" s="15" t="s">
        <v>316</v>
      </c>
      <c r="O66" s="15" t="s">
        <v>336</v>
      </c>
      <c r="P66" s="15" t="s">
        <v>333</v>
      </c>
      <c r="Q66" s="15" t="s">
        <v>211</v>
      </c>
      <c r="R66" s="16" t="s">
        <v>54</v>
      </c>
      <c r="S66" s="12" t="s">
        <v>70</v>
      </c>
      <c r="T66" s="14" t="s">
        <v>55</v>
      </c>
    </row>
    <row r="67" spans="1:20" ht="16.5">
      <c r="A67" s="17" t="s">
        <v>42</v>
      </c>
      <c r="B67" s="17" t="s">
        <v>311</v>
      </c>
      <c r="C67" s="17" t="s">
        <v>204</v>
      </c>
      <c r="D67" s="18" t="s">
        <v>222</v>
      </c>
      <c r="E67" s="17" t="s">
        <v>312</v>
      </c>
      <c r="F67" s="21" t="s">
        <v>313</v>
      </c>
      <c r="G67" s="19" t="s">
        <v>337</v>
      </c>
      <c r="H67" s="24" t="s">
        <v>338</v>
      </c>
      <c r="I67" s="17" t="s">
        <v>65</v>
      </c>
      <c r="J67" s="21">
        <v>1</v>
      </c>
      <c r="K67" s="21" t="s">
        <v>48</v>
      </c>
      <c r="L67" s="21" t="s">
        <v>339</v>
      </c>
      <c r="M67" s="19" t="s">
        <v>225</v>
      </c>
      <c r="N67" s="19" t="s">
        <v>316</v>
      </c>
      <c r="O67" s="19" t="s">
        <v>340</v>
      </c>
      <c r="P67" s="19" t="s">
        <v>337</v>
      </c>
      <c r="Q67" s="19" t="s">
        <v>211</v>
      </c>
      <c r="R67" s="16" t="s">
        <v>54</v>
      </c>
      <c r="S67" s="18" t="s">
        <v>70</v>
      </c>
      <c r="T67" s="21" t="s">
        <v>55</v>
      </c>
    </row>
    <row r="68" spans="1:20" ht="16.5">
      <c r="A68" s="11" t="s">
        <v>42</v>
      </c>
      <c r="B68" s="11" t="s">
        <v>311</v>
      </c>
      <c r="C68" s="11" t="s">
        <v>204</v>
      </c>
      <c r="D68" s="15" t="s">
        <v>227</v>
      </c>
      <c r="E68" s="11" t="s">
        <v>312</v>
      </c>
      <c r="F68" s="14" t="s">
        <v>313</v>
      </c>
      <c r="G68" s="15" t="s">
        <v>341</v>
      </c>
      <c r="H68" s="23" t="s">
        <v>342</v>
      </c>
      <c r="I68" s="11" t="s">
        <v>65</v>
      </c>
      <c r="J68" s="14">
        <v>1</v>
      </c>
      <c r="K68" s="14" t="s">
        <v>48</v>
      </c>
      <c r="L68" s="14" t="s">
        <v>343</v>
      </c>
      <c r="M68" s="15" t="s">
        <v>230</v>
      </c>
      <c r="N68" s="15" t="s">
        <v>316</v>
      </c>
      <c r="O68" s="15" t="s">
        <v>344</v>
      </c>
      <c r="P68" s="15" t="s">
        <v>341</v>
      </c>
      <c r="Q68" s="15" t="s">
        <v>211</v>
      </c>
      <c r="R68" s="16" t="s">
        <v>54</v>
      </c>
      <c r="S68" s="12" t="s">
        <v>70</v>
      </c>
      <c r="T68" s="14" t="s">
        <v>55</v>
      </c>
    </row>
    <row r="69" spans="1:20" ht="16.5">
      <c r="A69" s="17" t="s">
        <v>42</v>
      </c>
      <c r="B69" s="17" t="s">
        <v>311</v>
      </c>
      <c r="C69" s="17" t="s">
        <v>204</v>
      </c>
      <c r="D69" s="19" t="s">
        <v>227</v>
      </c>
      <c r="E69" s="17" t="s">
        <v>312</v>
      </c>
      <c r="F69" s="21" t="s">
        <v>313</v>
      </c>
      <c r="G69" s="19" t="s">
        <v>345</v>
      </c>
      <c r="H69" s="24" t="s">
        <v>346</v>
      </c>
      <c r="I69" s="17" t="s">
        <v>65</v>
      </c>
      <c r="J69" s="21">
        <v>1</v>
      </c>
      <c r="K69" s="21" t="s">
        <v>48</v>
      </c>
      <c r="L69" s="21" t="s">
        <v>347</v>
      </c>
      <c r="M69" s="19" t="s">
        <v>230</v>
      </c>
      <c r="N69" s="19" t="s">
        <v>316</v>
      </c>
      <c r="O69" s="19" t="s">
        <v>348</v>
      </c>
      <c r="P69" s="19" t="s">
        <v>345</v>
      </c>
      <c r="Q69" s="19" t="s">
        <v>211</v>
      </c>
      <c r="R69" s="16" t="s">
        <v>54</v>
      </c>
      <c r="S69" s="18" t="s">
        <v>70</v>
      </c>
      <c r="T69" s="21" t="s">
        <v>55</v>
      </c>
    </row>
    <row r="70" spans="1:20" ht="16.5">
      <c r="A70" s="11" t="s">
        <v>42</v>
      </c>
      <c r="B70" s="11" t="s">
        <v>311</v>
      </c>
      <c r="C70" s="11" t="s">
        <v>204</v>
      </c>
      <c r="D70" s="15" t="s">
        <v>227</v>
      </c>
      <c r="E70" s="11" t="s">
        <v>312</v>
      </c>
      <c r="F70" s="14" t="s">
        <v>313</v>
      </c>
      <c r="G70" s="15" t="s">
        <v>349</v>
      </c>
      <c r="H70" s="23" t="s">
        <v>350</v>
      </c>
      <c r="I70" s="11" t="s">
        <v>65</v>
      </c>
      <c r="J70" s="14">
        <v>1</v>
      </c>
      <c r="K70" s="14" t="s">
        <v>48</v>
      </c>
      <c r="L70" s="14" t="s">
        <v>351</v>
      </c>
      <c r="M70" s="15" t="s">
        <v>230</v>
      </c>
      <c r="N70" s="15" t="s">
        <v>316</v>
      </c>
      <c r="O70" s="15" t="s">
        <v>352</v>
      </c>
      <c r="P70" s="15" t="s">
        <v>349</v>
      </c>
      <c r="Q70" s="15" t="s">
        <v>211</v>
      </c>
      <c r="R70" s="16" t="s">
        <v>54</v>
      </c>
      <c r="S70" s="12" t="s">
        <v>70</v>
      </c>
      <c r="T70" s="14" t="s">
        <v>55</v>
      </c>
    </row>
    <row r="71" spans="1:20" ht="16.5">
      <c r="A71" s="17" t="s">
        <v>42</v>
      </c>
      <c r="B71" s="17" t="s">
        <v>311</v>
      </c>
      <c r="C71" s="17" t="s">
        <v>204</v>
      </c>
      <c r="D71" s="18" t="s">
        <v>232</v>
      </c>
      <c r="E71" s="17" t="s">
        <v>312</v>
      </c>
      <c r="F71" s="21" t="s">
        <v>313</v>
      </c>
      <c r="G71" s="19" t="s">
        <v>353</v>
      </c>
      <c r="H71" s="24" t="s">
        <v>354</v>
      </c>
      <c r="I71" s="17" t="s">
        <v>65</v>
      </c>
      <c r="J71" s="21">
        <v>1</v>
      </c>
      <c r="K71" s="21" t="s">
        <v>48</v>
      </c>
      <c r="L71" s="21" t="s">
        <v>355</v>
      </c>
      <c r="M71" s="19" t="s">
        <v>235</v>
      </c>
      <c r="N71" s="19" t="s">
        <v>316</v>
      </c>
      <c r="O71" s="19" t="s">
        <v>356</v>
      </c>
      <c r="P71" s="19" t="s">
        <v>353</v>
      </c>
      <c r="Q71" s="19" t="s">
        <v>211</v>
      </c>
      <c r="R71" s="16" t="s">
        <v>54</v>
      </c>
      <c r="S71" s="18" t="s">
        <v>70</v>
      </c>
      <c r="T71" s="21" t="s">
        <v>55</v>
      </c>
    </row>
    <row r="72" spans="1:20" ht="16.5">
      <c r="A72" s="11" t="s">
        <v>42</v>
      </c>
      <c r="B72" s="11" t="s">
        <v>311</v>
      </c>
      <c r="C72" s="11" t="s">
        <v>204</v>
      </c>
      <c r="D72" s="12" t="s">
        <v>232</v>
      </c>
      <c r="E72" s="11" t="s">
        <v>312</v>
      </c>
      <c r="F72" s="14" t="s">
        <v>313</v>
      </c>
      <c r="G72" s="15" t="s">
        <v>357</v>
      </c>
      <c r="H72" s="23" t="s">
        <v>358</v>
      </c>
      <c r="I72" s="11" t="s">
        <v>65</v>
      </c>
      <c r="J72" s="14">
        <v>1</v>
      </c>
      <c r="K72" s="14" t="s">
        <v>48</v>
      </c>
      <c r="L72" s="14" t="s">
        <v>359</v>
      </c>
      <c r="M72" s="15" t="s">
        <v>235</v>
      </c>
      <c r="N72" s="15" t="s">
        <v>316</v>
      </c>
      <c r="O72" s="15" t="s">
        <v>360</v>
      </c>
      <c r="P72" s="15" t="s">
        <v>357</v>
      </c>
      <c r="Q72" s="15" t="s">
        <v>211</v>
      </c>
      <c r="R72" s="16" t="s">
        <v>54</v>
      </c>
      <c r="S72" s="12" t="s">
        <v>70</v>
      </c>
      <c r="T72" s="14" t="s">
        <v>55</v>
      </c>
    </row>
    <row r="73" spans="1:20" ht="16.5">
      <c r="A73" s="17" t="s">
        <v>42</v>
      </c>
      <c r="B73" s="17" t="s">
        <v>311</v>
      </c>
      <c r="C73" s="17" t="s">
        <v>204</v>
      </c>
      <c r="D73" s="18" t="s">
        <v>232</v>
      </c>
      <c r="E73" s="17" t="s">
        <v>312</v>
      </c>
      <c r="F73" s="21" t="s">
        <v>313</v>
      </c>
      <c r="G73" s="19" t="s">
        <v>361</v>
      </c>
      <c r="H73" s="24" t="s">
        <v>362</v>
      </c>
      <c r="I73" s="17" t="s">
        <v>65</v>
      </c>
      <c r="J73" s="21">
        <v>1</v>
      </c>
      <c r="K73" s="21" t="s">
        <v>48</v>
      </c>
      <c r="L73" s="21" t="s">
        <v>363</v>
      </c>
      <c r="M73" s="19" t="s">
        <v>235</v>
      </c>
      <c r="N73" s="19" t="s">
        <v>316</v>
      </c>
      <c r="O73" s="19" t="s">
        <v>364</v>
      </c>
      <c r="P73" s="19" t="s">
        <v>361</v>
      </c>
      <c r="Q73" s="19" t="s">
        <v>211</v>
      </c>
      <c r="R73" s="16" t="s">
        <v>54</v>
      </c>
      <c r="S73" s="18" t="s">
        <v>70</v>
      </c>
      <c r="T73" s="21" t="s">
        <v>55</v>
      </c>
    </row>
    <row r="74" spans="1:20" ht="16.5">
      <c r="A74" s="11" t="s">
        <v>42</v>
      </c>
      <c r="B74" s="11" t="s">
        <v>311</v>
      </c>
      <c r="C74" s="11" t="s">
        <v>204</v>
      </c>
      <c r="D74" s="12" t="s">
        <v>237</v>
      </c>
      <c r="E74" s="11" t="s">
        <v>312</v>
      </c>
      <c r="F74" s="14" t="s">
        <v>313</v>
      </c>
      <c r="G74" s="15" t="s">
        <v>365</v>
      </c>
      <c r="H74" s="23" t="s">
        <v>366</v>
      </c>
      <c r="I74" s="11" t="s">
        <v>65</v>
      </c>
      <c r="J74" s="14">
        <v>1</v>
      </c>
      <c r="K74" s="14" t="s">
        <v>48</v>
      </c>
      <c r="L74" s="14" t="s">
        <v>367</v>
      </c>
      <c r="M74" s="15" t="s">
        <v>240</v>
      </c>
      <c r="N74" s="15" t="s">
        <v>316</v>
      </c>
      <c r="O74" s="15" t="s">
        <v>368</v>
      </c>
      <c r="P74" s="15" t="s">
        <v>365</v>
      </c>
      <c r="Q74" s="15" t="s">
        <v>211</v>
      </c>
      <c r="R74" s="16" t="s">
        <v>54</v>
      </c>
      <c r="S74" s="12" t="s">
        <v>70</v>
      </c>
      <c r="T74" s="14" t="s">
        <v>55</v>
      </c>
    </row>
    <row r="75" spans="1:20" ht="16.5">
      <c r="A75" s="17" t="s">
        <v>42</v>
      </c>
      <c r="B75" s="17" t="s">
        <v>311</v>
      </c>
      <c r="C75" s="17" t="s">
        <v>204</v>
      </c>
      <c r="D75" s="18" t="s">
        <v>237</v>
      </c>
      <c r="E75" s="17" t="s">
        <v>312</v>
      </c>
      <c r="F75" s="21" t="s">
        <v>313</v>
      </c>
      <c r="G75" s="19" t="s">
        <v>369</v>
      </c>
      <c r="H75" s="24" t="s">
        <v>370</v>
      </c>
      <c r="I75" s="17" t="s">
        <v>65</v>
      </c>
      <c r="J75" s="21">
        <v>1</v>
      </c>
      <c r="K75" s="21" t="s">
        <v>48</v>
      </c>
      <c r="L75" s="21" t="s">
        <v>371</v>
      </c>
      <c r="M75" s="19" t="s">
        <v>240</v>
      </c>
      <c r="N75" s="19" t="s">
        <v>316</v>
      </c>
      <c r="O75" s="19" t="s">
        <v>372</v>
      </c>
      <c r="P75" s="19" t="s">
        <v>369</v>
      </c>
      <c r="Q75" s="19" t="s">
        <v>211</v>
      </c>
      <c r="R75" s="16" t="s">
        <v>54</v>
      </c>
      <c r="S75" s="18" t="s">
        <v>70</v>
      </c>
      <c r="T75" s="21" t="s">
        <v>55</v>
      </c>
    </row>
    <row r="76" spans="1:20" ht="16.5">
      <c r="A76" s="11" t="s">
        <v>42</v>
      </c>
      <c r="B76" s="11" t="s">
        <v>311</v>
      </c>
      <c r="C76" s="11" t="s">
        <v>204</v>
      </c>
      <c r="D76" s="12" t="s">
        <v>237</v>
      </c>
      <c r="E76" s="11" t="s">
        <v>312</v>
      </c>
      <c r="F76" s="14" t="s">
        <v>313</v>
      </c>
      <c r="G76" s="15" t="s">
        <v>373</v>
      </c>
      <c r="H76" s="23" t="s">
        <v>374</v>
      </c>
      <c r="I76" s="11" t="s">
        <v>65</v>
      </c>
      <c r="J76" s="14">
        <v>1</v>
      </c>
      <c r="K76" s="14" t="s">
        <v>48</v>
      </c>
      <c r="L76" s="14" t="s">
        <v>375</v>
      </c>
      <c r="M76" s="15" t="s">
        <v>240</v>
      </c>
      <c r="N76" s="15" t="s">
        <v>316</v>
      </c>
      <c r="O76" s="15" t="s">
        <v>376</v>
      </c>
      <c r="P76" s="15" t="s">
        <v>373</v>
      </c>
      <c r="Q76" s="15" t="s">
        <v>211</v>
      </c>
      <c r="R76" s="16" t="s">
        <v>54</v>
      </c>
      <c r="S76" s="12" t="s">
        <v>70</v>
      </c>
      <c r="T76" s="14" t="s">
        <v>55</v>
      </c>
    </row>
    <row r="77" spans="1:20" ht="16.5">
      <c r="A77" s="17" t="s">
        <v>42</v>
      </c>
      <c r="B77" s="17" t="s">
        <v>311</v>
      </c>
      <c r="C77" s="17" t="s">
        <v>204</v>
      </c>
      <c r="D77" s="18" t="s">
        <v>242</v>
      </c>
      <c r="E77" s="17" t="s">
        <v>312</v>
      </c>
      <c r="F77" s="21" t="s">
        <v>313</v>
      </c>
      <c r="G77" s="19" t="s">
        <v>377</v>
      </c>
      <c r="H77" s="24" t="s">
        <v>378</v>
      </c>
      <c r="I77" s="17" t="s">
        <v>65</v>
      </c>
      <c r="J77" s="21">
        <v>1</v>
      </c>
      <c r="K77" s="21" t="s">
        <v>48</v>
      </c>
      <c r="L77" s="21" t="s">
        <v>379</v>
      </c>
      <c r="M77" s="19" t="s">
        <v>245</v>
      </c>
      <c r="N77" s="19" t="s">
        <v>316</v>
      </c>
      <c r="O77" s="19" t="s">
        <v>380</v>
      </c>
      <c r="P77" s="19" t="s">
        <v>377</v>
      </c>
      <c r="Q77" s="19" t="s">
        <v>211</v>
      </c>
      <c r="R77" s="16" t="s">
        <v>54</v>
      </c>
      <c r="S77" s="18" t="s">
        <v>70</v>
      </c>
      <c r="T77" s="21" t="s">
        <v>55</v>
      </c>
    </row>
    <row r="78" spans="1:20" ht="16.5">
      <c r="A78" s="11" t="s">
        <v>42</v>
      </c>
      <c r="B78" s="11" t="s">
        <v>311</v>
      </c>
      <c r="C78" s="11" t="s">
        <v>204</v>
      </c>
      <c r="D78" s="12" t="s">
        <v>242</v>
      </c>
      <c r="E78" s="11" t="s">
        <v>312</v>
      </c>
      <c r="F78" s="14" t="s">
        <v>313</v>
      </c>
      <c r="G78" s="15" t="s">
        <v>381</v>
      </c>
      <c r="H78" s="23" t="s">
        <v>382</v>
      </c>
      <c r="I78" s="11" t="s">
        <v>65</v>
      </c>
      <c r="J78" s="14">
        <v>1</v>
      </c>
      <c r="K78" s="14" t="s">
        <v>48</v>
      </c>
      <c r="L78" s="14" t="s">
        <v>383</v>
      </c>
      <c r="M78" s="15" t="s">
        <v>245</v>
      </c>
      <c r="N78" s="15" t="s">
        <v>316</v>
      </c>
      <c r="O78" s="15" t="s">
        <v>384</v>
      </c>
      <c r="P78" s="15" t="s">
        <v>381</v>
      </c>
      <c r="Q78" s="15" t="s">
        <v>211</v>
      </c>
      <c r="R78" s="16" t="s">
        <v>54</v>
      </c>
      <c r="S78" s="12" t="s">
        <v>70</v>
      </c>
      <c r="T78" s="14" t="s">
        <v>55</v>
      </c>
    </row>
    <row r="79" spans="1:20" ht="16.5">
      <c r="A79" s="17" t="s">
        <v>42</v>
      </c>
      <c r="B79" s="17" t="s">
        <v>311</v>
      </c>
      <c r="C79" s="17" t="s">
        <v>204</v>
      </c>
      <c r="D79" s="18" t="s">
        <v>242</v>
      </c>
      <c r="E79" s="17" t="s">
        <v>312</v>
      </c>
      <c r="F79" s="21" t="s">
        <v>313</v>
      </c>
      <c r="G79" s="19" t="s">
        <v>385</v>
      </c>
      <c r="H79" s="24" t="s">
        <v>386</v>
      </c>
      <c r="I79" s="17" t="s">
        <v>65</v>
      </c>
      <c r="J79" s="21">
        <v>1</v>
      </c>
      <c r="K79" s="21" t="s">
        <v>48</v>
      </c>
      <c r="L79" s="21" t="s">
        <v>387</v>
      </c>
      <c r="M79" s="19" t="s">
        <v>245</v>
      </c>
      <c r="N79" s="19" t="s">
        <v>316</v>
      </c>
      <c r="O79" s="19" t="s">
        <v>388</v>
      </c>
      <c r="P79" s="19" t="s">
        <v>385</v>
      </c>
      <c r="Q79" s="19" t="s">
        <v>211</v>
      </c>
      <c r="R79" s="16" t="s">
        <v>54</v>
      </c>
      <c r="S79" s="18" t="s">
        <v>70</v>
      </c>
      <c r="T79" s="21" t="s">
        <v>55</v>
      </c>
    </row>
    <row r="80" spans="1:20" ht="16.5">
      <c r="A80" s="11" t="s">
        <v>42</v>
      </c>
      <c r="B80" s="11" t="s">
        <v>311</v>
      </c>
      <c r="C80" s="11" t="s">
        <v>204</v>
      </c>
      <c r="D80" s="12" t="s">
        <v>247</v>
      </c>
      <c r="E80" s="11" t="s">
        <v>312</v>
      </c>
      <c r="F80" s="14" t="s">
        <v>313</v>
      </c>
      <c r="G80" s="15" t="s">
        <v>389</v>
      </c>
      <c r="H80" s="23" t="s">
        <v>390</v>
      </c>
      <c r="I80" s="11" t="s">
        <v>65</v>
      </c>
      <c r="J80" s="14">
        <v>1</v>
      </c>
      <c r="K80" s="14" t="s">
        <v>48</v>
      </c>
      <c r="L80" s="14" t="s">
        <v>391</v>
      </c>
      <c r="M80" s="15" t="s">
        <v>250</v>
      </c>
      <c r="N80" s="15" t="s">
        <v>316</v>
      </c>
      <c r="O80" s="15" t="s">
        <v>392</v>
      </c>
      <c r="P80" s="15" t="s">
        <v>389</v>
      </c>
      <c r="Q80" s="15" t="s">
        <v>211</v>
      </c>
      <c r="R80" s="16" t="s">
        <v>54</v>
      </c>
      <c r="S80" s="12" t="s">
        <v>70</v>
      </c>
      <c r="T80" s="14" t="s">
        <v>55</v>
      </c>
    </row>
    <row r="81" spans="1:20" ht="16.5">
      <c r="A81" s="17" t="s">
        <v>42</v>
      </c>
      <c r="B81" s="17" t="s">
        <v>311</v>
      </c>
      <c r="C81" s="17" t="s">
        <v>204</v>
      </c>
      <c r="D81" s="18" t="s">
        <v>247</v>
      </c>
      <c r="E81" s="17" t="s">
        <v>312</v>
      </c>
      <c r="F81" s="21" t="s">
        <v>313</v>
      </c>
      <c r="G81" s="19" t="s">
        <v>393</v>
      </c>
      <c r="H81" s="24" t="s">
        <v>394</v>
      </c>
      <c r="I81" s="17" t="s">
        <v>65</v>
      </c>
      <c r="J81" s="21">
        <v>1</v>
      </c>
      <c r="K81" s="21" t="s">
        <v>48</v>
      </c>
      <c r="L81" s="21" t="s">
        <v>395</v>
      </c>
      <c r="M81" s="19" t="s">
        <v>250</v>
      </c>
      <c r="N81" s="19" t="s">
        <v>316</v>
      </c>
      <c r="O81" s="19" t="s">
        <v>396</v>
      </c>
      <c r="P81" s="19" t="s">
        <v>393</v>
      </c>
      <c r="Q81" s="19" t="s">
        <v>211</v>
      </c>
      <c r="R81" s="16" t="s">
        <v>54</v>
      </c>
      <c r="S81" s="18" t="s">
        <v>70</v>
      </c>
      <c r="T81" s="21" t="s">
        <v>55</v>
      </c>
    </row>
    <row r="82" spans="1:20" ht="16.5">
      <c r="A82" s="11" t="s">
        <v>42</v>
      </c>
      <c r="B82" s="11" t="s">
        <v>311</v>
      </c>
      <c r="C82" s="11" t="s">
        <v>204</v>
      </c>
      <c r="D82" s="12" t="s">
        <v>247</v>
      </c>
      <c r="E82" s="11" t="s">
        <v>312</v>
      </c>
      <c r="F82" s="14" t="s">
        <v>313</v>
      </c>
      <c r="G82" s="15" t="s">
        <v>397</v>
      </c>
      <c r="H82" s="23" t="s">
        <v>398</v>
      </c>
      <c r="I82" s="11" t="s">
        <v>65</v>
      </c>
      <c r="J82" s="14">
        <v>1</v>
      </c>
      <c r="K82" s="14" t="s">
        <v>48</v>
      </c>
      <c r="L82" s="14" t="s">
        <v>399</v>
      </c>
      <c r="M82" s="15" t="s">
        <v>250</v>
      </c>
      <c r="N82" s="15" t="s">
        <v>316</v>
      </c>
      <c r="O82" s="15" t="s">
        <v>400</v>
      </c>
      <c r="P82" s="15" t="s">
        <v>397</v>
      </c>
      <c r="Q82" s="15" t="s">
        <v>211</v>
      </c>
      <c r="R82" s="16" t="s">
        <v>54</v>
      </c>
      <c r="S82" s="12" t="s">
        <v>70</v>
      </c>
      <c r="T82" s="14" t="s">
        <v>55</v>
      </c>
    </row>
    <row r="83" spans="1:20" ht="16.5">
      <c r="A83" s="17" t="s">
        <v>42</v>
      </c>
      <c r="B83" s="17" t="s">
        <v>311</v>
      </c>
      <c r="C83" s="17" t="s">
        <v>204</v>
      </c>
      <c r="D83" s="18" t="s">
        <v>247</v>
      </c>
      <c r="E83" s="17" t="s">
        <v>312</v>
      </c>
      <c r="F83" s="21" t="s">
        <v>313</v>
      </c>
      <c r="G83" s="19" t="s">
        <v>401</v>
      </c>
      <c r="H83" s="24" t="s">
        <v>402</v>
      </c>
      <c r="I83" s="17" t="s">
        <v>65</v>
      </c>
      <c r="J83" s="21">
        <v>1</v>
      </c>
      <c r="K83" s="21" t="s">
        <v>48</v>
      </c>
      <c r="L83" s="21" t="s">
        <v>403</v>
      </c>
      <c r="M83" s="19" t="s">
        <v>250</v>
      </c>
      <c r="N83" s="19" t="s">
        <v>316</v>
      </c>
      <c r="O83" s="19" t="s">
        <v>404</v>
      </c>
      <c r="P83" s="19" t="s">
        <v>401</v>
      </c>
      <c r="Q83" s="19" t="s">
        <v>211</v>
      </c>
      <c r="R83" s="16" t="s">
        <v>54</v>
      </c>
      <c r="S83" s="18" t="s">
        <v>70</v>
      </c>
      <c r="T83" s="21" t="s">
        <v>55</v>
      </c>
    </row>
    <row r="84" spans="1:20" ht="16.5">
      <c r="A84" s="11" t="s">
        <v>42</v>
      </c>
      <c r="B84" s="11" t="s">
        <v>311</v>
      </c>
      <c r="C84" s="11" t="s">
        <v>204</v>
      </c>
      <c r="D84" s="12" t="s">
        <v>247</v>
      </c>
      <c r="E84" s="11" t="s">
        <v>312</v>
      </c>
      <c r="F84" s="14" t="s">
        <v>313</v>
      </c>
      <c r="G84" s="15" t="s">
        <v>405</v>
      </c>
      <c r="H84" s="23" t="s">
        <v>406</v>
      </c>
      <c r="I84" s="11" t="s">
        <v>65</v>
      </c>
      <c r="J84" s="14">
        <v>1</v>
      </c>
      <c r="K84" s="14" t="s">
        <v>48</v>
      </c>
      <c r="L84" s="14" t="s">
        <v>407</v>
      </c>
      <c r="M84" s="15" t="s">
        <v>250</v>
      </c>
      <c r="N84" s="15" t="s">
        <v>316</v>
      </c>
      <c r="O84" s="15" t="s">
        <v>408</v>
      </c>
      <c r="P84" s="15" t="s">
        <v>405</v>
      </c>
      <c r="Q84" s="15" t="s">
        <v>211</v>
      </c>
      <c r="R84" s="16" t="s">
        <v>54</v>
      </c>
      <c r="S84" s="12" t="s">
        <v>70</v>
      </c>
      <c r="T84" s="14" t="s">
        <v>55</v>
      </c>
    </row>
    <row r="85" spans="1:20" ht="16.5">
      <c r="A85" s="17" t="s">
        <v>42</v>
      </c>
      <c r="B85" s="17" t="s">
        <v>311</v>
      </c>
      <c r="C85" s="17" t="s">
        <v>204</v>
      </c>
      <c r="D85" s="18" t="s">
        <v>252</v>
      </c>
      <c r="E85" s="17" t="s">
        <v>312</v>
      </c>
      <c r="F85" s="21" t="s">
        <v>313</v>
      </c>
      <c r="G85" s="19" t="s">
        <v>409</v>
      </c>
      <c r="H85" s="24" t="s">
        <v>410</v>
      </c>
      <c r="I85" s="17" t="s">
        <v>65</v>
      </c>
      <c r="J85" s="21">
        <v>1</v>
      </c>
      <c r="K85" s="21" t="s">
        <v>48</v>
      </c>
      <c r="L85" s="21" t="s">
        <v>411</v>
      </c>
      <c r="M85" s="19" t="s">
        <v>255</v>
      </c>
      <c r="N85" s="19" t="s">
        <v>316</v>
      </c>
      <c r="O85" s="19" t="s">
        <v>412</v>
      </c>
      <c r="P85" s="19" t="s">
        <v>409</v>
      </c>
      <c r="Q85" s="19" t="s">
        <v>211</v>
      </c>
      <c r="R85" s="16" t="s">
        <v>54</v>
      </c>
      <c r="S85" s="18" t="s">
        <v>70</v>
      </c>
      <c r="T85" s="21" t="s">
        <v>55</v>
      </c>
    </row>
    <row r="86" spans="1:20" ht="16.5">
      <c r="A86" s="11" t="s">
        <v>42</v>
      </c>
      <c r="B86" s="11" t="s">
        <v>311</v>
      </c>
      <c r="C86" s="11" t="s">
        <v>204</v>
      </c>
      <c r="D86" s="12" t="s">
        <v>252</v>
      </c>
      <c r="E86" s="11" t="s">
        <v>312</v>
      </c>
      <c r="F86" s="14" t="s">
        <v>313</v>
      </c>
      <c r="G86" s="15" t="s">
        <v>413</v>
      </c>
      <c r="H86" s="23" t="s">
        <v>414</v>
      </c>
      <c r="I86" s="11" t="s">
        <v>65</v>
      </c>
      <c r="J86" s="14">
        <v>1</v>
      </c>
      <c r="K86" s="14" t="s">
        <v>48</v>
      </c>
      <c r="L86" s="14" t="s">
        <v>415</v>
      </c>
      <c r="M86" s="15" t="s">
        <v>255</v>
      </c>
      <c r="N86" s="15" t="s">
        <v>316</v>
      </c>
      <c r="O86" s="15" t="s">
        <v>416</v>
      </c>
      <c r="P86" s="15" t="s">
        <v>413</v>
      </c>
      <c r="Q86" s="15" t="s">
        <v>211</v>
      </c>
      <c r="R86" s="16" t="s">
        <v>54</v>
      </c>
      <c r="S86" s="12" t="s">
        <v>70</v>
      </c>
      <c r="T86" s="14" t="s">
        <v>55</v>
      </c>
    </row>
    <row r="87" spans="1:20" ht="16.5">
      <c r="A87" s="17" t="s">
        <v>42</v>
      </c>
      <c r="B87" s="17" t="s">
        <v>311</v>
      </c>
      <c r="C87" s="17" t="s">
        <v>204</v>
      </c>
      <c r="D87" s="18" t="s">
        <v>252</v>
      </c>
      <c r="E87" s="17" t="s">
        <v>312</v>
      </c>
      <c r="F87" s="21" t="s">
        <v>313</v>
      </c>
      <c r="G87" s="19" t="s">
        <v>417</v>
      </c>
      <c r="H87" s="24" t="s">
        <v>418</v>
      </c>
      <c r="I87" s="17" t="s">
        <v>65</v>
      </c>
      <c r="J87" s="21">
        <v>1</v>
      </c>
      <c r="K87" s="21" t="s">
        <v>48</v>
      </c>
      <c r="L87" s="21" t="s">
        <v>419</v>
      </c>
      <c r="M87" s="19" t="s">
        <v>255</v>
      </c>
      <c r="N87" s="19" t="s">
        <v>316</v>
      </c>
      <c r="O87" s="19" t="s">
        <v>420</v>
      </c>
      <c r="P87" s="19" t="s">
        <v>417</v>
      </c>
      <c r="Q87" s="19" t="s">
        <v>211</v>
      </c>
      <c r="R87" s="16" t="s">
        <v>54</v>
      </c>
      <c r="S87" s="18" t="s">
        <v>70</v>
      </c>
      <c r="T87" s="21" t="s">
        <v>55</v>
      </c>
    </row>
    <row r="88" spans="1:20" ht="16.5">
      <c r="A88" s="11" t="s">
        <v>42</v>
      </c>
      <c r="B88" s="11" t="s">
        <v>311</v>
      </c>
      <c r="C88" s="11" t="s">
        <v>204</v>
      </c>
      <c r="D88" s="12" t="s">
        <v>252</v>
      </c>
      <c r="E88" s="11" t="s">
        <v>312</v>
      </c>
      <c r="F88" s="14" t="s">
        <v>313</v>
      </c>
      <c r="G88" s="15" t="s">
        <v>421</v>
      </c>
      <c r="H88" s="23" t="s">
        <v>422</v>
      </c>
      <c r="I88" s="11" t="s">
        <v>65</v>
      </c>
      <c r="J88" s="14">
        <v>1</v>
      </c>
      <c r="K88" s="14" t="s">
        <v>48</v>
      </c>
      <c r="L88" s="14" t="s">
        <v>423</v>
      </c>
      <c r="M88" s="15" t="s">
        <v>255</v>
      </c>
      <c r="N88" s="15" t="s">
        <v>316</v>
      </c>
      <c r="O88" s="15" t="s">
        <v>424</v>
      </c>
      <c r="P88" s="15" t="s">
        <v>421</v>
      </c>
      <c r="Q88" s="15" t="s">
        <v>211</v>
      </c>
      <c r="R88" s="16" t="s">
        <v>54</v>
      </c>
      <c r="S88" s="12" t="s">
        <v>70</v>
      </c>
      <c r="T88" s="14" t="s">
        <v>55</v>
      </c>
    </row>
    <row r="89" spans="1:20" ht="16.5">
      <c r="A89" s="17" t="s">
        <v>42</v>
      </c>
      <c r="B89" s="17" t="s">
        <v>311</v>
      </c>
      <c r="C89" s="17" t="s">
        <v>204</v>
      </c>
      <c r="D89" s="18" t="s">
        <v>252</v>
      </c>
      <c r="E89" s="17" t="s">
        <v>312</v>
      </c>
      <c r="F89" s="21" t="s">
        <v>313</v>
      </c>
      <c r="G89" s="19" t="s">
        <v>425</v>
      </c>
      <c r="H89" s="24" t="s">
        <v>426</v>
      </c>
      <c r="I89" s="17" t="s">
        <v>65</v>
      </c>
      <c r="J89" s="21">
        <v>1</v>
      </c>
      <c r="K89" s="21" t="s">
        <v>48</v>
      </c>
      <c r="L89" s="21" t="s">
        <v>427</v>
      </c>
      <c r="M89" s="19" t="s">
        <v>255</v>
      </c>
      <c r="N89" s="19" t="s">
        <v>316</v>
      </c>
      <c r="O89" s="19" t="s">
        <v>428</v>
      </c>
      <c r="P89" s="19" t="s">
        <v>425</v>
      </c>
      <c r="Q89" s="19" t="s">
        <v>211</v>
      </c>
      <c r="R89" s="16" t="s">
        <v>54</v>
      </c>
      <c r="S89" s="18" t="s">
        <v>70</v>
      </c>
      <c r="T89" s="21" t="s">
        <v>55</v>
      </c>
    </row>
    <row r="90" spans="1:20" ht="16.5">
      <c r="A90" s="11" t="s">
        <v>42</v>
      </c>
      <c r="B90" s="11" t="s">
        <v>311</v>
      </c>
      <c r="C90" s="11" t="s">
        <v>204</v>
      </c>
      <c r="D90" s="12" t="s">
        <v>257</v>
      </c>
      <c r="E90" s="11" t="s">
        <v>312</v>
      </c>
      <c r="F90" s="14" t="s">
        <v>313</v>
      </c>
      <c r="G90" s="15" t="s">
        <v>429</v>
      </c>
      <c r="H90" s="23" t="s">
        <v>430</v>
      </c>
      <c r="I90" s="11" t="s">
        <v>65</v>
      </c>
      <c r="J90" s="14">
        <v>1</v>
      </c>
      <c r="K90" s="14" t="s">
        <v>48</v>
      </c>
      <c r="L90" s="14" t="s">
        <v>431</v>
      </c>
      <c r="M90" s="15" t="s">
        <v>260</v>
      </c>
      <c r="N90" s="15" t="s">
        <v>316</v>
      </c>
      <c r="O90" s="15" t="s">
        <v>432</v>
      </c>
      <c r="P90" s="15" t="s">
        <v>429</v>
      </c>
      <c r="Q90" s="15" t="s">
        <v>211</v>
      </c>
      <c r="R90" s="16" t="s">
        <v>54</v>
      </c>
      <c r="S90" s="12" t="s">
        <v>70</v>
      </c>
      <c r="T90" s="14" t="s">
        <v>55</v>
      </c>
    </row>
    <row r="91" spans="1:20" ht="16.5">
      <c r="A91" s="17" t="s">
        <v>42</v>
      </c>
      <c r="B91" s="17" t="s">
        <v>311</v>
      </c>
      <c r="C91" s="17" t="s">
        <v>204</v>
      </c>
      <c r="D91" s="18" t="s">
        <v>257</v>
      </c>
      <c r="E91" s="17" t="s">
        <v>312</v>
      </c>
      <c r="F91" s="21" t="s">
        <v>313</v>
      </c>
      <c r="G91" s="19" t="s">
        <v>433</v>
      </c>
      <c r="H91" s="24" t="s">
        <v>434</v>
      </c>
      <c r="I91" s="17" t="s">
        <v>65</v>
      </c>
      <c r="J91" s="21">
        <v>1</v>
      </c>
      <c r="K91" s="21" t="s">
        <v>48</v>
      </c>
      <c r="L91" s="21" t="s">
        <v>435</v>
      </c>
      <c r="M91" s="19" t="s">
        <v>260</v>
      </c>
      <c r="N91" s="19" t="s">
        <v>316</v>
      </c>
      <c r="O91" s="19" t="s">
        <v>436</v>
      </c>
      <c r="P91" s="19" t="s">
        <v>433</v>
      </c>
      <c r="Q91" s="19" t="s">
        <v>211</v>
      </c>
      <c r="R91" s="16" t="s">
        <v>54</v>
      </c>
      <c r="S91" s="18" t="s">
        <v>70</v>
      </c>
      <c r="T91" s="21" t="s">
        <v>55</v>
      </c>
    </row>
    <row r="92" spans="1:20" ht="16.5">
      <c r="A92" s="11" t="s">
        <v>42</v>
      </c>
      <c r="B92" s="11" t="s">
        <v>311</v>
      </c>
      <c r="C92" s="11" t="s">
        <v>204</v>
      </c>
      <c r="D92" s="12" t="s">
        <v>257</v>
      </c>
      <c r="E92" s="11" t="s">
        <v>312</v>
      </c>
      <c r="F92" s="14" t="s">
        <v>313</v>
      </c>
      <c r="G92" s="15" t="s">
        <v>437</v>
      </c>
      <c r="H92" s="23" t="s">
        <v>438</v>
      </c>
      <c r="I92" s="11" t="s">
        <v>65</v>
      </c>
      <c r="J92" s="14">
        <v>1</v>
      </c>
      <c r="K92" s="14" t="s">
        <v>48</v>
      </c>
      <c r="L92" s="14" t="s">
        <v>439</v>
      </c>
      <c r="M92" s="15" t="s">
        <v>260</v>
      </c>
      <c r="N92" s="15" t="s">
        <v>316</v>
      </c>
      <c r="O92" s="15" t="s">
        <v>440</v>
      </c>
      <c r="P92" s="15" t="s">
        <v>437</v>
      </c>
      <c r="Q92" s="15" t="s">
        <v>211</v>
      </c>
      <c r="R92" s="16" t="s">
        <v>54</v>
      </c>
      <c r="S92" s="12" t="s">
        <v>70</v>
      </c>
      <c r="T92" s="14" t="s">
        <v>55</v>
      </c>
    </row>
    <row r="93" spans="1:20" ht="16.5">
      <c r="A93" s="17" t="s">
        <v>42</v>
      </c>
      <c r="B93" s="17" t="s">
        <v>311</v>
      </c>
      <c r="C93" s="17" t="s">
        <v>204</v>
      </c>
      <c r="D93" s="18" t="s">
        <v>257</v>
      </c>
      <c r="E93" s="17" t="s">
        <v>312</v>
      </c>
      <c r="F93" s="21" t="s">
        <v>313</v>
      </c>
      <c r="G93" s="19" t="s">
        <v>441</v>
      </c>
      <c r="H93" s="24" t="s">
        <v>442</v>
      </c>
      <c r="I93" s="17" t="s">
        <v>65</v>
      </c>
      <c r="J93" s="21">
        <v>1</v>
      </c>
      <c r="K93" s="21" t="s">
        <v>48</v>
      </c>
      <c r="L93" s="21" t="s">
        <v>443</v>
      </c>
      <c r="M93" s="19" t="s">
        <v>260</v>
      </c>
      <c r="N93" s="19" t="s">
        <v>316</v>
      </c>
      <c r="O93" s="19" t="s">
        <v>444</v>
      </c>
      <c r="P93" s="19" t="s">
        <v>441</v>
      </c>
      <c r="Q93" s="19" t="s">
        <v>211</v>
      </c>
      <c r="R93" s="16" t="s">
        <v>54</v>
      </c>
      <c r="S93" s="18" t="s">
        <v>70</v>
      </c>
      <c r="T93" s="21" t="s">
        <v>55</v>
      </c>
    </row>
    <row r="94" spans="1:20" ht="16.5">
      <c r="A94" s="11" t="s">
        <v>42</v>
      </c>
      <c r="B94" s="11" t="s">
        <v>311</v>
      </c>
      <c r="C94" s="11" t="s">
        <v>204</v>
      </c>
      <c r="D94" s="12" t="s">
        <v>257</v>
      </c>
      <c r="E94" s="11" t="s">
        <v>312</v>
      </c>
      <c r="F94" s="14" t="s">
        <v>313</v>
      </c>
      <c r="G94" s="15" t="s">
        <v>445</v>
      </c>
      <c r="H94" s="23" t="s">
        <v>446</v>
      </c>
      <c r="I94" s="11" t="s">
        <v>65</v>
      </c>
      <c r="J94" s="14">
        <v>1</v>
      </c>
      <c r="K94" s="14" t="s">
        <v>48</v>
      </c>
      <c r="L94" s="14" t="s">
        <v>447</v>
      </c>
      <c r="M94" s="15" t="s">
        <v>260</v>
      </c>
      <c r="N94" s="15" t="s">
        <v>316</v>
      </c>
      <c r="O94" s="15" t="s">
        <v>448</v>
      </c>
      <c r="P94" s="15" t="s">
        <v>445</v>
      </c>
      <c r="Q94" s="15" t="s">
        <v>211</v>
      </c>
      <c r="R94" s="16" t="s">
        <v>54</v>
      </c>
      <c r="S94" s="12" t="s">
        <v>70</v>
      </c>
      <c r="T94" s="14" t="s">
        <v>55</v>
      </c>
    </row>
    <row r="95" spans="1:20" ht="16.5">
      <c r="A95" s="17" t="s">
        <v>42</v>
      </c>
      <c r="B95" s="17" t="s">
        <v>311</v>
      </c>
      <c r="C95" s="17" t="s">
        <v>204</v>
      </c>
      <c r="D95" s="18" t="s">
        <v>257</v>
      </c>
      <c r="E95" s="17" t="s">
        <v>312</v>
      </c>
      <c r="F95" s="21" t="s">
        <v>313</v>
      </c>
      <c r="G95" s="19" t="s">
        <v>449</v>
      </c>
      <c r="H95" s="24" t="s">
        <v>450</v>
      </c>
      <c r="I95" s="17" t="s">
        <v>65</v>
      </c>
      <c r="J95" s="21">
        <v>1</v>
      </c>
      <c r="K95" s="21" t="s">
        <v>48</v>
      </c>
      <c r="L95" s="21" t="s">
        <v>451</v>
      </c>
      <c r="M95" s="19" t="s">
        <v>260</v>
      </c>
      <c r="N95" s="19" t="s">
        <v>316</v>
      </c>
      <c r="O95" s="19" t="s">
        <v>452</v>
      </c>
      <c r="P95" s="19" t="s">
        <v>449</v>
      </c>
      <c r="Q95" s="19" t="s">
        <v>211</v>
      </c>
      <c r="R95" s="16" t="s">
        <v>54</v>
      </c>
      <c r="S95" s="18" t="s">
        <v>70</v>
      </c>
      <c r="T95" s="21" t="s">
        <v>55</v>
      </c>
    </row>
    <row r="96" spans="1:20" ht="16.5">
      <c r="A96" s="11" t="s">
        <v>42</v>
      </c>
      <c r="B96" s="11" t="s">
        <v>311</v>
      </c>
      <c r="C96" s="11" t="s">
        <v>204</v>
      </c>
      <c r="D96" s="12" t="s">
        <v>262</v>
      </c>
      <c r="E96" s="11" t="s">
        <v>312</v>
      </c>
      <c r="F96" s="14" t="s">
        <v>313</v>
      </c>
      <c r="G96" s="15" t="s">
        <v>453</v>
      </c>
      <c r="H96" s="23" t="s">
        <v>454</v>
      </c>
      <c r="I96" s="11" t="s">
        <v>65</v>
      </c>
      <c r="J96" s="14">
        <v>1</v>
      </c>
      <c r="K96" s="14" t="s">
        <v>48</v>
      </c>
      <c r="L96" s="14" t="s">
        <v>455</v>
      </c>
      <c r="M96" s="15" t="s">
        <v>265</v>
      </c>
      <c r="N96" s="15" t="s">
        <v>316</v>
      </c>
      <c r="O96" s="15" t="s">
        <v>456</v>
      </c>
      <c r="P96" s="15" t="s">
        <v>453</v>
      </c>
      <c r="Q96" s="15" t="s">
        <v>211</v>
      </c>
      <c r="R96" s="16" t="s">
        <v>54</v>
      </c>
      <c r="S96" s="12" t="s">
        <v>70</v>
      </c>
      <c r="T96" s="14" t="s">
        <v>55</v>
      </c>
    </row>
    <row r="97" spans="1:20" ht="16.5">
      <c r="A97" s="17" t="s">
        <v>42</v>
      </c>
      <c r="B97" s="17" t="s">
        <v>311</v>
      </c>
      <c r="C97" s="17" t="s">
        <v>204</v>
      </c>
      <c r="D97" s="18" t="s">
        <v>262</v>
      </c>
      <c r="E97" s="17" t="s">
        <v>312</v>
      </c>
      <c r="F97" s="21" t="s">
        <v>313</v>
      </c>
      <c r="G97" s="19" t="s">
        <v>457</v>
      </c>
      <c r="H97" s="24" t="s">
        <v>458</v>
      </c>
      <c r="I97" s="17" t="s">
        <v>65</v>
      </c>
      <c r="J97" s="21">
        <v>1</v>
      </c>
      <c r="K97" s="21" t="s">
        <v>48</v>
      </c>
      <c r="L97" s="21" t="s">
        <v>459</v>
      </c>
      <c r="M97" s="19" t="s">
        <v>265</v>
      </c>
      <c r="N97" s="19" t="s">
        <v>316</v>
      </c>
      <c r="O97" s="19" t="s">
        <v>460</v>
      </c>
      <c r="P97" s="19" t="s">
        <v>457</v>
      </c>
      <c r="Q97" s="19" t="s">
        <v>211</v>
      </c>
      <c r="R97" s="16" t="s">
        <v>54</v>
      </c>
      <c r="S97" s="18" t="s">
        <v>70</v>
      </c>
      <c r="T97" s="21" t="s">
        <v>55</v>
      </c>
    </row>
    <row r="98" spans="1:20" ht="16.5">
      <c r="A98" s="11" t="s">
        <v>42</v>
      </c>
      <c r="B98" s="11" t="s">
        <v>311</v>
      </c>
      <c r="C98" s="11" t="s">
        <v>204</v>
      </c>
      <c r="D98" s="12" t="s">
        <v>262</v>
      </c>
      <c r="E98" s="11" t="s">
        <v>312</v>
      </c>
      <c r="F98" s="14" t="s">
        <v>313</v>
      </c>
      <c r="G98" s="15" t="s">
        <v>461</v>
      </c>
      <c r="H98" s="23" t="s">
        <v>462</v>
      </c>
      <c r="I98" s="11" t="s">
        <v>65</v>
      </c>
      <c r="J98" s="14">
        <v>1</v>
      </c>
      <c r="K98" s="14" t="s">
        <v>48</v>
      </c>
      <c r="L98" s="14" t="s">
        <v>463</v>
      </c>
      <c r="M98" s="15" t="s">
        <v>265</v>
      </c>
      <c r="N98" s="15" t="s">
        <v>316</v>
      </c>
      <c r="O98" s="15" t="s">
        <v>464</v>
      </c>
      <c r="P98" s="15" t="s">
        <v>461</v>
      </c>
      <c r="Q98" s="15" t="s">
        <v>211</v>
      </c>
      <c r="R98" s="16" t="s">
        <v>54</v>
      </c>
      <c r="S98" s="12" t="s">
        <v>70</v>
      </c>
      <c r="T98" s="14" t="s">
        <v>55</v>
      </c>
    </row>
    <row r="99" spans="1:20" ht="16.5">
      <c r="A99" s="17" t="s">
        <v>42</v>
      </c>
      <c r="B99" s="17" t="s">
        <v>311</v>
      </c>
      <c r="C99" s="17" t="s">
        <v>204</v>
      </c>
      <c r="D99" s="18" t="s">
        <v>262</v>
      </c>
      <c r="E99" s="17" t="s">
        <v>312</v>
      </c>
      <c r="F99" s="21" t="s">
        <v>313</v>
      </c>
      <c r="G99" s="19" t="s">
        <v>465</v>
      </c>
      <c r="H99" s="24" t="s">
        <v>466</v>
      </c>
      <c r="I99" s="17" t="s">
        <v>65</v>
      </c>
      <c r="J99" s="21">
        <v>1</v>
      </c>
      <c r="K99" s="21" t="s">
        <v>48</v>
      </c>
      <c r="L99" s="21" t="s">
        <v>467</v>
      </c>
      <c r="M99" s="19" t="s">
        <v>265</v>
      </c>
      <c r="N99" s="19" t="s">
        <v>316</v>
      </c>
      <c r="O99" s="19" t="s">
        <v>468</v>
      </c>
      <c r="P99" s="19" t="s">
        <v>465</v>
      </c>
      <c r="Q99" s="19" t="s">
        <v>211</v>
      </c>
      <c r="R99" s="16" t="s">
        <v>54</v>
      </c>
      <c r="S99" s="18" t="s">
        <v>70</v>
      </c>
      <c r="T99" s="21" t="s">
        <v>55</v>
      </c>
    </row>
    <row r="100" spans="1:20" ht="16.5">
      <c r="A100" s="11" t="s">
        <v>42</v>
      </c>
      <c r="B100" s="11" t="s">
        <v>311</v>
      </c>
      <c r="C100" s="11" t="s">
        <v>204</v>
      </c>
      <c r="D100" s="12" t="s">
        <v>262</v>
      </c>
      <c r="E100" s="11" t="s">
        <v>312</v>
      </c>
      <c r="F100" s="14" t="s">
        <v>313</v>
      </c>
      <c r="G100" s="15" t="s">
        <v>469</v>
      </c>
      <c r="H100" s="23" t="s">
        <v>470</v>
      </c>
      <c r="I100" s="11" t="s">
        <v>65</v>
      </c>
      <c r="J100" s="14">
        <v>1</v>
      </c>
      <c r="K100" s="14" t="s">
        <v>48</v>
      </c>
      <c r="L100" s="14" t="s">
        <v>471</v>
      </c>
      <c r="M100" s="15" t="s">
        <v>265</v>
      </c>
      <c r="N100" s="15" t="s">
        <v>316</v>
      </c>
      <c r="O100" s="15" t="s">
        <v>472</v>
      </c>
      <c r="P100" s="15" t="s">
        <v>469</v>
      </c>
      <c r="Q100" s="15" t="s">
        <v>211</v>
      </c>
      <c r="R100" s="16" t="s">
        <v>54</v>
      </c>
      <c r="S100" s="12" t="s">
        <v>70</v>
      </c>
      <c r="T100" s="14" t="s">
        <v>55</v>
      </c>
    </row>
    <row r="101" spans="1:20" ht="16.5">
      <c r="A101" s="17" t="s">
        <v>42</v>
      </c>
      <c r="B101" s="17" t="s">
        <v>311</v>
      </c>
      <c r="C101" s="17" t="s">
        <v>204</v>
      </c>
      <c r="D101" s="18" t="s">
        <v>267</v>
      </c>
      <c r="E101" s="17" t="s">
        <v>312</v>
      </c>
      <c r="F101" s="21" t="s">
        <v>313</v>
      </c>
      <c r="G101" s="19" t="s">
        <v>271</v>
      </c>
      <c r="H101" s="24" t="s">
        <v>473</v>
      </c>
      <c r="I101" s="17" t="s">
        <v>65</v>
      </c>
      <c r="J101" s="21">
        <v>1</v>
      </c>
      <c r="K101" s="21" t="s">
        <v>48</v>
      </c>
      <c r="L101" s="21" t="s">
        <v>474</v>
      </c>
      <c r="M101" s="19" t="s">
        <v>270</v>
      </c>
      <c r="N101" s="19" t="s">
        <v>316</v>
      </c>
      <c r="O101" s="19" t="s">
        <v>475</v>
      </c>
      <c r="P101" s="19" t="s">
        <v>271</v>
      </c>
      <c r="Q101" s="19" t="s">
        <v>211</v>
      </c>
      <c r="R101" s="16" t="s">
        <v>54</v>
      </c>
      <c r="S101" s="18" t="s">
        <v>70</v>
      </c>
      <c r="T101" s="21" t="s">
        <v>55</v>
      </c>
    </row>
    <row r="102" spans="1:20" ht="16.5">
      <c r="A102" s="11" t="s">
        <v>42</v>
      </c>
      <c r="B102" s="11" t="s">
        <v>311</v>
      </c>
      <c r="C102" s="11" t="s">
        <v>204</v>
      </c>
      <c r="D102" s="12" t="s">
        <v>272</v>
      </c>
      <c r="E102" s="11" t="s">
        <v>312</v>
      </c>
      <c r="F102" s="14" t="s">
        <v>313</v>
      </c>
      <c r="G102" s="15" t="s">
        <v>276</v>
      </c>
      <c r="H102" s="23" t="s">
        <v>476</v>
      </c>
      <c r="I102" s="11" t="s">
        <v>65</v>
      </c>
      <c r="J102" s="14">
        <v>1</v>
      </c>
      <c r="K102" s="14" t="s">
        <v>48</v>
      </c>
      <c r="L102" s="14" t="s">
        <v>477</v>
      </c>
      <c r="M102" s="15" t="s">
        <v>275</v>
      </c>
      <c r="N102" s="15" t="s">
        <v>316</v>
      </c>
      <c r="O102" s="15" t="s">
        <v>478</v>
      </c>
      <c r="P102" s="15" t="s">
        <v>276</v>
      </c>
      <c r="Q102" s="15" t="s">
        <v>211</v>
      </c>
      <c r="R102" s="16" t="s">
        <v>54</v>
      </c>
      <c r="S102" s="12" t="s">
        <v>70</v>
      </c>
      <c r="T102" s="14" t="s">
        <v>55</v>
      </c>
    </row>
    <row r="103" spans="1:20" ht="16.5">
      <c r="A103" s="17" t="s">
        <v>42</v>
      </c>
      <c r="B103" s="17" t="s">
        <v>311</v>
      </c>
      <c r="C103" s="17" t="s">
        <v>204</v>
      </c>
      <c r="D103" s="18" t="s">
        <v>277</v>
      </c>
      <c r="E103" s="17" t="s">
        <v>312</v>
      </c>
      <c r="F103" s="21" t="s">
        <v>313</v>
      </c>
      <c r="G103" s="19" t="s">
        <v>479</v>
      </c>
      <c r="H103" s="24" t="s">
        <v>480</v>
      </c>
      <c r="I103" s="17" t="s">
        <v>65</v>
      </c>
      <c r="J103" s="21">
        <v>1</v>
      </c>
      <c r="K103" s="21" t="s">
        <v>48</v>
      </c>
      <c r="L103" s="21" t="s">
        <v>481</v>
      </c>
      <c r="M103" s="19" t="s">
        <v>280</v>
      </c>
      <c r="N103" s="19" t="s">
        <v>316</v>
      </c>
      <c r="O103" s="19" t="s">
        <v>482</v>
      </c>
      <c r="P103" s="19" t="s">
        <v>479</v>
      </c>
      <c r="Q103" s="19" t="s">
        <v>211</v>
      </c>
      <c r="R103" s="16" t="s">
        <v>54</v>
      </c>
      <c r="S103" s="18" t="s">
        <v>70</v>
      </c>
      <c r="T103" s="21" t="s">
        <v>55</v>
      </c>
    </row>
    <row r="104" spans="1:20" ht="16.5">
      <c r="A104" s="11" t="s">
        <v>42</v>
      </c>
      <c r="B104" s="11" t="s">
        <v>311</v>
      </c>
      <c r="C104" s="11" t="s">
        <v>204</v>
      </c>
      <c r="D104" s="12" t="s">
        <v>277</v>
      </c>
      <c r="E104" s="11" t="s">
        <v>312</v>
      </c>
      <c r="F104" s="14" t="s">
        <v>313</v>
      </c>
      <c r="G104" s="15" t="s">
        <v>483</v>
      </c>
      <c r="H104" s="23" t="s">
        <v>484</v>
      </c>
      <c r="I104" s="11" t="s">
        <v>65</v>
      </c>
      <c r="J104" s="14">
        <v>1</v>
      </c>
      <c r="K104" s="14" t="s">
        <v>48</v>
      </c>
      <c r="L104" s="14" t="s">
        <v>485</v>
      </c>
      <c r="M104" s="15" t="s">
        <v>280</v>
      </c>
      <c r="N104" s="15" t="s">
        <v>316</v>
      </c>
      <c r="O104" s="15" t="s">
        <v>486</v>
      </c>
      <c r="P104" s="15" t="s">
        <v>483</v>
      </c>
      <c r="Q104" s="15" t="s">
        <v>211</v>
      </c>
      <c r="R104" s="16" t="s">
        <v>54</v>
      </c>
      <c r="S104" s="12" t="s">
        <v>70</v>
      </c>
      <c r="T104" s="14" t="s">
        <v>55</v>
      </c>
    </row>
    <row r="105" spans="1:20" ht="16.5">
      <c r="A105" s="17" t="s">
        <v>42</v>
      </c>
      <c r="B105" s="17" t="s">
        <v>487</v>
      </c>
      <c r="C105" s="17" t="s">
        <v>488</v>
      </c>
      <c r="D105" s="18" t="s">
        <v>489</v>
      </c>
      <c r="E105" s="17" t="s">
        <v>490</v>
      </c>
      <c r="F105" s="17" t="s">
        <v>491</v>
      </c>
      <c r="G105" s="18" t="s">
        <v>492</v>
      </c>
      <c r="H105" s="20" t="s">
        <v>493</v>
      </c>
      <c r="I105" s="17" t="s">
        <v>494</v>
      </c>
      <c r="J105" s="21">
        <v>1</v>
      </c>
      <c r="K105" s="21" t="s">
        <v>48</v>
      </c>
      <c r="L105" s="21" t="s">
        <v>495</v>
      </c>
      <c r="M105" s="19" t="s">
        <v>496</v>
      </c>
      <c r="N105" s="19" t="s">
        <v>497</v>
      </c>
      <c r="O105" s="19" t="s">
        <v>498</v>
      </c>
      <c r="P105" s="19" t="s">
        <v>499</v>
      </c>
      <c r="Q105" s="19" t="s">
        <v>500</v>
      </c>
      <c r="R105" s="16" t="s">
        <v>54</v>
      </c>
      <c r="S105" s="18" t="s">
        <v>70</v>
      </c>
      <c r="T105" s="21" t="s">
        <v>55</v>
      </c>
    </row>
    <row r="106" spans="1:20" ht="16.5">
      <c r="A106" s="11" t="s">
        <v>42</v>
      </c>
      <c r="B106" s="11" t="s">
        <v>487</v>
      </c>
      <c r="C106" s="11" t="s">
        <v>204</v>
      </c>
      <c r="D106" s="12" t="s">
        <v>222</v>
      </c>
      <c r="E106" s="11" t="s">
        <v>501</v>
      </c>
      <c r="F106" s="11" t="s">
        <v>488</v>
      </c>
      <c r="G106" s="12" t="s">
        <v>489</v>
      </c>
      <c r="H106" s="13" t="s">
        <v>502</v>
      </c>
      <c r="I106" s="11" t="s">
        <v>494</v>
      </c>
      <c r="J106" s="14">
        <v>1</v>
      </c>
      <c r="K106" s="14" t="s">
        <v>48</v>
      </c>
      <c r="L106" s="14" t="s">
        <v>503</v>
      </c>
      <c r="M106" s="15" t="s">
        <v>225</v>
      </c>
      <c r="N106" s="15" t="s">
        <v>504</v>
      </c>
      <c r="O106" s="15" t="s">
        <v>496</v>
      </c>
      <c r="P106" s="15"/>
      <c r="Q106" s="15" t="s">
        <v>211</v>
      </c>
      <c r="R106" s="16" t="s">
        <v>54</v>
      </c>
      <c r="S106" s="12" t="s">
        <v>70</v>
      </c>
      <c r="T106" s="14" t="s">
        <v>55</v>
      </c>
    </row>
    <row r="107" spans="1:20" ht="29.25">
      <c r="A107" s="17" t="s">
        <v>42</v>
      </c>
      <c r="B107" s="17" t="s">
        <v>487</v>
      </c>
      <c r="C107" s="17" t="s">
        <v>491</v>
      </c>
      <c r="D107" s="18" t="s">
        <v>492</v>
      </c>
      <c r="E107" s="17" t="s">
        <v>505</v>
      </c>
      <c r="F107" s="17" t="s">
        <v>204</v>
      </c>
      <c r="G107" s="18" t="s">
        <v>222</v>
      </c>
      <c r="H107" s="20" t="s">
        <v>506</v>
      </c>
      <c r="I107" s="17" t="s">
        <v>507</v>
      </c>
      <c r="J107" s="21">
        <v>1</v>
      </c>
      <c r="K107" s="21" t="s">
        <v>48</v>
      </c>
      <c r="L107" s="21" t="s">
        <v>508</v>
      </c>
      <c r="M107" s="19" t="s">
        <v>498</v>
      </c>
      <c r="N107" s="19" t="s">
        <v>509</v>
      </c>
      <c r="O107" s="19" t="s">
        <v>225</v>
      </c>
      <c r="P107" s="19" t="s">
        <v>499</v>
      </c>
      <c r="Q107" s="18" t="s">
        <v>286</v>
      </c>
      <c r="R107" s="22" t="s">
        <v>88</v>
      </c>
      <c r="S107" s="18" t="s">
        <v>70</v>
      </c>
      <c r="T107" s="21" t="s">
        <v>55</v>
      </c>
    </row>
    <row r="108" spans="1:20" ht="16.5">
      <c r="A108" s="11" t="s">
        <v>42</v>
      </c>
      <c r="B108" s="11" t="s">
        <v>487</v>
      </c>
      <c r="C108" s="11" t="s">
        <v>488</v>
      </c>
      <c r="D108" s="12" t="s">
        <v>510</v>
      </c>
      <c r="E108" s="11" t="s">
        <v>490</v>
      </c>
      <c r="F108" s="11" t="s">
        <v>491</v>
      </c>
      <c r="G108" s="12" t="s">
        <v>511</v>
      </c>
      <c r="H108" s="13" t="s">
        <v>512</v>
      </c>
      <c r="I108" s="11" t="s">
        <v>513</v>
      </c>
      <c r="J108" s="14">
        <v>1</v>
      </c>
      <c r="K108" s="14" t="s">
        <v>48</v>
      </c>
      <c r="L108" s="14" t="s">
        <v>514</v>
      </c>
      <c r="M108" s="15" t="s">
        <v>515</v>
      </c>
      <c r="N108" s="15" t="s">
        <v>497</v>
      </c>
      <c r="O108" s="15" t="s">
        <v>516</v>
      </c>
      <c r="P108" s="15" t="s">
        <v>517</v>
      </c>
      <c r="Q108" s="15" t="s">
        <v>500</v>
      </c>
      <c r="R108" s="16" t="s">
        <v>54</v>
      </c>
      <c r="S108" s="12" t="s">
        <v>70</v>
      </c>
      <c r="T108" s="14" t="s">
        <v>55</v>
      </c>
    </row>
    <row r="109" spans="1:20" ht="16.5">
      <c r="A109" s="17" t="s">
        <v>42</v>
      </c>
      <c r="B109" s="17" t="s">
        <v>487</v>
      </c>
      <c r="C109" s="17" t="s">
        <v>204</v>
      </c>
      <c r="D109" s="18" t="s">
        <v>232</v>
      </c>
      <c r="E109" s="17" t="s">
        <v>501</v>
      </c>
      <c r="F109" s="17" t="s">
        <v>488</v>
      </c>
      <c r="G109" s="18" t="s">
        <v>510</v>
      </c>
      <c r="H109" s="20" t="s">
        <v>518</v>
      </c>
      <c r="I109" s="17" t="s">
        <v>513</v>
      </c>
      <c r="J109" s="21">
        <v>1</v>
      </c>
      <c r="K109" s="21" t="s">
        <v>48</v>
      </c>
      <c r="L109" s="21" t="s">
        <v>519</v>
      </c>
      <c r="M109" s="19" t="s">
        <v>235</v>
      </c>
      <c r="N109" s="19" t="s">
        <v>504</v>
      </c>
      <c r="O109" s="19" t="s">
        <v>515</v>
      </c>
      <c r="P109" s="19"/>
      <c r="Q109" s="19" t="s">
        <v>211</v>
      </c>
      <c r="R109" s="16" t="s">
        <v>54</v>
      </c>
      <c r="S109" s="18" t="s">
        <v>70</v>
      </c>
      <c r="T109" s="21" t="s">
        <v>55</v>
      </c>
    </row>
    <row r="110" spans="1:20" ht="16.5">
      <c r="A110" s="11" t="s">
        <v>42</v>
      </c>
      <c r="B110" s="11" t="s">
        <v>487</v>
      </c>
      <c r="C110" s="11" t="s">
        <v>491</v>
      </c>
      <c r="D110" s="12" t="s">
        <v>511</v>
      </c>
      <c r="E110" s="11" t="s">
        <v>505</v>
      </c>
      <c r="F110" s="11" t="s">
        <v>204</v>
      </c>
      <c r="G110" s="12" t="s">
        <v>232</v>
      </c>
      <c r="H110" s="13" t="s">
        <v>520</v>
      </c>
      <c r="I110" s="11" t="s">
        <v>507</v>
      </c>
      <c r="J110" s="14">
        <v>1</v>
      </c>
      <c r="K110" s="14" t="s">
        <v>48</v>
      </c>
      <c r="L110" s="14" t="s">
        <v>521</v>
      </c>
      <c r="M110" s="15" t="s">
        <v>516</v>
      </c>
      <c r="N110" s="15" t="s">
        <v>509</v>
      </c>
      <c r="O110" s="15" t="s">
        <v>235</v>
      </c>
      <c r="P110" s="15" t="s">
        <v>517</v>
      </c>
      <c r="Q110" s="12" t="s">
        <v>286</v>
      </c>
      <c r="R110" s="22" t="s">
        <v>88</v>
      </c>
      <c r="S110" s="12" t="s">
        <v>70</v>
      </c>
      <c r="T110" s="14" t="s">
        <v>55</v>
      </c>
    </row>
    <row r="111" spans="1:20" ht="16.5">
      <c r="A111" s="17" t="s">
        <v>42</v>
      </c>
      <c r="B111" s="17" t="s">
        <v>487</v>
      </c>
      <c r="C111" s="17" t="s">
        <v>488</v>
      </c>
      <c r="D111" s="18" t="s">
        <v>522</v>
      </c>
      <c r="E111" s="17" t="s">
        <v>490</v>
      </c>
      <c r="F111" s="17" t="s">
        <v>491</v>
      </c>
      <c r="G111" s="18" t="s">
        <v>523</v>
      </c>
      <c r="H111" s="20" t="s">
        <v>524</v>
      </c>
      <c r="I111" s="17" t="s">
        <v>494</v>
      </c>
      <c r="J111" s="21">
        <v>1</v>
      </c>
      <c r="K111" s="21" t="s">
        <v>48</v>
      </c>
      <c r="L111" s="21" t="s">
        <v>525</v>
      </c>
      <c r="M111" s="19" t="s">
        <v>526</v>
      </c>
      <c r="N111" s="19" t="s">
        <v>497</v>
      </c>
      <c r="O111" s="19" t="s">
        <v>527</v>
      </c>
      <c r="P111" s="19" t="s">
        <v>528</v>
      </c>
      <c r="Q111" s="19" t="s">
        <v>500</v>
      </c>
      <c r="R111" s="16" t="s">
        <v>54</v>
      </c>
      <c r="S111" s="18" t="s">
        <v>70</v>
      </c>
      <c r="T111" s="21" t="s">
        <v>55</v>
      </c>
    </row>
    <row r="112" spans="1:20" ht="16.5">
      <c r="A112" s="11" t="s">
        <v>42</v>
      </c>
      <c r="B112" s="11" t="s">
        <v>487</v>
      </c>
      <c r="C112" s="11" t="s">
        <v>204</v>
      </c>
      <c r="D112" s="12" t="s">
        <v>237</v>
      </c>
      <c r="E112" s="11" t="s">
        <v>501</v>
      </c>
      <c r="F112" s="11" t="s">
        <v>488</v>
      </c>
      <c r="G112" s="12" t="s">
        <v>522</v>
      </c>
      <c r="H112" s="13" t="s">
        <v>529</v>
      </c>
      <c r="I112" s="11" t="s">
        <v>494</v>
      </c>
      <c r="J112" s="14">
        <v>1</v>
      </c>
      <c r="K112" s="14" t="s">
        <v>48</v>
      </c>
      <c r="L112" s="14" t="s">
        <v>530</v>
      </c>
      <c r="M112" s="15" t="s">
        <v>240</v>
      </c>
      <c r="N112" s="15" t="s">
        <v>504</v>
      </c>
      <c r="O112" s="15" t="s">
        <v>526</v>
      </c>
      <c r="P112" s="15"/>
      <c r="Q112" s="15" t="s">
        <v>211</v>
      </c>
      <c r="R112" s="16" t="s">
        <v>54</v>
      </c>
      <c r="S112" s="12" t="s">
        <v>70</v>
      </c>
      <c r="T112" s="14" t="s">
        <v>55</v>
      </c>
    </row>
    <row r="113" spans="1:20" ht="16.5">
      <c r="A113" s="17" t="s">
        <v>42</v>
      </c>
      <c r="B113" s="17" t="s">
        <v>487</v>
      </c>
      <c r="C113" s="17" t="s">
        <v>491</v>
      </c>
      <c r="D113" s="18" t="s">
        <v>523</v>
      </c>
      <c r="E113" s="17" t="s">
        <v>505</v>
      </c>
      <c r="F113" s="17" t="s">
        <v>204</v>
      </c>
      <c r="G113" s="18" t="s">
        <v>237</v>
      </c>
      <c r="H113" s="20" t="s">
        <v>531</v>
      </c>
      <c r="I113" s="17" t="s">
        <v>507</v>
      </c>
      <c r="J113" s="21">
        <v>1</v>
      </c>
      <c r="K113" s="21" t="s">
        <v>48</v>
      </c>
      <c r="L113" s="21" t="s">
        <v>532</v>
      </c>
      <c r="M113" s="19" t="s">
        <v>527</v>
      </c>
      <c r="N113" s="19" t="s">
        <v>509</v>
      </c>
      <c r="O113" s="19" t="s">
        <v>240</v>
      </c>
      <c r="P113" s="19" t="s">
        <v>528</v>
      </c>
      <c r="Q113" s="18" t="s">
        <v>286</v>
      </c>
      <c r="R113" s="22" t="s">
        <v>88</v>
      </c>
      <c r="S113" s="18" t="s">
        <v>70</v>
      </c>
      <c r="T113" s="21" t="s">
        <v>55</v>
      </c>
    </row>
    <row r="114" spans="1:20" ht="16.5">
      <c r="A114" s="11" t="s">
        <v>42</v>
      </c>
      <c r="B114" s="11" t="s">
        <v>487</v>
      </c>
      <c r="C114" s="11" t="s">
        <v>488</v>
      </c>
      <c r="D114" s="15" t="s">
        <v>533</v>
      </c>
      <c r="E114" s="11" t="s">
        <v>490</v>
      </c>
      <c r="F114" s="11" t="s">
        <v>491</v>
      </c>
      <c r="G114" s="12" t="s">
        <v>534</v>
      </c>
      <c r="H114" s="13" t="s">
        <v>535</v>
      </c>
      <c r="I114" s="11" t="s">
        <v>513</v>
      </c>
      <c r="J114" s="14">
        <v>1</v>
      </c>
      <c r="K114" s="14" t="s">
        <v>48</v>
      </c>
      <c r="L114" s="14" t="s">
        <v>536</v>
      </c>
      <c r="M114" s="15" t="s">
        <v>537</v>
      </c>
      <c r="N114" s="15" t="s">
        <v>497</v>
      </c>
      <c r="O114" s="15" t="s">
        <v>538</v>
      </c>
      <c r="P114" s="15" t="s">
        <v>539</v>
      </c>
      <c r="Q114" s="15" t="s">
        <v>500</v>
      </c>
      <c r="R114" s="16" t="s">
        <v>54</v>
      </c>
      <c r="S114" s="12" t="s">
        <v>70</v>
      </c>
      <c r="T114" s="14" t="s">
        <v>55</v>
      </c>
    </row>
    <row r="115" spans="1:20" ht="16.5">
      <c r="A115" s="17" t="s">
        <v>42</v>
      </c>
      <c r="B115" s="17" t="s">
        <v>487</v>
      </c>
      <c r="C115" s="17" t="s">
        <v>204</v>
      </c>
      <c r="D115" s="19" t="s">
        <v>227</v>
      </c>
      <c r="E115" s="17" t="s">
        <v>501</v>
      </c>
      <c r="F115" s="17" t="s">
        <v>488</v>
      </c>
      <c r="G115" s="19" t="s">
        <v>533</v>
      </c>
      <c r="H115" s="24" t="s">
        <v>540</v>
      </c>
      <c r="I115" s="17" t="s">
        <v>513</v>
      </c>
      <c r="J115" s="21">
        <v>1</v>
      </c>
      <c r="K115" s="21" t="s">
        <v>48</v>
      </c>
      <c r="L115" s="21" t="s">
        <v>541</v>
      </c>
      <c r="M115" s="19" t="s">
        <v>230</v>
      </c>
      <c r="N115" s="19" t="s">
        <v>504</v>
      </c>
      <c r="O115" s="19" t="s">
        <v>537</v>
      </c>
      <c r="P115" s="19"/>
      <c r="Q115" s="19" t="s">
        <v>211</v>
      </c>
      <c r="R115" s="16" t="s">
        <v>54</v>
      </c>
      <c r="S115" s="18" t="s">
        <v>70</v>
      </c>
      <c r="T115" s="21" t="s">
        <v>55</v>
      </c>
    </row>
    <row r="116" spans="1:20" ht="33">
      <c r="A116" s="11" t="s">
        <v>42</v>
      </c>
      <c r="B116" s="11" t="s">
        <v>487</v>
      </c>
      <c r="C116" s="11" t="s">
        <v>491</v>
      </c>
      <c r="D116" s="12" t="s">
        <v>534</v>
      </c>
      <c r="E116" s="11" t="s">
        <v>505</v>
      </c>
      <c r="F116" s="11" t="s">
        <v>204</v>
      </c>
      <c r="G116" s="15" t="s">
        <v>227</v>
      </c>
      <c r="H116" s="13" t="s">
        <v>542</v>
      </c>
      <c r="I116" s="11" t="s">
        <v>507</v>
      </c>
      <c r="J116" s="14">
        <v>1</v>
      </c>
      <c r="K116" s="14" t="s">
        <v>48</v>
      </c>
      <c r="L116" s="14" t="s">
        <v>543</v>
      </c>
      <c r="M116" s="15" t="s">
        <v>538</v>
      </c>
      <c r="N116" s="15" t="s">
        <v>509</v>
      </c>
      <c r="O116" s="15" t="s">
        <v>230</v>
      </c>
      <c r="P116" s="15" t="s">
        <v>539</v>
      </c>
      <c r="Q116" s="12" t="s">
        <v>286</v>
      </c>
      <c r="R116" s="22" t="s">
        <v>88</v>
      </c>
      <c r="S116" s="12" t="s">
        <v>70</v>
      </c>
      <c r="T116" s="14" t="s">
        <v>55</v>
      </c>
    </row>
    <row r="117" spans="1:20" ht="16.5">
      <c r="A117" s="17" t="s">
        <v>42</v>
      </c>
      <c r="B117" s="17" t="s">
        <v>487</v>
      </c>
      <c r="C117" s="17" t="s">
        <v>488</v>
      </c>
      <c r="D117" s="18" t="s">
        <v>544</v>
      </c>
      <c r="E117" s="17" t="s">
        <v>490</v>
      </c>
      <c r="F117" s="17" t="s">
        <v>491</v>
      </c>
      <c r="G117" s="18" t="s">
        <v>545</v>
      </c>
      <c r="H117" s="20" t="s">
        <v>546</v>
      </c>
      <c r="I117" s="17" t="s">
        <v>494</v>
      </c>
      <c r="J117" s="21">
        <v>1</v>
      </c>
      <c r="K117" s="21" t="s">
        <v>48</v>
      </c>
      <c r="L117" s="21" t="s">
        <v>547</v>
      </c>
      <c r="M117" s="19" t="s">
        <v>548</v>
      </c>
      <c r="N117" s="19" t="s">
        <v>497</v>
      </c>
      <c r="O117" s="19" t="s">
        <v>549</v>
      </c>
      <c r="P117" s="19" t="s">
        <v>550</v>
      </c>
      <c r="Q117" s="19" t="s">
        <v>500</v>
      </c>
      <c r="R117" s="16" t="s">
        <v>54</v>
      </c>
      <c r="S117" s="18" t="s">
        <v>70</v>
      </c>
      <c r="T117" s="21" t="s">
        <v>55</v>
      </c>
    </row>
    <row r="118" spans="1:20" ht="16.5">
      <c r="A118" s="11" t="s">
        <v>42</v>
      </c>
      <c r="B118" s="11" t="s">
        <v>487</v>
      </c>
      <c r="C118" s="11" t="s">
        <v>204</v>
      </c>
      <c r="D118" s="12" t="s">
        <v>267</v>
      </c>
      <c r="E118" s="11" t="s">
        <v>501</v>
      </c>
      <c r="F118" s="11" t="s">
        <v>488</v>
      </c>
      <c r="G118" s="12" t="s">
        <v>544</v>
      </c>
      <c r="H118" s="13" t="s">
        <v>551</v>
      </c>
      <c r="I118" s="11" t="s">
        <v>494</v>
      </c>
      <c r="J118" s="14">
        <v>1</v>
      </c>
      <c r="K118" s="14" t="s">
        <v>48</v>
      </c>
      <c r="L118" s="14" t="s">
        <v>552</v>
      </c>
      <c r="M118" s="15" t="s">
        <v>270</v>
      </c>
      <c r="N118" s="15" t="s">
        <v>504</v>
      </c>
      <c r="O118" s="15" t="s">
        <v>548</v>
      </c>
      <c r="P118" s="15"/>
      <c r="Q118" s="15" t="s">
        <v>211</v>
      </c>
      <c r="R118" s="16" t="s">
        <v>54</v>
      </c>
      <c r="S118" s="12" t="s">
        <v>70</v>
      </c>
      <c r="T118" s="14" t="s">
        <v>55</v>
      </c>
    </row>
    <row r="119" spans="1:20" ht="33">
      <c r="A119" s="17" t="s">
        <v>42</v>
      </c>
      <c r="B119" s="17" t="s">
        <v>487</v>
      </c>
      <c r="C119" s="17" t="s">
        <v>491</v>
      </c>
      <c r="D119" s="18" t="s">
        <v>545</v>
      </c>
      <c r="E119" s="17" t="s">
        <v>505</v>
      </c>
      <c r="F119" s="17" t="s">
        <v>204</v>
      </c>
      <c r="G119" s="18" t="s">
        <v>267</v>
      </c>
      <c r="H119" s="20" t="s">
        <v>553</v>
      </c>
      <c r="I119" s="17" t="s">
        <v>507</v>
      </c>
      <c r="J119" s="21">
        <v>1</v>
      </c>
      <c r="K119" s="21" t="s">
        <v>48</v>
      </c>
      <c r="L119" s="21" t="s">
        <v>554</v>
      </c>
      <c r="M119" s="19" t="s">
        <v>549</v>
      </c>
      <c r="N119" s="19" t="s">
        <v>509</v>
      </c>
      <c r="O119" s="19" t="s">
        <v>270</v>
      </c>
      <c r="P119" s="19" t="s">
        <v>550</v>
      </c>
      <c r="Q119" s="18" t="s">
        <v>286</v>
      </c>
      <c r="R119" s="22" t="s">
        <v>88</v>
      </c>
      <c r="S119" s="18" t="s">
        <v>70</v>
      </c>
      <c r="T119" s="21" t="s">
        <v>55</v>
      </c>
    </row>
    <row r="120" spans="1:20" ht="16.5">
      <c r="A120" s="11" t="s">
        <v>42</v>
      </c>
      <c r="B120" s="11" t="s">
        <v>487</v>
      </c>
      <c r="C120" s="11" t="s">
        <v>491</v>
      </c>
      <c r="D120" s="12" t="s">
        <v>492</v>
      </c>
      <c r="E120" s="11" t="s">
        <v>555</v>
      </c>
      <c r="F120" s="11" t="s">
        <v>556</v>
      </c>
      <c r="G120" s="12" t="s">
        <v>557</v>
      </c>
      <c r="H120" s="13" t="s">
        <v>558</v>
      </c>
      <c r="I120" s="11" t="s">
        <v>559</v>
      </c>
      <c r="J120" s="14">
        <v>1</v>
      </c>
      <c r="K120" s="14" t="s">
        <v>48</v>
      </c>
      <c r="L120" s="14" t="s">
        <v>560</v>
      </c>
      <c r="M120" s="15" t="s">
        <v>498</v>
      </c>
      <c r="N120" s="15" t="s">
        <v>561</v>
      </c>
      <c r="O120" s="15" t="s">
        <v>562</v>
      </c>
      <c r="P120" s="15"/>
      <c r="Q120" s="12" t="s">
        <v>53</v>
      </c>
      <c r="R120" s="16" t="s">
        <v>54</v>
      </c>
      <c r="S120" s="12" t="s">
        <v>70</v>
      </c>
      <c r="T120" s="14" t="s">
        <v>55</v>
      </c>
    </row>
    <row r="121" spans="1:20" ht="16.5">
      <c r="A121" s="17" t="s">
        <v>42</v>
      </c>
      <c r="B121" s="17" t="s">
        <v>487</v>
      </c>
      <c r="C121" s="17" t="s">
        <v>491</v>
      </c>
      <c r="D121" s="18" t="s">
        <v>511</v>
      </c>
      <c r="E121" s="17" t="s">
        <v>555</v>
      </c>
      <c r="F121" s="17" t="s">
        <v>556</v>
      </c>
      <c r="G121" s="18" t="s">
        <v>557</v>
      </c>
      <c r="H121" s="20" t="s">
        <v>558</v>
      </c>
      <c r="I121" s="17" t="s">
        <v>559</v>
      </c>
      <c r="J121" s="21">
        <v>1</v>
      </c>
      <c r="K121" s="21" t="s">
        <v>48</v>
      </c>
      <c r="L121" s="21" t="s">
        <v>563</v>
      </c>
      <c r="M121" s="19" t="s">
        <v>516</v>
      </c>
      <c r="N121" s="19" t="s">
        <v>561</v>
      </c>
      <c r="O121" s="19" t="s">
        <v>562</v>
      </c>
      <c r="P121" s="19"/>
      <c r="Q121" s="18" t="s">
        <v>53</v>
      </c>
      <c r="R121" s="16" t="s">
        <v>54</v>
      </c>
      <c r="S121" s="18" t="s">
        <v>70</v>
      </c>
      <c r="T121" s="21" t="s">
        <v>55</v>
      </c>
    </row>
    <row r="122" spans="1:20" ht="16.5">
      <c r="A122" s="11" t="s">
        <v>42</v>
      </c>
      <c r="B122" s="11" t="s">
        <v>564</v>
      </c>
      <c r="C122" s="11" t="s">
        <v>204</v>
      </c>
      <c r="D122" s="12" t="s">
        <v>217</v>
      </c>
      <c r="E122" s="11" t="s">
        <v>565</v>
      </c>
      <c r="F122" s="11" t="s">
        <v>566</v>
      </c>
      <c r="G122" s="12" t="s">
        <v>567</v>
      </c>
      <c r="H122" s="13" t="s">
        <v>568</v>
      </c>
      <c r="I122" s="11" t="s">
        <v>569</v>
      </c>
      <c r="J122" s="14">
        <v>1</v>
      </c>
      <c r="K122" s="14" t="s">
        <v>48</v>
      </c>
      <c r="L122" s="14" t="s">
        <v>570</v>
      </c>
      <c r="M122" s="15" t="s">
        <v>220</v>
      </c>
      <c r="N122" s="15" t="s">
        <v>571</v>
      </c>
      <c r="O122" s="15" t="s">
        <v>572</v>
      </c>
      <c r="P122" s="15" t="s">
        <v>573</v>
      </c>
      <c r="Q122" s="12" t="s">
        <v>53</v>
      </c>
      <c r="R122" s="16" t="s">
        <v>54</v>
      </c>
      <c r="S122" s="12" t="s">
        <v>70</v>
      </c>
      <c r="T122" s="14" t="s">
        <v>55</v>
      </c>
    </row>
    <row r="123" spans="1:20" ht="16.5">
      <c r="A123" s="17" t="s">
        <v>42</v>
      </c>
      <c r="B123" s="17" t="s">
        <v>564</v>
      </c>
      <c r="C123" s="17" t="s">
        <v>204</v>
      </c>
      <c r="D123" s="18" t="s">
        <v>267</v>
      </c>
      <c r="E123" s="17" t="s">
        <v>565</v>
      </c>
      <c r="F123" s="17" t="s">
        <v>566</v>
      </c>
      <c r="G123" s="18" t="s">
        <v>574</v>
      </c>
      <c r="H123" s="20" t="s">
        <v>575</v>
      </c>
      <c r="I123" s="17" t="s">
        <v>569</v>
      </c>
      <c r="J123" s="21">
        <v>1</v>
      </c>
      <c r="K123" s="21" t="s">
        <v>48</v>
      </c>
      <c r="L123" s="21" t="s">
        <v>576</v>
      </c>
      <c r="M123" s="19" t="s">
        <v>270</v>
      </c>
      <c r="N123" s="19" t="s">
        <v>571</v>
      </c>
      <c r="O123" s="19" t="s">
        <v>577</v>
      </c>
      <c r="P123" s="19" t="s">
        <v>271</v>
      </c>
      <c r="Q123" s="18" t="s">
        <v>53</v>
      </c>
      <c r="R123" s="16" t="s">
        <v>54</v>
      </c>
      <c r="S123" s="18" t="s">
        <v>70</v>
      </c>
      <c r="T123" s="21" t="s">
        <v>55</v>
      </c>
    </row>
    <row r="124" spans="1:20" ht="16.5">
      <c r="A124" s="11" t="s">
        <v>42</v>
      </c>
      <c r="B124" s="11" t="s">
        <v>578</v>
      </c>
      <c r="C124" s="11" t="s">
        <v>300</v>
      </c>
      <c r="D124" s="12" t="s">
        <v>301</v>
      </c>
      <c r="E124" s="11" t="s">
        <v>579</v>
      </c>
      <c r="F124" s="11" t="s">
        <v>62</v>
      </c>
      <c r="G124" s="12" t="s">
        <v>63</v>
      </c>
      <c r="H124" s="13" t="s">
        <v>580</v>
      </c>
      <c r="I124" s="11" t="s">
        <v>581</v>
      </c>
      <c r="J124" s="14">
        <v>1</v>
      </c>
      <c r="K124" s="14" t="s">
        <v>48</v>
      </c>
      <c r="L124" s="14" t="s">
        <v>582</v>
      </c>
      <c r="M124" s="15" t="s">
        <v>304</v>
      </c>
      <c r="N124" s="15" t="s">
        <v>583</v>
      </c>
      <c r="O124" s="15" t="s">
        <v>68</v>
      </c>
      <c r="P124" s="15"/>
      <c r="Q124" s="12" t="s">
        <v>53</v>
      </c>
      <c r="R124" s="16" t="s">
        <v>54</v>
      </c>
      <c r="S124" s="12" t="s">
        <v>70</v>
      </c>
      <c r="T124" s="14" t="s">
        <v>55</v>
      </c>
    </row>
    <row r="125" spans="1:20" ht="16.5">
      <c r="A125" s="17" t="s">
        <v>42</v>
      </c>
      <c r="B125" s="17" t="s">
        <v>578</v>
      </c>
      <c r="C125" s="17" t="s">
        <v>62</v>
      </c>
      <c r="D125" s="18" t="s">
        <v>63</v>
      </c>
      <c r="E125" s="17" t="s">
        <v>45</v>
      </c>
      <c r="F125" s="17" t="s">
        <v>62</v>
      </c>
      <c r="G125" s="18" t="s">
        <v>93</v>
      </c>
      <c r="H125" s="24" t="s">
        <v>584</v>
      </c>
      <c r="I125" s="17" t="s">
        <v>581</v>
      </c>
      <c r="J125" s="21">
        <v>1</v>
      </c>
      <c r="K125" s="21" t="s">
        <v>48</v>
      </c>
      <c r="L125" s="21" t="s">
        <v>585</v>
      </c>
      <c r="M125" s="19" t="s">
        <v>68</v>
      </c>
      <c r="N125" s="19" t="s">
        <v>51</v>
      </c>
      <c r="O125" s="19" t="s">
        <v>96</v>
      </c>
      <c r="P125" s="19"/>
      <c r="Q125" s="18" t="s">
        <v>53</v>
      </c>
      <c r="R125" s="16" t="s">
        <v>54</v>
      </c>
      <c r="S125" s="18" t="s">
        <v>70</v>
      </c>
      <c r="T125" s="21" t="s">
        <v>55</v>
      </c>
    </row>
    <row r="126" spans="1:20" ht="16.5">
      <c r="A126" s="11" t="s">
        <v>42</v>
      </c>
      <c r="B126" s="11" t="s">
        <v>578</v>
      </c>
      <c r="C126" s="11" t="s">
        <v>62</v>
      </c>
      <c r="D126" s="12" t="s">
        <v>93</v>
      </c>
      <c r="E126" s="11" t="s">
        <v>45</v>
      </c>
      <c r="F126" s="11" t="s">
        <v>62</v>
      </c>
      <c r="G126" s="15" t="s">
        <v>120</v>
      </c>
      <c r="H126" s="13" t="s">
        <v>586</v>
      </c>
      <c r="I126" s="11" t="s">
        <v>581</v>
      </c>
      <c r="J126" s="14">
        <v>1</v>
      </c>
      <c r="K126" s="14" t="s">
        <v>48</v>
      </c>
      <c r="L126" s="14" t="s">
        <v>587</v>
      </c>
      <c r="M126" s="15" t="s">
        <v>96</v>
      </c>
      <c r="N126" s="15" t="s">
        <v>51</v>
      </c>
      <c r="O126" s="15" t="s">
        <v>123</v>
      </c>
      <c r="P126" s="15"/>
      <c r="Q126" s="12" t="s">
        <v>53</v>
      </c>
      <c r="R126" s="16" t="s">
        <v>54</v>
      </c>
      <c r="S126" s="12" t="s">
        <v>70</v>
      </c>
      <c r="T126" s="14" t="s">
        <v>55</v>
      </c>
    </row>
    <row r="127" spans="1:20" ht="16.5">
      <c r="A127" s="17" t="s">
        <v>42</v>
      </c>
      <c r="B127" s="17" t="s">
        <v>578</v>
      </c>
      <c r="C127" s="17" t="s">
        <v>300</v>
      </c>
      <c r="D127" s="18" t="s">
        <v>588</v>
      </c>
      <c r="E127" s="17" t="s">
        <v>589</v>
      </c>
      <c r="F127" s="17" t="s">
        <v>62</v>
      </c>
      <c r="G127" s="18" t="s">
        <v>163</v>
      </c>
      <c r="H127" s="20" t="s">
        <v>590</v>
      </c>
      <c r="I127" s="17" t="s">
        <v>591</v>
      </c>
      <c r="J127" s="21">
        <v>1</v>
      </c>
      <c r="K127" s="21" t="s">
        <v>48</v>
      </c>
      <c r="L127" s="21" t="s">
        <v>592</v>
      </c>
      <c r="M127" s="19" t="s">
        <v>593</v>
      </c>
      <c r="N127" s="19" t="s">
        <v>594</v>
      </c>
      <c r="O127" s="19" t="s">
        <v>166</v>
      </c>
      <c r="P127" s="19"/>
      <c r="Q127" s="18" t="s">
        <v>53</v>
      </c>
      <c r="R127" s="16" t="s">
        <v>54</v>
      </c>
      <c r="S127" s="18" t="s">
        <v>70</v>
      </c>
      <c r="T127" s="21" t="s">
        <v>55</v>
      </c>
    </row>
    <row r="128" spans="1:20" ht="16.5">
      <c r="A128" s="11" t="s">
        <v>42</v>
      </c>
      <c r="B128" s="11" t="s">
        <v>578</v>
      </c>
      <c r="C128" s="11" t="s">
        <v>62</v>
      </c>
      <c r="D128" s="12" t="s">
        <v>163</v>
      </c>
      <c r="E128" s="11" t="s">
        <v>45</v>
      </c>
      <c r="F128" s="11" t="s">
        <v>62</v>
      </c>
      <c r="G128" s="15" t="s">
        <v>120</v>
      </c>
      <c r="H128" s="13" t="s">
        <v>595</v>
      </c>
      <c r="I128" s="11" t="s">
        <v>591</v>
      </c>
      <c r="J128" s="14">
        <v>1</v>
      </c>
      <c r="K128" s="14" t="s">
        <v>48</v>
      </c>
      <c r="L128" s="14" t="s">
        <v>596</v>
      </c>
      <c r="M128" s="15" t="s">
        <v>166</v>
      </c>
      <c r="N128" s="15" t="s">
        <v>51</v>
      </c>
      <c r="O128" s="15" t="s">
        <v>123</v>
      </c>
      <c r="P128" s="15"/>
      <c r="Q128" s="12" t="s">
        <v>53</v>
      </c>
      <c r="R128" s="16" t="s">
        <v>54</v>
      </c>
      <c r="S128" s="12" t="s">
        <v>70</v>
      </c>
      <c r="T128" s="14" t="s">
        <v>55</v>
      </c>
    </row>
    <row r="129" spans="1:20" ht="16.5">
      <c r="A129" s="17" t="s">
        <v>42</v>
      </c>
      <c r="B129" s="17" t="s">
        <v>578</v>
      </c>
      <c r="C129" s="17" t="s">
        <v>300</v>
      </c>
      <c r="D129" s="18" t="s">
        <v>597</v>
      </c>
      <c r="E129" s="17" t="s">
        <v>589</v>
      </c>
      <c r="F129" s="17" t="s">
        <v>62</v>
      </c>
      <c r="G129" s="19" t="s">
        <v>120</v>
      </c>
      <c r="H129" s="20" t="s">
        <v>598</v>
      </c>
      <c r="I129" s="17" t="s">
        <v>581</v>
      </c>
      <c r="J129" s="21">
        <v>1</v>
      </c>
      <c r="K129" s="21" t="s">
        <v>48</v>
      </c>
      <c r="L129" s="21" t="s">
        <v>599</v>
      </c>
      <c r="M129" s="19" t="s">
        <v>600</v>
      </c>
      <c r="N129" s="19" t="s">
        <v>594</v>
      </c>
      <c r="O129" s="19" t="s">
        <v>123</v>
      </c>
      <c r="P129" s="19"/>
      <c r="Q129" s="18" t="s">
        <v>53</v>
      </c>
      <c r="R129" s="16" t="s">
        <v>54</v>
      </c>
      <c r="S129" s="18" t="s">
        <v>70</v>
      </c>
      <c r="T129" s="21" t="s">
        <v>55</v>
      </c>
    </row>
    <row r="130" spans="1:20" ht="16.5">
      <c r="A130" s="11" t="s">
        <v>42</v>
      </c>
      <c r="B130" s="11" t="s">
        <v>578</v>
      </c>
      <c r="C130" s="11" t="s">
        <v>300</v>
      </c>
      <c r="D130" s="12" t="s">
        <v>601</v>
      </c>
      <c r="E130" s="11" t="s">
        <v>579</v>
      </c>
      <c r="F130" s="11" t="s">
        <v>62</v>
      </c>
      <c r="G130" s="15" t="s">
        <v>120</v>
      </c>
      <c r="H130" s="23" t="s">
        <v>602</v>
      </c>
      <c r="I130" s="11" t="s">
        <v>603</v>
      </c>
      <c r="J130" s="14">
        <v>1</v>
      </c>
      <c r="K130" s="14" t="s">
        <v>48</v>
      </c>
      <c r="L130" s="14" t="s">
        <v>604</v>
      </c>
      <c r="M130" s="15" t="s">
        <v>605</v>
      </c>
      <c r="N130" s="15" t="s">
        <v>583</v>
      </c>
      <c r="O130" s="15" t="s">
        <v>123</v>
      </c>
      <c r="P130" s="15"/>
      <c r="Q130" s="12" t="s">
        <v>606</v>
      </c>
      <c r="R130" s="25" t="s">
        <v>607</v>
      </c>
      <c r="S130" s="12" t="s">
        <v>70</v>
      </c>
      <c r="T130" s="14" t="s">
        <v>55</v>
      </c>
    </row>
    <row r="131" spans="1:20" ht="16.5">
      <c r="A131" s="17" t="s">
        <v>42</v>
      </c>
      <c r="B131" s="17" t="s">
        <v>578</v>
      </c>
      <c r="C131" s="17" t="s">
        <v>300</v>
      </c>
      <c r="D131" s="18" t="s">
        <v>608</v>
      </c>
      <c r="E131" s="17" t="s">
        <v>579</v>
      </c>
      <c r="F131" s="17" t="s">
        <v>62</v>
      </c>
      <c r="G131" s="19" t="s">
        <v>120</v>
      </c>
      <c r="H131" s="20" t="s">
        <v>609</v>
      </c>
      <c r="I131" s="17" t="s">
        <v>581</v>
      </c>
      <c r="J131" s="21">
        <v>1</v>
      </c>
      <c r="K131" s="21" t="s">
        <v>48</v>
      </c>
      <c r="L131" s="21" t="s">
        <v>610</v>
      </c>
      <c r="M131" s="19" t="s">
        <v>611</v>
      </c>
      <c r="N131" s="19" t="s">
        <v>583</v>
      </c>
      <c r="O131" s="19" t="s">
        <v>123</v>
      </c>
      <c r="P131" s="19"/>
      <c r="Q131" s="18" t="s">
        <v>53</v>
      </c>
      <c r="R131" s="16" t="s">
        <v>54</v>
      </c>
      <c r="S131" s="18" t="s">
        <v>70</v>
      </c>
      <c r="T131" s="21" t="s">
        <v>55</v>
      </c>
    </row>
    <row r="132" spans="1:20" ht="16.5">
      <c r="A132" s="11" t="s">
        <v>42</v>
      </c>
      <c r="B132" s="11" t="s">
        <v>578</v>
      </c>
      <c r="C132" s="11" t="s">
        <v>62</v>
      </c>
      <c r="D132" s="15" t="s">
        <v>120</v>
      </c>
      <c r="E132" s="11" t="s">
        <v>612</v>
      </c>
      <c r="F132" s="11" t="s">
        <v>300</v>
      </c>
      <c r="G132" s="12" t="s">
        <v>305</v>
      </c>
      <c r="H132" s="13" t="s">
        <v>613</v>
      </c>
      <c r="I132" s="11" t="s">
        <v>614</v>
      </c>
      <c r="J132" s="14">
        <v>1</v>
      </c>
      <c r="K132" s="14" t="s">
        <v>48</v>
      </c>
      <c r="L132" s="14" t="s">
        <v>615</v>
      </c>
      <c r="M132" s="15" t="s">
        <v>123</v>
      </c>
      <c r="N132" s="15" t="s">
        <v>616</v>
      </c>
      <c r="O132" s="15" t="s">
        <v>309</v>
      </c>
      <c r="P132" s="15"/>
      <c r="Q132" s="12" t="s">
        <v>53</v>
      </c>
      <c r="R132" s="16" t="s">
        <v>54</v>
      </c>
      <c r="S132" s="12" t="s">
        <v>70</v>
      </c>
      <c r="T132" s="14" t="s">
        <v>55</v>
      </c>
    </row>
    <row r="133" spans="1:20" ht="16.5">
      <c r="A133" s="17" t="s">
        <v>42</v>
      </c>
      <c r="B133" s="17" t="s">
        <v>578</v>
      </c>
      <c r="C133" s="17" t="s">
        <v>62</v>
      </c>
      <c r="D133" s="19" t="s">
        <v>120</v>
      </c>
      <c r="E133" s="17" t="s">
        <v>612</v>
      </c>
      <c r="F133" s="17" t="s">
        <v>300</v>
      </c>
      <c r="G133" s="18" t="s">
        <v>617</v>
      </c>
      <c r="H133" s="20" t="s">
        <v>618</v>
      </c>
      <c r="I133" s="17" t="s">
        <v>614</v>
      </c>
      <c r="J133" s="21">
        <v>1</v>
      </c>
      <c r="K133" s="21" t="s">
        <v>48</v>
      </c>
      <c r="L133" s="21" t="s">
        <v>619</v>
      </c>
      <c r="M133" s="19" t="s">
        <v>123</v>
      </c>
      <c r="N133" s="19" t="s">
        <v>616</v>
      </c>
      <c r="O133" s="19" t="s">
        <v>620</v>
      </c>
      <c r="P133" s="19"/>
      <c r="Q133" s="18" t="s">
        <v>53</v>
      </c>
      <c r="R133" s="16" t="s">
        <v>54</v>
      </c>
      <c r="S133" s="18" t="s">
        <v>70</v>
      </c>
      <c r="T133" s="21" t="s">
        <v>55</v>
      </c>
    </row>
    <row r="134" spans="1:20" ht="16.5">
      <c r="A134" s="11" t="s">
        <v>42</v>
      </c>
      <c r="B134" s="11" t="s">
        <v>578</v>
      </c>
      <c r="C134" s="11" t="s">
        <v>300</v>
      </c>
      <c r="D134" s="12" t="s">
        <v>305</v>
      </c>
      <c r="E134" s="11" t="s">
        <v>579</v>
      </c>
      <c r="F134" s="11" t="s">
        <v>62</v>
      </c>
      <c r="G134" s="12" t="s">
        <v>621</v>
      </c>
      <c r="H134" s="23" t="s">
        <v>584</v>
      </c>
      <c r="I134" s="11" t="s">
        <v>614</v>
      </c>
      <c r="J134" s="14">
        <v>1</v>
      </c>
      <c r="K134" s="14" t="s">
        <v>48</v>
      </c>
      <c r="L134" s="14" t="s">
        <v>622</v>
      </c>
      <c r="M134" s="15" t="s">
        <v>309</v>
      </c>
      <c r="N134" s="15" t="s">
        <v>583</v>
      </c>
      <c r="O134" s="15" t="s">
        <v>623</v>
      </c>
      <c r="P134" s="15"/>
      <c r="Q134" s="12" t="s">
        <v>53</v>
      </c>
      <c r="R134" s="16" t="s">
        <v>54</v>
      </c>
      <c r="S134" s="12" t="s">
        <v>70</v>
      </c>
      <c r="T134" s="14" t="s">
        <v>55</v>
      </c>
    </row>
    <row r="135" spans="1:20" ht="16.5">
      <c r="A135" s="17" t="s">
        <v>42</v>
      </c>
      <c r="B135" s="17" t="s">
        <v>578</v>
      </c>
      <c r="C135" s="17" t="s">
        <v>300</v>
      </c>
      <c r="D135" s="18" t="s">
        <v>617</v>
      </c>
      <c r="E135" s="17" t="s">
        <v>579</v>
      </c>
      <c r="F135" s="17" t="s">
        <v>62</v>
      </c>
      <c r="G135" s="18" t="s">
        <v>183</v>
      </c>
      <c r="H135" s="24" t="s">
        <v>584</v>
      </c>
      <c r="I135" s="17" t="s">
        <v>614</v>
      </c>
      <c r="J135" s="21">
        <v>1</v>
      </c>
      <c r="K135" s="21" t="s">
        <v>48</v>
      </c>
      <c r="L135" s="21" t="s">
        <v>624</v>
      </c>
      <c r="M135" s="19" t="s">
        <v>620</v>
      </c>
      <c r="N135" s="19" t="s">
        <v>583</v>
      </c>
      <c r="O135" s="19" t="s">
        <v>186</v>
      </c>
      <c r="P135" s="19"/>
      <c r="Q135" s="18" t="s">
        <v>53</v>
      </c>
      <c r="R135" s="16" t="s">
        <v>54</v>
      </c>
      <c r="S135" s="18" t="s">
        <v>70</v>
      </c>
      <c r="T135" s="21" t="s">
        <v>55</v>
      </c>
    </row>
    <row r="136" spans="1:20" ht="16.5">
      <c r="A136" s="11" t="s">
        <v>42</v>
      </c>
      <c r="B136" s="11" t="s">
        <v>578</v>
      </c>
      <c r="C136" s="11" t="s">
        <v>62</v>
      </c>
      <c r="D136" s="12" t="s">
        <v>183</v>
      </c>
      <c r="E136" s="11" t="s">
        <v>45</v>
      </c>
      <c r="F136" s="11" t="s">
        <v>62</v>
      </c>
      <c r="G136" s="15" t="s">
        <v>625</v>
      </c>
      <c r="H136" s="13" t="s">
        <v>626</v>
      </c>
      <c r="I136" s="11" t="s">
        <v>627</v>
      </c>
      <c r="J136" s="14">
        <v>1</v>
      </c>
      <c r="K136" s="14" t="s">
        <v>48</v>
      </c>
      <c r="L136" s="14" t="s">
        <v>628</v>
      </c>
      <c r="M136" s="15" t="s">
        <v>186</v>
      </c>
      <c r="N136" s="15" t="s">
        <v>51</v>
      </c>
      <c r="O136" s="15" t="s">
        <v>629</v>
      </c>
      <c r="P136" s="15"/>
      <c r="Q136" s="12" t="s">
        <v>53</v>
      </c>
      <c r="R136" s="16" t="s">
        <v>54</v>
      </c>
      <c r="S136" s="12" t="s">
        <v>70</v>
      </c>
      <c r="T136" s="14" t="s">
        <v>55</v>
      </c>
    </row>
    <row r="137" spans="1:20" ht="16.5">
      <c r="A137" s="17" t="s">
        <v>42</v>
      </c>
      <c r="B137" s="17" t="s">
        <v>578</v>
      </c>
      <c r="C137" s="17" t="s">
        <v>300</v>
      </c>
      <c r="D137" s="18" t="s">
        <v>630</v>
      </c>
      <c r="E137" s="17" t="s">
        <v>589</v>
      </c>
      <c r="F137" s="17" t="s">
        <v>62</v>
      </c>
      <c r="G137" s="18" t="s">
        <v>191</v>
      </c>
      <c r="H137" s="20" t="s">
        <v>631</v>
      </c>
      <c r="I137" s="17" t="s">
        <v>632</v>
      </c>
      <c r="J137" s="21">
        <v>1</v>
      </c>
      <c r="K137" s="21" t="s">
        <v>48</v>
      </c>
      <c r="L137" s="21" t="s">
        <v>633</v>
      </c>
      <c r="M137" s="19" t="s">
        <v>634</v>
      </c>
      <c r="N137" s="19" t="s">
        <v>594</v>
      </c>
      <c r="O137" s="19" t="s">
        <v>194</v>
      </c>
      <c r="P137" s="19"/>
      <c r="Q137" s="18" t="s">
        <v>53</v>
      </c>
      <c r="R137" s="16" t="s">
        <v>54</v>
      </c>
      <c r="S137" s="18" t="s">
        <v>70</v>
      </c>
      <c r="T137" s="21" t="s">
        <v>55</v>
      </c>
    </row>
    <row r="138" spans="1:20" ht="16.5">
      <c r="A138" s="11" t="s">
        <v>42</v>
      </c>
      <c r="B138" s="11" t="s">
        <v>578</v>
      </c>
      <c r="C138" s="11" t="s">
        <v>62</v>
      </c>
      <c r="D138" s="12" t="s">
        <v>191</v>
      </c>
      <c r="E138" s="11" t="s">
        <v>635</v>
      </c>
      <c r="F138" s="11" t="s">
        <v>300</v>
      </c>
      <c r="G138" s="12" t="s">
        <v>636</v>
      </c>
      <c r="H138" s="13" t="s">
        <v>637</v>
      </c>
      <c r="I138" s="11" t="s">
        <v>638</v>
      </c>
      <c r="J138" s="14">
        <v>1</v>
      </c>
      <c r="K138" s="14" t="s">
        <v>48</v>
      </c>
      <c r="L138" s="14" t="s">
        <v>639</v>
      </c>
      <c r="M138" s="15" t="s">
        <v>194</v>
      </c>
      <c r="N138" s="15" t="s">
        <v>640</v>
      </c>
      <c r="O138" s="15" t="s">
        <v>641</v>
      </c>
      <c r="P138" s="15"/>
      <c r="Q138" s="12" t="s">
        <v>53</v>
      </c>
      <c r="R138" s="16" t="s">
        <v>54</v>
      </c>
      <c r="S138" s="12" t="s">
        <v>70</v>
      </c>
      <c r="T138" s="14" t="s">
        <v>55</v>
      </c>
    </row>
    <row r="139" spans="1:20" ht="16.5">
      <c r="A139" s="17" t="s">
        <v>42</v>
      </c>
      <c r="B139" s="17" t="s">
        <v>578</v>
      </c>
      <c r="C139" s="17" t="s">
        <v>300</v>
      </c>
      <c r="D139" s="18" t="s">
        <v>642</v>
      </c>
      <c r="E139" s="17" t="s">
        <v>643</v>
      </c>
      <c r="F139" s="17" t="s">
        <v>62</v>
      </c>
      <c r="G139" s="18" t="s">
        <v>63</v>
      </c>
      <c r="H139" s="20" t="s">
        <v>644</v>
      </c>
      <c r="I139" s="17" t="s">
        <v>645</v>
      </c>
      <c r="J139" s="21">
        <v>1</v>
      </c>
      <c r="K139" s="21" t="s">
        <v>48</v>
      </c>
      <c r="L139" s="21" t="s">
        <v>646</v>
      </c>
      <c r="M139" s="19" t="s">
        <v>647</v>
      </c>
      <c r="N139" s="19" t="s">
        <v>648</v>
      </c>
      <c r="O139" s="19" t="s">
        <v>68</v>
      </c>
      <c r="P139" s="19"/>
      <c r="Q139" s="18" t="s">
        <v>649</v>
      </c>
      <c r="R139" s="22" t="s">
        <v>88</v>
      </c>
      <c r="S139" s="18" t="s">
        <v>70</v>
      </c>
      <c r="T139" s="21" t="s">
        <v>55</v>
      </c>
    </row>
    <row r="140" spans="1:20" ht="16.5">
      <c r="A140" s="11" t="s">
        <v>42</v>
      </c>
      <c r="B140" s="11" t="s">
        <v>650</v>
      </c>
      <c r="C140" s="11" t="s">
        <v>204</v>
      </c>
      <c r="D140" s="12" t="s">
        <v>237</v>
      </c>
      <c r="E140" s="11" t="s">
        <v>505</v>
      </c>
      <c r="F140" s="11" t="s">
        <v>204</v>
      </c>
      <c r="G140" s="12" t="s">
        <v>282</v>
      </c>
      <c r="H140" s="23" t="s">
        <v>651</v>
      </c>
      <c r="I140" s="11" t="s">
        <v>652</v>
      </c>
      <c r="J140" s="14">
        <v>1</v>
      </c>
      <c r="K140" s="14" t="s">
        <v>48</v>
      </c>
      <c r="L140" s="14" t="s">
        <v>653</v>
      </c>
      <c r="M140" s="15" t="s">
        <v>240</v>
      </c>
      <c r="N140" s="15" t="s">
        <v>509</v>
      </c>
      <c r="O140" s="15" t="s">
        <v>285</v>
      </c>
      <c r="P140" s="15" t="s">
        <v>241</v>
      </c>
      <c r="Q140" s="12" t="s">
        <v>286</v>
      </c>
      <c r="R140" s="22" t="s">
        <v>88</v>
      </c>
      <c r="S140" s="12" t="s">
        <v>70</v>
      </c>
      <c r="T140" s="14" t="s">
        <v>55</v>
      </c>
    </row>
    <row r="141" spans="1:20" ht="16.5">
      <c r="A141" s="17" t="s">
        <v>42</v>
      </c>
      <c r="B141" s="17" t="s">
        <v>650</v>
      </c>
      <c r="C141" s="17" t="s">
        <v>204</v>
      </c>
      <c r="D141" s="18" t="s">
        <v>237</v>
      </c>
      <c r="E141" s="17" t="s">
        <v>654</v>
      </c>
      <c r="F141" s="17" t="s">
        <v>204</v>
      </c>
      <c r="G141" s="18" t="s">
        <v>287</v>
      </c>
      <c r="H141" s="24" t="s">
        <v>655</v>
      </c>
      <c r="I141" s="17" t="s">
        <v>652</v>
      </c>
      <c r="J141" s="21">
        <v>1</v>
      </c>
      <c r="K141" s="21" t="s">
        <v>48</v>
      </c>
      <c r="L141" s="21" t="s">
        <v>656</v>
      </c>
      <c r="M141" s="19" t="s">
        <v>240</v>
      </c>
      <c r="N141" s="19" t="s">
        <v>657</v>
      </c>
      <c r="O141" s="19" t="s">
        <v>290</v>
      </c>
      <c r="P141" s="19" t="s">
        <v>241</v>
      </c>
      <c r="Q141" s="18" t="s">
        <v>286</v>
      </c>
      <c r="R141" s="22" t="s">
        <v>88</v>
      </c>
      <c r="S141" s="18" t="s">
        <v>70</v>
      </c>
      <c r="T141" s="21" t="s">
        <v>55</v>
      </c>
    </row>
    <row r="142" spans="1:20" ht="16.5">
      <c r="A142" s="11" t="s">
        <v>42</v>
      </c>
      <c r="B142" s="11" t="s">
        <v>650</v>
      </c>
      <c r="C142" s="11" t="s">
        <v>204</v>
      </c>
      <c r="D142" s="12" t="s">
        <v>262</v>
      </c>
      <c r="E142" s="11" t="s">
        <v>654</v>
      </c>
      <c r="F142" s="11" t="s">
        <v>204</v>
      </c>
      <c r="G142" s="12" t="s">
        <v>237</v>
      </c>
      <c r="H142" s="13" t="s">
        <v>658</v>
      </c>
      <c r="I142" s="11" t="s">
        <v>507</v>
      </c>
      <c r="J142" s="14">
        <v>1</v>
      </c>
      <c r="K142" s="14" t="s">
        <v>48</v>
      </c>
      <c r="L142" s="14" t="s">
        <v>659</v>
      </c>
      <c r="M142" s="15" t="s">
        <v>265</v>
      </c>
      <c r="N142" s="15" t="s">
        <v>657</v>
      </c>
      <c r="O142" s="15" t="s">
        <v>240</v>
      </c>
      <c r="P142" s="15" t="s">
        <v>660</v>
      </c>
      <c r="Q142" s="15" t="s">
        <v>661</v>
      </c>
      <c r="R142" s="16" t="s">
        <v>54</v>
      </c>
      <c r="S142" s="12" t="s">
        <v>70</v>
      </c>
      <c r="T142" s="14" t="s">
        <v>55</v>
      </c>
    </row>
    <row r="143" spans="1:20" ht="16.5">
      <c r="A143" s="17" t="s">
        <v>42</v>
      </c>
      <c r="B143" s="17" t="s">
        <v>650</v>
      </c>
      <c r="C143" s="17" t="s">
        <v>204</v>
      </c>
      <c r="D143" s="18" t="s">
        <v>662</v>
      </c>
      <c r="E143" s="17" t="s">
        <v>654</v>
      </c>
      <c r="F143" s="17" t="s">
        <v>204</v>
      </c>
      <c r="G143" s="18" t="s">
        <v>237</v>
      </c>
      <c r="H143" s="20" t="s">
        <v>663</v>
      </c>
      <c r="I143" s="17" t="s">
        <v>507</v>
      </c>
      <c r="J143" s="21">
        <v>2</v>
      </c>
      <c r="K143" s="21" t="s">
        <v>48</v>
      </c>
      <c r="L143" s="21" t="s">
        <v>664</v>
      </c>
      <c r="M143" s="19" t="s">
        <v>665</v>
      </c>
      <c r="N143" s="19" t="s">
        <v>657</v>
      </c>
      <c r="O143" s="19" t="s">
        <v>240</v>
      </c>
      <c r="P143" s="19" t="s">
        <v>666</v>
      </c>
      <c r="Q143" s="18" t="s">
        <v>286</v>
      </c>
      <c r="R143" s="22" t="s">
        <v>88</v>
      </c>
      <c r="S143" s="18" t="s">
        <v>70</v>
      </c>
      <c r="T143" s="21" t="s">
        <v>55</v>
      </c>
    </row>
    <row r="144" spans="1:20" ht="16.5">
      <c r="A144" s="11" t="s">
        <v>42</v>
      </c>
      <c r="B144" s="11" t="s">
        <v>650</v>
      </c>
      <c r="C144" s="11" t="s">
        <v>204</v>
      </c>
      <c r="D144" s="12" t="s">
        <v>212</v>
      </c>
      <c r="E144" s="11" t="s">
        <v>667</v>
      </c>
      <c r="F144" s="11" t="s">
        <v>204</v>
      </c>
      <c r="G144" s="12" t="s">
        <v>287</v>
      </c>
      <c r="H144" s="13" t="s">
        <v>668</v>
      </c>
      <c r="I144" s="11" t="s">
        <v>652</v>
      </c>
      <c r="J144" s="14">
        <v>1</v>
      </c>
      <c r="K144" s="14" t="s">
        <v>48</v>
      </c>
      <c r="L144" s="14" t="s">
        <v>669</v>
      </c>
      <c r="M144" s="15" t="s">
        <v>215</v>
      </c>
      <c r="N144" s="15" t="s">
        <v>670</v>
      </c>
      <c r="O144" s="15" t="s">
        <v>290</v>
      </c>
      <c r="P144" s="15" t="s">
        <v>216</v>
      </c>
      <c r="Q144" s="12" t="s">
        <v>286</v>
      </c>
      <c r="R144" s="22" t="s">
        <v>88</v>
      </c>
      <c r="S144" s="12" t="s">
        <v>70</v>
      </c>
      <c r="T144" s="14" t="s">
        <v>55</v>
      </c>
    </row>
    <row r="145" spans="1:20" ht="16.5">
      <c r="A145" s="17" t="s">
        <v>42</v>
      </c>
      <c r="B145" s="17" t="s">
        <v>650</v>
      </c>
      <c r="C145" s="17" t="s">
        <v>204</v>
      </c>
      <c r="D145" s="18" t="s">
        <v>232</v>
      </c>
      <c r="E145" s="17" t="s">
        <v>654</v>
      </c>
      <c r="F145" s="17" t="s">
        <v>204</v>
      </c>
      <c r="G145" s="18" t="s">
        <v>291</v>
      </c>
      <c r="H145" s="20" t="s">
        <v>671</v>
      </c>
      <c r="I145" s="17" t="s">
        <v>652</v>
      </c>
      <c r="J145" s="21">
        <v>1</v>
      </c>
      <c r="K145" s="21" t="s">
        <v>48</v>
      </c>
      <c r="L145" s="21" t="s">
        <v>672</v>
      </c>
      <c r="M145" s="19" t="s">
        <v>235</v>
      </c>
      <c r="N145" s="19" t="s">
        <v>657</v>
      </c>
      <c r="O145" s="19" t="s">
        <v>294</v>
      </c>
      <c r="P145" s="19" t="s">
        <v>236</v>
      </c>
      <c r="Q145" s="18" t="s">
        <v>286</v>
      </c>
      <c r="R145" s="22" t="s">
        <v>88</v>
      </c>
      <c r="S145" s="18" t="s">
        <v>70</v>
      </c>
      <c r="T145" s="26" t="s">
        <v>673</v>
      </c>
    </row>
    <row r="146" spans="1:20" ht="16.5">
      <c r="A146" s="11" t="s">
        <v>42</v>
      </c>
      <c r="B146" s="11" t="s">
        <v>650</v>
      </c>
      <c r="C146" s="11" t="s">
        <v>204</v>
      </c>
      <c r="D146" s="12" t="s">
        <v>291</v>
      </c>
      <c r="E146" s="11" t="s">
        <v>654</v>
      </c>
      <c r="F146" s="11" t="s">
        <v>295</v>
      </c>
      <c r="G146" s="12" t="s">
        <v>674</v>
      </c>
      <c r="H146" s="13" t="s">
        <v>675</v>
      </c>
      <c r="I146" s="11" t="s">
        <v>652</v>
      </c>
      <c r="J146" s="14">
        <v>1</v>
      </c>
      <c r="K146" s="14" t="s">
        <v>48</v>
      </c>
      <c r="L146" s="14" t="s">
        <v>676</v>
      </c>
      <c r="M146" s="15" t="s">
        <v>294</v>
      </c>
      <c r="N146" s="15" t="s">
        <v>657</v>
      </c>
      <c r="O146" s="15" t="s">
        <v>677</v>
      </c>
      <c r="P146" s="15"/>
      <c r="Q146" s="12" t="s">
        <v>286</v>
      </c>
      <c r="R146" s="22" t="s">
        <v>88</v>
      </c>
      <c r="S146" s="12" t="s">
        <v>70</v>
      </c>
      <c r="T146" s="14" t="s">
        <v>55</v>
      </c>
    </row>
    <row r="147" spans="1:20" ht="16.5">
      <c r="A147" s="17" t="s">
        <v>42</v>
      </c>
      <c r="B147" s="17" t="s">
        <v>650</v>
      </c>
      <c r="C147" s="17" t="s">
        <v>204</v>
      </c>
      <c r="D147" s="19" t="s">
        <v>227</v>
      </c>
      <c r="E147" s="17" t="s">
        <v>667</v>
      </c>
      <c r="F147" s="17" t="s">
        <v>204</v>
      </c>
      <c r="G147" s="18" t="s">
        <v>678</v>
      </c>
      <c r="H147" s="24" t="s">
        <v>679</v>
      </c>
      <c r="I147" s="17" t="s">
        <v>680</v>
      </c>
      <c r="J147" s="21">
        <v>1</v>
      </c>
      <c r="K147" s="21" t="s">
        <v>48</v>
      </c>
      <c r="L147" s="21" t="s">
        <v>681</v>
      </c>
      <c r="M147" s="19" t="s">
        <v>230</v>
      </c>
      <c r="N147" s="19" t="s">
        <v>670</v>
      </c>
      <c r="O147" s="19" t="s">
        <v>682</v>
      </c>
      <c r="P147" s="19" t="s">
        <v>231</v>
      </c>
      <c r="Q147" s="19" t="s">
        <v>661</v>
      </c>
      <c r="R147" s="16" t="s">
        <v>54</v>
      </c>
      <c r="S147" s="18" t="s">
        <v>70</v>
      </c>
      <c r="T147" s="21" t="s">
        <v>55</v>
      </c>
    </row>
    <row r="148" spans="1:20" ht="16.5">
      <c r="A148" s="11" t="s">
        <v>42</v>
      </c>
      <c r="B148" s="11" t="s">
        <v>650</v>
      </c>
      <c r="C148" s="11" t="s">
        <v>204</v>
      </c>
      <c r="D148" s="12" t="s">
        <v>247</v>
      </c>
      <c r="E148" s="11" t="s">
        <v>505</v>
      </c>
      <c r="F148" s="11" t="s">
        <v>204</v>
      </c>
      <c r="G148" s="12" t="s">
        <v>683</v>
      </c>
      <c r="H148" s="13" t="s">
        <v>684</v>
      </c>
      <c r="I148" s="11" t="s">
        <v>507</v>
      </c>
      <c r="J148" s="14">
        <v>1</v>
      </c>
      <c r="K148" s="14" t="s">
        <v>48</v>
      </c>
      <c r="L148" s="14" t="s">
        <v>685</v>
      </c>
      <c r="M148" s="15" t="s">
        <v>250</v>
      </c>
      <c r="N148" s="15" t="s">
        <v>509</v>
      </c>
      <c r="O148" s="15" t="s">
        <v>686</v>
      </c>
      <c r="P148" s="15" t="s">
        <v>251</v>
      </c>
      <c r="Q148" s="12" t="s">
        <v>286</v>
      </c>
      <c r="R148" s="22" t="s">
        <v>88</v>
      </c>
      <c r="S148" s="12" t="s">
        <v>70</v>
      </c>
      <c r="T148" s="14" t="s">
        <v>55</v>
      </c>
    </row>
    <row r="149" spans="1:20" ht="16.5">
      <c r="A149" s="17" t="s">
        <v>42</v>
      </c>
      <c r="B149" s="17" t="s">
        <v>650</v>
      </c>
      <c r="C149" s="17" t="s">
        <v>204</v>
      </c>
      <c r="D149" s="18" t="s">
        <v>252</v>
      </c>
      <c r="E149" s="17" t="s">
        <v>505</v>
      </c>
      <c r="F149" s="17" t="s">
        <v>204</v>
      </c>
      <c r="G149" s="18" t="s">
        <v>683</v>
      </c>
      <c r="H149" s="24" t="s">
        <v>584</v>
      </c>
      <c r="I149" s="17" t="s">
        <v>507</v>
      </c>
      <c r="J149" s="21">
        <v>1</v>
      </c>
      <c r="K149" s="21" t="s">
        <v>48</v>
      </c>
      <c r="L149" s="21" t="s">
        <v>687</v>
      </c>
      <c r="M149" s="19" t="s">
        <v>255</v>
      </c>
      <c r="N149" s="19" t="s">
        <v>509</v>
      </c>
      <c r="O149" s="19" t="s">
        <v>686</v>
      </c>
      <c r="P149" s="19" t="s">
        <v>256</v>
      </c>
      <c r="Q149" s="18" t="s">
        <v>286</v>
      </c>
      <c r="R149" s="22" t="s">
        <v>88</v>
      </c>
      <c r="S149" s="18" t="s">
        <v>70</v>
      </c>
      <c r="T149" s="21" t="s">
        <v>55</v>
      </c>
    </row>
    <row r="150" spans="1:20" ht="16.5">
      <c r="A150" s="11" t="s">
        <v>42</v>
      </c>
      <c r="B150" s="11" t="s">
        <v>650</v>
      </c>
      <c r="C150" s="11" t="s">
        <v>204</v>
      </c>
      <c r="D150" s="12" t="s">
        <v>282</v>
      </c>
      <c r="E150" s="11" t="s">
        <v>654</v>
      </c>
      <c r="F150" s="11" t="s">
        <v>295</v>
      </c>
      <c r="G150" s="12" t="s">
        <v>296</v>
      </c>
      <c r="H150" s="13" t="s">
        <v>688</v>
      </c>
      <c r="I150" s="11" t="s">
        <v>652</v>
      </c>
      <c r="J150" s="14">
        <v>1</v>
      </c>
      <c r="K150" s="14" t="s">
        <v>48</v>
      </c>
      <c r="L150" s="14" t="s">
        <v>689</v>
      </c>
      <c r="M150" s="15" t="s">
        <v>285</v>
      </c>
      <c r="N150" s="15" t="s">
        <v>657</v>
      </c>
      <c r="O150" s="15" t="s">
        <v>299</v>
      </c>
      <c r="P150" s="15"/>
      <c r="Q150" s="12" t="s">
        <v>286</v>
      </c>
      <c r="R150" s="22" t="s">
        <v>88</v>
      </c>
      <c r="S150" s="12" t="s">
        <v>70</v>
      </c>
      <c r="T150" s="14" t="s">
        <v>55</v>
      </c>
    </row>
    <row r="151" spans="1:20" ht="16.5">
      <c r="A151" s="17" t="s">
        <v>42</v>
      </c>
      <c r="B151" s="17" t="s">
        <v>650</v>
      </c>
      <c r="C151" s="17" t="s">
        <v>204</v>
      </c>
      <c r="D151" s="18" t="s">
        <v>690</v>
      </c>
      <c r="E151" s="17" t="s">
        <v>505</v>
      </c>
      <c r="F151" s="17" t="s">
        <v>204</v>
      </c>
      <c r="G151" s="18" t="s">
        <v>232</v>
      </c>
      <c r="H151" s="20" t="s">
        <v>691</v>
      </c>
      <c r="I151" s="17" t="s">
        <v>680</v>
      </c>
      <c r="J151" s="21">
        <v>2</v>
      </c>
      <c r="K151" s="21" t="s">
        <v>48</v>
      </c>
      <c r="L151" s="21" t="s">
        <v>692</v>
      </c>
      <c r="M151" s="19" t="s">
        <v>693</v>
      </c>
      <c r="N151" s="19" t="s">
        <v>509</v>
      </c>
      <c r="O151" s="19" t="s">
        <v>235</v>
      </c>
      <c r="P151" s="19" t="s">
        <v>694</v>
      </c>
      <c r="Q151" s="19" t="s">
        <v>661</v>
      </c>
      <c r="R151" s="16" t="s">
        <v>54</v>
      </c>
      <c r="S151" s="18" t="s">
        <v>70</v>
      </c>
      <c r="T151" s="21" t="s">
        <v>55</v>
      </c>
    </row>
    <row r="152" spans="1:20" ht="16.5">
      <c r="A152" s="11" t="s">
        <v>42</v>
      </c>
      <c r="B152" s="11" t="s">
        <v>695</v>
      </c>
      <c r="C152" s="11" t="s">
        <v>204</v>
      </c>
      <c r="D152" s="12" t="s">
        <v>282</v>
      </c>
      <c r="E152" s="11" t="s">
        <v>667</v>
      </c>
      <c r="F152" s="11" t="s">
        <v>295</v>
      </c>
      <c r="G152" s="12" t="s">
        <v>306</v>
      </c>
      <c r="H152" s="23" t="s">
        <v>584</v>
      </c>
      <c r="I152" s="11" t="s">
        <v>696</v>
      </c>
      <c r="J152" s="14">
        <v>1</v>
      </c>
      <c r="K152" s="14" t="s">
        <v>48</v>
      </c>
      <c r="L152" s="14" t="s">
        <v>697</v>
      </c>
      <c r="M152" s="15" t="s">
        <v>285</v>
      </c>
      <c r="N152" s="15" t="s">
        <v>670</v>
      </c>
      <c r="O152" s="15" t="s">
        <v>310</v>
      </c>
      <c r="P152" s="15"/>
      <c r="Q152" s="12" t="s">
        <v>286</v>
      </c>
      <c r="R152" s="22" t="s">
        <v>88</v>
      </c>
      <c r="S152" s="12" t="s">
        <v>70</v>
      </c>
      <c r="T152" s="14" t="s">
        <v>55</v>
      </c>
    </row>
    <row r="153" spans="1:20" ht="16.5">
      <c r="A153" s="17" t="s">
        <v>42</v>
      </c>
      <c r="B153" s="17" t="s">
        <v>695</v>
      </c>
      <c r="C153" s="17" t="s">
        <v>295</v>
      </c>
      <c r="D153" s="18" t="s">
        <v>296</v>
      </c>
      <c r="E153" s="17" t="s">
        <v>654</v>
      </c>
      <c r="F153" s="17" t="s">
        <v>698</v>
      </c>
      <c r="G153" s="18" t="s">
        <v>699</v>
      </c>
      <c r="H153" s="20" t="s">
        <v>700</v>
      </c>
      <c r="I153" s="17" t="s">
        <v>701</v>
      </c>
      <c r="J153" s="21">
        <v>1</v>
      </c>
      <c r="K153" s="21" t="s">
        <v>48</v>
      </c>
      <c r="L153" s="21" t="s">
        <v>702</v>
      </c>
      <c r="M153" s="19" t="s">
        <v>299</v>
      </c>
      <c r="N153" s="19" t="s">
        <v>657</v>
      </c>
      <c r="O153" s="19" t="s">
        <v>703</v>
      </c>
      <c r="P153" s="19"/>
      <c r="Q153" s="18" t="s">
        <v>286</v>
      </c>
      <c r="R153" s="22" t="s">
        <v>88</v>
      </c>
      <c r="S153" s="18" t="s">
        <v>70</v>
      </c>
      <c r="T153" s="21" t="s">
        <v>55</v>
      </c>
    </row>
    <row r="154" spans="1:20" ht="16.5">
      <c r="A154" s="11" t="s">
        <v>42</v>
      </c>
      <c r="B154" s="11" t="s">
        <v>695</v>
      </c>
      <c r="C154" s="11" t="s">
        <v>204</v>
      </c>
      <c r="D154" s="12" t="s">
        <v>287</v>
      </c>
      <c r="E154" s="11" t="s">
        <v>654</v>
      </c>
      <c r="F154" s="11" t="s">
        <v>698</v>
      </c>
      <c r="G154" s="12" t="s">
        <v>699</v>
      </c>
      <c r="H154" s="23" t="s">
        <v>584</v>
      </c>
      <c r="I154" s="11" t="s">
        <v>701</v>
      </c>
      <c r="J154" s="14">
        <v>1</v>
      </c>
      <c r="K154" s="14" t="s">
        <v>48</v>
      </c>
      <c r="L154" s="14" t="s">
        <v>704</v>
      </c>
      <c r="M154" s="15" t="s">
        <v>290</v>
      </c>
      <c r="N154" s="15" t="s">
        <v>657</v>
      </c>
      <c r="O154" s="15" t="s">
        <v>703</v>
      </c>
      <c r="P154" s="15"/>
      <c r="Q154" s="12" t="s">
        <v>286</v>
      </c>
      <c r="R154" s="22" t="s">
        <v>88</v>
      </c>
      <c r="S154" s="12" t="s">
        <v>70</v>
      </c>
      <c r="T154" s="14" t="s">
        <v>55</v>
      </c>
    </row>
    <row r="155" spans="1:20" ht="16.5">
      <c r="A155" s="17" t="s">
        <v>46</v>
      </c>
      <c r="B155" s="17" t="s">
        <v>43</v>
      </c>
      <c r="C155" s="17" t="s">
        <v>44</v>
      </c>
      <c r="D155" s="18" t="s">
        <v>46</v>
      </c>
      <c r="E155" s="17" t="s">
        <v>45</v>
      </c>
      <c r="F155" s="17" t="s">
        <v>44</v>
      </c>
      <c r="G155" s="18" t="s">
        <v>42</v>
      </c>
      <c r="H155" s="20" t="s">
        <v>705</v>
      </c>
      <c r="I155" s="17" t="s">
        <v>43</v>
      </c>
      <c r="J155" s="21">
        <v>1</v>
      </c>
      <c r="K155" s="21" t="s">
        <v>706</v>
      </c>
      <c r="L155" s="21" t="s">
        <v>707</v>
      </c>
      <c r="M155" s="19" t="s">
        <v>52</v>
      </c>
      <c r="N155" s="19" t="s">
        <v>51</v>
      </c>
      <c r="O155" s="19" t="s">
        <v>50</v>
      </c>
      <c r="P155" s="19"/>
      <c r="Q155" s="18" t="s">
        <v>53</v>
      </c>
      <c r="R155" s="25" t="s">
        <v>607</v>
      </c>
      <c r="S155" s="19"/>
      <c r="T155" s="21" t="s">
        <v>55</v>
      </c>
    </row>
    <row r="156" spans="1:20" ht="16.5">
      <c r="A156" s="11" t="s">
        <v>46</v>
      </c>
      <c r="B156" s="11" t="s">
        <v>43</v>
      </c>
      <c r="C156" s="11" t="s">
        <v>44</v>
      </c>
      <c r="D156" s="12" t="s">
        <v>46</v>
      </c>
      <c r="E156" s="11" t="s">
        <v>45</v>
      </c>
      <c r="F156" s="11" t="s">
        <v>44</v>
      </c>
      <c r="G156" s="12" t="s">
        <v>708</v>
      </c>
      <c r="H156" s="13" t="s">
        <v>709</v>
      </c>
      <c r="I156" s="11" t="s">
        <v>43</v>
      </c>
      <c r="J156" s="14">
        <v>1</v>
      </c>
      <c r="K156" s="14" t="s">
        <v>706</v>
      </c>
      <c r="L156" s="14" t="s">
        <v>710</v>
      </c>
      <c r="M156" s="15" t="s">
        <v>52</v>
      </c>
      <c r="N156" s="15" t="s">
        <v>51</v>
      </c>
      <c r="O156" s="15" t="s">
        <v>711</v>
      </c>
      <c r="P156" s="15"/>
      <c r="Q156" s="12" t="s">
        <v>53</v>
      </c>
      <c r="R156" s="16" t="s">
        <v>54</v>
      </c>
      <c r="S156" s="15"/>
      <c r="T156" s="14" t="s">
        <v>55</v>
      </c>
    </row>
    <row r="157" spans="1:20" ht="33">
      <c r="A157" s="17" t="s">
        <v>46</v>
      </c>
      <c r="B157" s="17" t="s">
        <v>60</v>
      </c>
      <c r="C157" s="17" t="s">
        <v>44</v>
      </c>
      <c r="D157" s="18" t="s">
        <v>46</v>
      </c>
      <c r="E157" s="17" t="s">
        <v>61</v>
      </c>
      <c r="F157" s="17" t="s">
        <v>62</v>
      </c>
      <c r="G157" s="19" t="s">
        <v>625</v>
      </c>
      <c r="H157" s="20" t="s">
        <v>712</v>
      </c>
      <c r="I157" s="17" t="s">
        <v>65</v>
      </c>
      <c r="J157" s="21">
        <v>1</v>
      </c>
      <c r="K157" s="21" t="s">
        <v>706</v>
      </c>
      <c r="L157" s="21" t="s">
        <v>713</v>
      </c>
      <c r="M157" s="19" t="s">
        <v>52</v>
      </c>
      <c r="N157" s="19" t="s">
        <v>67</v>
      </c>
      <c r="O157" s="19" t="s">
        <v>629</v>
      </c>
      <c r="P157" s="19"/>
      <c r="Q157" s="18" t="s">
        <v>69</v>
      </c>
      <c r="R157" s="16" t="s">
        <v>54</v>
      </c>
      <c r="S157" s="18" t="s">
        <v>714</v>
      </c>
      <c r="T157" s="21" t="s">
        <v>55</v>
      </c>
    </row>
    <row r="158" spans="1:20" ht="16.5">
      <c r="A158" s="11" t="s">
        <v>46</v>
      </c>
      <c r="B158" s="11" t="s">
        <v>60</v>
      </c>
      <c r="C158" s="11" t="s">
        <v>62</v>
      </c>
      <c r="D158" s="15" t="s">
        <v>625</v>
      </c>
      <c r="E158" s="11" t="s">
        <v>71</v>
      </c>
      <c r="F158" s="11" t="s">
        <v>72</v>
      </c>
      <c r="G158" s="12" t="s">
        <v>715</v>
      </c>
      <c r="H158" s="23" t="s">
        <v>716</v>
      </c>
      <c r="I158" s="11" t="s">
        <v>65</v>
      </c>
      <c r="J158" s="14">
        <v>1</v>
      </c>
      <c r="K158" s="14" t="s">
        <v>706</v>
      </c>
      <c r="L158" s="14" t="s">
        <v>717</v>
      </c>
      <c r="M158" s="15" t="s">
        <v>629</v>
      </c>
      <c r="N158" s="15" t="s">
        <v>76</v>
      </c>
      <c r="O158" s="15" t="s">
        <v>718</v>
      </c>
      <c r="P158" s="15"/>
      <c r="Q158" s="12" t="s">
        <v>69</v>
      </c>
      <c r="R158" s="16" t="s">
        <v>54</v>
      </c>
      <c r="S158" s="12" t="s">
        <v>714</v>
      </c>
      <c r="T158" s="14" t="s">
        <v>55</v>
      </c>
    </row>
    <row r="159" spans="1:20" ht="16.5">
      <c r="A159" s="17" t="s">
        <v>46</v>
      </c>
      <c r="B159" s="17" t="s">
        <v>60</v>
      </c>
      <c r="C159" s="17" t="s">
        <v>62</v>
      </c>
      <c r="D159" s="19" t="s">
        <v>625</v>
      </c>
      <c r="E159" s="17" t="s">
        <v>71</v>
      </c>
      <c r="F159" s="17" t="s">
        <v>72</v>
      </c>
      <c r="G159" s="18" t="s">
        <v>719</v>
      </c>
      <c r="H159" s="24" t="s">
        <v>716</v>
      </c>
      <c r="I159" s="17" t="s">
        <v>65</v>
      </c>
      <c r="J159" s="21">
        <v>1</v>
      </c>
      <c r="K159" s="21" t="s">
        <v>706</v>
      </c>
      <c r="L159" s="21" t="s">
        <v>720</v>
      </c>
      <c r="M159" s="19" t="s">
        <v>629</v>
      </c>
      <c r="N159" s="19" t="s">
        <v>76</v>
      </c>
      <c r="O159" s="19" t="s">
        <v>721</v>
      </c>
      <c r="P159" s="19"/>
      <c r="Q159" s="18" t="s">
        <v>69</v>
      </c>
      <c r="R159" s="16" t="s">
        <v>54</v>
      </c>
      <c r="S159" s="18" t="s">
        <v>714</v>
      </c>
      <c r="T159" s="21" t="s">
        <v>55</v>
      </c>
    </row>
    <row r="160" spans="1:20" ht="16.5">
      <c r="A160" s="11" t="s">
        <v>46</v>
      </c>
      <c r="B160" s="11" t="s">
        <v>60</v>
      </c>
      <c r="C160" s="11" t="s">
        <v>62</v>
      </c>
      <c r="D160" s="15" t="s">
        <v>625</v>
      </c>
      <c r="E160" s="11" t="s">
        <v>71</v>
      </c>
      <c r="F160" s="11" t="s">
        <v>72</v>
      </c>
      <c r="G160" s="12" t="s">
        <v>722</v>
      </c>
      <c r="H160" s="23" t="s">
        <v>716</v>
      </c>
      <c r="I160" s="11" t="s">
        <v>65</v>
      </c>
      <c r="J160" s="14">
        <v>1</v>
      </c>
      <c r="K160" s="14" t="s">
        <v>706</v>
      </c>
      <c r="L160" s="14" t="s">
        <v>723</v>
      </c>
      <c r="M160" s="15" t="s">
        <v>629</v>
      </c>
      <c r="N160" s="15" t="s">
        <v>76</v>
      </c>
      <c r="O160" s="15" t="s">
        <v>724</v>
      </c>
      <c r="P160" s="15"/>
      <c r="Q160" s="12" t="s">
        <v>69</v>
      </c>
      <c r="R160" s="16" t="s">
        <v>54</v>
      </c>
      <c r="S160" s="12" t="s">
        <v>714</v>
      </c>
      <c r="T160" s="14" t="s">
        <v>55</v>
      </c>
    </row>
    <row r="161" spans="1:20" ht="16.5">
      <c r="A161" s="17" t="s">
        <v>46</v>
      </c>
      <c r="B161" s="17" t="s">
        <v>60</v>
      </c>
      <c r="C161" s="17" t="s">
        <v>62</v>
      </c>
      <c r="D161" s="19" t="s">
        <v>625</v>
      </c>
      <c r="E161" s="17" t="s">
        <v>71</v>
      </c>
      <c r="F161" s="17" t="s">
        <v>72</v>
      </c>
      <c r="G161" s="18" t="s">
        <v>725</v>
      </c>
      <c r="H161" s="24" t="s">
        <v>716</v>
      </c>
      <c r="I161" s="17" t="s">
        <v>65</v>
      </c>
      <c r="J161" s="21">
        <v>1</v>
      </c>
      <c r="K161" s="21" t="s">
        <v>706</v>
      </c>
      <c r="L161" s="21" t="s">
        <v>726</v>
      </c>
      <c r="M161" s="19" t="s">
        <v>629</v>
      </c>
      <c r="N161" s="19" t="s">
        <v>76</v>
      </c>
      <c r="O161" s="19" t="s">
        <v>727</v>
      </c>
      <c r="P161" s="19"/>
      <c r="Q161" s="18" t="s">
        <v>69</v>
      </c>
      <c r="R161" s="16" t="s">
        <v>54</v>
      </c>
      <c r="S161" s="18" t="s">
        <v>714</v>
      </c>
      <c r="T161" s="21" t="s">
        <v>55</v>
      </c>
    </row>
    <row r="162" spans="1:20" ht="16.5">
      <c r="A162" s="11" t="s">
        <v>46</v>
      </c>
      <c r="B162" s="11" t="s">
        <v>60</v>
      </c>
      <c r="C162" s="11" t="s">
        <v>62</v>
      </c>
      <c r="D162" s="15" t="s">
        <v>625</v>
      </c>
      <c r="E162" s="11" t="s">
        <v>81</v>
      </c>
      <c r="F162" s="11" t="s">
        <v>82</v>
      </c>
      <c r="G162" s="15" t="s">
        <v>728</v>
      </c>
      <c r="H162" s="23" t="s">
        <v>729</v>
      </c>
      <c r="I162" s="11" t="s">
        <v>65</v>
      </c>
      <c r="J162" s="14">
        <v>1</v>
      </c>
      <c r="K162" s="14" t="s">
        <v>706</v>
      </c>
      <c r="L162" s="14" t="s">
        <v>730</v>
      </c>
      <c r="M162" s="15" t="s">
        <v>629</v>
      </c>
      <c r="N162" s="15" t="s">
        <v>86</v>
      </c>
      <c r="O162" s="15" t="s">
        <v>731</v>
      </c>
      <c r="P162" s="15"/>
      <c r="Q162" s="12" t="s">
        <v>53</v>
      </c>
      <c r="R162" s="22" t="s">
        <v>88</v>
      </c>
      <c r="S162" s="12" t="s">
        <v>714</v>
      </c>
      <c r="T162" s="14" t="s">
        <v>55</v>
      </c>
    </row>
    <row r="163" spans="1:20" ht="16.5">
      <c r="A163" s="17" t="s">
        <v>46</v>
      </c>
      <c r="B163" s="17" t="s">
        <v>60</v>
      </c>
      <c r="C163" s="17" t="s">
        <v>62</v>
      </c>
      <c r="D163" s="19" t="s">
        <v>625</v>
      </c>
      <c r="E163" s="17" t="s">
        <v>81</v>
      </c>
      <c r="F163" s="17" t="s">
        <v>82</v>
      </c>
      <c r="G163" s="19" t="s">
        <v>732</v>
      </c>
      <c r="H163" s="24" t="s">
        <v>733</v>
      </c>
      <c r="I163" s="17" t="s">
        <v>65</v>
      </c>
      <c r="J163" s="21">
        <v>1</v>
      </c>
      <c r="K163" s="21" t="s">
        <v>706</v>
      </c>
      <c r="L163" s="21" t="s">
        <v>734</v>
      </c>
      <c r="M163" s="19" t="s">
        <v>629</v>
      </c>
      <c r="N163" s="19" t="s">
        <v>86</v>
      </c>
      <c r="O163" s="19" t="s">
        <v>735</v>
      </c>
      <c r="P163" s="19"/>
      <c r="Q163" s="18" t="s">
        <v>53</v>
      </c>
      <c r="R163" s="22" t="s">
        <v>88</v>
      </c>
      <c r="S163" s="18" t="s">
        <v>714</v>
      </c>
      <c r="T163" s="21" t="s">
        <v>55</v>
      </c>
    </row>
    <row r="164" spans="1:20" ht="16.5">
      <c r="A164" s="11" t="s">
        <v>46</v>
      </c>
      <c r="B164" s="11" t="s">
        <v>60</v>
      </c>
      <c r="C164" s="11" t="s">
        <v>62</v>
      </c>
      <c r="D164" s="15" t="s">
        <v>625</v>
      </c>
      <c r="E164" s="11" t="s">
        <v>81</v>
      </c>
      <c r="F164" s="11" t="s">
        <v>82</v>
      </c>
      <c r="G164" s="15" t="s">
        <v>736</v>
      </c>
      <c r="H164" s="23" t="s">
        <v>737</v>
      </c>
      <c r="I164" s="11" t="s">
        <v>65</v>
      </c>
      <c r="J164" s="14">
        <v>1</v>
      </c>
      <c r="K164" s="14" t="s">
        <v>706</v>
      </c>
      <c r="L164" s="14" t="s">
        <v>738</v>
      </c>
      <c r="M164" s="15" t="s">
        <v>629</v>
      </c>
      <c r="N164" s="15" t="s">
        <v>86</v>
      </c>
      <c r="O164" s="15" t="s">
        <v>739</v>
      </c>
      <c r="P164" s="15"/>
      <c r="Q164" s="12" t="s">
        <v>53</v>
      </c>
      <c r="R164" s="22" t="s">
        <v>88</v>
      </c>
      <c r="S164" s="12" t="s">
        <v>714</v>
      </c>
      <c r="T164" s="14" t="s">
        <v>55</v>
      </c>
    </row>
    <row r="165" spans="1:20" ht="16.5">
      <c r="A165" s="17" t="s">
        <v>46</v>
      </c>
      <c r="B165" s="17" t="s">
        <v>60</v>
      </c>
      <c r="C165" s="17" t="s">
        <v>62</v>
      </c>
      <c r="D165" s="19" t="s">
        <v>625</v>
      </c>
      <c r="E165" s="17" t="s">
        <v>81</v>
      </c>
      <c r="F165" s="17" t="s">
        <v>82</v>
      </c>
      <c r="G165" s="19" t="s">
        <v>740</v>
      </c>
      <c r="H165" s="24" t="s">
        <v>741</v>
      </c>
      <c r="I165" s="17" t="s">
        <v>65</v>
      </c>
      <c r="J165" s="21">
        <v>1</v>
      </c>
      <c r="K165" s="21" t="s">
        <v>706</v>
      </c>
      <c r="L165" s="21" t="s">
        <v>742</v>
      </c>
      <c r="M165" s="19" t="s">
        <v>629</v>
      </c>
      <c r="N165" s="19" t="s">
        <v>86</v>
      </c>
      <c r="O165" s="19" t="s">
        <v>743</v>
      </c>
      <c r="P165" s="19"/>
      <c r="Q165" s="18" t="s">
        <v>53</v>
      </c>
      <c r="R165" s="22" t="s">
        <v>88</v>
      </c>
      <c r="S165" s="18" t="s">
        <v>714</v>
      </c>
      <c r="T165" s="21" t="s">
        <v>55</v>
      </c>
    </row>
    <row r="166" spans="1:20" ht="16.5">
      <c r="A166" s="11" t="s">
        <v>46</v>
      </c>
      <c r="B166" s="11" t="s">
        <v>60</v>
      </c>
      <c r="C166" s="11" t="s">
        <v>44</v>
      </c>
      <c r="D166" s="12" t="s">
        <v>46</v>
      </c>
      <c r="E166" s="11" t="s">
        <v>61</v>
      </c>
      <c r="F166" s="11" t="s">
        <v>62</v>
      </c>
      <c r="G166" s="12" t="s">
        <v>744</v>
      </c>
      <c r="H166" s="13" t="s">
        <v>745</v>
      </c>
      <c r="I166" s="11" t="s">
        <v>65</v>
      </c>
      <c r="J166" s="14">
        <v>1</v>
      </c>
      <c r="K166" s="14" t="s">
        <v>706</v>
      </c>
      <c r="L166" s="14" t="s">
        <v>746</v>
      </c>
      <c r="M166" s="15" t="s">
        <v>52</v>
      </c>
      <c r="N166" s="15" t="s">
        <v>67</v>
      </c>
      <c r="O166" s="15" t="s">
        <v>747</v>
      </c>
      <c r="P166" s="15"/>
      <c r="Q166" s="12" t="s">
        <v>69</v>
      </c>
      <c r="R166" s="16" t="s">
        <v>54</v>
      </c>
      <c r="S166" s="12" t="s">
        <v>714</v>
      </c>
      <c r="T166" s="14" t="s">
        <v>55</v>
      </c>
    </row>
    <row r="167" spans="1:20" ht="16.5">
      <c r="A167" s="17" t="s">
        <v>46</v>
      </c>
      <c r="B167" s="17" t="s">
        <v>60</v>
      </c>
      <c r="C167" s="17" t="s">
        <v>62</v>
      </c>
      <c r="D167" s="18" t="s">
        <v>744</v>
      </c>
      <c r="E167" s="17" t="s">
        <v>71</v>
      </c>
      <c r="F167" s="17" t="s">
        <v>72</v>
      </c>
      <c r="G167" s="18" t="s">
        <v>748</v>
      </c>
      <c r="H167" s="20" t="s">
        <v>749</v>
      </c>
      <c r="I167" s="17" t="s">
        <v>65</v>
      </c>
      <c r="J167" s="21">
        <v>1</v>
      </c>
      <c r="K167" s="21" t="s">
        <v>706</v>
      </c>
      <c r="L167" s="21" t="s">
        <v>750</v>
      </c>
      <c r="M167" s="19" t="s">
        <v>747</v>
      </c>
      <c r="N167" s="19" t="s">
        <v>76</v>
      </c>
      <c r="O167" s="19" t="s">
        <v>751</v>
      </c>
      <c r="P167" s="19"/>
      <c r="Q167" s="18" t="s">
        <v>69</v>
      </c>
      <c r="R167" s="16" t="s">
        <v>54</v>
      </c>
      <c r="S167" s="18" t="s">
        <v>714</v>
      </c>
      <c r="T167" s="21" t="s">
        <v>55</v>
      </c>
    </row>
    <row r="168" spans="1:20" ht="16.5">
      <c r="A168" s="11" t="s">
        <v>46</v>
      </c>
      <c r="B168" s="11" t="s">
        <v>60</v>
      </c>
      <c r="C168" s="11" t="s">
        <v>62</v>
      </c>
      <c r="D168" s="12" t="s">
        <v>744</v>
      </c>
      <c r="E168" s="11" t="s">
        <v>71</v>
      </c>
      <c r="F168" s="11" t="s">
        <v>72</v>
      </c>
      <c r="G168" s="12" t="s">
        <v>752</v>
      </c>
      <c r="H168" s="13" t="s">
        <v>749</v>
      </c>
      <c r="I168" s="11" t="s">
        <v>65</v>
      </c>
      <c r="J168" s="14">
        <v>1</v>
      </c>
      <c r="K168" s="14" t="s">
        <v>706</v>
      </c>
      <c r="L168" s="14" t="s">
        <v>753</v>
      </c>
      <c r="M168" s="15" t="s">
        <v>747</v>
      </c>
      <c r="N168" s="15" t="s">
        <v>76</v>
      </c>
      <c r="O168" s="15" t="s">
        <v>754</v>
      </c>
      <c r="P168" s="15"/>
      <c r="Q168" s="12" t="s">
        <v>69</v>
      </c>
      <c r="R168" s="16" t="s">
        <v>54</v>
      </c>
      <c r="S168" s="12" t="s">
        <v>714</v>
      </c>
      <c r="T168" s="14" t="s">
        <v>55</v>
      </c>
    </row>
    <row r="169" spans="1:20" ht="16.5">
      <c r="A169" s="17" t="s">
        <v>46</v>
      </c>
      <c r="B169" s="17" t="s">
        <v>60</v>
      </c>
      <c r="C169" s="17" t="s">
        <v>62</v>
      </c>
      <c r="D169" s="18" t="s">
        <v>744</v>
      </c>
      <c r="E169" s="17" t="s">
        <v>81</v>
      </c>
      <c r="F169" s="17" t="s">
        <v>82</v>
      </c>
      <c r="G169" s="18" t="s">
        <v>755</v>
      </c>
      <c r="H169" s="20" t="s">
        <v>756</v>
      </c>
      <c r="I169" s="17" t="s">
        <v>65</v>
      </c>
      <c r="J169" s="21">
        <v>1</v>
      </c>
      <c r="K169" s="21" t="s">
        <v>706</v>
      </c>
      <c r="L169" s="21" t="s">
        <v>757</v>
      </c>
      <c r="M169" s="19" t="s">
        <v>747</v>
      </c>
      <c r="N169" s="19" t="s">
        <v>86</v>
      </c>
      <c r="O169" s="19" t="s">
        <v>758</v>
      </c>
      <c r="P169" s="19"/>
      <c r="Q169" s="18" t="s">
        <v>53</v>
      </c>
      <c r="R169" s="22" t="s">
        <v>88</v>
      </c>
      <c r="S169" s="18" t="s">
        <v>714</v>
      </c>
      <c r="T169" s="21" t="s">
        <v>55</v>
      </c>
    </row>
    <row r="170" spans="1:20" ht="16.5">
      <c r="A170" s="11" t="s">
        <v>46</v>
      </c>
      <c r="B170" s="11" t="s">
        <v>60</v>
      </c>
      <c r="C170" s="11" t="s">
        <v>62</v>
      </c>
      <c r="D170" s="12" t="s">
        <v>744</v>
      </c>
      <c r="E170" s="11" t="s">
        <v>81</v>
      </c>
      <c r="F170" s="11" t="s">
        <v>82</v>
      </c>
      <c r="G170" s="12" t="s">
        <v>759</v>
      </c>
      <c r="H170" s="13" t="s">
        <v>760</v>
      </c>
      <c r="I170" s="11" t="s">
        <v>65</v>
      </c>
      <c r="J170" s="14">
        <v>1</v>
      </c>
      <c r="K170" s="14" t="s">
        <v>706</v>
      </c>
      <c r="L170" s="14" t="s">
        <v>761</v>
      </c>
      <c r="M170" s="15" t="s">
        <v>747</v>
      </c>
      <c r="N170" s="15" t="s">
        <v>86</v>
      </c>
      <c r="O170" s="15" t="s">
        <v>762</v>
      </c>
      <c r="P170" s="15"/>
      <c r="Q170" s="12" t="s">
        <v>53</v>
      </c>
      <c r="R170" s="22" t="s">
        <v>88</v>
      </c>
      <c r="S170" s="12" t="s">
        <v>714</v>
      </c>
      <c r="T170" s="14" t="s">
        <v>55</v>
      </c>
    </row>
    <row r="171" spans="1:20" ht="16.5">
      <c r="A171" s="17" t="s">
        <v>46</v>
      </c>
      <c r="B171" s="17" t="s">
        <v>60</v>
      </c>
      <c r="C171" s="17" t="s">
        <v>62</v>
      </c>
      <c r="D171" s="18" t="s">
        <v>744</v>
      </c>
      <c r="E171" s="17" t="s">
        <v>81</v>
      </c>
      <c r="F171" s="17" t="s">
        <v>82</v>
      </c>
      <c r="G171" s="18" t="s">
        <v>763</v>
      </c>
      <c r="H171" s="20" t="s">
        <v>764</v>
      </c>
      <c r="I171" s="17" t="s">
        <v>65</v>
      </c>
      <c r="J171" s="21">
        <v>1</v>
      </c>
      <c r="K171" s="21" t="s">
        <v>706</v>
      </c>
      <c r="L171" s="21" t="s">
        <v>765</v>
      </c>
      <c r="M171" s="19" t="s">
        <v>747</v>
      </c>
      <c r="N171" s="19" t="s">
        <v>86</v>
      </c>
      <c r="O171" s="19" t="s">
        <v>766</v>
      </c>
      <c r="P171" s="19"/>
      <c r="Q171" s="18" t="s">
        <v>53</v>
      </c>
      <c r="R171" s="22" t="s">
        <v>88</v>
      </c>
      <c r="S171" s="18" t="s">
        <v>714</v>
      </c>
      <c r="T171" s="21" t="s">
        <v>55</v>
      </c>
    </row>
    <row r="172" spans="1:20" ht="16.5">
      <c r="A172" s="11" t="s">
        <v>46</v>
      </c>
      <c r="B172" s="11" t="s">
        <v>60</v>
      </c>
      <c r="C172" s="11" t="s">
        <v>44</v>
      </c>
      <c r="D172" s="12" t="s">
        <v>46</v>
      </c>
      <c r="E172" s="11" t="s">
        <v>61</v>
      </c>
      <c r="F172" s="11" t="s">
        <v>62</v>
      </c>
      <c r="G172" s="12" t="s">
        <v>767</v>
      </c>
      <c r="H172" s="13" t="s">
        <v>768</v>
      </c>
      <c r="I172" s="11" t="s">
        <v>65</v>
      </c>
      <c r="J172" s="14">
        <v>1</v>
      </c>
      <c r="K172" s="14" t="s">
        <v>706</v>
      </c>
      <c r="L172" s="14" t="s">
        <v>769</v>
      </c>
      <c r="M172" s="15" t="s">
        <v>52</v>
      </c>
      <c r="N172" s="15" t="s">
        <v>67</v>
      </c>
      <c r="O172" s="15" t="s">
        <v>770</v>
      </c>
      <c r="P172" s="15"/>
      <c r="Q172" s="12" t="s">
        <v>69</v>
      </c>
      <c r="R172" s="16" t="s">
        <v>54</v>
      </c>
      <c r="S172" s="12" t="s">
        <v>714</v>
      </c>
      <c r="T172" s="14" t="s">
        <v>55</v>
      </c>
    </row>
    <row r="173" spans="1:20" ht="16.5">
      <c r="A173" s="17" t="s">
        <v>46</v>
      </c>
      <c r="B173" s="17" t="s">
        <v>60</v>
      </c>
      <c r="C173" s="17" t="s">
        <v>62</v>
      </c>
      <c r="D173" s="18" t="s">
        <v>767</v>
      </c>
      <c r="E173" s="17" t="s">
        <v>81</v>
      </c>
      <c r="F173" s="17" t="s">
        <v>82</v>
      </c>
      <c r="G173" s="18" t="s">
        <v>771</v>
      </c>
      <c r="H173" s="20" t="s">
        <v>772</v>
      </c>
      <c r="I173" s="17" t="s">
        <v>65</v>
      </c>
      <c r="J173" s="21">
        <v>1</v>
      </c>
      <c r="K173" s="21" t="s">
        <v>706</v>
      </c>
      <c r="L173" s="21" t="s">
        <v>773</v>
      </c>
      <c r="M173" s="19" t="s">
        <v>770</v>
      </c>
      <c r="N173" s="19" t="s">
        <v>86</v>
      </c>
      <c r="O173" s="19" t="s">
        <v>774</v>
      </c>
      <c r="P173" s="19"/>
      <c r="Q173" s="18" t="s">
        <v>53</v>
      </c>
      <c r="R173" s="22" t="s">
        <v>88</v>
      </c>
      <c r="S173" s="18" t="s">
        <v>714</v>
      </c>
      <c r="T173" s="21" t="s">
        <v>55</v>
      </c>
    </row>
    <row r="174" spans="1:20" ht="16.5">
      <c r="A174" s="11" t="s">
        <v>46</v>
      </c>
      <c r="B174" s="11" t="s">
        <v>60</v>
      </c>
      <c r="C174" s="11" t="s">
        <v>44</v>
      </c>
      <c r="D174" s="12" t="s">
        <v>46</v>
      </c>
      <c r="E174" s="11" t="s">
        <v>61</v>
      </c>
      <c r="F174" s="11" t="s">
        <v>62</v>
      </c>
      <c r="G174" s="12" t="s">
        <v>775</v>
      </c>
      <c r="H174" s="13" t="s">
        <v>776</v>
      </c>
      <c r="I174" s="11" t="s">
        <v>65</v>
      </c>
      <c r="J174" s="14">
        <v>1</v>
      </c>
      <c r="K174" s="14" t="s">
        <v>706</v>
      </c>
      <c r="L174" s="14" t="s">
        <v>777</v>
      </c>
      <c r="M174" s="15" t="s">
        <v>52</v>
      </c>
      <c r="N174" s="15" t="s">
        <v>67</v>
      </c>
      <c r="O174" s="15" t="s">
        <v>778</v>
      </c>
      <c r="P174" s="15"/>
      <c r="Q174" s="12" t="s">
        <v>69</v>
      </c>
      <c r="R174" s="16" t="s">
        <v>54</v>
      </c>
      <c r="S174" s="12" t="s">
        <v>714</v>
      </c>
      <c r="T174" s="14" t="s">
        <v>55</v>
      </c>
    </row>
    <row r="175" spans="1:20" ht="16.5">
      <c r="A175" s="17" t="s">
        <v>46</v>
      </c>
      <c r="B175" s="17" t="s">
        <v>60</v>
      </c>
      <c r="C175" s="17" t="s">
        <v>62</v>
      </c>
      <c r="D175" s="18" t="s">
        <v>775</v>
      </c>
      <c r="E175" s="17" t="s">
        <v>81</v>
      </c>
      <c r="F175" s="17" t="s">
        <v>82</v>
      </c>
      <c r="G175" s="18" t="s">
        <v>779</v>
      </c>
      <c r="H175" s="20" t="s">
        <v>780</v>
      </c>
      <c r="I175" s="17" t="s">
        <v>65</v>
      </c>
      <c r="J175" s="21">
        <v>1</v>
      </c>
      <c r="K175" s="21" t="s">
        <v>706</v>
      </c>
      <c r="L175" s="21" t="s">
        <v>781</v>
      </c>
      <c r="M175" s="19" t="s">
        <v>778</v>
      </c>
      <c r="N175" s="19" t="s">
        <v>86</v>
      </c>
      <c r="O175" s="19" t="s">
        <v>782</v>
      </c>
      <c r="P175" s="19"/>
      <c r="Q175" s="18" t="s">
        <v>53</v>
      </c>
      <c r="R175" s="22" t="s">
        <v>88</v>
      </c>
      <c r="S175" s="18" t="s">
        <v>714</v>
      </c>
      <c r="T175" s="21" t="s">
        <v>55</v>
      </c>
    </row>
    <row r="176" spans="1:20" ht="16.5">
      <c r="A176" s="11" t="s">
        <v>46</v>
      </c>
      <c r="B176" s="11" t="s">
        <v>60</v>
      </c>
      <c r="C176" s="11" t="s">
        <v>44</v>
      </c>
      <c r="D176" s="12" t="s">
        <v>46</v>
      </c>
      <c r="E176" s="11" t="s">
        <v>61</v>
      </c>
      <c r="F176" s="11" t="s">
        <v>62</v>
      </c>
      <c r="G176" s="12" t="s">
        <v>621</v>
      </c>
      <c r="H176" s="13" t="s">
        <v>783</v>
      </c>
      <c r="I176" s="11" t="s">
        <v>65</v>
      </c>
      <c r="J176" s="14">
        <v>1</v>
      </c>
      <c r="K176" s="14" t="s">
        <v>706</v>
      </c>
      <c r="L176" s="14" t="s">
        <v>784</v>
      </c>
      <c r="M176" s="15" t="s">
        <v>52</v>
      </c>
      <c r="N176" s="15" t="s">
        <v>67</v>
      </c>
      <c r="O176" s="15" t="s">
        <v>623</v>
      </c>
      <c r="P176" s="15"/>
      <c r="Q176" s="12" t="s">
        <v>69</v>
      </c>
      <c r="R176" s="16" t="s">
        <v>54</v>
      </c>
      <c r="S176" s="12" t="s">
        <v>714</v>
      </c>
      <c r="T176" s="14" t="s">
        <v>55</v>
      </c>
    </row>
    <row r="177" spans="1:20" ht="16.5">
      <c r="A177" s="17" t="s">
        <v>46</v>
      </c>
      <c r="B177" s="17" t="s">
        <v>60</v>
      </c>
      <c r="C177" s="17" t="s">
        <v>62</v>
      </c>
      <c r="D177" s="18" t="s">
        <v>621</v>
      </c>
      <c r="E177" s="17" t="s">
        <v>81</v>
      </c>
      <c r="F177" s="17" t="s">
        <v>82</v>
      </c>
      <c r="G177" s="18" t="s">
        <v>785</v>
      </c>
      <c r="H177" s="20" t="s">
        <v>786</v>
      </c>
      <c r="I177" s="17" t="s">
        <v>65</v>
      </c>
      <c r="J177" s="21">
        <v>1</v>
      </c>
      <c r="K177" s="21" t="s">
        <v>706</v>
      </c>
      <c r="L177" s="21" t="s">
        <v>787</v>
      </c>
      <c r="M177" s="19" t="s">
        <v>623</v>
      </c>
      <c r="N177" s="19" t="s">
        <v>86</v>
      </c>
      <c r="O177" s="19" t="s">
        <v>788</v>
      </c>
      <c r="P177" s="19"/>
      <c r="Q177" s="18" t="s">
        <v>53</v>
      </c>
      <c r="R177" s="22" t="s">
        <v>88</v>
      </c>
      <c r="S177" s="18" t="s">
        <v>714</v>
      </c>
      <c r="T177" s="21" t="s">
        <v>55</v>
      </c>
    </row>
    <row r="178" spans="1:20" ht="16.5">
      <c r="A178" s="11" t="s">
        <v>46</v>
      </c>
      <c r="B178" s="11" t="s">
        <v>60</v>
      </c>
      <c r="C178" s="11" t="s">
        <v>62</v>
      </c>
      <c r="D178" s="15" t="s">
        <v>625</v>
      </c>
      <c r="E178" s="11" t="s">
        <v>203</v>
      </c>
      <c r="F178" s="11" t="s">
        <v>204</v>
      </c>
      <c r="G178" s="12" t="s">
        <v>789</v>
      </c>
      <c r="H178" s="13" t="s">
        <v>790</v>
      </c>
      <c r="I178" s="11" t="s">
        <v>65</v>
      </c>
      <c r="J178" s="14">
        <v>1</v>
      </c>
      <c r="K178" s="14" t="s">
        <v>706</v>
      </c>
      <c r="L178" s="14" t="s">
        <v>791</v>
      </c>
      <c r="M178" s="15" t="s">
        <v>629</v>
      </c>
      <c r="N178" s="15" t="s">
        <v>208</v>
      </c>
      <c r="O178" s="15" t="s">
        <v>792</v>
      </c>
      <c r="P178" s="15" t="s">
        <v>793</v>
      </c>
      <c r="Q178" s="15" t="s">
        <v>211</v>
      </c>
      <c r="R178" s="16" t="s">
        <v>54</v>
      </c>
      <c r="S178" s="12" t="s">
        <v>714</v>
      </c>
      <c r="T178" s="14" t="s">
        <v>55</v>
      </c>
    </row>
    <row r="179" spans="1:20" ht="16.5">
      <c r="A179" s="17" t="s">
        <v>46</v>
      </c>
      <c r="B179" s="17" t="s">
        <v>60</v>
      </c>
      <c r="C179" s="17" t="s">
        <v>62</v>
      </c>
      <c r="D179" s="19" t="s">
        <v>625</v>
      </c>
      <c r="E179" s="17" t="s">
        <v>203</v>
      </c>
      <c r="F179" s="17" t="s">
        <v>204</v>
      </c>
      <c r="G179" s="18" t="s">
        <v>794</v>
      </c>
      <c r="H179" s="20" t="s">
        <v>795</v>
      </c>
      <c r="I179" s="17" t="s">
        <v>65</v>
      </c>
      <c r="J179" s="21">
        <v>1</v>
      </c>
      <c r="K179" s="21" t="s">
        <v>706</v>
      </c>
      <c r="L179" s="21" t="s">
        <v>796</v>
      </c>
      <c r="M179" s="19" t="s">
        <v>629</v>
      </c>
      <c r="N179" s="19" t="s">
        <v>208</v>
      </c>
      <c r="O179" s="19" t="s">
        <v>797</v>
      </c>
      <c r="P179" s="19" t="s">
        <v>798</v>
      </c>
      <c r="Q179" s="19" t="s">
        <v>211</v>
      </c>
      <c r="R179" s="16" t="s">
        <v>54</v>
      </c>
      <c r="S179" s="18" t="s">
        <v>714</v>
      </c>
      <c r="T179" s="21" t="s">
        <v>55</v>
      </c>
    </row>
    <row r="180" spans="1:20" ht="16.5">
      <c r="A180" s="11" t="s">
        <v>46</v>
      </c>
      <c r="B180" s="11" t="s">
        <v>60</v>
      </c>
      <c r="C180" s="11" t="s">
        <v>62</v>
      </c>
      <c r="D180" s="15" t="s">
        <v>625</v>
      </c>
      <c r="E180" s="11" t="s">
        <v>203</v>
      </c>
      <c r="F180" s="11" t="s">
        <v>204</v>
      </c>
      <c r="G180" s="12" t="s">
        <v>799</v>
      </c>
      <c r="H180" s="23" t="s">
        <v>800</v>
      </c>
      <c r="I180" s="11" t="s">
        <v>65</v>
      </c>
      <c r="J180" s="14">
        <v>1</v>
      </c>
      <c r="K180" s="14" t="s">
        <v>706</v>
      </c>
      <c r="L180" s="14" t="s">
        <v>801</v>
      </c>
      <c r="M180" s="15" t="s">
        <v>629</v>
      </c>
      <c r="N180" s="15" t="s">
        <v>208</v>
      </c>
      <c r="O180" s="15" t="s">
        <v>802</v>
      </c>
      <c r="P180" s="15" t="s">
        <v>803</v>
      </c>
      <c r="Q180" s="15" t="s">
        <v>211</v>
      </c>
      <c r="R180" s="16" t="s">
        <v>54</v>
      </c>
      <c r="S180" s="12" t="s">
        <v>714</v>
      </c>
      <c r="T180" s="14" t="s">
        <v>55</v>
      </c>
    </row>
    <row r="181" spans="1:20" ht="16.5">
      <c r="A181" s="17" t="s">
        <v>46</v>
      </c>
      <c r="B181" s="17" t="s">
        <v>60</v>
      </c>
      <c r="C181" s="17" t="s">
        <v>62</v>
      </c>
      <c r="D181" s="19" t="s">
        <v>625</v>
      </c>
      <c r="E181" s="17" t="s">
        <v>203</v>
      </c>
      <c r="F181" s="17" t="s">
        <v>204</v>
      </c>
      <c r="G181" s="19" t="s">
        <v>804</v>
      </c>
      <c r="H181" s="20" t="s">
        <v>805</v>
      </c>
      <c r="I181" s="17" t="s">
        <v>65</v>
      </c>
      <c r="J181" s="21">
        <v>1</v>
      </c>
      <c r="K181" s="21" t="s">
        <v>706</v>
      </c>
      <c r="L181" s="21" t="s">
        <v>806</v>
      </c>
      <c r="M181" s="19" t="s">
        <v>629</v>
      </c>
      <c r="N181" s="19" t="s">
        <v>208</v>
      </c>
      <c r="O181" s="19" t="s">
        <v>807</v>
      </c>
      <c r="P181" s="19" t="s">
        <v>808</v>
      </c>
      <c r="Q181" s="19" t="s">
        <v>211</v>
      </c>
      <c r="R181" s="16" t="s">
        <v>54</v>
      </c>
      <c r="S181" s="18" t="s">
        <v>714</v>
      </c>
      <c r="T181" s="21" t="s">
        <v>55</v>
      </c>
    </row>
    <row r="182" spans="1:20" ht="16.5">
      <c r="A182" s="11" t="s">
        <v>46</v>
      </c>
      <c r="B182" s="11" t="s">
        <v>60</v>
      </c>
      <c r="C182" s="11" t="s">
        <v>62</v>
      </c>
      <c r="D182" s="15" t="s">
        <v>625</v>
      </c>
      <c r="E182" s="11" t="s">
        <v>203</v>
      </c>
      <c r="F182" s="11" t="s">
        <v>204</v>
      </c>
      <c r="G182" s="15" t="s">
        <v>809</v>
      </c>
      <c r="H182" s="23" t="s">
        <v>810</v>
      </c>
      <c r="I182" s="11" t="s">
        <v>65</v>
      </c>
      <c r="J182" s="14">
        <v>1</v>
      </c>
      <c r="K182" s="14" t="s">
        <v>706</v>
      </c>
      <c r="L182" s="14" t="s">
        <v>811</v>
      </c>
      <c r="M182" s="15" t="s">
        <v>629</v>
      </c>
      <c r="N182" s="15" t="s">
        <v>208</v>
      </c>
      <c r="O182" s="15" t="s">
        <v>812</v>
      </c>
      <c r="P182" s="15" t="s">
        <v>813</v>
      </c>
      <c r="Q182" s="15" t="s">
        <v>211</v>
      </c>
      <c r="R182" s="16" t="s">
        <v>54</v>
      </c>
      <c r="S182" s="12" t="s">
        <v>714</v>
      </c>
      <c r="T182" s="14" t="s">
        <v>55</v>
      </c>
    </row>
    <row r="183" spans="1:20" ht="16.5">
      <c r="A183" s="17" t="s">
        <v>46</v>
      </c>
      <c r="B183" s="17" t="s">
        <v>60</v>
      </c>
      <c r="C183" s="17" t="s">
        <v>62</v>
      </c>
      <c r="D183" s="18" t="s">
        <v>744</v>
      </c>
      <c r="E183" s="17" t="s">
        <v>203</v>
      </c>
      <c r="F183" s="17" t="s">
        <v>204</v>
      </c>
      <c r="G183" s="18" t="s">
        <v>814</v>
      </c>
      <c r="H183" s="20" t="s">
        <v>815</v>
      </c>
      <c r="I183" s="17" t="s">
        <v>65</v>
      </c>
      <c r="J183" s="21">
        <v>1</v>
      </c>
      <c r="K183" s="21" t="s">
        <v>706</v>
      </c>
      <c r="L183" s="21" t="s">
        <v>816</v>
      </c>
      <c r="M183" s="19" t="s">
        <v>747</v>
      </c>
      <c r="N183" s="19" t="s">
        <v>208</v>
      </c>
      <c r="O183" s="19" t="s">
        <v>817</v>
      </c>
      <c r="P183" s="19" t="s">
        <v>818</v>
      </c>
      <c r="Q183" s="19" t="s">
        <v>211</v>
      </c>
      <c r="R183" s="16" t="s">
        <v>54</v>
      </c>
      <c r="S183" s="18" t="s">
        <v>714</v>
      </c>
      <c r="T183" s="21" t="s">
        <v>55</v>
      </c>
    </row>
    <row r="184" spans="1:20" ht="16.5">
      <c r="A184" s="11" t="s">
        <v>46</v>
      </c>
      <c r="B184" s="11" t="s">
        <v>60</v>
      </c>
      <c r="C184" s="11" t="s">
        <v>62</v>
      </c>
      <c r="D184" s="12" t="s">
        <v>744</v>
      </c>
      <c r="E184" s="11" t="s">
        <v>203</v>
      </c>
      <c r="F184" s="11" t="s">
        <v>204</v>
      </c>
      <c r="G184" s="12" t="s">
        <v>819</v>
      </c>
      <c r="H184" s="13" t="s">
        <v>820</v>
      </c>
      <c r="I184" s="11" t="s">
        <v>65</v>
      </c>
      <c r="J184" s="14">
        <v>1</v>
      </c>
      <c r="K184" s="14" t="s">
        <v>706</v>
      </c>
      <c r="L184" s="14" t="s">
        <v>821</v>
      </c>
      <c r="M184" s="15" t="s">
        <v>747</v>
      </c>
      <c r="N184" s="15" t="s">
        <v>208</v>
      </c>
      <c r="O184" s="15" t="s">
        <v>822</v>
      </c>
      <c r="P184" s="15" t="s">
        <v>823</v>
      </c>
      <c r="Q184" s="15" t="s">
        <v>211</v>
      </c>
      <c r="R184" s="16" t="s">
        <v>54</v>
      </c>
      <c r="S184" s="12" t="s">
        <v>714</v>
      </c>
      <c r="T184" s="14" t="s">
        <v>55</v>
      </c>
    </row>
    <row r="185" spans="1:20" ht="16.5">
      <c r="A185" s="17" t="s">
        <v>46</v>
      </c>
      <c r="B185" s="17" t="s">
        <v>60</v>
      </c>
      <c r="C185" s="17" t="s">
        <v>62</v>
      </c>
      <c r="D185" s="18" t="s">
        <v>744</v>
      </c>
      <c r="E185" s="17" t="s">
        <v>203</v>
      </c>
      <c r="F185" s="17" t="s">
        <v>204</v>
      </c>
      <c r="G185" s="18" t="s">
        <v>824</v>
      </c>
      <c r="H185" s="20" t="s">
        <v>825</v>
      </c>
      <c r="I185" s="17" t="s">
        <v>65</v>
      </c>
      <c r="J185" s="21">
        <v>1</v>
      </c>
      <c r="K185" s="21" t="s">
        <v>706</v>
      </c>
      <c r="L185" s="21" t="s">
        <v>826</v>
      </c>
      <c r="M185" s="19" t="s">
        <v>747</v>
      </c>
      <c r="N185" s="19" t="s">
        <v>208</v>
      </c>
      <c r="O185" s="19" t="s">
        <v>827</v>
      </c>
      <c r="P185" s="19" t="s">
        <v>828</v>
      </c>
      <c r="Q185" s="19" t="s">
        <v>211</v>
      </c>
      <c r="R185" s="16" t="s">
        <v>54</v>
      </c>
      <c r="S185" s="18" t="s">
        <v>714</v>
      </c>
      <c r="T185" s="21" t="s">
        <v>55</v>
      </c>
    </row>
    <row r="186" spans="1:20" ht="16.5">
      <c r="A186" s="11" t="s">
        <v>46</v>
      </c>
      <c r="B186" s="11" t="s">
        <v>60</v>
      </c>
      <c r="C186" s="11" t="s">
        <v>62</v>
      </c>
      <c r="D186" s="12" t="s">
        <v>744</v>
      </c>
      <c r="E186" s="11" t="s">
        <v>203</v>
      </c>
      <c r="F186" s="11" t="s">
        <v>204</v>
      </c>
      <c r="G186" s="12" t="s">
        <v>829</v>
      </c>
      <c r="H186" s="13" t="s">
        <v>830</v>
      </c>
      <c r="I186" s="11" t="s">
        <v>65</v>
      </c>
      <c r="J186" s="14">
        <v>1</v>
      </c>
      <c r="K186" s="14" t="s">
        <v>706</v>
      </c>
      <c r="L186" s="14" t="s">
        <v>831</v>
      </c>
      <c r="M186" s="15" t="s">
        <v>747</v>
      </c>
      <c r="N186" s="15" t="s">
        <v>208</v>
      </c>
      <c r="O186" s="15" t="s">
        <v>832</v>
      </c>
      <c r="P186" s="15" t="s">
        <v>833</v>
      </c>
      <c r="Q186" s="15" t="s">
        <v>211</v>
      </c>
      <c r="R186" s="16" t="s">
        <v>54</v>
      </c>
      <c r="S186" s="12" t="s">
        <v>714</v>
      </c>
      <c r="T186" s="14" t="s">
        <v>55</v>
      </c>
    </row>
    <row r="187" spans="1:20" ht="16.5">
      <c r="A187" s="17" t="s">
        <v>46</v>
      </c>
      <c r="B187" s="17" t="s">
        <v>60</v>
      </c>
      <c r="C187" s="17" t="s">
        <v>62</v>
      </c>
      <c r="D187" s="18" t="s">
        <v>744</v>
      </c>
      <c r="E187" s="17" t="s">
        <v>203</v>
      </c>
      <c r="F187" s="17" t="s">
        <v>204</v>
      </c>
      <c r="G187" s="19" t="s">
        <v>834</v>
      </c>
      <c r="H187" s="20" t="s">
        <v>835</v>
      </c>
      <c r="I187" s="17" t="s">
        <v>65</v>
      </c>
      <c r="J187" s="21">
        <v>1</v>
      </c>
      <c r="K187" s="21" t="s">
        <v>706</v>
      </c>
      <c r="L187" s="21" t="s">
        <v>836</v>
      </c>
      <c r="M187" s="19" t="s">
        <v>747</v>
      </c>
      <c r="N187" s="19" t="s">
        <v>208</v>
      </c>
      <c r="O187" s="19" t="s">
        <v>837</v>
      </c>
      <c r="P187" s="19" t="s">
        <v>838</v>
      </c>
      <c r="Q187" s="19" t="s">
        <v>211</v>
      </c>
      <c r="R187" s="16" t="s">
        <v>54</v>
      </c>
      <c r="S187" s="18" t="s">
        <v>714</v>
      </c>
      <c r="T187" s="21" t="s">
        <v>55</v>
      </c>
    </row>
    <row r="188" spans="1:20" ht="16.5">
      <c r="A188" s="11" t="s">
        <v>46</v>
      </c>
      <c r="B188" s="11" t="s">
        <v>60</v>
      </c>
      <c r="C188" s="11" t="s">
        <v>62</v>
      </c>
      <c r="D188" s="12" t="s">
        <v>767</v>
      </c>
      <c r="E188" s="11" t="s">
        <v>203</v>
      </c>
      <c r="F188" s="11" t="s">
        <v>204</v>
      </c>
      <c r="G188" s="12" t="s">
        <v>839</v>
      </c>
      <c r="H188" s="13" t="s">
        <v>840</v>
      </c>
      <c r="I188" s="11" t="s">
        <v>65</v>
      </c>
      <c r="J188" s="14">
        <v>1</v>
      </c>
      <c r="K188" s="14" t="s">
        <v>706</v>
      </c>
      <c r="L188" s="14" t="s">
        <v>841</v>
      </c>
      <c r="M188" s="15" t="s">
        <v>770</v>
      </c>
      <c r="N188" s="15" t="s">
        <v>208</v>
      </c>
      <c r="O188" s="15" t="s">
        <v>842</v>
      </c>
      <c r="P188" s="15" t="s">
        <v>843</v>
      </c>
      <c r="Q188" s="15" t="s">
        <v>211</v>
      </c>
      <c r="R188" s="16" t="s">
        <v>54</v>
      </c>
      <c r="S188" s="12" t="s">
        <v>714</v>
      </c>
      <c r="T188" s="14" t="s">
        <v>55</v>
      </c>
    </row>
    <row r="189" spans="1:20" ht="16.5">
      <c r="A189" s="17" t="s">
        <v>46</v>
      </c>
      <c r="B189" s="17" t="s">
        <v>60</v>
      </c>
      <c r="C189" s="17" t="s">
        <v>62</v>
      </c>
      <c r="D189" s="18" t="s">
        <v>621</v>
      </c>
      <c r="E189" s="17" t="s">
        <v>203</v>
      </c>
      <c r="F189" s="17" t="s">
        <v>204</v>
      </c>
      <c r="G189" s="18" t="s">
        <v>844</v>
      </c>
      <c r="H189" s="20" t="s">
        <v>845</v>
      </c>
      <c r="I189" s="17" t="s">
        <v>65</v>
      </c>
      <c r="J189" s="21">
        <v>1</v>
      </c>
      <c r="K189" s="21" t="s">
        <v>706</v>
      </c>
      <c r="L189" s="21" t="s">
        <v>846</v>
      </c>
      <c r="M189" s="19" t="s">
        <v>623</v>
      </c>
      <c r="N189" s="19" t="s">
        <v>208</v>
      </c>
      <c r="O189" s="19" t="s">
        <v>847</v>
      </c>
      <c r="P189" s="19" t="s">
        <v>848</v>
      </c>
      <c r="Q189" s="19" t="s">
        <v>211</v>
      </c>
      <c r="R189" s="16" t="s">
        <v>54</v>
      </c>
      <c r="S189" s="18" t="s">
        <v>714</v>
      </c>
      <c r="T189" s="21" t="s">
        <v>55</v>
      </c>
    </row>
    <row r="190" spans="1:20" ht="16.5">
      <c r="A190" s="11" t="s">
        <v>46</v>
      </c>
      <c r="B190" s="11" t="s">
        <v>60</v>
      </c>
      <c r="C190" s="11" t="s">
        <v>62</v>
      </c>
      <c r="D190" s="12" t="s">
        <v>775</v>
      </c>
      <c r="E190" s="11" t="s">
        <v>203</v>
      </c>
      <c r="F190" s="11" t="s">
        <v>204</v>
      </c>
      <c r="G190" s="12" t="s">
        <v>849</v>
      </c>
      <c r="H190" s="13" t="s">
        <v>850</v>
      </c>
      <c r="I190" s="11" t="s">
        <v>65</v>
      </c>
      <c r="J190" s="14">
        <v>1</v>
      </c>
      <c r="K190" s="14" t="s">
        <v>706</v>
      </c>
      <c r="L190" s="14" t="s">
        <v>851</v>
      </c>
      <c r="M190" s="15" t="s">
        <v>778</v>
      </c>
      <c r="N190" s="15" t="s">
        <v>208</v>
      </c>
      <c r="O190" s="15" t="s">
        <v>852</v>
      </c>
      <c r="P190" s="15" t="s">
        <v>853</v>
      </c>
      <c r="Q190" s="15" t="s">
        <v>211</v>
      </c>
      <c r="R190" s="16" t="s">
        <v>54</v>
      </c>
      <c r="S190" s="12" t="s">
        <v>714</v>
      </c>
      <c r="T190" s="14" t="s">
        <v>55</v>
      </c>
    </row>
    <row r="191" spans="1:20" ht="16.5">
      <c r="A191" s="17" t="s">
        <v>46</v>
      </c>
      <c r="B191" s="17" t="s">
        <v>60</v>
      </c>
      <c r="C191" s="17" t="s">
        <v>62</v>
      </c>
      <c r="D191" s="18" t="s">
        <v>621</v>
      </c>
      <c r="E191" s="17" t="s">
        <v>203</v>
      </c>
      <c r="F191" s="17" t="s">
        <v>295</v>
      </c>
      <c r="G191" s="18" t="s">
        <v>306</v>
      </c>
      <c r="H191" s="20" t="s">
        <v>854</v>
      </c>
      <c r="I191" s="17" t="s">
        <v>65</v>
      </c>
      <c r="J191" s="21">
        <v>1</v>
      </c>
      <c r="K191" s="21" t="s">
        <v>706</v>
      </c>
      <c r="L191" s="21" t="s">
        <v>855</v>
      </c>
      <c r="M191" s="19" t="s">
        <v>623</v>
      </c>
      <c r="N191" s="19" t="s">
        <v>208</v>
      </c>
      <c r="O191" s="19" t="s">
        <v>310</v>
      </c>
      <c r="P191" s="19"/>
      <c r="Q191" s="18" t="s">
        <v>286</v>
      </c>
      <c r="R191" s="22" t="s">
        <v>88</v>
      </c>
      <c r="S191" s="18" t="s">
        <v>714</v>
      </c>
      <c r="T191" s="21" t="s">
        <v>55</v>
      </c>
    </row>
    <row r="192" spans="1:20" ht="29.25">
      <c r="A192" s="11" t="s">
        <v>46</v>
      </c>
      <c r="B192" s="11" t="s">
        <v>60</v>
      </c>
      <c r="C192" s="11" t="s">
        <v>300</v>
      </c>
      <c r="D192" s="12" t="s">
        <v>608</v>
      </c>
      <c r="E192" s="11" t="s">
        <v>203</v>
      </c>
      <c r="F192" s="11" t="s">
        <v>204</v>
      </c>
      <c r="G192" s="15" t="s">
        <v>227</v>
      </c>
      <c r="H192" s="13" t="s">
        <v>856</v>
      </c>
      <c r="I192" s="11" t="s">
        <v>65</v>
      </c>
      <c r="J192" s="14">
        <v>1</v>
      </c>
      <c r="K192" s="14" t="s">
        <v>706</v>
      </c>
      <c r="L192" s="14" t="s">
        <v>857</v>
      </c>
      <c r="M192" s="15" t="s">
        <v>611</v>
      </c>
      <c r="N192" s="15" t="s">
        <v>208</v>
      </c>
      <c r="O192" s="15" t="s">
        <v>230</v>
      </c>
      <c r="P192" s="15" t="s">
        <v>231</v>
      </c>
      <c r="Q192" s="15" t="s">
        <v>211</v>
      </c>
      <c r="R192" s="16" t="s">
        <v>54</v>
      </c>
      <c r="S192" s="12" t="s">
        <v>714</v>
      </c>
      <c r="T192" s="14" t="s">
        <v>55</v>
      </c>
    </row>
    <row r="193" spans="1:20" ht="29.25">
      <c r="A193" s="17" t="s">
        <v>46</v>
      </c>
      <c r="B193" s="17" t="s">
        <v>60</v>
      </c>
      <c r="C193" s="17" t="s">
        <v>300</v>
      </c>
      <c r="D193" s="18" t="s">
        <v>608</v>
      </c>
      <c r="E193" s="17" t="s">
        <v>203</v>
      </c>
      <c r="F193" s="17" t="s">
        <v>204</v>
      </c>
      <c r="G193" s="18" t="s">
        <v>794</v>
      </c>
      <c r="H193" s="20" t="s">
        <v>858</v>
      </c>
      <c r="I193" s="17" t="s">
        <v>65</v>
      </c>
      <c r="J193" s="21">
        <v>1</v>
      </c>
      <c r="K193" s="21" t="s">
        <v>706</v>
      </c>
      <c r="L193" s="21" t="s">
        <v>859</v>
      </c>
      <c r="M193" s="19" t="s">
        <v>611</v>
      </c>
      <c r="N193" s="19" t="s">
        <v>208</v>
      </c>
      <c r="O193" s="19" t="s">
        <v>797</v>
      </c>
      <c r="P193" s="19" t="s">
        <v>798</v>
      </c>
      <c r="Q193" s="19" t="s">
        <v>211</v>
      </c>
      <c r="R193" s="16" t="s">
        <v>54</v>
      </c>
      <c r="S193" s="18" t="s">
        <v>714</v>
      </c>
      <c r="T193" s="21" t="s">
        <v>55</v>
      </c>
    </row>
    <row r="194" spans="1:20" ht="16.5">
      <c r="A194" s="11" t="s">
        <v>46</v>
      </c>
      <c r="B194" s="11" t="s">
        <v>60</v>
      </c>
      <c r="C194" s="11" t="s">
        <v>300</v>
      </c>
      <c r="D194" s="12" t="s">
        <v>636</v>
      </c>
      <c r="E194" s="11" t="s">
        <v>203</v>
      </c>
      <c r="F194" s="11" t="s">
        <v>295</v>
      </c>
      <c r="G194" s="12" t="s">
        <v>296</v>
      </c>
      <c r="H194" s="13" t="s">
        <v>860</v>
      </c>
      <c r="I194" s="11" t="s">
        <v>65</v>
      </c>
      <c r="J194" s="14">
        <v>1</v>
      </c>
      <c r="K194" s="14" t="s">
        <v>706</v>
      </c>
      <c r="L194" s="14" t="s">
        <v>861</v>
      </c>
      <c r="M194" s="15" t="s">
        <v>641</v>
      </c>
      <c r="N194" s="15" t="s">
        <v>208</v>
      </c>
      <c r="O194" s="15" t="s">
        <v>299</v>
      </c>
      <c r="P194" s="15"/>
      <c r="Q194" s="12" t="s">
        <v>286</v>
      </c>
      <c r="R194" s="22" t="s">
        <v>88</v>
      </c>
      <c r="S194" s="12" t="s">
        <v>714</v>
      </c>
      <c r="T194" s="14" t="s">
        <v>55</v>
      </c>
    </row>
    <row r="195" spans="1:20" ht="16.5">
      <c r="A195" s="17" t="s">
        <v>46</v>
      </c>
      <c r="B195" s="17" t="s">
        <v>311</v>
      </c>
      <c r="C195" s="17" t="s">
        <v>204</v>
      </c>
      <c r="D195" s="18" t="s">
        <v>789</v>
      </c>
      <c r="E195" s="17" t="s">
        <v>312</v>
      </c>
      <c r="F195" s="21" t="s">
        <v>313</v>
      </c>
      <c r="G195" s="19" t="s">
        <v>862</v>
      </c>
      <c r="H195" s="24" t="s">
        <v>863</v>
      </c>
      <c r="I195" s="17" t="s">
        <v>65</v>
      </c>
      <c r="J195" s="21">
        <v>1</v>
      </c>
      <c r="K195" s="21" t="s">
        <v>706</v>
      </c>
      <c r="L195" s="21" t="s">
        <v>864</v>
      </c>
      <c r="M195" s="19" t="s">
        <v>792</v>
      </c>
      <c r="N195" s="19" t="s">
        <v>316</v>
      </c>
      <c r="O195" s="19" t="s">
        <v>865</v>
      </c>
      <c r="P195" s="19" t="s">
        <v>862</v>
      </c>
      <c r="Q195" s="19" t="s">
        <v>211</v>
      </c>
      <c r="R195" s="16" t="s">
        <v>54</v>
      </c>
      <c r="S195" s="18" t="s">
        <v>714</v>
      </c>
      <c r="T195" s="21" t="s">
        <v>55</v>
      </c>
    </row>
    <row r="196" spans="1:20" ht="16.5">
      <c r="A196" s="11" t="s">
        <v>46</v>
      </c>
      <c r="B196" s="11" t="s">
        <v>311</v>
      </c>
      <c r="C196" s="11" t="s">
        <v>204</v>
      </c>
      <c r="D196" s="12" t="s">
        <v>789</v>
      </c>
      <c r="E196" s="11" t="s">
        <v>312</v>
      </c>
      <c r="F196" s="14" t="s">
        <v>313</v>
      </c>
      <c r="G196" s="15" t="s">
        <v>866</v>
      </c>
      <c r="H196" s="23" t="s">
        <v>867</v>
      </c>
      <c r="I196" s="11" t="s">
        <v>65</v>
      </c>
      <c r="J196" s="14">
        <v>1</v>
      </c>
      <c r="K196" s="14" t="s">
        <v>706</v>
      </c>
      <c r="L196" s="14" t="s">
        <v>868</v>
      </c>
      <c r="M196" s="15" t="s">
        <v>792</v>
      </c>
      <c r="N196" s="15" t="s">
        <v>316</v>
      </c>
      <c r="O196" s="15" t="s">
        <v>869</v>
      </c>
      <c r="P196" s="15" t="s">
        <v>866</v>
      </c>
      <c r="Q196" s="15" t="s">
        <v>211</v>
      </c>
      <c r="R196" s="16" t="s">
        <v>54</v>
      </c>
      <c r="S196" s="12" t="s">
        <v>714</v>
      </c>
      <c r="T196" s="14" t="s">
        <v>55</v>
      </c>
    </row>
    <row r="197" spans="1:20" ht="16.5">
      <c r="A197" s="17" t="s">
        <v>46</v>
      </c>
      <c r="B197" s="17" t="s">
        <v>311</v>
      </c>
      <c r="C197" s="17" t="s">
        <v>204</v>
      </c>
      <c r="D197" s="18" t="s">
        <v>789</v>
      </c>
      <c r="E197" s="17" t="s">
        <v>312</v>
      </c>
      <c r="F197" s="21" t="s">
        <v>313</v>
      </c>
      <c r="G197" s="19" t="s">
        <v>870</v>
      </c>
      <c r="H197" s="24" t="s">
        <v>871</v>
      </c>
      <c r="I197" s="17" t="s">
        <v>65</v>
      </c>
      <c r="J197" s="21">
        <v>1</v>
      </c>
      <c r="K197" s="21" t="s">
        <v>706</v>
      </c>
      <c r="L197" s="21" t="s">
        <v>872</v>
      </c>
      <c r="M197" s="19" t="s">
        <v>792</v>
      </c>
      <c r="N197" s="19" t="s">
        <v>316</v>
      </c>
      <c r="O197" s="19" t="s">
        <v>873</v>
      </c>
      <c r="P197" s="19" t="s">
        <v>870</v>
      </c>
      <c r="Q197" s="19" t="s">
        <v>211</v>
      </c>
      <c r="R197" s="16" t="s">
        <v>54</v>
      </c>
      <c r="S197" s="18" t="s">
        <v>714</v>
      </c>
      <c r="T197" s="21" t="s">
        <v>55</v>
      </c>
    </row>
    <row r="198" spans="1:20" ht="16.5">
      <c r="A198" s="11" t="s">
        <v>46</v>
      </c>
      <c r="B198" s="11" t="s">
        <v>311</v>
      </c>
      <c r="C198" s="11" t="s">
        <v>204</v>
      </c>
      <c r="D198" s="12" t="s">
        <v>789</v>
      </c>
      <c r="E198" s="11" t="s">
        <v>312</v>
      </c>
      <c r="F198" s="14" t="s">
        <v>313</v>
      </c>
      <c r="G198" s="15" t="s">
        <v>874</v>
      </c>
      <c r="H198" s="23" t="s">
        <v>871</v>
      </c>
      <c r="I198" s="11" t="s">
        <v>65</v>
      </c>
      <c r="J198" s="14">
        <v>1</v>
      </c>
      <c r="K198" s="14" t="s">
        <v>706</v>
      </c>
      <c r="L198" s="14" t="s">
        <v>875</v>
      </c>
      <c r="M198" s="15" t="s">
        <v>792</v>
      </c>
      <c r="N198" s="15" t="s">
        <v>316</v>
      </c>
      <c r="O198" s="15" t="s">
        <v>876</v>
      </c>
      <c r="P198" s="15" t="s">
        <v>874</v>
      </c>
      <c r="Q198" s="15" t="s">
        <v>211</v>
      </c>
      <c r="R198" s="16" t="s">
        <v>54</v>
      </c>
      <c r="S198" s="12" t="s">
        <v>714</v>
      </c>
      <c r="T198" s="14" t="s">
        <v>55</v>
      </c>
    </row>
    <row r="199" spans="1:20" ht="16.5">
      <c r="A199" s="17" t="s">
        <v>46</v>
      </c>
      <c r="B199" s="17" t="s">
        <v>311</v>
      </c>
      <c r="C199" s="17" t="s">
        <v>204</v>
      </c>
      <c r="D199" s="18" t="s">
        <v>794</v>
      </c>
      <c r="E199" s="17" t="s">
        <v>312</v>
      </c>
      <c r="F199" s="21" t="s">
        <v>313</v>
      </c>
      <c r="G199" s="19" t="s">
        <v>877</v>
      </c>
      <c r="H199" s="24" t="s">
        <v>878</v>
      </c>
      <c r="I199" s="17" t="s">
        <v>65</v>
      </c>
      <c r="J199" s="21">
        <v>1</v>
      </c>
      <c r="K199" s="21" t="s">
        <v>706</v>
      </c>
      <c r="L199" s="21" t="s">
        <v>879</v>
      </c>
      <c r="M199" s="19" t="s">
        <v>797</v>
      </c>
      <c r="N199" s="19" t="s">
        <v>316</v>
      </c>
      <c r="O199" s="19" t="s">
        <v>880</v>
      </c>
      <c r="P199" s="19" t="s">
        <v>877</v>
      </c>
      <c r="Q199" s="19" t="s">
        <v>211</v>
      </c>
      <c r="R199" s="16" t="s">
        <v>54</v>
      </c>
      <c r="S199" s="18" t="s">
        <v>714</v>
      </c>
      <c r="T199" s="21" t="s">
        <v>55</v>
      </c>
    </row>
    <row r="200" spans="1:20" ht="16.5">
      <c r="A200" s="11" t="s">
        <v>46</v>
      </c>
      <c r="B200" s="11" t="s">
        <v>311</v>
      </c>
      <c r="C200" s="11" t="s">
        <v>204</v>
      </c>
      <c r="D200" s="12" t="s">
        <v>794</v>
      </c>
      <c r="E200" s="11" t="s">
        <v>312</v>
      </c>
      <c r="F200" s="14" t="s">
        <v>313</v>
      </c>
      <c r="G200" s="15" t="s">
        <v>881</v>
      </c>
      <c r="H200" s="23" t="s">
        <v>882</v>
      </c>
      <c r="I200" s="11" t="s">
        <v>65</v>
      </c>
      <c r="J200" s="14">
        <v>1</v>
      </c>
      <c r="K200" s="14" t="s">
        <v>706</v>
      </c>
      <c r="L200" s="14" t="s">
        <v>883</v>
      </c>
      <c r="M200" s="15" t="s">
        <v>797</v>
      </c>
      <c r="N200" s="15" t="s">
        <v>316</v>
      </c>
      <c r="O200" s="15" t="s">
        <v>884</v>
      </c>
      <c r="P200" s="15" t="s">
        <v>881</v>
      </c>
      <c r="Q200" s="15" t="s">
        <v>211</v>
      </c>
      <c r="R200" s="16" t="s">
        <v>54</v>
      </c>
      <c r="S200" s="12" t="s">
        <v>714</v>
      </c>
      <c r="T200" s="14" t="s">
        <v>55</v>
      </c>
    </row>
    <row r="201" spans="1:20" ht="16.5">
      <c r="A201" s="17" t="s">
        <v>46</v>
      </c>
      <c r="B201" s="17" t="s">
        <v>311</v>
      </c>
      <c r="C201" s="17" t="s">
        <v>204</v>
      </c>
      <c r="D201" s="18" t="s">
        <v>794</v>
      </c>
      <c r="E201" s="17" t="s">
        <v>312</v>
      </c>
      <c r="F201" s="21" t="s">
        <v>313</v>
      </c>
      <c r="G201" s="19" t="s">
        <v>885</v>
      </c>
      <c r="H201" s="24" t="s">
        <v>886</v>
      </c>
      <c r="I201" s="17" t="s">
        <v>65</v>
      </c>
      <c r="J201" s="21">
        <v>1</v>
      </c>
      <c r="K201" s="21" t="s">
        <v>706</v>
      </c>
      <c r="L201" s="21" t="s">
        <v>887</v>
      </c>
      <c r="M201" s="19" t="s">
        <v>797</v>
      </c>
      <c r="N201" s="19" t="s">
        <v>316</v>
      </c>
      <c r="O201" s="19" t="s">
        <v>888</v>
      </c>
      <c r="P201" s="19" t="s">
        <v>885</v>
      </c>
      <c r="Q201" s="19" t="s">
        <v>211</v>
      </c>
      <c r="R201" s="16" t="s">
        <v>54</v>
      </c>
      <c r="S201" s="18" t="s">
        <v>714</v>
      </c>
      <c r="T201" s="21" t="s">
        <v>55</v>
      </c>
    </row>
    <row r="202" spans="1:20" ht="16.5">
      <c r="A202" s="11" t="s">
        <v>46</v>
      </c>
      <c r="B202" s="11" t="s">
        <v>311</v>
      </c>
      <c r="C202" s="11" t="s">
        <v>204</v>
      </c>
      <c r="D202" s="12" t="s">
        <v>794</v>
      </c>
      <c r="E202" s="11" t="s">
        <v>312</v>
      </c>
      <c r="F202" s="14" t="s">
        <v>313</v>
      </c>
      <c r="G202" s="15" t="s">
        <v>889</v>
      </c>
      <c r="H202" s="23" t="s">
        <v>890</v>
      </c>
      <c r="I202" s="11" t="s">
        <v>65</v>
      </c>
      <c r="J202" s="14">
        <v>1</v>
      </c>
      <c r="K202" s="14" t="s">
        <v>706</v>
      </c>
      <c r="L202" s="14" t="s">
        <v>891</v>
      </c>
      <c r="M202" s="15" t="s">
        <v>797</v>
      </c>
      <c r="N202" s="15" t="s">
        <v>316</v>
      </c>
      <c r="O202" s="15" t="s">
        <v>892</v>
      </c>
      <c r="P202" s="15" t="s">
        <v>889</v>
      </c>
      <c r="Q202" s="15" t="s">
        <v>211</v>
      </c>
      <c r="R202" s="16" t="s">
        <v>54</v>
      </c>
      <c r="S202" s="12" t="s">
        <v>714</v>
      </c>
      <c r="T202" s="14" t="s">
        <v>55</v>
      </c>
    </row>
    <row r="203" spans="1:20" ht="16.5">
      <c r="A203" s="17" t="s">
        <v>46</v>
      </c>
      <c r="B203" s="17" t="s">
        <v>311</v>
      </c>
      <c r="C203" s="17" t="s">
        <v>204</v>
      </c>
      <c r="D203" s="18" t="s">
        <v>799</v>
      </c>
      <c r="E203" s="17" t="s">
        <v>312</v>
      </c>
      <c r="F203" s="21" t="s">
        <v>313</v>
      </c>
      <c r="G203" s="19" t="s">
        <v>893</v>
      </c>
      <c r="H203" s="24" t="s">
        <v>894</v>
      </c>
      <c r="I203" s="17" t="s">
        <v>65</v>
      </c>
      <c r="J203" s="21">
        <v>1</v>
      </c>
      <c r="K203" s="21" t="s">
        <v>706</v>
      </c>
      <c r="L203" s="21" t="s">
        <v>895</v>
      </c>
      <c r="M203" s="19" t="s">
        <v>802</v>
      </c>
      <c r="N203" s="19" t="s">
        <v>316</v>
      </c>
      <c r="O203" s="19" t="s">
        <v>896</v>
      </c>
      <c r="P203" s="19" t="s">
        <v>893</v>
      </c>
      <c r="Q203" s="19" t="s">
        <v>211</v>
      </c>
      <c r="R203" s="16" t="s">
        <v>54</v>
      </c>
      <c r="S203" s="18" t="s">
        <v>714</v>
      </c>
      <c r="T203" s="21" t="s">
        <v>55</v>
      </c>
    </row>
    <row r="204" spans="1:20" ht="16.5">
      <c r="A204" s="11" t="s">
        <v>46</v>
      </c>
      <c r="B204" s="11" t="s">
        <v>311</v>
      </c>
      <c r="C204" s="11" t="s">
        <v>204</v>
      </c>
      <c r="D204" s="12" t="s">
        <v>799</v>
      </c>
      <c r="E204" s="11" t="s">
        <v>312</v>
      </c>
      <c r="F204" s="14" t="s">
        <v>313</v>
      </c>
      <c r="G204" s="15" t="s">
        <v>897</v>
      </c>
      <c r="H204" s="23" t="s">
        <v>898</v>
      </c>
      <c r="I204" s="11" t="s">
        <v>65</v>
      </c>
      <c r="J204" s="14">
        <v>1</v>
      </c>
      <c r="K204" s="14" t="s">
        <v>706</v>
      </c>
      <c r="L204" s="14" t="s">
        <v>899</v>
      </c>
      <c r="M204" s="15" t="s">
        <v>802</v>
      </c>
      <c r="N204" s="15" t="s">
        <v>316</v>
      </c>
      <c r="O204" s="15" t="s">
        <v>900</v>
      </c>
      <c r="P204" s="15" t="s">
        <v>897</v>
      </c>
      <c r="Q204" s="15" t="s">
        <v>211</v>
      </c>
      <c r="R204" s="16" t="s">
        <v>54</v>
      </c>
      <c r="S204" s="12" t="s">
        <v>714</v>
      </c>
      <c r="T204" s="14" t="s">
        <v>55</v>
      </c>
    </row>
    <row r="205" spans="1:20" ht="16.5">
      <c r="A205" s="17" t="s">
        <v>46</v>
      </c>
      <c r="B205" s="17" t="s">
        <v>311</v>
      </c>
      <c r="C205" s="17" t="s">
        <v>204</v>
      </c>
      <c r="D205" s="19" t="s">
        <v>804</v>
      </c>
      <c r="E205" s="17" t="s">
        <v>312</v>
      </c>
      <c r="F205" s="21" t="s">
        <v>313</v>
      </c>
      <c r="G205" s="19" t="s">
        <v>901</v>
      </c>
      <c r="H205" s="24" t="s">
        <v>902</v>
      </c>
      <c r="I205" s="17" t="s">
        <v>65</v>
      </c>
      <c r="J205" s="21">
        <v>1</v>
      </c>
      <c r="K205" s="21" t="s">
        <v>706</v>
      </c>
      <c r="L205" s="21" t="s">
        <v>903</v>
      </c>
      <c r="M205" s="19" t="s">
        <v>807</v>
      </c>
      <c r="N205" s="19" t="s">
        <v>316</v>
      </c>
      <c r="O205" s="19" t="s">
        <v>904</v>
      </c>
      <c r="P205" s="19" t="s">
        <v>901</v>
      </c>
      <c r="Q205" s="19" t="s">
        <v>211</v>
      </c>
      <c r="R205" s="16" t="s">
        <v>54</v>
      </c>
      <c r="S205" s="18" t="s">
        <v>714</v>
      </c>
      <c r="T205" s="21" t="s">
        <v>55</v>
      </c>
    </row>
    <row r="206" spans="1:20" ht="16.5">
      <c r="A206" s="11" t="s">
        <v>46</v>
      </c>
      <c r="B206" s="11" t="s">
        <v>311</v>
      </c>
      <c r="C206" s="11" t="s">
        <v>204</v>
      </c>
      <c r="D206" s="15" t="s">
        <v>804</v>
      </c>
      <c r="E206" s="11" t="s">
        <v>312</v>
      </c>
      <c r="F206" s="14" t="s">
        <v>313</v>
      </c>
      <c r="G206" s="15" t="s">
        <v>905</v>
      </c>
      <c r="H206" s="23" t="s">
        <v>906</v>
      </c>
      <c r="I206" s="11" t="s">
        <v>65</v>
      </c>
      <c r="J206" s="14">
        <v>1</v>
      </c>
      <c r="K206" s="14" t="s">
        <v>706</v>
      </c>
      <c r="L206" s="14" t="s">
        <v>907</v>
      </c>
      <c r="M206" s="15" t="s">
        <v>807</v>
      </c>
      <c r="N206" s="15" t="s">
        <v>316</v>
      </c>
      <c r="O206" s="15" t="s">
        <v>908</v>
      </c>
      <c r="P206" s="15" t="s">
        <v>905</v>
      </c>
      <c r="Q206" s="15" t="s">
        <v>211</v>
      </c>
      <c r="R206" s="16" t="s">
        <v>54</v>
      </c>
      <c r="S206" s="12" t="s">
        <v>714</v>
      </c>
      <c r="T206" s="14" t="s">
        <v>55</v>
      </c>
    </row>
    <row r="207" spans="1:20" ht="16.5">
      <c r="A207" s="17" t="s">
        <v>46</v>
      </c>
      <c r="B207" s="17" t="s">
        <v>311</v>
      </c>
      <c r="C207" s="17" t="s">
        <v>204</v>
      </c>
      <c r="D207" s="19" t="s">
        <v>804</v>
      </c>
      <c r="E207" s="17" t="s">
        <v>312</v>
      </c>
      <c r="F207" s="21" t="s">
        <v>313</v>
      </c>
      <c r="G207" s="19" t="s">
        <v>909</v>
      </c>
      <c r="H207" s="24" t="s">
        <v>910</v>
      </c>
      <c r="I207" s="17" t="s">
        <v>65</v>
      </c>
      <c r="J207" s="21">
        <v>1</v>
      </c>
      <c r="K207" s="21" t="s">
        <v>706</v>
      </c>
      <c r="L207" s="21" t="s">
        <v>911</v>
      </c>
      <c r="M207" s="19" t="s">
        <v>807</v>
      </c>
      <c r="N207" s="19" t="s">
        <v>316</v>
      </c>
      <c r="O207" s="19" t="s">
        <v>912</v>
      </c>
      <c r="P207" s="19" t="s">
        <v>909</v>
      </c>
      <c r="Q207" s="19" t="s">
        <v>211</v>
      </c>
      <c r="R207" s="16" t="s">
        <v>54</v>
      </c>
      <c r="S207" s="18" t="s">
        <v>714</v>
      </c>
      <c r="T207" s="21" t="s">
        <v>55</v>
      </c>
    </row>
    <row r="208" spans="1:20" ht="16.5">
      <c r="A208" s="11" t="s">
        <v>46</v>
      </c>
      <c r="B208" s="11" t="s">
        <v>311</v>
      </c>
      <c r="C208" s="11" t="s">
        <v>204</v>
      </c>
      <c r="D208" s="15" t="s">
        <v>804</v>
      </c>
      <c r="E208" s="11" t="s">
        <v>312</v>
      </c>
      <c r="F208" s="14" t="s">
        <v>313</v>
      </c>
      <c r="G208" s="15" t="s">
        <v>913</v>
      </c>
      <c r="H208" s="23" t="s">
        <v>914</v>
      </c>
      <c r="I208" s="11" t="s">
        <v>65</v>
      </c>
      <c r="J208" s="14">
        <v>1</v>
      </c>
      <c r="K208" s="14" t="s">
        <v>706</v>
      </c>
      <c r="L208" s="14" t="s">
        <v>915</v>
      </c>
      <c r="M208" s="15" t="s">
        <v>807</v>
      </c>
      <c r="N208" s="15" t="s">
        <v>316</v>
      </c>
      <c r="O208" s="15" t="s">
        <v>916</v>
      </c>
      <c r="P208" s="15" t="s">
        <v>913</v>
      </c>
      <c r="Q208" s="15" t="s">
        <v>211</v>
      </c>
      <c r="R208" s="16" t="s">
        <v>54</v>
      </c>
      <c r="S208" s="12" t="s">
        <v>714</v>
      </c>
      <c r="T208" s="14" t="s">
        <v>55</v>
      </c>
    </row>
    <row r="209" spans="1:20" ht="16.5">
      <c r="A209" s="17" t="s">
        <v>46</v>
      </c>
      <c r="B209" s="17" t="s">
        <v>311</v>
      </c>
      <c r="C209" s="17" t="s">
        <v>204</v>
      </c>
      <c r="D209" s="19" t="s">
        <v>809</v>
      </c>
      <c r="E209" s="17" t="s">
        <v>312</v>
      </c>
      <c r="F209" s="21" t="s">
        <v>313</v>
      </c>
      <c r="G209" s="19" t="s">
        <v>917</v>
      </c>
      <c r="H209" s="24" t="s">
        <v>918</v>
      </c>
      <c r="I209" s="17" t="s">
        <v>65</v>
      </c>
      <c r="J209" s="21">
        <v>1</v>
      </c>
      <c r="K209" s="21" t="s">
        <v>706</v>
      </c>
      <c r="L209" s="21" t="s">
        <v>919</v>
      </c>
      <c r="M209" s="19" t="s">
        <v>812</v>
      </c>
      <c r="N209" s="19" t="s">
        <v>316</v>
      </c>
      <c r="O209" s="19" t="s">
        <v>920</v>
      </c>
      <c r="P209" s="19" t="s">
        <v>917</v>
      </c>
      <c r="Q209" s="19" t="s">
        <v>211</v>
      </c>
      <c r="R209" s="16" t="s">
        <v>54</v>
      </c>
      <c r="S209" s="18" t="s">
        <v>714</v>
      </c>
      <c r="T209" s="21" t="s">
        <v>55</v>
      </c>
    </row>
    <row r="210" spans="1:20" ht="16.5">
      <c r="A210" s="11" t="s">
        <v>46</v>
      </c>
      <c r="B210" s="11" t="s">
        <v>311</v>
      </c>
      <c r="C210" s="11" t="s">
        <v>204</v>
      </c>
      <c r="D210" s="15" t="s">
        <v>809</v>
      </c>
      <c r="E210" s="11" t="s">
        <v>312</v>
      </c>
      <c r="F210" s="14" t="s">
        <v>313</v>
      </c>
      <c r="G210" s="15" t="s">
        <v>921</v>
      </c>
      <c r="H210" s="23" t="s">
        <v>922</v>
      </c>
      <c r="I210" s="11" t="s">
        <v>65</v>
      </c>
      <c r="J210" s="14">
        <v>1</v>
      </c>
      <c r="K210" s="14" t="s">
        <v>706</v>
      </c>
      <c r="L210" s="14" t="s">
        <v>923</v>
      </c>
      <c r="M210" s="15" t="s">
        <v>812</v>
      </c>
      <c r="N210" s="15" t="s">
        <v>316</v>
      </c>
      <c r="O210" s="15" t="s">
        <v>924</v>
      </c>
      <c r="P210" s="15" t="s">
        <v>921</v>
      </c>
      <c r="Q210" s="15" t="s">
        <v>211</v>
      </c>
      <c r="R210" s="16" t="s">
        <v>54</v>
      </c>
      <c r="S210" s="12" t="s">
        <v>714</v>
      </c>
      <c r="T210" s="14" t="s">
        <v>55</v>
      </c>
    </row>
    <row r="211" spans="1:20" ht="16.5">
      <c r="A211" s="17" t="s">
        <v>46</v>
      </c>
      <c r="B211" s="17" t="s">
        <v>311</v>
      </c>
      <c r="C211" s="17" t="s">
        <v>204</v>
      </c>
      <c r="D211" s="19" t="s">
        <v>809</v>
      </c>
      <c r="E211" s="17" t="s">
        <v>312</v>
      </c>
      <c r="F211" s="21" t="s">
        <v>313</v>
      </c>
      <c r="G211" s="19" t="s">
        <v>925</v>
      </c>
      <c r="H211" s="24" t="s">
        <v>926</v>
      </c>
      <c r="I211" s="17" t="s">
        <v>65</v>
      </c>
      <c r="J211" s="21">
        <v>1</v>
      </c>
      <c r="K211" s="21" t="s">
        <v>706</v>
      </c>
      <c r="L211" s="21" t="s">
        <v>927</v>
      </c>
      <c r="M211" s="19" t="s">
        <v>812</v>
      </c>
      <c r="N211" s="19" t="s">
        <v>316</v>
      </c>
      <c r="O211" s="19" t="s">
        <v>928</v>
      </c>
      <c r="P211" s="19" t="s">
        <v>925</v>
      </c>
      <c r="Q211" s="19" t="s">
        <v>211</v>
      </c>
      <c r="R211" s="16" t="s">
        <v>54</v>
      </c>
      <c r="S211" s="18" t="s">
        <v>714</v>
      </c>
      <c r="T211" s="21" t="s">
        <v>55</v>
      </c>
    </row>
    <row r="212" spans="1:20" ht="16.5">
      <c r="A212" s="11" t="s">
        <v>46</v>
      </c>
      <c r="B212" s="11" t="s">
        <v>311</v>
      </c>
      <c r="C212" s="11" t="s">
        <v>204</v>
      </c>
      <c r="D212" s="15" t="s">
        <v>809</v>
      </c>
      <c r="E212" s="11" t="s">
        <v>312</v>
      </c>
      <c r="F212" s="14" t="s">
        <v>313</v>
      </c>
      <c r="G212" s="15" t="s">
        <v>929</v>
      </c>
      <c r="H212" s="23" t="s">
        <v>930</v>
      </c>
      <c r="I212" s="11" t="s">
        <v>65</v>
      </c>
      <c r="J212" s="14">
        <v>1</v>
      </c>
      <c r="K212" s="14" t="s">
        <v>706</v>
      </c>
      <c r="L212" s="14" t="s">
        <v>931</v>
      </c>
      <c r="M212" s="15" t="s">
        <v>812</v>
      </c>
      <c r="N212" s="15" t="s">
        <v>316</v>
      </c>
      <c r="O212" s="15" t="s">
        <v>932</v>
      </c>
      <c r="P212" s="15" t="s">
        <v>929</v>
      </c>
      <c r="Q212" s="15" t="s">
        <v>211</v>
      </c>
      <c r="R212" s="16" t="s">
        <v>54</v>
      </c>
      <c r="S212" s="12" t="s">
        <v>714</v>
      </c>
      <c r="T212" s="14" t="s">
        <v>55</v>
      </c>
    </row>
    <row r="213" spans="1:20" ht="16.5">
      <c r="A213" s="17" t="s">
        <v>46</v>
      </c>
      <c r="B213" s="17" t="s">
        <v>311</v>
      </c>
      <c r="C213" s="17" t="s">
        <v>204</v>
      </c>
      <c r="D213" s="18" t="s">
        <v>814</v>
      </c>
      <c r="E213" s="17" t="s">
        <v>312</v>
      </c>
      <c r="F213" s="21" t="s">
        <v>313</v>
      </c>
      <c r="G213" s="19" t="s">
        <v>933</v>
      </c>
      <c r="H213" s="24" t="s">
        <v>934</v>
      </c>
      <c r="I213" s="17" t="s">
        <v>65</v>
      </c>
      <c r="J213" s="21">
        <v>1</v>
      </c>
      <c r="K213" s="21" t="s">
        <v>706</v>
      </c>
      <c r="L213" s="21" t="s">
        <v>935</v>
      </c>
      <c r="M213" s="19" t="s">
        <v>817</v>
      </c>
      <c r="N213" s="19" t="s">
        <v>316</v>
      </c>
      <c r="O213" s="19" t="s">
        <v>936</v>
      </c>
      <c r="P213" s="19" t="s">
        <v>933</v>
      </c>
      <c r="Q213" s="19" t="s">
        <v>211</v>
      </c>
      <c r="R213" s="16" t="s">
        <v>54</v>
      </c>
      <c r="S213" s="18" t="s">
        <v>714</v>
      </c>
      <c r="T213" s="21" t="s">
        <v>55</v>
      </c>
    </row>
    <row r="214" spans="1:20" ht="16.5">
      <c r="A214" s="11" t="s">
        <v>46</v>
      </c>
      <c r="B214" s="11" t="s">
        <v>311</v>
      </c>
      <c r="C214" s="11" t="s">
        <v>204</v>
      </c>
      <c r="D214" s="12" t="s">
        <v>814</v>
      </c>
      <c r="E214" s="11" t="s">
        <v>312</v>
      </c>
      <c r="F214" s="14" t="s">
        <v>313</v>
      </c>
      <c r="G214" s="15" t="s">
        <v>937</v>
      </c>
      <c r="H214" s="23" t="s">
        <v>938</v>
      </c>
      <c r="I214" s="11" t="s">
        <v>65</v>
      </c>
      <c r="J214" s="14">
        <v>1</v>
      </c>
      <c r="K214" s="14" t="s">
        <v>706</v>
      </c>
      <c r="L214" s="14" t="s">
        <v>939</v>
      </c>
      <c r="M214" s="15" t="s">
        <v>817</v>
      </c>
      <c r="N214" s="15" t="s">
        <v>316</v>
      </c>
      <c r="O214" s="15" t="s">
        <v>940</v>
      </c>
      <c r="P214" s="15" t="s">
        <v>937</v>
      </c>
      <c r="Q214" s="15" t="s">
        <v>211</v>
      </c>
      <c r="R214" s="16" t="s">
        <v>54</v>
      </c>
      <c r="S214" s="12" t="s">
        <v>714</v>
      </c>
      <c r="T214" s="14" t="s">
        <v>55</v>
      </c>
    </row>
    <row r="215" spans="1:20" ht="16.5">
      <c r="A215" s="17" t="s">
        <v>46</v>
      </c>
      <c r="B215" s="17" t="s">
        <v>311</v>
      </c>
      <c r="C215" s="17" t="s">
        <v>204</v>
      </c>
      <c r="D215" s="18" t="s">
        <v>819</v>
      </c>
      <c r="E215" s="17" t="s">
        <v>312</v>
      </c>
      <c r="F215" s="21" t="s">
        <v>313</v>
      </c>
      <c r="G215" s="19" t="s">
        <v>941</v>
      </c>
      <c r="H215" s="24" t="s">
        <v>942</v>
      </c>
      <c r="I215" s="17" t="s">
        <v>65</v>
      </c>
      <c r="J215" s="21">
        <v>1</v>
      </c>
      <c r="K215" s="21" t="s">
        <v>706</v>
      </c>
      <c r="L215" s="21" t="s">
        <v>943</v>
      </c>
      <c r="M215" s="19" t="s">
        <v>822</v>
      </c>
      <c r="N215" s="19" t="s">
        <v>316</v>
      </c>
      <c r="O215" s="19" t="s">
        <v>944</v>
      </c>
      <c r="P215" s="19" t="s">
        <v>941</v>
      </c>
      <c r="Q215" s="19" t="s">
        <v>211</v>
      </c>
      <c r="R215" s="16" t="s">
        <v>54</v>
      </c>
      <c r="S215" s="18" t="s">
        <v>714</v>
      </c>
      <c r="T215" s="21" t="s">
        <v>55</v>
      </c>
    </row>
    <row r="216" spans="1:20" ht="16.5">
      <c r="A216" s="11" t="s">
        <v>46</v>
      </c>
      <c r="B216" s="11" t="s">
        <v>311</v>
      </c>
      <c r="C216" s="11" t="s">
        <v>204</v>
      </c>
      <c r="D216" s="12" t="s">
        <v>819</v>
      </c>
      <c r="E216" s="11" t="s">
        <v>312</v>
      </c>
      <c r="F216" s="14" t="s">
        <v>313</v>
      </c>
      <c r="G216" s="15" t="s">
        <v>945</v>
      </c>
      <c r="H216" s="23" t="s">
        <v>946</v>
      </c>
      <c r="I216" s="11" t="s">
        <v>65</v>
      </c>
      <c r="J216" s="14">
        <v>1</v>
      </c>
      <c r="K216" s="14" t="s">
        <v>706</v>
      </c>
      <c r="L216" s="14" t="s">
        <v>947</v>
      </c>
      <c r="M216" s="15" t="s">
        <v>822</v>
      </c>
      <c r="N216" s="15" t="s">
        <v>316</v>
      </c>
      <c r="O216" s="15" t="s">
        <v>948</v>
      </c>
      <c r="P216" s="15" t="s">
        <v>945</v>
      </c>
      <c r="Q216" s="15" t="s">
        <v>211</v>
      </c>
      <c r="R216" s="16" t="s">
        <v>54</v>
      </c>
      <c r="S216" s="12" t="s">
        <v>714</v>
      </c>
      <c r="T216" s="14" t="s">
        <v>55</v>
      </c>
    </row>
    <row r="217" spans="1:20" ht="16.5">
      <c r="A217" s="17" t="s">
        <v>46</v>
      </c>
      <c r="B217" s="17" t="s">
        <v>311</v>
      </c>
      <c r="C217" s="17" t="s">
        <v>204</v>
      </c>
      <c r="D217" s="18" t="s">
        <v>824</v>
      </c>
      <c r="E217" s="17" t="s">
        <v>312</v>
      </c>
      <c r="F217" s="21" t="s">
        <v>313</v>
      </c>
      <c r="G217" s="19" t="s">
        <v>949</v>
      </c>
      <c r="H217" s="24" t="s">
        <v>950</v>
      </c>
      <c r="I217" s="17" t="s">
        <v>65</v>
      </c>
      <c r="J217" s="21">
        <v>1</v>
      </c>
      <c r="K217" s="21" t="s">
        <v>706</v>
      </c>
      <c r="L217" s="21" t="s">
        <v>951</v>
      </c>
      <c r="M217" s="19" t="s">
        <v>827</v>
      </c>
      <c r="N217" s="19" t="s">
        <v>316</v>
      </c>
      <c r="O217" s="19" t="s">
        <v>952</v>
      </c>
      <c r="P217" s="19" t="s">
        <v>949</v>
      </c>
      <c r="Q217" s="19" t="s">
        <v>211</v>
      </c>
      <c r="R217" s="16" t="s">
        <v>54</v>
      </c>
      <c r="S217" s="18" t="s">
        <v>714</v>
      </c>
      <c r="T217" s="21" t="s">
        <v>55</v>
      </c>
    </row>
    <row r="218" spans="1:20" ht="16.5">
      <c r="A218" s="11" t="s">
        <v>46</v>
      </c>
      <c r="B218" s="11" t="s">
        <v>311</v>
      </c>
      <c r="C218" s="11" t="s">
        <v>204</v>
      </c>
      <c r="D218" s="12" t="s">
        <v>824</v>
      </c>
      <c r="E218" s="11" t="s">
        <v>312</v>
      </c>
      <c r="F218" s="14" t="s">
        <v>313</v>
      </c>
      <c r="G218" s="15" t="s">
        <v>953</v>
      </c>
      <c r="H218" s="23" t="s">
        <v>954</v>
      </c>
      <c r="I218" s="11" t="s">
        <v>65</v>
      </c>
      <c r="J218" s="14">
        <v>1</v>
      </c>
      <c r="K218" s="14" t="s">
        <v>706</v>
      </c>
      <c r="L218" s="14" t="s">
        <v>955</v>
      </c>
      <c r="M218" s="15" t="s">
        <v>827</v>
      </c>
      <c r="N218" s="15" t="s">
        <v>316</v>
      </c>
      <c r="O218" s="15" t="s">
        <v>956</v>
      </c>
      <c r="P218" s="15" t="s">
        <v>953</v>
      </c>
      <c r="Q218" s="15" t="s">
        <v>211</v>
      </c>
      <c r="R218" s="16" t="s">
        <v>54</v>
      </c>
      <c r="S218" s="12" t="s">
        <v>714</v>
      </c>
      <c r="T218" s="14" t="s">
        <v>55</v>
      </c>
    </row>
    <row r="219" spans="1:20" ht="16.5">
      <c r="A219" s="17" t="s">
        <v>46</v>
      </c>
      <c r="B219" s="17" t="s">
        <v>311</v>
      </c>
      <c r="C219" s="17" t="s">
        <v>204</v>
      </c>
      <c r="D219" s="18" t="s">
        <v>829</v>
      </c>
      <c r="E219" s="17" t="s">
        <v>312</v>
      </c>
      <c r="F219" s="21" t="s">
        <v>313</v>
      </c>
      <c r="G219" s="19" t="s">
        <v>833</v>
      </c>
      <c r="H219" s="24" t="s">
        <v>957</v>
      </c>
      <c r="I219" s="17" t="s">
        <v>65</v>
      </c>
      <c r="J219" s="21">
        <v>1</v>
      </c>
      <c r="K219" s="21" t="s">
        <v>706</v>
      </c>
      <c r="L219" s="21" t="s">
        <v>958</v>
      </c>
      <c r="M219" s="19" t="s">
        <v>832</v>
      </c>
      <c r="N219" s="19" t="s">
        <v>316</v>
      </c>
      <c r="O219" s="19" t="s">
        <v>959</v>
      </c>
      <c r="P219" s="19" t="s">
        <v>833</v>
      </c>
      <c r="Q219" s="19" t="s">
        <v>211</v>
      </c>
      <c r="R219" s="16" t="s">
        <v>54</v>
      </c>
      <c r="S219" s="18" t="s">
        <v>714</v>
      </c>
      <c r="T219" s="21" t="s">
        <v>55</v>
      </c>
    </row>
    <row r="220" spans="1:20" ht="16.5">
      <c r="A220" s="11" t="s">
        <v>46</v>
      </c>
      <c r="B220" s="11" t="s">
        <v>311</v>
      </c>
      <c r="C220" s="11" t="s">
        <v>204</v>
      </c>
      <c r="D220" s="15" t="s">
        <v>834</v>
      </c>
      <c r="E220" s="11" t="s">
        <v>312</v>
      </c>
      <c r="F220" s="14" t="s">
        <v>313</v>
      </c>
      <c r="G220" s="15" t="s">
        <v>838</v>
      </c>
      <c r="H220" s="23" t="s">
        <v>960</v>
      </c>
      <c r="I220" s="11" t="s">
        <v>65</v>
      </c>
      <c r="J220" s="14">
        <v>1</v>
      </c>
      <c r="K220" s="14" t="s">
        <v>706</v>
      </c>
      <c r="L220" s="14" t="s">
        <v>961</v>
      </c>
      <c r="M220" s="15" t="s">
        <v>837</v>
      </c>
      <c r="N220" s="15" t="s">
        <v>316</v>
      </c>
      <c r="O220" s="15" t="s">
        <v>962</v>
      </c>
      <c r="P220" s="15" t="s">
        <v>838</v>
      </c>
      <c r="Q220" s="15" t="s">
        <v>211</v>
      </c>
      <c r="R220" s="16" t="s">
        <v>54</v>
      </c>
      <c r="S220" s="12" t="s">
        <v>714</v>
      </c>
      <c r="T220" s="14" t="s">
        <v>55</v>
      </c>
    </row>
    <row r="221" spans="1:20" ht="16.5">
      <c r="A221" s="17" t="s">
        <v>46</v>
      </c>
      <c r="B221" s="17" t="s">
        <v>311</v>
      </c>
      <c r="C221" s="17" t="s">
        <v>204</v>
      </c>
      <c r="D221" s="18" t="s">
        <v>839</v>
      </c>
      <c r="E221" s="17" t="s">
        <v>312</v>
      </c>
      <c r="F221" s="21" t="s">
        <v>313</v>
      </c>
      <c r="G221" s="19" t="s">
        <v>843</v>
      </c>
      <c r="H221" s="24" t="s">
        <v>963</v>
      </c>
      <c r="I221" s="17" t="s">
        <v>65</v>
      </c>
      <c r="J221" s="21">
        <v>1</v>
      </c>
      <c r="K221" s="21" t="s">
        <v>706</v>
      </c>
      <c r="L221" s="21" t="s">
        <v>964</v>
      </c>
      <c r="M221" s="19" t="s">
        <v>842</v>
      </c>
      <c r="N221" s="19" t="s">
        <v>316</v>
      </c>
      <c r="O221" s="19" t="s">
        <v>965</v>
      </c>
      <c r="P221" s="19" t="s">
        <v>843</v>
      </c>
      <c r="Q221" s="19" t="s">
        <v>211</v>
      </c>
      <c r="R221" s="16" t="s">
        <v>54</v>
      </c>
      <c r="S221" s="18" t="s">
        <v>714</v>
      </c>
      <c r="T221" s="21" t="s">
        <v>55</v>
      </c>
    </row>
    <row r="222" spans="1:20" ht="16.5">
      <c r="A222" s="11" t="s">
        <v>46</v>
      </c>
      <c r="B222" s="11" t="s">
        <v>311</v>
      </c>
      <c r="C222" s="11" t="s">
        <v>204</v>
      </c>
      <c r="D222" s="12" t="s">
        <v>844</v>
      </c>
      <c r="E222" s="11" t="s">
        <v>312</v>
      </c>
      <c r="F222" s="14" t="s">
        <v>313</v>
      </c>
      <c r="G222" s="15" t="s">
        <v>848</v>
      </c>
      <c r="H222" s="23" t="s">
        <v>966</v>
      </c>
      <c r="I222" s="11" t="s">
        <v>65</v>
      </c>
      <c r="J222" s="14">
        <v>1</v>
      </c>
      <c r="K222" s="14" t="s">
        <v>706</v>
      </c>
      <c r="L222" s="14" t="s">
        <v>967</v>
      </c>
      <c r="M222" s="15" t="s">
        <v>847</v>
      </c>
      <c r="N222" s="15" t="s">
        <v>316</v>
      </c>
      <c r="O222" s="15" t="s">
        <v>968</v>
      </c>
      <c r="P222" s="15" t="s">
        <v>848</v>
      </c>
      <c r="Q222" s="15" t="s">
        <v>211</v>
      </c>
      <c r="R222" s="16" t="s">
        <v>54</v>
      </c>
      <c r="S222" s="12" t="s">
        <v>714</v>
      </c>
      <c r="T222" s="14" t="s">
        <v>55</v>
      </c>
    </row>
    <row r="223" spans="1:20" ht="16.5">
      <c r="A223" s="17" t="s">
        <v>46</v>
      </c>
      <c r="B223" s="17" t="s">
        <v>311</v>
      </c>
      <c r="C223" s="17" t="s">
        <v>204</v>
      </c>
      <c r="D223" s="18" t="s">
        <v>849</v>
      </c>
      <c r="E223" s="17" t="s">
        <v>312</v>
      </c>
      <c r="F223" s="21" t="s">
        <v>313</v>
      </c>
      <c r="G223" s="19" t="s">
        <v>853</v>
      </c>
      <c r="H223" s="24" t="s">
        <v>969</v>
      </c>
      <c r="I223" s="17" t="s">
        <v>65</v>
      </c>
      <c r="J223" s="21">
        <v>1</v>
      </c>
      <c r="K223" s="21" t="s">
        <v>706</v>
      </c>
      <c r="L223" s="21" t="s">
        <v>970</v>
      </c>
      <c r="M223" s="19" t="s">
        <v>852</v>
      </c>
      <c r="N223" s="19" t="s">
        <v>316</v>
      </c>
      <c r="O223" s="19" t="s">
        <v>971</v>
      </c>
      <c r="P223" s="19" t="s">
        <v>853</v>
      </c>
      <c r="Q223" s="19" t="s">
        <v>211</v>
      </c>
      <c r="R223" s="16" t="s">
        <v>54</v>
      </c>
      <c r="S223" s="18" t="s">
        <v>714</v>
      </c>
      <c r="T223" s="21" t="s">
        <v>55</v>
      </c>
    </row>
    <row r="224" spans="1:20" ht="16.5">
      <c r="A224" s="11" t="s">
        <v>46</v>
      </c>
      <c r="B224" s="11" t="s">
        <v>487</v>
      </c>
      <c r="C224" s="11" t="s">
        <v>488</v>
      </c>
      <c r="D224" s="12" t="s">
        <v>972</v>
      </c>
      <c r="E224" s="11" t="s">
        <v>490</v>
      </c>
      <c r="F224" s="11" t="s">
        <v>491</v>
      </c>
      <c r="G224" s="12" t="s">
        <v>973</v>
      </c>
      <c r="H224" s="23" t="s">
        <v>584</v>
      </c>
      <c r="I224" s="11" t="s">
        <v>494</v>
      </c>
      <c r="J224" s="14">
        <v>1</v>
      </c>
      <c r="K224" s="14" t="s">
        <v>706</v>
      </c>
      <c r="L224" s="14" t="s">
        <v>974</v>
      </c>
      <c r="M224" s="15" t="s">
        <v>975</v>
      </c>
      <c r="N224" s="15" t="s">
        <v>497</v>
      </c>
      <c r="O224" s="15" t="s">
        <v>976</v>
      </c>
      <c r="P224" s="15" t="s">
        <v>977</v>
      </c>
      <c r="Q224" s="15" t="s">
        <v>500</v>
      </c>
      <c r="R224" s="16" t="s">
        <v>54</v>
      </c>
      <c r="S224" s="12" t="s">
        <v>714</v>
      </c>
      <c r="T224" s="14" t="s">
        <v>55</v>
      </c>
    </row>
    <row r="225" spans="1:20" ht="16.5">
      <c r="A225" s="17" t="s">
        <v>46</v>
      </c>
      <c r="B225" s="17" t="s">
        <v>487</v>
      </c>
      <c r="C225" s="17" t="s">
        <v>204</v>
      </c>
      <c r="D225" s="18" t="s">
        <v>794</v>
      </c>
      <c r="E225" s="17" t="s">
        <v>501</v>
      </c>
      <c r="F225" s="17" t="s">
        <v>488</v>
      </c>
      <c r="G225" s="18" t="s">
        <v>972</v>
      </c>
      <c r="H225" s="20" t="s">
        <v>978</v>
      </c>
      <c r="I225" s="17" t="s">
        <v>494</v>
      </c>
      <c r="J225" s="21">
        <v>1</v>
      </c>
      <c r="K225" s="21" t="s">
        <v>706</v>
      </c>
      <c r="L225" s="21" t="s">
        <v>979</v>
      </c>
      <c r="M225" s="19" t="s">
        <v>797</v>
      </c>
      <c r="N225" s="19" t="s">
        <v>504</v>
      </c>
      <c r="O225" s="19" t="s">
        <v>975</v>
      </c>
      <c r="P225" s="19"/>
      <c r="Q225" s="19" t="s">
        <v>211</v>
      </c>
      <c r="R225" s="16" t="s">
        <v>54</v>
      </c>
      <c r="S225" s="18" t="s">
        <v>714</v>
      </c>
      <c r="T225" s="21" t="s">
        <v>55</v>
      </c>
    </row>
    <row r="226" spans="1:20" ht="16.5">
      <c r="A226" s="11" t="s">
        <v>46</v>
      </c>
      <c r="B226" s="11" t="s">
        <v>487</v>
      </c>
      <c r="C226" s="11" t="s">
        <v>491</v>
      </c>
      <c r="D226" s="12" t="s">
        <v>973</v>
      </c>
      <c r="E226" s="11" t="s">
        <v>505</v>
      </c>
      <c r="F226" s="11" t="s">
        <v>204</v>
      </c>
      <c r="G226" s="12" t="s">
        <v>794</v>
      </c>
      <c r="H226" s="13" t="s">
        <v>980</v>
      </c>
      <c r="I226" s="11" t="s">
        <v>507</v>
      </c>
      <c r="J226" s="14">
        <v>1</v>
      </c>
      <c r="K226" s="14" t="s">
        <v>706</v>
      </c>
      <c r="L226" s="14" t="s">
        <v>981</v>
      </c>
      <c r="M226" s="15" t="s">
        <v>976</v>
      </c>
      <c r="N226" s="15" t="s">
        <v>509</v>
      </c>
      <c r="O226" s="15" t="s">
        <v>797</v>
      </c>
      <c r="P226" s="15" t="s">
        <v>977</v>
      </c>
      <c r="Q226" s="12" t="s">
        <v>286</v>
      </c>
      <c r="R226" s="22" t="s">
        <v>88</v>
      </c>
      <c r="S226" s="12" t="s">
        <v>714</v>
      </c>
      <c r="T226" s="14" t="s">
        <v>55</v>
      </c>
    </row>
    <row r="227" spans="1:20" ht="16.5">
      <c r="A227" s="17" t="s">
        <v>46</v>
      </c>
      <c r="B227" s="17" t="s">
        <v>487</v>
      </c>
      <c r="C227" s="17" t="s">
        <v>488</v>
      </c>
      <c r="D227" s="18" t="s">
        <v>982</v>
      </c>
      <c r="E227" s="17" t="s">
        <v>490</v>
      </c>
      <c r="F227" s="17" t="s">
        <v>491</v>
      </c>
      <c r="G227" s="18" t="s">
        <v>983</v>
      </c>
      <c r="H227" s="20" t="s">
        <v>984</v>
      </c>
      <c r="I227" s="17" t="s">
        <v>494</v>
      </c>
      <c r="J227" s="21">
        <v>1</v>
      </c>
      <c r="K227" s="21" t="s">
        <v>706</v>
      </c>
      <c r="L227" s="21" t="s">
        <v>985</v>
      </c>
      <c r="M227" s="19" t="s">
        <v>986</v>
      </c>
      <c r="N227" s="19" t="s">
        <v>497</v>
      </c>
      <c r="O227" s="19" t="s">
        <v>987</v>
      </c>
      <c r="P227" s="19" t="s">
        <v>988</v>
      </c>
      <c r="Q227" s="19" t="s">
        <v>500</v>
      </c>
      <c r="R227" s="16" t="s">
        <v>54</v>
      </c>
      <c r="S227" s="18" t="s">
        <v>714</v>
      </c>
      <c r="T227" s="21" t="s">
        <v>55</v>
      </c>
    </row>
    <row r="228" spans="1:20" ht="16.5">
      <c r="A228" s="11" t="s">
        <v>46</v>
      </c>
      <c r="B228" s="11" t="s">
        <v>487</v>
      </c>
      <c r="C228" s="11" t="s">
        <v>204</v>
      </c>
      <c r="D228" s="12" t="s">
        <v>839</v>
      </c>
      <c r="E228" s="11" t="s">
        <v>501</v>
      </c>
      <c r="F228" s="11" t="s">
        <v>488</v>
      </c>
      <c r="G228" s="12" t="s">
        <v>982</v>
      </c>
      <c r="H228" s="13" t="s">
        <v>989</v>
      </c>
      <c r="I228" s="11" t="s">
        <v>494</v>
      </c>
      <c r="J228" s="14">
        <v>1</v>
      </c>
      <c r="K228" s="14" t="s">
        <v>706</v>
      </c>
      <c r="L228" s="14" t="s">
        <v>990</v>
      </c>
      <c r="M228" s="15" t="s">
        <v>842</v>
      </c>
      <c r="N228" s="15" t="s">
        <v>504</v>
      </c>
      <c r="O228" s="15" t="s">
        <v>986</v>
      </c>
      <c r="P228" s="15"/>
      <c r="Q228" s="15" t="s">
        <v>211</v>
      </c>
      <c r="R228" s="16" t="s">
        <v>54</v>
      </c>
      <c r="S228" s="12" t="s">
        <v>714</v>
      </c>
      <c r="T228" s="14" t="s">
        <v>55</v>
      </c>
    </row>
    <row r="229" spans="1:20" ht="29.25">
      <c r="A229" s="17" t="s">
        <v>46</v>
      </c>
      <c r="B229" s="17" t="s">
        <v>487</v>
      </c>
      <c r="C229" s="17" t="s">
        <v>491</v>
      </c>
      <c r="D229" s="18" t="s">
        <v>983</v>
      </c>
      <c r="E229" s="17" t="s">
        <v>505</v>
      </c>
      <c r="F229" s="17" t="s">
        <v>204</v>
      </c>
      <c r="G229" s="18" t="s">
        <v>839</v>
      </c>
      <c r="H229" s="20" t="s">
        <v>991</v>
      </c>
      <c r="I229" s="17" t="s">
        <v>507</v>
      </c>
      <c r="J229" s="21">
        <v>1</v>
      </c>
      <c r="K229" s="21" t="s">
        <v>706</v>
      </c>
      <c r="L229" s="21" t="s">
        <v>992</v>
      </c>
      <c r="M229" s="19" t="s">
        <v>987</v>
      </c>
      <c r="N229" s="19" t="s">
        <v>509</v>
      </c>
      <c r="O229" s="19" t="s">
        <v>842</v>
      </c>
      <c r="P229" s="19" t="s">
        <v>988</v>
      </c>
      <c r="Q229" s="18" t="s">
        <v>286</v>
      </c>
      <c r="R229" s="22" t="s">
        <v>88</v>
      </c>
      <c r="S229" s="18" t="s">
        <v>714</v>
      </c>
      <c r="T229" s="21" t="s">
        <v>55</v>
      </c>
    </row>
    <row r="230" spans="1:20" ht="16.5">
      <c r="A230" s="11" t="s">
        <v>46</v>
      </c>
      <c r="B230" s="11" t="s">
        <v>487</v>
      </c>
      <c r="C230" s="11" t="s">
        <v>491</v>
      </c>
      <c r="D230" s="12" t="s">
        <v>993</v>
      </c>
      <c r="E230" s="11" t="s">
        <v>555</v>
      </c>
      <c r="F230" s="11" t="s">
        <v>556</v>
      </c>
      <c r="G230" s="12" t="s">
        <v>994</v>
      </c>
      <c r="H230" s="13" t="s">
        <v>995</v>
      </c>
      <c r="I230" s="11" t="s">
        <v>559</v>
      </c>
      <c r="J230" s="14">
        <v>1</v>
      </c>
      <c r="K230" s="14" t="s">
        <v>706</v>
      </c>
      <c r="L230" s="14" t="s">
        <v>996</v>
      </c>
      <c r="M230" s="15" t="s">
        <v>997</v>
      </c>
      <c r="N230" s="15" t="s">
        <v>561</v>
      </c>
      <c r="O230" s="15" t="s">
        <v>998</v>
      </c>
      <c r="P230" s="15"/>
      <c r="Q230" s="12" t="s">
        <v>53</v>
      </c>
      <c r="R230" s="16" t="s">
        <v>54</v>
      </c>
      <c r="S230" s="12" t="s">
        <v>714</v>
      </c>
      <c r="T230" s="14" t="s">
        <v>55</v>
      </c>
    </row>
    <row r="231" spans="1:20" ht="16.5">
      <c r="A231" s="17" t="s">
        <v>46</v>
      </c>
      <c r="B231" s="17" t="s">
        <v>578</v>
      </c>
      <c r="C231" s="17" t="s">
        <v>300</v>
      </c>
      <c r="D231" s="18" t="s">
        <v>617</v>
      </c>
      <c r="E231" s="17" t="s">
        <v>579</v>
      </c>
      <c r="F231" s="17" t="s">
        <v>62</v>
      </c>
      <c r="G231" s="19" t="s">
        <v>625</v>
      </c>
      <c r="H231" s="20" t="s">
        <v>999</v>
      </c>
      <c r="I231" s="17" t="s">
        <v>627</v>
      </c>
      <c r="J231" s="21">
        <v>1</v>
      </c>
      <c r="K231" s="21" t="s">
        <v>706</v>
      </c>
      <c r="L231" s="21" t="s">
        <v>1000</v>
      </c>
      <c r="M231" s="19" t="s">
        <v>620</v>
      </c>
      <c r="N231" s="19" t="s">
        <v>583</v>
      </c>
      <c r="O231" s="19" t="s">
        <v>629</v>
      </c>
      <c r="P231" s="19"/>
      <c r="Q231" s="18" t="s">
        <v>53</v>
      </c>
      <c r="R231" s="16" t="s">
        <v>54</v>
      </c>
      <c r="S231" s="18" t="s">
        <v>714</v>
      </c>
      <c r="T231" s="21" t="s">
        <v>55</v>
      </c>
    </row>
    <row r="232" spans="1:20" ht="16.5">
      <c r="A232" s="11" t="s">
        <v>46</v>
      </c>
      <c r="B232" s="11" t="s">
        <v>578</v>
      </c>
      <c r="C232" s="11" t="s">
        <v>300</v>
      </c>
      <c r="D232" s="12" t="s">
        <v>608</v>
      </c>
      <c r="E232" s="11" t="s">
        <v>579</v>
      </c>
      <c r="F232" s="11" t="s">
        <v>62</v>
      </c>
      <c r="G232" s="15" t="s">
        <v>625</v>
      </c>
      <c r="H232" s="13" t="s">
        <v>1001</v>
      </c>
      <c r="I232" s="11" t="s">
        <v>627</v>
      </c>
      <c r="J232" s="14">
        <v>1</v>
      </c>
      <c r="K232" s="14" t="s">
        <v>706</v>
      </c>
      <c r="L232" s="14" t="s">
        <v>1002</v>
      </c>
      <c r="M232" s="15" t="s">
        <v>611</v>
      </c>
      <c r="N232" s="15" t="s">
        <v>583</v>
      </c>
      <c r="O232" s="15" t="s">
        <v>629</v>
      </c>
      <c r="P232" s="15"/>
      <c r="Q232" s="12" t="s">
        <v>53</v>
      </c>
      <c r="R232" s="16" t="s">
        <v>54</v>
      </c>
      <c r="S232" s="12" t="s">
        <v>714</v>
      </c>
      <c r="T232" s="14" t="s">
        <v>55</v>
      </c>
    </row>
    <row r="233" spans="1:20" ht="16.5">
      <c r="A233" s="17" t="s">
        <v>46</v>
      </c>
      <c r="B233" s="17" t="s">
        <v>578</v>
      </c>
      <c r="C233" s="17" t="s">
        <v>300</v>
      </c>
      <c r="D233" s="18" t="s">
        <v>597</v>
      </c>
      <c r="E233" s="17" t="s">
        <v>589</v>
      </c>
      <c r="F233" s="17" t="s">
        <v>62</v>
      </c>
      <c r="G233" s="19" t="s">
        <v>625</v>
      </c>
      <c r="H233" s="24" t="s">
        <v>584</v>
      </c>
      <c r="I233" s="17" t="s">
        <v>627</v>
      </c>
      <c r="J233" s="21">
        <v>1</v>
      </c>
      <c r="K233" s="21" t="s">
        <v>706</v>
      </c>
      <c r="L233" s="21" t="s">
        <v>1003</v>
      </c>
      <c r="M233" s="19" t="s">
        <v>600</v>
      </c>
      <c r="N233" s="19" t="s">
        <v>594</v>
      </c>
      <c r="O233" s="19" t="s">
        <v>629</v>
      </c>
      <c r="P233" s="19"/>
      <c r="Q233" s="18" t="s">
        <v>53</v>
      </c>
      <c r="R233" s="16" t="s">
        <v>54</v>
      </c>
      <c r="S233" s="18" t="s">
        <v>714</v>
      </c>
      <c r="T233" s="21" t="s">
        <v>55</v>
      </c>
    </row>
    <row r="234" spans="1:20" ht="16.5">
      <c r="A234" s="11" t="s">
        <v>46</v>
      </c>
      <c r="B234" s="11" t="s">
        <v>578</v>
      </c>
      <c r="C234" s="11" t="s">
        <v>300</v>
      </c>
      <c r="D234" s="12" t="s">
        <v>588</v>
      </c>
      <c r="E234" s="11" t="s">
        <v>589</v>
      </c>
      <c r="F234" s="11" t="s">
        <v>62</v>
      </c>
      <c r="G234" s="15" t="s">
        <v>625</v>
      </c>
      <c r="H234" s="23" t="s">
        <v>1004</v>
      </c>
      <c r="I234" s="11" t="s">
        <v>627</v>
      </c>
      <c r="J234" s="14">
        <v>1</v>
      </c>
      <c r="K234" s="14" t="s">
        <v>706</v>
      </c>
      <c r="L234" s="14" t="s">
        <v>1005</v>
      </c>
      <c r="M234" s="15" t="s">
        <v>593</v>
      </c>
      <c r="N234" s="15" t="s">
        <v>594</v>
      </c>
      <c r="O234" s="15" t="s">
        <v>629</v>
      </c>
      <c r="P234" s="15"/>
      <c r="Q234" s="12" t="s">
        <v>53</v>
      </c>
      <c r="R234" s="16" t="s">
        <v>54</v>
      </c>
      <c r="S234" s="12" t="s">
        <v>714</v>
      </c>
      <c r="T234" s="14" t="s">
        <v>55</v>
      </c>
    </row>
    <row r="235" spans="1:20" ht="16.5">
      <c r="A235" s="17" t="s">
        <v>46</v>
      </c>
      <c r="B235" s="17" t="s">
        <v>578</v>
      </c>
      <c r="C235" s="17" t="s">
        <v>62</v>
      </c>
      <c r="D235" s="19" t="s">
        <v>625</v>
      </c>
      <c r="E235" s="17" t="s">
        <v>612</v>
      </c>
      <c r="F235" s="17" t="s">
        <v>300</v>
      </c>
      <c r="G235" s="18" t="s">
        <v>601</v>
      </c>
      <c r="H235" s="20" t="s">
        <v>1006</v>
      </c>
      <c r="I235" s="17" t="s">
        <v>614</v>
      </c>
      <c r="J235" s="21">
        <v>1</v>
      </c>
      <c r="K235" s="21" t="s">
        <v>706</v>
      </c>
      <c r="L235" s="21" t="s">
        <v>1007</v>
      </c>
      <c r="M235" s="19" t="s">
        <v>629</v>
      </c>
      <c r="N235" s="19" t="s">
        <v>616</v>
      </c>
      <c r="O235" s="19" t="s">
        <v>605</v>
      </c>
      <c r="P235" s="19"/>
      <c r="Q235" s="18" t="s">
        <v>53</v>
      </c>
      <c r="R235" s="16" t="s">
        <v>54</v>
      </c>
      <c r="S235" s="18" t="s">
        <v>714</v>
      </c>
      <c r="T235" s="21" t="s">
        <v>55</v>
      </c>
    </row>
    <row r="236" spans="1:20" ht="16.5">
      <c r="A236" s="11" t="s">
        <v>46</v>
      </c>
      <c r="B236" s="11" t="s">
        <v>578</v>
      </c>
      <c r="C236" s="11" t="s">
        <v>62</v>
      </c>
      <c r="D236" s="15" t="s">
        <v>625</v>
      </c>
      <c r="E236" s="11" t="s">
        <v>612</v>
      </c>
      <c r="F236" s="11" t="s">
        <v>300</v>
      </c>
      <c r="G236" s="12" t="s">
        <v>636</v>
      </c>
      <c r="H236" s="13" t="s">
        <v>1008</v>
      </c>
      <c r="I236" s="11" t="s">
        <v>614</v>
      </c>
      <c r="J236" s="14">
        <v>1</v>
      </c>
      <c r="K236" s="14" t="s">
        <v>706</v>
      </c>
      <c r="L236" s="14" t="s">
        <v>1009</v>
      </c>
      <c r="M236" s="15" t="s">
        <v>629</v>
      </c>
      <c r="N236" s="15" t="s">
        <v>616</v>
      </c>
      <c r="O236" s="15" t="s">
        <v>641</v>
      </c>
      <c r="P236" s="15"/>
      <c r="Q236" s="12" t="s">
        <v>53</v>
      </c>
      <c r="R236" s="16" t="s">
        <v>54</v>
      </c>
      <c r="S236" s="12" t="s">
        <v>714</v>
      </c>
      <c r="T236" s="14" t="s">
        <v>55</v>
      </c>
    </row>
    <row r="237" spans="1:20" ht="16.5">
      <c r="A237" s="17" t="s">
        <v>46</v>
      </c>
      <c r="B237" s="17" t="s">
        <v>578</v>
      </c>
      <c r="C237" s="17" t="s">
        <v>300</v>
      </c>
      <c r="D237" s="18" t="s">
        <v>636</v>
      </c>
      <c r="E237" s="17" t="s">
        <v>579</v>
      </c>
      <c r="F237" s="17" t="s">
        <v>62</v>
      </c>
      <c r="G237" s="18" t="s">
        <v>191</v>
      </c>
      <c r="H237" s="24" t="s">
        <v>584</v>
      </c>
      <c r="I237" s="17" t="s">
        <v>614</v>
      </c>
      <c r="J237" s="21">
        <v>1</v>
      </c>
      <c r="K237" s="21" t="s">
        <v>706</v>
      </c>
      <c r="L237" s="21" t="s">
        <v>1010</v>
      </c>
      <c r="M237" s="19" t="s">
        <v>641</v>
      </c>
      <c r="N237" s="19" t="s">
        <v>583</v>
      </c>
      <c r="O237" s="19" t="s">
        <v>194</v>
      </c>
      <c r="P237" s="19"/>
      <c r="Q237" s="18" t="s">
        <v>53</v>
      </c>
      <c r="R237" s="16" t="s">
        <v>54</v>
      </c>
      <c r="S237" s="18" t="s">
        <v>714</v>
      </c>
      <c r="T237" s="21" t="s">
        <v>55</v>
      </c>
    </row>
    <row r="238" spans="1:20" ht="16.5">
      <c r="A238" s="11" t="s">
        <v>46</v>
      </c>
      <c r="B238" s="11" t="s">
        <v>578</v>
      </c>
      <c r="C238" s="11" t="s">
        <v>62</v>
      </c>
      <c r="D238" s="12" t="s">
        <v>744</v>
      </c>
      <c r="E238" s="11" t="s">
        <v>45</v>
      </c>
      <c r="F238" s="11" t="s">
        <v>62</v>
      </c>
      <c r="G238" s="12" t="s">
        <v>767</v>
      </c>
      <c r="H238" s="13" t="s">
        <v>1011</v>
      </c>
      <c r="I238" s="11" t="s">
        <v>581</v>
      </c>
      <c r="J238" s="14">
        <v>1</v>
      </c>
      <c r="K238" s="14" t="s">
        <v>706</v>
      </c>
      <c r="L238" s="14" t="s">
        <v>1012</v>
      </c>
      <c r="M238" s="15" t="s">
        <v>747</v>
      </c>
      <c r="N238" s="15" t="s">
        <v>51</v>
      </c>
      <c r="O238" s="15" t="s">
        <v>770</v>
      </c>
      <c r="P238" s="15"/>
      <c r="Q238" s="12" t="s">
        <v>53</v>
      </c>
      <c r="R238" s="16" t="s">
        <v>54</v>
      </c>
      <c r="S238" s="12" t="s">
        <v>714</v>
      </c>
      <c r="T238" s="14" t="s">
        <v>55</v>
      </c>
    </row>
    <row r="239" spans="1:20" ht="16.5">
      <c r="A239" s="17" t="s">
        <v>46</v>
      </c>
      <c r="B239" s="17" t="s">
        <v>578</v>
      </c>
      <c r="C239" s="17" t="s">
        <v>300</v>
      </c>
      <c r="D239" s="18" t="s">
        <v>1013</v>
      </c>
      <c r="E239" s="17" t="s">
        <v>643</v>
      </c>
      <c r="F239" s="17" t="s">
        <v>62</v>
      </c>
      <c r="G239" s="18" t="s">
        <v>744</v>
      </c>
      <c r="H239" s="20" t="s">
        <v>1014</v>
      </c>
      <c r="I239" s="17" t="s">
        <v>1015</v>
      </c>
      <c r="J239" s="21">
        <v>1</v>
      </c>
      <c r="K239" s="21" t="s">
        <v>706</v>
      </c>
      <c r="L239" s="21" t="s">
        <v>1016</v>
      </c>
      <c r="M239" s="19" t="s">
        <v>1017</v>
      </c>
      <c r="N239" s="19" t="s">
        <v>648</v>
      </c>
      <c r="O239" s="19" t="s">
        <v>747</v>
      </c>
      <c r="P239" s="19"/>
      <c r="Q239" s="18" t="s">
        <v>53</v>
      </c>
      <c r="R239" s="16" t="s">
        <v>54</v>
      </c>
      <c r="S239" s="18" t="s">
        <v>714</v>
      </c>
      <c r="T239" s="21" t="s">
        <v>55</v>
      </c>
    </row>
    <row r="240" spans="1:20" ht="16.5">
      <c r="A240" s="11" t="s">
        <v>46</v>
      </c>
      <c r="B240" s="11" t="s">
        <v>578</v>
      </c>
      <c r="C240" s="11" t="s">
        <v>300</v>
      </c>
      <c r="D240" s="12" t="s">
        <v>1018</v>
      </c>
      <c r="E240" s="11" t="s">
        <v>579</v>
      </c>
      <c r="F240" s="11" t="s">
        <v>62</v>
      </c>
      <c r="G240" s="12" t="s">
        <v>744</v>
      </c>
      <c r="H240" s="13" t="s">
        <v>1019</v>
      </c>
      <c r="I240" s="11" t="s">
        <v>1015</v>
      </c>
      <c r="J240" s="14">
        <v>1</v>
      </c>
      <c r="K240" s="14" t="s">
        <v>706</v>
      </c>
      <c r="L240" s="14" t="s">
        <v>1020</v>
      </c>
      <c r="M240" s="15" t="s">
        <v>1021</v>
      </c>
      <c r="N240" s="15" t="s">
        <v>583</v>
      </c>
      <c r="O240" s="15" t="s">
        <v>747</v>
      </c>
      <c r="P240" s="15"/>
      <c r="Q240" s="12" t="s">
        <v>649</v>
      </c>
      <c r="R240" s="22" t="s">
        <v>88</v>
      </c>
      <c r="S240" s="12" t="s">
        <v>714</v>
      </c>
      <c r="T240" s="14" t="s">
        <v>55</v>
      </c>
    </row>
    <row r="241" spans="1:20" ht="16.5">
      <c r="A241" s="17" t="s">
        <v>46</v>
      </c>
      <c r="B241" s="17" t="s">
        <v>578</v>
      </c>
      <c r="C241" s="17" t="s">
        <v>62</v>
      </c>
      <c r="D241" s="18" t="s">
        <v>775</v>
      </c>
      <c r="E241" s="17" t="s">
        <v>45</v>
      </c>
      <c r="F241" s="17" t="s">
        <v>62</v>
      </c>
      <c r="G241" s="19" t="s">
        <v>625</v>
      </c>
      <c r="H241" s="20" t="s">
        <v>1022</v>
      </c>
      <c r="I241" s="17" t="s">
        <v>1023</v>
      </c>
      <c r="J241" s="21">
        <v>1</v>
      </c>
      <c r="K241" s="21" t="s">
        <v>706</v>
      </c>
      <c r="L241" s="21" t="s">
        <v>1024</v>
      </c>
      <c r="M241" s="19" t="s">
        <v>778</v>
      </c>
      <c r="N241" s="19" t="s">
        <v>51</v>
      </c>
      <c r="O241" s="19" t="s">
        <v>629</v>
      </c>
      <c r="P241" s="19"/>
      <c r="Q241" s="18" t="s">
        <v>649</v>
      </c>
      <c r="R241" s="22" t="s">
        <v>88</v>
      </c>
      <c r="S241" s="18" t="s">
        <v>714</v>
      </c>
      <c r="T241" s="21" t="s">
        <v>55</v>
      </c>
    </row>
    <row r="242" spans="1:20" ht="16.5">
      <c r="A242" s="11" t="s">
        <v>46</v>
      </c>
      <c r="B242" s="11" t="s">
        <v>650</v>
      </c>
      <c r="C242" s="11" t="s">
        <v>204</v>
      </c>
      <c r="D242" s="12" t="s">
        <v>794</v>
      </c>
      <c r="E242" s="11" t="s">
        <v>654</v>
      </c>
      <c r="F242" s="11" t="s">
        <v>295</v>
      </c>
      <c r="G242" s="12" t="s">
        <v>296</v>
      </c>
      <c r="H242" s="13" t="s">
        <v>1025</v>
      </c>
      <c r="I242" s="11" t="s">
        <v>680</v>
      </c>
      <c r="J242" s="14">
        <v>1</v>
      </c>
      <c r="K242" s="14" t="s">
        <v>706</v>
      </c>
      <c r="L242" s="14" t="s">
        <v>1026</v>
      </c>
      <c r="M242" s="15" t="s">
        <v>797</v>
      </c>
      <c r="N242" s="15" t="s">
        <v>657</v>
      </c>
      <c r="O242" s="15" t="s">
        <v>299</v>
      </c>
      <c r="P242" s="15" t="s">
        <v>798</v>
      </c>
      <c r="Q242" s="12" t="s">
        <v>286</v>
      </c>
      <c r="R242" s="22" t="s">
        <v>88</v>
      </c>
      <c r="S242" s="12" t="s">
        <v>714</v>
      </c>
      <c r="T242" s="14" t="s">
        <v>55</v>
      </c>
    </row>
    <row r="243" spans="1:20" ht="16.5">
      <c r="A243" s="17" t="s">
        <v>46</v>
      </c>
      <c r="B243" s="17" t="s">
        <v>650</v>
      </c>
      <c r="C243" s="17" t="s">
        <v>204</v>
      </c>
      <c r="D243" s="19" t="s">
        <v>804</v>
      </c>
      <c r="E243" s="17" t="s">
        <v>505</v>
      </c>
      <c r="F243" s="17" t="s">
        <v>204</v>
      </c>
      <c r="G243" s="18" t="s">
        <v>282</v>
      </c>
      <c r="H243" s="24" t="s">
        <v>584</v>
      </c>
      <c r="I243" s="17" t="s">
        <v>652</v>
      </c>
      <c r="J243" s="21">
        <v>1</v>
      </c>
      <c r="K243" s="21" t="s">
        <v>706</v>
      </c>
      <c r="L243" s="21" t="s">
        <v>1027</v>
      </c>
      <c r="M243" s="19" t="s">
        <v>807</v>
      </c>
      <c r="N243" s="19" t="s">
        <v>509</v>
      </c>
      <c r="O243" s="19" t="s">
        <v>285</v>
      </c>
      <c r="P243" s="19" t="s">
        <v>808</v>
      </c>
      <c r="Q243" s="18" t="s">
        <v>286</v>
      </c>
      <c r="R243" s="22" t="s">
        <v>88</v>
      </c>
      <c r="S243" s="18" t="s">
        <v>714</v>
      </c>
      <c r="T243" s="21" t="s">
        <v>55</v>
      </c>
    </row>
    <row r="244" spans="1:20" ht="16.5">
      <c r="A244" s="11" t="s">
        <v>46</v>
      </c>
      <c r="B244" s="11" t="s">
        <v>650</v>
      </c>
      <c r="C244" s="11" t="s">
        <v>204</v>
      </c>
      <c r="D244" s="12" t="s">
        <v>839</v>
      </c>
      <c r="E244" s="11" t="s">
        <v>667</v>
      </c>
      <c r="F244" s="11" t="s">
        <v>204</v>
      </c>
      <c r="G244" s="12" t="s">
        <v>819</v>
      </c>
      <c r="H244" s="13" t="s">
        <v>1028</v>
      </c>
      <c r="I244" s="11" t="s">
        <v>507</v>
      </c>
      <c r="J244" s="14">
        <v>2</v>
      </c>
      <c r="K244" s="14" t="s">
        <v>706</v>
      </c>
      <c r="L244" s="14" t="s">
        <v>1029</v>
      </c>
      <c r="M244" s="15" t="s">
        <v>842</v>
      </c>
      <c r="N244" s="15" t="s">
        <v>670</v>
      </c>
      <c r="O244" s="15" t="s">
        <v>822</v>
      </c>
      <c r="P244" s="15" t="s">
        <v>1030</v>
      </c>
      <c r="Q244" s="12" t="s">
        <v>286</v>
      </c>
      <c r="R244" s="22" t="s">
        <v>88</v>
      </c>
      <c r="S244" s="12" t="s">
        <v>714</v>
      </c>
      <c r="T244" s="14" t="s">
        <v>55</v>
      </c>
    </row>
    <row r="245" spans="1:20" ht="16.5">
      <c r="A245" s="17" t="s">
        <v>46</v>
      </c>
      <c r="B245" s="17" t="s">
        <v>650</v>
      </c>
      <c r="C245" s="17" t="s">
        <v>204</v>
      </c>
      <c r="D245" s="18" t="s">
        <v>819</v>
      </c>
      <c r="E245" s="17" t="s">
        <v>667</v>
      </c>
      <c r="F245" s="17" t="s">
        <v>204</v>
      </c>
      <c r="G245" s="18" t="s">
        <v>287</v>
      </c>
      <c r="H245" s="24" t="s">
        <v>584</v>
      </c>
      <c r="I245" s="17" t="s">
        <v>652</v>
      </c>
      <c r="J245" s="21">
        <v>2</v>
      </c>
      <c r="K245" s="21" t="s">
        <v>706</v>
      </c>
      <c r="L245" s="21" t="s">
        <v>1031</v>
      </c>
      <c r="M245" s="19" t="s">
        <v>822</v>
      </c>
      <c r="N245" s="19" t="s">
        <v>670</v>
      </c>
      <c r="O245" s="19" t="s">
        <v>290</v>
      </c>
      <c r="P245" s="19" t="s">
        <v>823</v>
      </c>
      <c r="Q245" s="18" t="s">
        <v>286</v>
      </c>
      <c r="R245" s="22" t="s">
        <v>88</v>
      </c>
      <c r="S245" s="18" t="s">
        <v>714</v>
      </c>
      <c r="T245" s="21" t="s">
        <v>55</v>
      </c>
    </row>
    <row r="246" spans="1:20" ht="16.5">
      <c r="A246" s="11" t="s">
        <v>1032</v>
      </c>
      <c r="B246" s="11" t="s">
        <v>43</v>
      </c>
      <c r="C246" s="11" t="s">
        <v>44</v>
      </c>
      <c r="D246" s="12" t="s">
        <v>1032</v>
      </c>
      <c r="E246" s="11" t="s">
        <v>45</v>
      </c>
      <c r="F246" s="11" t="s">
        <v>44</v>
      </c>
      <c r="G246" s="12" t="s">
        <v>42</v>
      </c>
      <c r="H246" s="13" t="s">
        <v>1033</v>
      </c>
      <c r="I246" s="11" t="s">
        <v>43</v>
      </c>
      <c r="J246" s="14">
        <v>1</v>
      </c>
      <c r="K246" s="14" t="s">
        <v>1034</v>
      </c>
      <c r="L246" s="14" t="s">
        <v>1035</v>
      </c>
      <c r="M246" s="15" t="s">
        <v>1036</v>
      </c>
      <c r="N246" s="15" t="s">
        <v>51</v>
      </c>
      <c r="O246" s="15" t="s">
        <v>50</v>
      </c>
      <c r="P246" s="15"/>
      <c r="Q246" s="12" t="s">
        <v>53</v>
      </c>
      <c r="R246" s="16" t="s">
        <v>54</v>
      </c>
      <c r="S246" s="15"/>
      <c r="T246" s="14" t="s">
        <v>55</v>
      </c>
    </row>
    <row r="247" spans="1:20" ht="16.5">
      <c r="A247" s="17" t="s">
        <v>1032</v>
      </c>
      <c r="B247" s="17" t="s">
        <v>60</v>
      </c>
      <c r="C247" s="17" t="s">
        <v>44</v>
      </c>
      <c r="D247" s="18" t="s">
        <v>1032</v>
      </c>
      <c r="E247" s="17" t="s">
        <v>61</v>
      </c>
      <c r="F247" s="17" t="s">
        <v>62</v>
      </c>
      <c r="G247" s="18" t="s">
        <v>1037</v>
      </c>
      <c r="H247" s="20" t="s">
        <v>1038</v>
      </c>
      <c r="I247" s="17" t="s">
        <v>65</v>
      </c>
      <c r="J247" s="21">
        <v>1</v>
      </c>
      <c r="K247" s="21" t="s">
        <v>1034</v>
      </c>
      <c r="L247" s="21" t="s">
        <v>1039</v>
      </c>
      <c r="M247" s="19" t="s">
        <v>1036</v>
      </c>
      <c r="N247" s="19" t="s">
        <v>67</v>
      </c>
      <c r="O247" s="19" t="s">
        <v>1040</v>
      </c>
      <c r="P247" s="19"/>
      <c r="Q247" s="18" t="s">
        <v>69</v>
      </c>
      <c r="R247" s="16" t="s">
        <v>54</v>
      </c>
      <c r="S247" s="18" t="s">
        <v>1032</v>
      </c>
      <c r="T247" s="21" t="s">
        <v>55</v>
      </c>
    </row>
    <row r="248" spans="1:20" ht="16.5">
      <c r="A248" s="11" t="s">
        <v>1032</v>
      </c>
      <c r="B248" s="11" t="s">
        <v>60</v>
      </c>
      <c r="C248" s="11" t="s">
        <v>62</v>
      </c>
      <c r="D248" s="12" t="s">
        <v>1037</v>
      </c>
      <c r="E248" s="11" t="s">
        <v>71</v>
      </c>
      <c r="F248" s="11" t="s">
        <v>72</v>
      </c>
      <c r="G248" s="12" t="s">
        <v>1041</v>
      </c>
      <c r="H248" s="13" t="s">
        <v>1042</v>
      </c>
      <c r="I248" s="11" t="s">
        <v>65</v>
      </c>
      <c r="J248" s="14">
        <v>1</v>
      </c>
      <c r="K248" s="14" t="s">
        <v>1034</v>
      </c>
      <c r="L248" s="14" t="s">
        <v>1043</v>
      </c>
      <c r="M248" s="15" t="s">
        <v>1040</v>
      </c>
      <c r="N248" s="15" t="s">
        <v>76</v>
      </c>
      <c r="O248" s="15" t="s">
        <v>1044</v>
      </c>
      <c r="P248" s="15"/>
      <c r="Q248" s="12" t="s">
        <v>69</v>
      </c>
      <c r="R248" s="16" t="s">
        <v>54</v>
      </c>
      <c r="S248" s="12" t="s">
        <v>1032</v>
      </c>
      <c r="T248" s="14" t="s">
        <v>55</v>
      </c>
    </row>
    <row r="249" spans="1:20" ht="16.5">
      <c r="A249" s="17" t="s">
        <v>1032</v>
      </c>
      <c r="B249" s="17" t="s">
        <v>60</v>
      </c>
      <c r="C249" s="17" t="s">
        <v>62</v>
      </c>
      <c r="D249" s="18" t="s">
        <v>1037</v>
      </c>
      <c r="E249" s="17" t="s">
        <v>71</v>
      </c>
      <c r="F249" s="17" t="s">
        <v>72</v>
      </c>
      <c r="G249" s="18" t="s">
        <v>1045</v>
      </c>
      <c r="H249" s="20" t="s">
        <v>1042</v>
      </c>
      <c r="I249" s="17" t="s">
        <v>65</v>
      </c>
      <c r="J249" s="21">
        <v>1</v>
      </c>
      <c r="K249" s="21" t="s">
        <v>1034</v>
      </c>
      <c r="L249" s="21" t="s">
        <v>1046</v>
      </c>
      <c r="M249" s="19" t="s">
        <v>1040</v>
      </c>
      <c r="N249" s="19" t="s">
        <v>76</v>
      </c>
      <c r="O249" s="19" t="s">
        <v>1047</v>
      </c>
      <c r="P249" s="19"/>
      <c r="Q249" s="18" t="s">
        <v>69</v>
      </c>
      <c r="R249" s="16" t="s">
        <v>54</v>
      </c>
      <c r="S249" s="18" t="s">
        <v>1032</v>
      </c>
      <c r="T249" s="21" t="s">
        <v>55</v>
      </c>
    </row>
    <row r="250" spans="1:20" ht="16.5">
      <c r="A250" s="11" t="s">
        <v>1032</v>
      </c>
      <c r="B250" s="11" t="s">
        <v>60</v>
      </c>
      <c r="C250" s="11" t="s">
        <v>62</v>
      </c>
      <c r="D250" s="12" t="s">
        <v>1037</v>
      </c>
      <c r="E250" s="11" t="s">
        <v>71</v>
      </c>
      <c r="F250" s="11" t="s">
        <v>72</v>
      </c>
      <c r="G250" s="12" t="s">
        <v>1048</v>
      </c>
      <c r="H250" s="13" t="s">
        <v>1042</v>
      </c>
      <c r="I250" s="11" t="s">
        <v>65</v>
      </c>
      <c r="J250" s="14">
        <v>1</v>
      </c>
      <c r="K250" s="14" t="s">
        <v>1034</v>
      </c>
      <c r="L250" s="14" t="s">
        <v>1049</v>
      </c>
      <c r="M250" s="15" t="s">
        <v>1040</v>
      </c>
      <c r="N250" s="15" t="s">
        <v>76</v>
      </c>
      <c r="O250" s="15" t="s">
        <v>1050</v>
      </c>
      <c r="P250" s="15"/>
      <c r="Q250" s="12" t="s">
        <v>69</v>
      </c>
      <c r="R250" s="16" t="s">
        <v>54</v>
      </c>
      <c r="S250" s="12" t="s">
        <v>1032</v>
      </c>
      <c r="T250" s="14" t="s">
        <v>55</v>
      </c>
    </row>
    <row r="251" spans="1:20" ht="16.5">
      <c r="A251" s="17" t="s">
        <v>1032</v>
      </c>
      <c r="B251" s="17" t="s">
        <v>60</v>
      </c>
      <c r="C251" s="17" t="s">
        <v>62</v>
      </c>
      <c r="D251" s="18" t="s">
        <v>1037</v>
      </c>
      <c r="E251" s="17" t="s">
        <v>81</v>
      </c>
      <c r="F251" s="17" t="s">
        <v>82</v>
      </c>
      <c r="G251" s="18" t="s">
        <v>1051</v>
      </c>
      <c r="H251" s="20" t="s">
        <v>1052</v>
      </c>
      <c r="I251" s="17" t="s">
        <v>65</v>
      </c>
      <c r="J251" s="21">
        <v>1</v>
      </c>
      <c r="K251" s="21" t="s">
        <v>1034</v>
      </c>
      <c r="L251" s="21" t="s">
        <v>1053</v>
      </c>
      <c r="M251" s="19" t="s">
        <v>1040</v>
      </c>
      <c r="N251" s="19" t="s">
        <v>86</v>
      </c>
      <c r="O251" s="19" t="s">
        <v>1054</v>
      </c>
      <c r="P251" s="19"/>
      <c r="Q251" s="18" t="s">
        <v>53</v>
      </c>
      <c r="R251" s="22" t="s">
        <v>88</v>
      </c>
      <c r="S251" s="18" t="s">
        <v>1032</v>
      </c>
      <c r="T251" s="21" t="s">
        <v>55</v>
      </c>
    </row>
    <row r="252" spans="1:20" ht="16.5">
      <c r="A252" s="11" t="s">
        <v>1032</v>
      </c>
      <c r="B252" s="11" t="s">
        <v>60</v>
      </c>
      <c r="C252" s="11" t="s">
        <v>44</v>
      </c>
      <c r="D252" s="12" t="s">
        <v>1032</v>
      </c>
      <c r="E252" s="11" t="s">
        <v>61</v>
      </c>
      <c r="F252" s="11" t="s">
        <v>62</v>
      </c>
      <c r="G252" s="12" t="s">
        <v>1055</v>
      </c>
      <c r="H252" s="13" t="s">
        <v>1056</v>
      </c>
      <c r="I252" s="11" t="s">
        <v>65</v>
      </c>
      <c r="J252" s="14">
        <v>1</v>
      </c>
      <c r="K252" s="14" t="s">
        <v>1034</v>
      </c>
      <c r="L252" s="14" t="s">
        <v>1057</v>
      </c>
      <c r="M252" s="15" t="s">
        <v>1036</v>
      </c>
      <c r="N252" s="15" t="s">
        <v>67</v>
      </c>
      <c r="O252" s="15" t="s">
        <v>1058</v>
      </c>
      <c r="P252" s="15"/>
      <c r="Q252" s="12" t="s">
        <v>69</v>
      </c>
      <c r="R252" s="16" t="s">
        <v>54</v>
      </c>
      <c r="S252" s="12" t="s">
        <v>1032</v>
      </c>
      <c r="T252" s="14" t="s">
        <v>55</v>
      </c>
    </row>
    <row r="253" spans="1:20" ht="16.5">
      <c r="A253" s="17" t="s">
        <v>1032</v>
      </c>
      <c r="B253" s="17" t="s">
        <v>60</v>
      </c>
      <c r="C253" s="17" t="s">
        <v>62</v>
      </c>
      <c r="D253" s="18" t="s">
        <v>1055</v>
      </c>
      <c r="E253" s="17" t="s">
        <v>71</v>
      </c>
      <c r="F253" s="17" t="s">
        <v>72</v>
      </c>
      <c r="G253" s="18" t="s">
        <v>1059</v>
      </c>
      <c r="H253" s="20" t="s">
        <v>1060</v>
      </c>
      <c r="I253" s="17" t="s">
        <v>65</v>
      </c>
      <c r="J253" s="21">
        <v>1</v>
      </c>
      <c r="K253" s="21" t="s">
        <v>1034</v>
      </c>
      <c r="L253" s="21" t="s">
        <v>1061</v>
      </c>
      <c r="M253" s="19" t="s">
        <v>1058</v>
      </c>
      <c r="N253" s="19" t="s">
        <v>76</v>
      </c>
      <c r="O253" s="19" t="s">
        <v>1062</v>
      </c>
      <c r="P253" s="19"/>
      <c r="Q253" s="18" t="s">
        <v>69</v>
      </c>
      <c r="R253" s="16" t="s">
        <v>54</v>
      </c>
      <c r="S253" s="18" t="s">
        <v>1032</v>
      </c>
      <c r="T253" s="21" t="s">
        <v>55</v>
      </c>
    </row>
    <row r="254" spans="1:20" ht="16.5">
      <c r="A254" s="11" t="s">
        <v>1032</v>
      </c>
      <c r="B254" s="11" t="s">
        <v>60</v>
      </c>
      <c r="C254" s="11" t="s">
        <v>62</v>
      </c>
      <c r="D254" s="12" t="s">
        <v>1055</v>
      </c>
      <c r="E254" s="11" t="s">
        <v>71</v>
      </c>
      <c r="F254" s="11" t="s">
        <v>72</v>
      </c>
      <c r="G254" s="12" t="s">
        <v>1063</v>
      </c>
      <c r="H254" s="13" t="s">
        <v>1060</v>
      </c>
      <c r="I254" s="11" t="s">
        <v>65</v>
      </c>
      <c r="J254" s="14">
        <v>1</v>
      </c>
      <c r="K254" s="14" t="s">
        <v>1034</v>
      </c>
      <c r="L254" s="14" t="s">
        <v>1064</v>
      </c>
      <c r="M254" s="15" t="s">
        <v>1058</v>
      </c>
      <c r="N254" s="15" t="s">
        <v>76</v>
      </c>
      <c r="O254" s="15" t="s">
        <v>1065</v>
      </c>
      <c r="P254" s="15"/>
      <c r="Q254" s="12" t="s">
        <v>69</v>
      </c>
      <c r="R254" s="16" t="s">
        <v>54</v>
      </c>
      <c r="S254" s="12" t="s">
        <v>1032</v>
      </c>
      <c r="T254" s="14" t="s">
        <v>55</v>
      </c>
    </row>
    <row r="255" spans="1:20" ht="16.5">
      <c r="A255" s="17" t="s">
        <v>1032</v>
      </c>
      <c r="B255" s="17" t="s">
        <v>60</v>
      </c>
      <c r="C255" s="17" t="s">
        <v>62</v>
      </c>
      <c r="D255" s="18" t="s">
        <v>1055</v>
      </c>
      <c r="E255" s="17" t="s">
        <v>71</v>
      </c>
      <c r="F255" s="17" t="s">
        <v>72</v>
      </c>
      <c r="G255" s="18" t="s">
        <v>1066</v>
      </c>
      <c r="H255" s="20" t="s">
        <v>1060</v>
      </c>
      <c r="I255" s="17" t="s">
        <v>65</v>
      </c>
      <c r="J255" s="21">
        <v>1</v>
      </c>
      <c r="K255" s="21" t="s">
        <v>1034</v>
      </c>
      <c r="L255" s="21" t="s">
        <v>1067</v>
      </c>
      <c r="M255" s="19" t="s">
        <v>1058</v>
      </c>
      <c r="N255" s="19" t="s">
        <v>76</v>
      </c>
      <c r="O255" s="19" t="s">
        <v>1068</v>
      </c>
      <c r="P255" s="19"/>
      <c r="Q255" s="18" t="s">
        <v>69</v>
      </c>
      <c r="R255" s="16" t="s">
        <v>54</v>
      </c>
      <c r="S255" s="18" t="s">
        <v>1032</v>
      </c>
      <c r="T255" s="21" t="s">
        <v>55</v>
      </c>
    </row>
    <row r="256" spans="1:20" ht="16.5">
      <c r="A256" s="11" t="s">
        <v>1032</v>
      </c>
      <c r="B256" s="11" t="s">
        <v>60</v>
      </c>
      <c r="C256" s="11" t="s">
        <v>44</v>
      </c>
      <c r="D256" s="12" t="s">
        <v>1032</v>
      </c>
      <c r="E256" s="11" t="s">
        <v>61</v>
      </c>
      <c r="F256" s="11" t="s">
        <v>62</v>
      </c>
      <c r="G256" s="12" t="s">
        <v>1069</v>
      </c>
      <c r="H256" s="13" t="s">
        <v>1070</v>
      </c>
      <c r="I256" s="11" t="s">
        <v>65</v>
      </c>
      <c r="J256" s="14">
        <v>1</v>
      </c>
      <c r="K256" s="14" t="s">
        <v>1034</v>
      </c>
      <c r="L256" s="14" t="s">
        <v>1071</v>
      </c>
      <c r="M256" s="15" t="s">
        <v>1036</v>
      </c>
      <c r="N256" s="15" t="s">
        <v>67</v>
      </c>
      <c r="O256" s="15" t="s">
        <v>1072</v>
      </c>
      <c r="P256" s="15"/>
      <c r="Q256" s="12" t="s">
        <v>69</v>
      </c>
      <c r="R256" s="16" t="s">
        <v>54</v>
      </c>
      <c r="S256" s="12" t="s">
        <v>1032</v>
      </c>
      <c r="T256" s="14" t="s">
        <v>55</v>
      </c>
    </row>
    <row r="257" spans="1:20" ht="16.5">
      <c r="A257" s="17" t="s">
        <v>1032</v>
      </c>
      <c r="B257" s="17" t="s">
        <v>60</v>
      </c>
      <c r="C257" s="17" t="s">
        <v>62</v>
      </c>
      <c r="D257" s="18" t="s">
        <v>1069</v>
      </c>
      <c r="E257" s="17" t="s">
        <v>71</v>
      </c>
      <c r="F257" s="17" t="s">
        <v>72</v>
      </c>
      <c r="G257" s="18" t="s">
        <v>1073</v>
      </c>
      <c r="H257" s="20" t="s">
        <v>1074</v>
      </c>
      <c r="I257" s="17" t="s">
        <v>65</v>
      </c>
      <c r="J257" s="21">
        <v>1</v>
      </c>
      <c r="K257" s="21" t="s">
        <v>1034</v>
      </c>
      <c r="L257" s="21" t="s">
        <v>1075</v>
      </c>
      <c r="M257" s="19" t="s">
        <v>1072</v>
      </c>
      <c r="N257" s="19" t="s">
        <v>76</v>
      </c>
      <c r="O257" s="19" t="s">
        <v>1076</v>
      </c>
      <c r="P257" s="19"/>
      <c r="Q257" s="18" t="s">
        <v>69</v>
      </c>
      <c r="R257" s="16" t="s">
        <v>54</v>
      </c>
      <c r="S257" s="18" t="s">
        <v>1032</v>
      </c>
      <c r="T257" s="21" t="s">
        <v>55</v>
      </c>
    </row>
    <row r="258" spans="1:20" ht="16.5">
      <c r="A258" s="11" t="s">
        <v>1032</v>
      </c>
      <c r="B258" s="11" t="s">
        <v>60</v>
      </c>
      <c r="C258" s="11" t="s">
        <v>62</v>
      </c>
      <c r="D258" s="12" t="s">
        <v>1069</v>
      </c>
      <c r="E258" s="11" t="s">
        <v>71</v>
      </c>
      <c r="F258" s="11" t="s">
        <v>72</v>
      </c>
      <c r="G258" s="12" t="s">
        <v>1077</v>
      </c>
      <c r="H258" s="13" t="s">
        <v>1074</v>
      </c>
      <c r="I258" s="11" t="s">
        <v>65</v>
      </c>
      <c r="J258" s="14">
        <v>1</v>
      </c>
      <c r="K258" s="14" t="s">
        <v>1034</v>
      </c>
      <c r="L258" s="14" t="s">
        <v>1078</v>
      </c>
      <c r="M258" s="15" t="s">
        <v>1072</v>
      </c>
      <c r="N258" s="15" t="s">
        <v>76</v>
      </c>
      <c r="O258" s="15" t="s">
        <v>1079</v>
      </c>
      <c r="P258" s="15"/>
      <c r="Q258" s="12" t="s">
        <v>69</v>
      </c>
      <c r="R258" s="16" t="s">
        <v>54</v>
      </c>
      <c r="S258" s="12" t="s">
        <v>1032</v>
      </c>
      <c r="T258" s="14" t="s">
        <v>55</v>
      </c>
    </row>
    <row r="259" spans="1:20" ht="16.5">
      <c r="A259" s="17" t="s">
        <v>1032</v>
      </c>
      <c r="B259" s="17" t="s">
        <v>60</v>
      </c>
      <c r="C259" s="17" t="s">
        <v>62</v>
      </c>
      <c r="D259" s="18" t="s">
        <v>1069</v>
      </c>
      <c r="E259" s="17" t="s">
        <v>71</v>
      </c>
      <c r="F259" s="17" t="s">
        <v>72</v>
      </c>
      <c r="G259" s="18" t="s">
        <v>1080</v>
      </c>
      <c r="H259" s="20" t="s">
        <v>1074</v>
      </c>
      <c r="I259" s="17" t="s">
        <v>65</v>
      </c>
      <c r="J259" s="21">
        <v>1</v>
      </c>
      <c r="K259" s="21" t="s">
        <v>1034</v>
      </c>
      <c r="L259" s="21" t="s">
        <v>1081</v>
      </c>
      <c r="M259" s="19" t="s">
        <v>1072</v>
      </c>
      <c r="N259" s="19" t="s">
        <v>76</v>
      </c>
      <c r="O259" s="19" t="s">
        <v>1082</v>
      </c>
      <c r="P259" s="19"/>
      <c r="Q259" s="18" t="s">
        <v>69</v>
      </c>
      <c r="R259" s="16" t="s">
        <v>54</v>
      </c>
      <c r="S259" s="18" t="s">
        <v>1032</v>
      </c>
      <c r="T259" s="21" t="s">
        <v>55</v>
      </c>
    </row>
    <row r="260" spans="1:20" ht="16.5">
      <c r="A260" s="11" t="s">
        <v>1032</v>
      </c>
      <c r="B260" s="11" t="s">
        <v>60</v>
      </c>
      <c r="C260" s="11" t="s">
        <v>62</v>
      </c>
      <c r="D260" s="12" t="s">
        <v>1069</v>
      </c>
      <c r="E260" s="11" t="s">
        <v>71</v>
      </c>
      <c r="F260" s="11" t="s">
        <v>72</v>
      </c>
      <c r="G260" s="12" t="s">
        <v>1083</v>
      </c>
      <c r="H260" s="13" t="s">
        <v>1074</v>
      </c>
      <c r="I260" s="11" t="s">
        <v>65</v>
      </c>
      <c r="J260" s="14">
        <v>1</v>
      </c>
      <c r="K260" s="14" t="s">
        <v>1034</v>
      </c>
      <c r="L260" s="14" t="s">
        <v>1084</v>
      </c>
      <c r="M260" s="15" t="s">
        <v>1072</v>
      </c>
      <c r="N260" s="15" t="s">
        <v>76</v>
      </c>
      <c r="O260" s="15" t="s">
        <v>1085</v>
      </c>
      <c r="P260" s="15"/>
      <c r="Q260" s="12" t="s">
        <v>69</v>
      </c>
      <c r="R260" s="16" t="s">
        <v>54</v>
      </c>
      <c r="S260" s="12" t="s">
        <v>1032</v>
      </c>
      <c r="T260" s="14" t="s">
        <v>55</v>
      </c>
    </row>
    <row r="261" spans="1:20" ht="16.5">
      <c r="A261" s="17" t="s">
        <v>1032</v>
      </c>
      <c r="B261" s="17" t="s">
        <v>60</v>
      </c>
      <c r="C261" s="17" t="s">
        <v>62</v>
      </c>
      <c r="D261" s="18" t="s">
        <v>1069</v>
      </c>
      <c r="E261" s="17" t="s">
        <v>81</v>
      </c>
      <c r="F261" s="17" t="s">
        <v>82</v>
      </c>
      <c r="G261" s="18" t="s">
        <v>1086</v>
      </c>
      <c r="H261" s="20" t="s">
        <v>1087</v>
      </c>
      <c r="I261" s="17" t="s">
        <v>65</v>
      </c>
      <c r="J261" s="21">
        <v>1</v>
      </c>
      <c r="K261" s="21" t="s">
        <v>1034</v>
      </c>
      <c r="L261" s="21" t="s">
        <v>1088</v>
      </c>
      <c r="M261" s="19" t="s">
        <v>1072</v>
      </c>
      <c r="N261" s="19" t="s">
        <v>86</v>
      </c>
      <c r="O261" s="19" t="s">
        <v>1089</v>
      </c>
      <c r="P261" s="19"/>
      <c r="Q261" s="18" t="s">
        <v>53</v>
      </c>
      <c r="R261" s="22" t="s">
        <v>88</v>
      </c>
      <c r="S261" s="18" t="s">
        <v>1032</v>
      </c>
      <c r="T261" s="21" t="s">
        <v>55</v>
      </c>
    </row>
    <row r="262" spans="1:20" ht="16.5">
      <c r="A262" s="11" t="s">
        <v>1032</v>
      </c>
      <c r="B262" s="11" t="s">
        <v>60</v>
      </c>
      <c r="C262" s="11" t="s">
        <v>62</v>
      </c>
      <c r="D262" s="12" t="s">
        <v>1069</v>
      </c>
      <c r="E262" s="11" t="s">
        <v>81</v>
      </c>
      <c r="F262" s="11" t="s">
        <v>82</v>
      </c>
      <c r="G262" s="12" t="s">
        <v>1090</v>
      </c>
      <c r="H262" s="13" t="s">
        <v>1091</v>
      </c>
      <c r="I262" s="11" t="s">
        <v>65</v>
      </c>
      <c r="J262" s="14">
        <v>1</v>
      </c>
      <c r="K262" s="14" t="s">
        <v>1034</v>
      </c>
      <c r="L262" s="14" t="s">
        <v>1092</v>
      </c>
      <c r="M262" s="15" t="s">
        <v>1072</v>
      </c>
      <c r="N262" s="15" t="s">
        <v>86</v>
      </c>
      <c r="O262" s="15" t="s">
        <v>1093</v>
      </c>
      <c r="P262" s="15"/>
      <c r="Q262" s="12" t="s">
        <v>53</v>
      </c>
      <c r="R262" s="22" t="s">
        <v>88</v>
      </c>
      <c r="S262" s="12" t="s">
        <v>1032</v>
      </c>
      <c r="T262" s="14" t="s">
        <v>55</v>
      </c>
    </row>
    <row r="263" spans="1:20" ht="16.5">
      <c r="A263" s="17" t="s">
        <v>1032</v>
      </c>
      <c r="B263" s="17" t="s">
        <v>60</v>
      </c>
      <c r="C263" s="17" t="s">
        <v>62</v>
      </c>
      <c r="D263" s="18" t="s">
        <v>1069</v>
      </c>
      <c r="E263" s="17" t="s">
        <v>81</v>
      </c>
      <c r="F263" s="17" t="s">
        <v>82</v>
      </c>
      <c r="G263" s="18" t="s">
        <v>1094</v>
      </c>
      <c r="H263" s="20" t="s">
        <v>1095</v>
      </c>
      <c r="I263" s="17" t="s">
        <v>65</v>
      </c>
      <c r="J263" s="21">
        <v>1</v>
      </c>
      <c r="K263" s="21" t="s">
        <v>1034</v>
      </c>
      <c r="L263" s="21" t="s">
        <v>1096</v>
      </c>
      <c r="M263" s="19" t="s">
        <v>1072</v>
      </c>
      <c r="N263" s="19" t="s">
        <v>86</v>
      </c>
      <c r="O263" s="19" t="s">
        <v>1097</v>
      </c>
      <c r="P263" s="19"/>
      <c r="Q263" s="18" t="s">
        <v>53</v>
      </c>
      <c r="R263" s="22" t="s">
        <v>88</v>
      </c>
      <c r="S263" s="18" t="s">
        <v>1032</v>
      </c>
      <c r="T263" s="21" t="s">
        <v>55</v>
      </c>
    </row>
    <row r="264" spans="1:20" ht="16.5">
      <c r="A264" s="11" t="s">
        <v>1032</v>
      </c>
      <c r="B264" s="11" t="s">
        <v>60</v>
      </c>
      <c r="C264" s="11" t="s">
        <v>44</v>
      </c>
      <c r="D264" s="12" t="s">
        <v>1032</v>
      </c>
      <c r="E264" s="11" t="s">
        <v>61</v>
      </c>
      <c r="F264" s="11" t="s">
        <v>62</v>
      </c>
      <c r="G264" s="12" t="s">
        <v>1098</v>
      </c>
      <c r="H264" s="13" t="s">
        <v>1099</v>
      </c>
      <c r="I264" s="11" t="s">
        <v>65</v>
      </c>
      <c r="J264" s="14">
        <v>1</v>
      </c>
      <c r="K264" s="14" t="s">
        <v>1034</v>
      </c>
      <c r="L264" s="14" t="s">
        <v>1100</v>
      </c>
      <c r="M264" s="15" t="s">
        <v>1036</v>
      </c>
      <c r="N264" s="15" t="s">
        <v>67</v>
      </c>
      <c r="O264" s="15" t="s">
        <v>1101</v>
      </c>
      <c r="P264" s="15"/>
      <c r="Q264" s="12" t="s">
        <v>69</v>
      </c>
      <c r="R264" s="16" t="s">
        <v>54</v>
      </c>
      <c r="S264" s="12" t="s">
        <v>1032</v>
      </c>
      <c r="T264" s="14" t="s">
        <v>55</v>
      </c>
    </row>
    <row r="265" spans="1:20" ht="16.5">
      <c r="A265" s="17" t="s">
        <v>1032</v>
      </c>
      <c r="B265" s="17" t="s">
        <v>60</v>
      </c>
      <c r="C265" s="17" t="s">
        <v>62</v>
      </c>
      <c r="D265" s="18" t="s">
        <v>1098</v>
      </c>
      <c r="E265" s="17" t="s">
        <v>81</v>
      </c>
      <c r="F265" s="17" t="s">
        <v>82</v>
      </c>
      <c r="G265" s="18" t="s">
        <v>1102</v>
      </c>
      <c r="H265" s="20" t="s">
        <v>1103</v>
      </c>
      <c r="I265" s="17" t="s">
        <v>65</v>
      </c>
      <c r="J265" s="21">
        <v>1</v>
      </c>
      <c r="K265" s="21" t="s">
        <v>1034</v>
      </c>
      <c r="L265" s="21" t="s">
        <v>1104</v>
      </c>
      <c r="M265" s="19" t="s">
        <v>1101</v>
      </c>
      <c r="N265" s="19" t="s">
        <v>86</v>
      </c>
      <c r="O265" s="19" t="s">
        <v>1105</v>
      </c>
      <c r="P265" s="19"/>
      <c r="Q265" s="18" t="s">
        <v>53</v>
      </c>
      <c r="R265" s="22" t="s">
        <v>88</v>
      </c>
      <c r="S265" s="18" t="s">
        <v>1032</v>
      </c>
      <c r="T265" s="21" t="s">
        <v>55</v>
      </c>
    </row>
    <row r="266" spans="1:20" ht="16.5">
      <c r="A266" s="11" t="s">
        <v>1032</v>
      </c>
      <c r="B266" s="11" t="s">
        <v>60</v>
      </c>
      <c r="C266" s="11" t="s">
        <v>44</v>
      </c>
      <c r="D266" s="12" t="s">
        <v>1032</v>
      </c>
      <c r="E266" s="11" t="s">
        <v>61</v>
      </c>
      <c r="F266" s="11" t="s">
        <v>62</v>
      </c>
      <c r="G266" s="12" t="s">
        <v>1106</v>
      </c>
      <c r="H266" s="13" t="s">
        <v>1107</v>
      </c>
      <c r="I266" s="11" t="s">
        <v>65</v>
      </c>
      <c r="J266" s="14">
        <v>1</v>
      </c>
      <c r="K266" s="14" t="s">
        <v>1034</v>
      </c>
      <c r="L266" s="14" t="s">
        <v>1108</v>
      </c>
      <c r="M266" s="15" t="s">
        <v>1036</v>
      </c>
      <c r="N266" s="15" t="s">
        <v>67</v>
      </c>
      <c r="O266" s="15" t="s">
        <v>1109</v>
      </c>
      <c r="P266" s="15"/>
      <c r="Q266" s="12" t="s">
        <v>69</v>
      </c>
      <c r="R266" s="16" t="s">
        <v>54</v>
      </c>
      <c r="S266" s="12" t="s">
        <v>1032</v>
      </c>
      <c r="T266" s="14" t="s">
        <v>55</v>
      </c>
    </row>
    <row r="267" spans="1:20" ht="16.5">
      <c r="A267" s="17" t="s">
        <v>1032</v>
      </c>
      <c r="B267" s="17" t="s">
        <v>60</v>
      </c>
      <c r="C267" s="17" t="s">
        <v>62</v>
      </c>
      <c r="D267" s="18" t="s">
        <v>1106</v>
      </c>
      <c r="E267" s="17" t="s">
        <v>71</v>
      </c>
      <c r="F267" s="17" t="s">
        <v>72</v>
      </c>
      <c r="G267" s="18" t="s">
        <v>1110</v>
      </c>
      <c r="H267" s="20" t="s">
        <v>1111</v>
      </c>
      <c r="I267" s="17" t="s">
        <v>65</v>
      </c>
      <c r="J267" s="21">
        <v>1</v>
      </c>
      <c r="K267" s="21" t="s">
        <v>1034</v>
      </c>
      <c r="L267" s="21" t="s">
        <v>1112</v>
      </c>
      <c r="M267" s="19" t="s">
        <v>1109</v>
      </c>
      <c r="N267" s="19" t="s">
        <v>76</v>
      </c>
      <c r="O267" s="19" t="s">
        <v>1113</v>
      </c>
      <c r="P267" s="19"/>
      <c r="Q267" s="18" t="s">
        <v>69</v>
      </c>
      <c r="R267" s="16" t="s">
        <v>54</v>
      </c>
      <c r="S267" s="18" t="s">
        <v>1032</v>
      </c>
      <c r="T267" s="21" t="s">
        <v>55</v>
      </c>
    </row>
    <row r="268" spans="1:20" ht="16.5">
      <c r="A268" s="11" t="s">
        <v>1032</v>
      </c>
      <c r="B268" s="11" t="s">
        <v>60</v>
      </c>
      <c r="C268" s="11" t="s">
        <v>62</v>
      </c>
      <c r="D268" s="12" t="s">
        <v>1106</v>
      </c>
      <c r="E268" s="11" t="s">
        <v>71</v>
      </c>
      <c r="F268" s="11" t="s">
        <v>72</v>
      </c>
      <c r="G268" s="12" t="s">
        <v>1114</v>
      </c>
      <c r="H268" s="13" t="s">
        <v>1111</v>
      </c>
      <c r="I268" s="11" t="s">
        <v>65</v>
      </c>
      <c r="J268" s="14">
        <v>1</v>
      </c>
      <c r="K268" s="14" t="s">
        <v>1034</v>
      </c>
      <c r="L268" s="14" t="s">
        <v>1115</v>
      </c>
      <c r="M268" s="15" t="s">
        <v>1109</v>
      </c>
      <c r="N268" s="15" t="s">
        <v>76</v>
      </c>
      <c r="O268" s="15" t="s">
        <v>1116</v>
      </c>
      <c r="P268" s="15"/>
      <c r="Q268" s="12" t="s">
        <v>69</v>
      </c>
      <c r="R268" s="16" t="s">
        <v>54</v>
      </c>
      <c r="S268" s="12" t="s">
        <v>1032</v>
      </c>
      <c r="T268" s="14" t="s">
        <v>55</v>
      </c>
    </row>
    <row r="269" spans="1:20" ht="16.5">
      <c r="A269" s="17" t="s">
        <v>1032</v>
      </c>
      <c r="B269" s="17" t="s">
        <v>60</v>
      </c>
      <c r="C269" s="17" t="s">
        <v>62</v>
      </c>
      <c r="D269" s="18" t="s">
        <v>1106</v>
      </c>
      <c r="E269" s="17" t="s">
        <v>71</v>
      </c>
      <c r="F269" s="17" t="s">
        <v>72</v>
      </c>
      <c r="G269" s="18" t="s">
        <v>1117</v>
      </c>
      <c r="H269" s="20" t="s">
        <v>1111</v>
      </c>
      <c r="I269" s="17" t="s">
        <v>65</v>
      </c>
      <c r="J269" s="21">
        <v>1</v>
      </c>
      <c r="K269" s="21" t="s">
        <v>1034</v>
      </c>
      <c r="L269" s="21" t="s">
        <v>1118</v>
      </c>
      <c r="M269" s="19" t="s">
        <v>1109</v>
      </c>
      <c r="N269" s="19" t="s">
        <v>76</v>
      </c>
      <c r="O269" s="19" t="s">
        <v>1119</v>
      </c>
      <c r="P269" s="19"/>
      <c r="Q269" s="18" t="s">
        <v>69</v>
      </c>
      <c r="R269" s="16" t="s">
        <v>54</v>
      </c>
      <c r="S269" s="18" t="s">
        <v>1032</v>
      </c>
      <c r="T269" s="21" t="s">
        <v>55</v>
      </c>
    </row>
    <row r="270" spans="1:20" ht="16.5">
      <c r="A270" s="11" t="s">
        <v>1032</v>
      </c>
      <c r="B270" s="11" t="s">
        <v>60</v>
      </c>
      <c r="C270" s="11" t="s">
        <v>62</v>
      </c>
      <c r="D270" s="12" t="s">
        <v>1106</v>
      </c>
      <c r="E270" s="11" t="s">
        <v>71</v>
      </c>
      <c r="F270" s="11" t="s">
        <v>72</v>
      </c>
      <c r="G270" s="12" t="s">
        <v>1120</v>
      </c>
      <c r="H270" s="13" t="s">
        <v>1111</v>
      </c>
      <c r="I270" s="11" t="s">
        <v>65</v>
      </c>
      <c r="J270" s="14">
        <v>1</v>
      </c>
      <c r="K270" s="14" t="s">
        <v>1034</v>
      </c>
      <c r="L270" s="14" t="s">
        <v>1121</v>
      </c>
      <c r="M270" s="15" t="s">
        <v>1109</v>
      </c>
      <c r="N270" s="15" t="s">
        <v>76</v>
      </c>
      <c r="O270" s="15" t="s">
        <v>1122</v>
      </c>
      <c r="P270" s="15"/>
      <c r="Q270" s="12" t="s">
        <v>69</v>
      </c>
      <c r="R270" s="16" t="s">
        <v>54</v>
      </c>
      <c r="S270" s="12" t="s">
        <v>1032</v>
      </c>
      <c r="T270" s="14" t="s">
        <v>55</v>
      </c>
    </row>
    <row r="271" spans="1:20" ht="16.5">
      <c r="A271" s="17" t="s">
        <v>1032</v>
      </c>
      <c r="B271" s="17" t="s">
        <v>60</v>
      </c>
      <c r="C271" s="17" t="s">
        <v>62</v>
      </c>
      <c r="D271" s="18" t="s">
        <v>1106</v>
      </c>
      <c r="E271" s="17" t="s">
        <v>71</v>
      </c>
      <c r="F271" s="17" t="s">
        <v>72</v>
      </c>
      <c r="G271" s="18" t="s">
        <v>1123</v>
      </c>
      <c r="H271" s="20" t="s">
        <v>1111</v>
      </c>
      <c r="I271" s="17" t="s">
        <v>65</v>
      </c>
      <c r="J271" s="21">
        <v>1</v>
      </c>
      <c r="K271" s="21" t="s">
        <v>1034</v>
      </c>
      <c r="L271" s="21" t="s">
        <v>1124</v>
      </c>
      <c r="M271" s="19" t="s">
        <v>1109</v>
      </c>
      <c r="N271" s="19" t="s">
        <v>76</v>
      </c>
      <c r="O271" s="19" t="s">
        <v>1125</v>
      </c>
      <c r="P271" s="19"/>
      <c r="Q271" s="18" t="s">
        <v>69</v>
      </c>
      <c r="R271" s="16" t="s">
        <v>54</v>
      </c>
      <c r="S271" s="18" t="s">
        <v>1032</v>
      </c>
      <c r="T271" s="21" t="s">
        <v>55</v>
      </c>
    </row>
    <row r="272" spans="1:20" ht="16.5">
      <c r="A272" s="11" t="s">
        <v>1032</v>
      </c>
      <c r="B272" s="11" t="s">
        <v>60</v>
      </c>
      <c r="C272" s="11" t="s">
        <v>62</v>
      </c>
      <c r="D272" s="12" t="s">
        <v>1106</v>
      </c>
      <c r="E272" s="11" t="s">
        <v>71</v>
      </c>
      <c r="F272" s="11" t="s">
        <v>72</v>
      </c>
      <c r="G272" s="12" t="s">
        <v>1126</v>
      </c>
      <c r="H272" s="13" t="s">
        <v>1111</v>
      </c>
      <c r="I272" s="11" t="s">
        <v>65</v>
      </c>
      <c r="J272" s="14">
        <v>1</v>
      </c>
      <c r="K272" s="14" t="s">
        <v>1034</v>
      </c>
      <c r="L272" s="14" t="s">
        <v>1127</v>
      </c>
      <c r="M272" s="15" t="s">
        <v>1109</v>
      </c>
      <c r="N272" s="15" t="s">
        <v>76</v>
      </c>
      <c r="O272" s="15" t="s">
        <v>1128</v>
      </c>
      <c r="P272" s="15"/>
      <c r="Q272" s="12" t="s">
        <v>69</v>
      </c>
      <c r="R272" s="16" t="s">
        <v>54</v>
      </c>
      <c r="S272" s="12" t="s">
        <v>1032</v>
      </c>
      <c r="T272" s="14" t="s">
        <v>55</v>
      </c>
    </row>
    <row r="273" spans="1:20" ht="16.5">
      <c r="A273" s="17" t="s">
        <v>1032</v>
      </c>
      <c r="B273" s="17" t="s">
        <v>60</v>
      </c>
      <c r="C273" s="17" t="s">
        <v>62</v>
      </c>
      <c r="D273" s="18" t="s">
        <v>1106</v>
      </c>
      <c r="E273" s="17" t="s">
        <v>81</v>
      </c>
      <c r="F273" s="17" t="s">
        <v>82</v>
      </c>
      <c r="G273" s="18" t="s">
        <v>1129</v>
      </c>
      <c r="H273" s="20" t="s">
        <v>1130</v>
      </c>
      <c r="I273" s="17" t="s">
        <v>65</v>
      </c>
      <c r="J273" s="21">
        <v>1</v>
      </c>
      <c r="K273" s="21" t="s">
        <v>1034</v>
      </c>
      <c r="L273" s="21" t="s">
        <v>1131</v>
      </c>
      <c r="M273" s="19" t="s">
        <v>1109</v>
      </c>
      <c r="N273" s="19" t="s">
        <v>86</v>
      </c>
      <c r="O273" s="19" t="s">
        <v>1132</v>
      </c>
      <c r="P273" s="19"/>
      <c r="Q273" s="18" t="s">
        <v>53</v>
      </c>
      <c r="R273" s="22" t="s">
        <v>88</v>
      </c>
      <c r="S273" s="18" t="s">
        <v>1032</v>
      </c>
      <c r="T273" s="21" t="s">
        <v>55</v>
      </c>
    </row>
    <row r="274" spans="1:20" ht="16.5">
      <c r="A274" s="11" t="s">
        <v>1032</v>
      </c>
      <c r="B274" s="11" t="s">
        <v>60</v>
      </c>
      <c r="C274" s="11" t="s">
        <v>62</v>
      </c>
      <c r="D274" s="12" t="s">
        <v>1037</v>
      </c>
      <c r="E274" s="11" t="s">
        <v>203</v>
      </c>
      <c r="F274" s="11" t="s">
        <v>204</v>
      </c>
      <c r="G274" s="12" t="s">
        <v>1133</v>
      </c>
      <c r="H274" s="13" t="s">
        <v>1134</v>
      </c>
      <c r="I274" s="11" t="s">
        <v>65</v>
      </c>
      <c r="J274" s="14">
        <v>1</v>
      </c>
      <c r="K274" s="14" t="s">
        <v>1034</v>
      </c>
      <c r="L274" s="14" t="s">
        <v>1135</v>
      </c>
      <c r="M274" s="15" t="s">
        <v>1040</v>
      </c>
      <c r="N274" s="15" t="s">
        <v>208</v>
      </c>
      <c r="O274" s="15" t="s">
        <v>1136</v>
      </c>
      <c r="P274" s="15" t="s">
        <v>1137</v>
      </c>
      <c r="Q274" s="15" t="s">
        <v>211</v>
      </c>
      <c r="R274" s="16" t="s">
        <v>54</v>
      </c>
      <c r="S274" s="12" t="s">
        <v>1032</v>
      </c>
      <c r="T274" s="14" t="s">
        <v>55</v>
      </c>
    </row>
    <row r="275" spans="1:20" ht="16.5">
      <c r="A275" s="17" t="s">
        <v>1032</v>
      </c>
      <c r="B275" s="17" t="s">
        <v>60</v>
      </c>
      <c r="C275" s="17" t="s">
        <v>62</v>
      </c>
      <c r="D275" s="18" t="s">
        <v>1069</v>
      </c>
      <c r="E275" s="17" t="s">
        <v>203</v>
      </c>
      <c r="F275" s="17" t="s">
        <v>204</v>
      </c>
      <c r="G275" s="18" t="s">
        <v>1138</v>
      </c>
      <c r="H275" s="20" t="s">
        <v>1139</v>
      </c>
      <c r="I275" s="17" t="s">
        <v>65</v>
      </c>
      <c r="J275" s="21">
        <v>1</v>
      </c>
      <c r="K275" s="21" t="s">
        <v>1034</v>
      </c>
      <c r="L275" s="21" t="s">
        <v>1140</v>
      </c>
      <c r="M275" s="19" t="s">
        <v>1072</v>
      </c>
      <c r="N275" s="19" t="s">
        <v>208</v>
      </c>
      <c r="O275" s="19" t="s">
        <v>1141</v>
      </c>
      <c r="P275" s="19" t="s">
        <v>1142</v>
      </c>
      <c r="Q275" s="19" t="s">
        <v>211</v>
      </c>
      <c r="R275" s="16" t="s">
        <v>54</v>
      </c>
      <c r="S275" s="18" t="s">
        <v>1032</v>
      </c>
      <c r="T275" s="21" t="s">
        <v>55</v>
      </c>
    </row>
    <row r="276" spans="1:20" ht="16.5">
      <c r="A276" s="11" t="s">
        <v>1032</v>
      </c>
      <c r="B276" s="11" t="s">
        <v>60</v>
      </c>
      <c r="C276" s="11" t="s">
        <v>62</v>
      </c>
      <c r="D276" s="12" t="s">
        <v>1069</v>
      </c>
      <c r="E276" s="11" t="s">
        <v>203</v>
      </c>
      <c r="F276" s="11" t="s">
        <v>204</v>
      </c>
      <c r="G276" s="12" t="s">
        <v>1143</v>
      </c>
      <c r="H276" s="13" t="s">
        <v>1144</v>
      </c>
      <c r="I276" s="11" t="s">
        <v>65</v>
      </c>
      <c r="J276" s="14">
        <v>1</v>
      </c>
      <c r="K276" s="14" t="s">
        <v>1034</v>
      </c>
      <c r="L276" s="14" t="s">
        <v>1145</v>
      </c>
      <c r="M276" s="15" t="s">
        <v>1072</v>
      </c>
      <c r="N276" s="15" t="s">
        <v>208</v>
      </c>
      <c r="O276" s="15" t="s">
        <v>1146</v>
      </c>
      <c r="P276" s="15" t="s">
        <v>1147</v>
      </c>
      <c r="Q276" s="15" t="s">
        <v>211</v>
      </c>
      <c r="R276" s="16" t="s">
        <v>54</v>
      </c>
      <c r="S276" s="12" t="s">
        <v>1032</v>
      </c>
      <c r="T276" s="14" t="s">
        <v>55</v>
      </c>
    </row>
    <row r="277" spans="1:20" ht="16.5">
      <c r="A277" s="17" t="s">
        <v>1032</v>
      </c>
      <c r="B277" s="17" t="s">
        <v>60</v>
      </c>
      <c r="C277" s="17" t="s">
        <v>62</v>
      </c>
      <c r="D277" s="18" t="s">
        <v>1069</v>
      </c>
      <c r="E277" s="17" t="s">
        <v>203</v>
      </c>
      <c r="F277" s="17" t="s">
        <v>204</v>
      </c>
      <c r="G277" s="18" t="s">
        <v>662</v>
      </c>
      <c r="H277" s="20" t="s">
        <v>1148</v>
      </c>
      <c r="I277" s="17" t="s">
        <v>65</v>
      </c>
      <c r="J277" s="21">
        <v>1</v>
      </c>
      <c r="K277" s="21" t="s">
        <v>1034</v>
      </c>
      <c r="L277" s="21" t="s">
        <v>1149</v>
      </c>
      <c r="M277" s="19" t="s">
        <v>1072</v>
      </c>
      <c r="N277" s="19" t="s">
        <v>208</v>
      </c>
      <c r="O277" s="19" t="s">
        <v>665</v>
      </c>
      <c r="P277" s="19" t="s">
        <v>1150</v>
      </c>
      <c r="Q277" s="19" t="s">
        <v>211</v>
      </c>
      <c r="R277" s="16" t="s">
        <v>54</v>
      </c>
      <c r="S277" s="18" t="s">
        <v>1032</v>
      </c>
      <c r="T277" s="21" t="s">
        <v>55</v>
      </c>
    </row>
    <row r="278" spans="1:20" ht="16.5">
      <c r="A278" s="11" t="s">
        <v>1032</v>
      </c>
      <c r="B278" s="11" t="s">
        <v>60</v>
      </c>
      <c r="C278" s="11" t="s">
        <v>62</v>
      </c>
      <c r="D278" s="12" t="s">
        <v>1069</v>
      </c>
      <c r="E278" s="11" t="s">
        <v>203</v>
      </c>
      <c r="F278" s="11" t="s">
        <v>204</v>
      </c>
      <c r="G278" s="12" t="s">
        <v>1151</v>
      </c>
      <c r="H278" s="13" t="s">
        <v>1152</v>
      </c>
      <c r="I278" s="11" t="s">
        <v>65</v>
      </c>
      <c r="J278" s="14">
        <v>1</v>
      </c>
      <c r="K278" s="14" t="s">
        <v>1034</v>
      </c>
      <c r="L278" s="14" t="s">
        <v>1153</v>
      </c>
      <c r="M278" s="15" t="s">
        <v>1072</v>
      </c>
      <c r="N278" s="15" t="s">
        <v>208</v>
      </c>
      <c r="O278" s="15" t="s">
        <v>1154</v>
      </c>
      <c r="P278" s="15" t="s">
        <v>1155</v>
      </c>
      <c r="Q278" s="15" t="s">
        <v>211</v>
      </c>
      <c r="R278" s="16" t="s">
        <v>54</v>
      </c>
      <c r="S278" s="12" t="s">
        <v>1032</v>
      </c>
      <c r="T278" s="14" t="s">
        <v>55</v>
      </c>
    </row>
    <row r="279" spans="1:20" ht="16.5">
      <c r="A279" s="17" t="s">
        <v>1032</v>
      </c>
      <c r="B279" s="17" t="s">
        <v>60</v>
      </c>
      <c r="C279" s="17" t="s">
        <v>62</v>
      </c>
      <c r="D279" s="18" t="s">
        <v>1098</v>
      </c>
      <c r="E279" s="17" t="s">
        <v>203</v>
      </c>
      <c r="F279" s="17" t="s">
        <v>204</v>
      </c>
      <c r="G279" s="18" t="s">
        <v>1156</v>
      </c>
      <c r="H279" s="20" t="s">
        <v>1157</v>
      </c>
      <c r="I279" s="17" t="s">
        <v>65</v>
      </c>
      <c r="J279" s="21">
        <v>1</v>
      </c>
      <c r="K279" s="21" t="s">
        <v>1034</v>
      </c>
      <c r="L279" s="21" t="s">
        <v>1158</v>
      </c>
      <c r="M279" s="19" t="s">
        <v>1101</v>
      </c>
      <c r="N279" s="19" t="s">
        <v>208</v>
      </c>
      <c r="O279" s="19" t="s">
        <v>1159</v>
      </c>
      <c r="P279" s="19" t="s">
        <v>1160</v>
      </c>
      <c r="Q279" s="19" t="s">
        <v>211</v>
      </c>
      <c r="R279" s="16" t="s">
        <v>54</v>
      </c>
      <c r="S279" s="18" t="s">
        <v>1032</v>
      </c>
      <c r="T279" s="21" t="s">
        <v>55</v>
      </c>
    </row>
    <row r="280" spans="1:20" ht="16.5">
      <c r="A280" s="11" t="s">
        <v>1032</v>
      </c>
      <c r="B280" s="11" t="s">
        <v>60</v>
      </c>
      <c r="C280" s="11" t="s">
        <v>62</v>
      </c>
      <c r="D280" s="12" t="s">
        <v>1098</v>
      </c>
      <c r="E280" s="11" t="s">
        <v>203</v>
      </c>
      <c r="F280" s="11" t="s">
        <v>204</v>
      </c>
      <c r="G280" s="12" t="s">
        <v>1161</v>
      </c>
      <c r="H280" s="13" t="s">
        <v>1162</v>
      </c>
      <c r="I280" s="11" t="s">
        <v>65</v>
      </c>
      <c r="J280" s="14">
        <v>1</v>
      </c>
      <c r="K280" s="14" t="s">
        <v>1034</v>
      </c>
      <c r="L280" s="14" t="s">
        <v>1163</v>
      </c>
      <c r="M280" s="15" t="s">
        <v>1101</v>
      </c>
      <c r="N280" s="15" t="s">
        <v>208</v>
      </c>
      <c r="O280" s="15" t="s">
        <v>1164</v>
      </c>
      <c r="P280" s="15" t="s">
        <v>1165</v>
      </c>
      <c r="Q280" s="15" t="s">
        <v>211</v>
      </c>
      <c r="R280" s="16" t="s">
        <v>54</v>
      </c>
      <c r="S280" s="12" t="s">
        <v>1032</v>
      </c>
      <c r="T280" s="14" t="s">
        <v>55</v>
      </c>
    </row>
    <row r="281" spans="1:20" ht="16.5">
      <c r="A281" s="17" t="s">
        <v>1032</v>
      </c>
      <c r="B281" s="17" t="s">
        <v>60</v>
      </c>
      <c r="C281" s="17" t="s">
        <v>62</v>
      </c>
      <c r="D281" s="18" t="s">
        <v>1106</v>
      </c>
      <c r="E281" s="17" t="s">
        <v>203</v>
      </c>
      <c r="F281" s="17" t="s">
        <v>204</v>
      </c>
      <c r="G281" s="18" t="s">
        <v>1166</v>
      </c>
      <c r="H281" s="20" t="s">
        <v>1167</v>
      </c>
      <c r="I281" s="17" t="s">
        <v>65</v>
      </c>
      <c r="J281" s="21">
        <v>1</v>
      </c>
      <c r="K281" s="21" t="s">
        <v>1034</v>
      </c>
      <c r="L281" s="21" t="s">
        <v>1168</v>
      </c>
      <c r="M281" s="19" t="s">
        <v>1109</v>
      </c>
      <c r="N281" s="19" t="s">
        <v>208</v>
      </c>
      <c r="O281" s="19" t="s">
        <v>1169</v>
      </c>
      <c r="P281" s="19" t="s">
        <v>1170</v>
      </c>
      <c r="Q281" s="19" t="s">
        <v>211</v>
      </c>
      <c r="R281" s="16" t="s">
        <v>54</v>
      </c>
      <c r="S281" s="18" t="s">
        <v>1032</v>
      </c>
      <c r="T281" s="21" t="s">
        <v>55</v>
      </c>
    </row>
    <row r="282" spans="1:20" ht="16.5">
      <c r="A282" s="11" t="s">
        <v>1032</v>
      </c>
      <c r="B282" s="11" t="s">
        <v>60</v>
      </c>
      <c r="C282" s="11" t="s">
        <v>300</v>
      </c>
      <c r="D282" s="12" t="s">
        <v>588</v>
      </c>
      <c r="E282" s="11" t="s">
        <v>203</v>
      </c>
      <c r="F282" s="11" t="s">
        <v>204</v>
      </c>
      <c r="G282" s="12" t="s">
        <v>662</v>
      </c>
      <c r="H282" s="13" t="s">
        <v>1171</v>
      </c>
      <c r="I282" s="11" t="s">
        <v>65</v>
      </c>
      <c r="J282" s="14">
        <v>1</v>
      </c>
      <c r="K282" s="14" t="s">
        <v>1034</v>
      </c>
      <c r="L282" s="14" t="s">
        <v>1172</v>
      </c>
      <c r="M282" s="15" t="s">
        <v>593</v>
      </c>
      <c r="N282" s="15" t="s">
        <v>208</v>
      </c>
      <c r="O282" s="15" t="s">
        <v>665</v>
      </c>
      <c r="P282" s="15" t="s">
        <v>1150</v>
      </c>
      <c r="Q282" s="15" t="s">
        <v>211</v>
      </c>
      <c r="R282" s="16" t="s">
        <v>54</v>
      </c>
      <c r="S282" s="12" t="s">
        <v>1032</v>
      </c>
      <c r="T282" s="14" t="s">
        <v>55</v>
      </c>
    </row>
    <row r="283" spans="1:20" ht="16.5">
      <c r="A283" s="17" t="s">
        <v>1032</v>
      </c>
      <c r="B283" s="17" t="s">
        <v>311</v>
      </c>
      <c r="C283" s="17" t="s">
        <v>204</v>
      </c>
      <c r="D283" s="18" t="s">
        <v>1133</v>
      </c>
      <c r="E283" s="17" t="s">
        <v>312</v>
      </c>
      <c r="F283" s="21" t="s">
        <v>313</v>
      </c>
      <c r="G283" s="19" t="s">
        <v>1173</v>
      </c>
      <c r="H283" s="24" t="s">
        <v>1174</v>
      </c>
      <c r="I283" s="17" t="s">
        <v>65</v>
      </c>
      <c r="J283" s="21">
        <v>1</v>
      </c>
      <c r="K283" s="21" t="s">
        <v>1034</v>
      </c>
      <c r="L283" s="21" t="s">
        <v>1175</v>
      </c>
      <c r="M283" s="19" t="s">
        <v>1136</v>
      </c>
      <c r="N283" s="19" t="s">
        <v>316</v>
      </c>
      <c r="O283" s="19" t="s">
        <v>1176</v>
      </c>
      <c r="P283" s="19" t="s">
        <v>1173</v>
      </c>
      <c r="Q283" s="19" t="s">
        <v>211</v>
      </c>
      <c r="R283" s="16" t="s">
        <v>54</v>
      </c>
      <c r="S283" s="18" t="s">
        <v>1032</v>
      </c>
      <c r="T283" s="21" t="s">
        <v>55</v>
      </c>
    </row>
    <row r="284" spans="1:20" ht="16.5">
      <c r="A284" s="11" t="s">
        <v>1032</v>
      </c>
      <c r="B284" s="11" t="s">
        <v>311</v>
      </c>
      <c r="C284" s="11" t="s">
        <v>204</v>
      </c>
      <c r="D284" s="12" t="s">
        <v>1133</v>
      </c>
      <c r="E284" s="11" t="s">
        <v>312</v>
      </c>
      <c r="F284" s="14" t="s">
        <v>313</v>
      </c>
      <c r="G284" s="15" t="s">
        <v>1177</v>
      </c>
      <c r="H284" s="23" t="s">
        <v>1178</v>
      </c>
      <c r="I284" s="11" t="s">
        <v>65</v>
      </c>
      <c r="J284" s="14">
        <v>1</v>
      </c>
      <c r="K284" s="14" t="s">
        <v>1034</v>
      </c>
      <c r="L284" s="14" t="s">
        <v>1179</v>
      </c>
      <c r="M284" s="15" t="s">
        <v>1136</v>
      </c>
      <c r="N284" s="15" t="s">
        <v>316</v>
      </c>
      <c r="O284" s="15" t="s">
        <v>1180</v>
      </c>
      <c r="P284" s="15" t="s">
        <v>1177</v>
      </c>
      <c r="Q284" s="15" t="s">
        <v>211</v>
      </c>
      <c r="R284" s="16" t="s">
        <v>54</v>
      </c>
      <c r="S284" s="12" t="s">
        <v>1032</v>
      </c>
      <c r="T284" s="14" t="s">
        <v>55</v>
      </c>
    </row>
    <row r="285" spans="1:20" ht="16.5">
      <c r="A285" s="17" t="s">
        <v>1032</v>
      </c>
      <c r="B285" s="17" t="s">
        <v>311</v>
      </c>
      <c r="C285" s="17" t="s">
        <v>204</v>
      </c>
      <c r="D285" s="18" t="s">
        <v>1133</v>
      </c>
      <c r="E285" s="17" t="s">
        <v>312</v>
      </c>
      <c r="F285" s="21" t="s">
        <v>313</v>
      </c>
      <c r="G285" s="19" t="s">
        <v>1181</v>
      </c>
      <c r="H285" s="24" t="s">
        <v>1182</v>
      </c>
      <c r="I285" s="17" t="s">
        <v>65</v>
      </c>
      <c r="J285" s="21">
        <v>1</v>
      </c>
      <c r="K285" s="21" t="s">
        <v>1034</v>
      </c>
      <c r="L285" s="21" t="s">
        <v>1183</v>
      </c>
      <c r="M285" s="19" t="s">
        <v>1136</v>
      </c>
      <c r="N285" s="19" t="s">
        <v>316</v>
      </c>
      <c r="O285" s="19" t="s">
        <v>1184</v>
      </c>
      <c r="P285" s="19" t="s">
        <v>1181</v>
      </c>
      <c r="Q285" s="19" t="s">
        <v>211</v>
      </c>
      <c r="R285" s="16" t="s">
        <v>54</v>
      </c>
      <c r="S285" s="18" t="s">
        <v>1032</v>
      </c>
      <c r="T285" s="21" t="s">
        <v>55</v>
      </c>
    </row>
    <row r="286" spans="1:20" ht="16.5">
      <c r="A286" s="11" t="s">
        <v>1032</v>
      </c>
      <c r="B286" s="11" t="s">
        <v>311</v>
      </c>
      <c r="C286" s="11" t="s">
        <v>204</v>
      </c>
      <c r="D286" s="12" t="s">
        <v>1133</v>
      </c>
      <c r="E286" s="11" t="s">
        <v>312</v>
      </c>
      <c r="F286" s="14" t="s">
        <v>313</v>
      </c>
      <c r="G286" s="15" t="s">
        <v>1185</v>
      </c>
      <c r="H286" s="23" t="s">
        <v>1186</v>
      </c>
      <c r="I286" s="11" t="s">
        <v>65</v>
      </c>
      <c r="J286" s="14">
        <v>1</v>
      </c>
      <c r="K286" s="14" t="s">
        <v>1034</v>
      </c>
      <c r="L286" s="14" t="s">
        <v>1187</v>
      </c>
      <c r="M286" s="15" t="s">
        <v>1136</v>
      </c>
      <c r="N286" s="15" t="s">
        <v>316</v>
      </c>
      <c r="O286" s="15" t="s">
        <v>1188</v>
      </c>
      <c r="P286" s="15" t="s">
        <v>1185</v>
      </c>
      <c r="Q286" s="15" t="s">
        <v>211</v>
      </c>
      <c r="R286" s="16" t="s">
        <v>54</v>
      </c>
      <c r="S286" s="12" t="s">
        <v>1032</v>
      </c>
      <c r="T286" s="14" t="s">
        <v>55</v>
      </c>
    </row>
    <row r="287" spans="1:20" ht="16.5">
      <c r="A287" s="17" t="s">
        <v>1032</v>
      </c>
      <c r="B287" s="17" t="s">
        <v>311</v>
      </c>
      <c r="C287" s="17" t="s">
        <v>204</v>
      </c>
      <c r="D287" s="18" t="s">
        <v>1133</v>
      </c>
      <c r="E287" s="17" t="s">
        <v>312</v>
      </c>
      <c r="F287" s="21" t="s">
        <v>313</v>
      </c>
      <c r="G287" s="19" t="s">
        <v>1189</v>
      </c>
      <c r="H287" s="24" t="s">
        <v>1190</v>
      </c>
      <c r="I287" s="17" t="s">
        <v>65</v>
      </c>
      <c r="J287" s="21">
        <v>1</v>
      </c>
      <c r="K287" s="21" t="s">
        <v>1034</v>
      </c>
      <c r="L287" s="21" t="s">
        <v>1191</v>
      </c>
      <c r="M287" s="19" t="s">
        <v>1136</v>
      </c>
      <c r="N287" s="19" t="s">
        <v>316</v>
      </c>
      <c r="O287" s="19" t="s">
        <v>1192</v>
      </c>
      <c r="P287" s="19" t="s">
        <v>1189</v>
      </c>
      <c r="Q287" s="19" t="s">
        <v>211</v>
      </c>
      <c r="R287" s="16" t="s">
        <v>54</v>
      </c>
      <c r="S287" s="18" t="s">
        <v>1032</v>
      </c>
      <c r="T287" s="21" t="s">
        <v>55</v>
      </c>
    </row>
    <row r="288" spans="1:20" ht="16.5">
      <c r="A288" s="11" t="s">
        <v>1032</v>
      </c>
      <c r="B288" s="11" t="s">
        <v>311</v>
      </c>
      <c r="C288" s="11" t="s">
        <v>204</v>
      </c>
      <c r="D288" s="12" t="s">
        <v>1138</v>
      </c>
      <c r="E288" s="11" t="s">
        <v>312</v>
      </c>
      <c r="F288" s="14" t="s">
        <v>313</v>
      </c>
      <c r="G288" s="15" t="s">
        <v>1142</v>
      </c>
      <c r="H288" s="23" t="s">
        <v>1193</v>
      </c>
      <c r="I288" s="11" t="s">
        <v>65</v>
      </c>
      <c r="J288" s="14">
        <v>1</v>
      </c>
      <c r="K288" s="14" t="s">
        <v>1034</v>
      </c>
      <c r="L288" s="14" t="s">
        <v>1194</v>
      </c>
      <c r="M288" s="15" t="s">
        <v>1141</v>
      </c>
      <c r="N288" s="15" t="s">
        <v>316</v>
      </c>
      <c r="O288" s="15" t="s">
        <v>1195</v>
      </c>
      <c r="P288" s="15" t="s">
        <v>1142</v>
      </c>
      <c r="Q288" s="15" t="s">
        <v>211</v>
      </c>
      <c r="R288" s="16" t="s">
        <v>54</v>
      </c>
      <c r="S288" s="12" t="s">
        <v>1032</v>
      </c>
      <c r="T288" s="14" t="s">
        <v>55</v>
      </c>
    </row>
    <row r="289" spans="1:20" ht="16.5">
      <c r="A289" s="17" t="s">
        <v>1032</v>
      </c>
      <c r="B289" s="17" t="s">
        <v>311</v>
      </c>
      <c r="C289" s="17" t="s">
        <v>204</v>
      </c>
      <c r="D289" s="18" t="s">
        <v>1143</v>
      </c>
      <c r="E289" s="17" t="s">
        <v>312</v>
      </c>
      <c r="F289" s="21" t="s">
        <v>313</v>
      </c>
      <c r="G289" s="19" t="s">
        <v>1147</v>
      </c>
      <c r="H289" s="24" t="s">
        <v>1196</v>
      </c>
      <c r="I289" s="17" t="s">
        <v>65</v>
      </c>
      <c r="J289" s="21">
        <v>1</v>
      </c>
      <c r="K289" s="21" t="s">
        <v>1034</v>
      </c>
      <c r="L289" s="21" t="s">
        <v>1197</v>
      </c>
      <c r="M289" s="19" t="s">
        <v>1146</v>
      </c>
      <c r="N289" s="19" t="s">
        <v>316</v>
      </c>
      <c r="O289" s="19" t="s">
        <v>1198</v>
      </c>
      <c r="P289" s="19" t="s">
        <v>1147</v>
      </c>
      <c r="Q289" s="19" t="s">
        <v>211</v>
      </c>
      <c r="R289" s="16" t="s">
        <v>54</v>
      </c>
      <c r="S289" s="18" t="s">
        <v>1032</v>
      </c>
      <c r="T289" s="21" t="s">
        <v>55</v>
      </c>
    </row>
    <row r="290" spans="1:20" ht="16.5">
      <c r="A290" s="11" t="s">
        <v>1032</v>
      </c>
      <c r="B290" s="11" t="s">
        <v>311</v>
      </c>
      <c r="C290" s="11" t="s">
        <v>204</v>
      </c>
      <c r="D290" s="12" t="s">
        <v>662</v>
      </c>
      <c r="E290" s="11" t="s">
        <v>312</v>
      </c>
      <c r="F290" s="14" t="s">
        <v>313</v>
      </c>
      <c r="G290" s="15" t="s">
        <v>1150</v>
      </c>
      <c r="H290" s="23" t="s">
        <v>1199</v>
      </c>
      <c r="I290" s="11" t="s">
        <v>65</v>
      </c>
      <c r="J290" s="14">
        <v>1</v>
      </c>
      <c r="K290" s="14" t="s">
        <v>1034</v>
      </c>
      <c r="L290" s="14" t="s">
        <v>1200</v>
      </c>
      <c r="M290" s="15" t="s">
        <v>665</v>
      </c>
      <c r="N290" s="15" t="s">
        <v>316</v>
      </c>
      <c r="O290" s="15" t="s">
        <v>1201</v>
      </c>
      <c r="P290" s="15" t="s">
        <v>1150</v>
      </c>
      <c r="Q290" s="15" t="s">
        <v>211</v>
      </c>
      <c r="R290" s="16" t="s">
        <v>54</v>
      </c>
      <c r="S290" s="12" t="s">
        <v>1032</v>
      </c>
      <c r="T290" s="14" t="s">
        <v>55</v>
      </c>
    </row>
    <row r="291" spans="1:20" ht="16.5">
      <c r="A291" s="17" t="s">
        <v>1032</v>
      </c>
      <c r="B291" s="17" t="s">
        <v>311</v>
      </c>
      <c r="C291" s="17" t="s">
        <v>204</v>
      </c>
      <c r="D291" s="18" t="s">
        <v>1151</v>
      </c>
      <c r="E291" s="17" t="s">
        <v>312</v>
      </c>
      <c r="F291" s="21" t="s">
        <v>313</v>
      </c>
      <c r="G291" s="19" t="s">
        <v>1202</v>
      </c>
      <c r="H291" s="24" t="s">
        <v>1203</v>
      </c>
      <c r="I291" s="17" t="s">
        <v>65</v>
      </c>
      <c r="J291" s="21">
        <v>1</v>
      </c>
      <c r="K291" s="21" t="s">
        <v>1034</v>
      </c>
      <c r="L291" s="21" t="s">
        <v>1204</v>
      </c>
      <c r="M291" s="19" t="s">
        <v>1154</v>
      </c>
      <c r="N291" s="19" t="s">
        <v>316</v>
      </c>
      <c r="O291" s="19" t="s">
        <v>1205</v>
      </c>
      <c r="P291" s="19" t="s">
        <v>1202</v>
      </c>
      <c r="Q291" s="19" t="s">
        <v>211</v>
      </c>
      <c r="R291" s="16" t="s">
        <v>54</v>
      </c>
      <c r="S291" s="18" t="s">
        <v>1032</v>
      </c>
      <c r="T291" s="21" t="s">
        <v>55</v>
      </c>
    </row>
    <row r="292" spans="1:20" ht="16.5">
      <c r="A292" s="11" t="s">
        <v>1032</v>
      </c>
      <c r="B292" s="11" t="s">
        <v>311</v>
      </c>
      <c r="C292" s="11" t="s">
        <v>204</v>
      </c>
      <c r="D292" s="12" t="s">
        <v>1151</v>
      </c>
      <c r="E292" s="11" t="s">
        <v>312</v>
      </c>
      <c r="F292" s="14" t="s">
        <v>313</v>
      </c>
      <c r="G292" s="15" t="s">
        <v>1206</v>
      </c>
      <c r="H292" s="23" t="s">
        <v>1207</v>
      </c>
      <c r="I292" s="11" t="s">
        <v>65</v>
      </c>
      <c r="J292" s="14">
        <v>1</v>
      </c>
      <c r="K292" s="14" t="s">
        <v>1034</v>
      </c>
      <c r="L292" s="14" t="s">
        <v>1208</v>
      </c>
      <c r="M292" s="15" t="s">
        <v>1154</v>
      </c>
      <c r="N292" s="15" t="s">
        <v>316</v>
      </c>
      <c r="O292" s="15" t="s">
        <v>1209</v>
      </c>
      <c r="P292" s="15" t="s">
        <v>1206</v>
      </c>
      <c r="Q292" s="15" t="s">
        <v>211</v>
      </c>
      <c r="R292" s="16" t="s">
        <v>54</v>
      </c>
      <c r="S292" s="12" t="s">
        <v>1032</v>
      </c>
      <c r="T292" s="14" t="s">
        <v>55</v>
      </c>
    </row>
    <row r="293" spans="1:20" ht="16.5">
      <c r="A293" s="17" t="s">
        <v>1032</v>
      </c>
      <c r="B293" s="17" t="s">
        <v>311</v>
      </c>
      <c r="C293" s="17" t="s">
        <v>204</v>
      </c>
      <c r="D293" s="18" t="s">
        <v>1156</v>
      </c>
      <c r="E293" s="17" t="s">
        <v>312</v>
      </c>
      <c r="F293" s="21" t="s">
        <v>313</v>
      </c>
      <c r="G293" s="19" t="s">
        <v>1160</v>
      </c>
      <c r="H293" s="24" t="s">
        <v>1210</v>
      </c>
      <c r="I293" s="17" t="s">
        <v>65</v>
      </c>
      <c r="J293" s="21">
        <v>1</v>
      </c>
      <c r="K293" s="21" t="s">
        <v>1034</v>
      </c>
      <c r="L293" s="21" t="s">
        <v>1211</v>
      </c>
      <c r="M293" s="19" t="s">
        <v>1159</v>
      </c>
      <c r="N293" s="19" t="s">
        <v>316</v>
      </c>
      <c r="O293" s="19" t="s">
        <v>1212</v>
      </c>
      <c r="P293" s="19" t="s">
        <v>1160</v>
      </c>
      <c r="Q293" s="19" t="s">
        <v>211</v>
      </c>
      <c r="R293" s="16" t="s">
        <v>54</v>
      </c>
      <c r="S293" s="18" t="s">
        <v>1032</v>
      </c>
      <c r="T293" s="21" t="s">
        <v>55</v>
      </c>
    </row>
    <row r="294" spans="1:20" ht="16.5">
      <c r="A294" s="11" t="s">
        <v>1032</v>
      </c>
      <c r="B294" s="11" t="s">
        <v>311</v>
      </c>
      <c r="C294" s="11" t="s">
        <v>204</v>
      </c>
      <c r="D294" s="12" t="s">
        <v>1161</v>
      </c>
      <c r="E294" s="11" t="s">
        <v>312</v>
      </c>
      <c r="F294" s="14" t="s">
        <v>313</v>
      </c>
      <c r="G294" s="15" t="s">
        <v>1165</v>
      </c>
      <c r="H294" s="23" t="s">
        <v>1213</v>
      </c>
      <c r="I294" s="11" t="s">
        <v>65</v>
      </c>
      <c r="J294" s="14">
        <v>1</v>
      </c>
      <c r="K294" s="14" t="s">
        <v>1034</v>
      </c>
      <c r="L294" s="14" t="s">
        <v>1214</v>
      </c>
      <c r="M294" s="15" t="s">
        <v>1164</v>
      </c>
      <c r="N294" s="15" t="s">
        <v>316</v>
      </c>
      <c r="O294" s="15" t="s">
        <v>1215</v>
      </c>
      <c r="P294" s="15" t="s">
        <v>1165</v>
      </c>
      <c r="Q294" s="15" t="s">
        <v>211</v>
      </c>
      <c r="R294" s="16" t="s">
        <v>54</v>
      </c>
      <c r="S294" s="12" t="s">
        <v>1032</v>
      </c>
      <c r="T294" s="14" t="s">
        <v>55</v>
      </c>
    </row>
    <row r="295" spans="1:20" ht="16.5">
      <c r="A295" s="17" t="s">
        <v>1032</v>
      </c>
      <c r="B295" s="17" t="s">
        <v>311</v>
      </c>
      <c r="C295" s="17" t="s">
        <v>204</v>
      </c>
      <c r="D295" s="18" t="s">
        <v>1166</v>
      </c>
      <c r="E295" s="17" t="s">
        <v>312</v>
      </c>
      <c r="F295" s="21" t="s">
        <v>313</v>
      </c>
      <c r="G295" s="19" t="s">
        <v>1216</v>
      </c>
      <c r="H295" s="24" t="s">
        <v>1217</v>
      </c>
      <c r="I295" s="17" t="s">
        <v>65</v>
      </c>
      <c r="J295" s="21">
        <v>1</v>
      </c>
      <c r="K295" s="21" t="s">
        <v>1034</v>
      </c>
      <c r="L295" s="21" t="s">
        <v>1218</v>
      </c>
      <c r="M295" s="19" t="s">
        <v>1169</v>
      </c>
      <c r="N295" s="19" t="s">
        <v>316</v>
      </c>
      <c r="O295" s="19" t="s">
        <v>1219</v>
      </c>
      <c r="P295" s="19" t="s">
        <v>1216</v>
      </c>
      <c r="Q295" s="19" t="s">
        <v>211</v>
      </c>
      <c r="R295" s="16" t="s">
        <v>54</v>
      </c>
      <c r="S295" s="18" t="s">
        <v>1032</v>
      </c>
      <c r="T295" s="21" t="s">
        <v>55</v>
      </c>
    </row>
    <row r="296" spans="1:20" ht="16.5">
      <c r="A296" s="11" t="s">
        <v>1032</v>
      </c>
      <c r="B296" s="11" t="s">
        <v>311</v>
      </c>
      <c r="C296" s="11" t="s">
        <v>204</v>
      </c>
      <c r="D296" s="12" t="s">
        <v>1166</v>
      </c>
      <c r="E296" s="11" t="s">
        <v>312</v>
      </c>
      <c r="F296" s="14" t="s">
        <v>313</v>
      </c>
      <c r="G296" s="15" t="s">
        <v>1220</v>
      </c>
      <c r="H296" s="23" t="s">
        <v>1221</v>
      </c>
      <c r="I296" s="11" t="s">
        <v>65</v>
      </c>
      <c r="J296" s="14">
        <v>1</v>
      </c>
      <c r="K296" s="14" t="s">
        <v>1034</v>
      </c>
      <c r="L296" s="14" t="s">
        <v>1222</v>
      </c>
      <c r="M296" s="15" t="s">
        <v>1169</v>
      </c>
      <c r="N296" s="15" t="s">
        <v>316</v>
      </c>
      <c r="O296" s="15" t="s">
        <v>1223</v>
      </c>
      <c r="P296" s="15" t="s">
        <v>1220</v>
      </c>
      <c r="Q296" s="15" t="s">
        <v>211</v>
      </c>
      <c r="R296" s="16" t="s">
        <v>54</v>
      </c>
      <c r="S296" s="12" t="s">
        <v>1032</v>
      </c>
      <c r="T296" s="14" t="s">
        <v>55</v>
      </c>
    </row>
    <row r="297" spans="1:20" ht="16.5">
      <c r="A297" s="17" t="s">
        <v>1032</v>
      </c>
      <c r="B297" s="17" t="s">
        <v>311</v>
      </c>
      <c r="C297" s="17" t="s">
        <v>204</v>
      </c>
      <c r="D297" s="18" t="s">
        <v>1166</v>
      </c>
      <c r="E297" s="17" t="s">
        <v>312</v>
      </c>
      <c r="F297" s="21" t="s">
        <v>313</v>
      </c>
      <c r="G297" s="19" t="s">
        <v>1224</v>
      </c>
      <c r="H297" s="24" t="s">
        <v>1225</v>
      </c>
      <c r="I297" s="17" t="s">
        <v>65</v>
      </c>
      <c r="J297" s="21">
        <v>1</v>
      </c>
      <c r="K297" s="21" t="s">
        <v>1034</v>
      </c>
      <c r="L297" s="21" t="s">
        <v>1226</v>
      </c>
      <c r="M297" s="19" t="s">
        <v>1169</v>
      </c>
      <c r="N297" s="19" t="s">
        <v>316</v>
      </c>
      <c r="O297" s="19" t="s">
        <v>1227</v>
      </c>
      <c r="P297" s="19" t="s">
        <v>1224</v>
      </c>
      <c r="Q297" s="19" t="s">
        <v>211</v>
      </c>
      <c r="R297" s="16" t="s">
        <v>54</v>
      </c>
      <c r="S297" s="18" t="s">
        <v>1032</v>
      </c>
      <c r="T297" s="21" t="s">
        <v>55</v>
      </c>
    </row>
    <row r="298" spans="1:20" ht="16.5">
      <c r="A298" s="11" t="s">
        <v>1032</v>
      </c>
      <c r="B298" s="11" t="s">
        <v>311</v>
      </c>
      <c r="C298" s="11" t="s">
        <v>204</v>
      </c>
      <c r="D298" s="12" t="s">
        <v>1166</v>
      </c>
      <c r="E298" s="11" t="s">
        <v>312</v>
      </c>
      <c r="F298" s="14" t="s">
        <v>313</v>
      </c>
      <c r="G298" s="15" t="s">
        <v>1228</v>
      </c>
      <c r="H298" s="23" t="s">
        <v>1229</v>
      </c>
      <c r="I298" s="11" t="s">
        <v>65</v>
      </c>
      <c r="J298" s="14">
        <v>1</v>
      </c>
      <c r="K298" s="14" t="s">
        <v>1034</v>
      </c>
      <c r="L298" s="14" t="s">
        <v>1230</v>
      </c>
      <c r="M298" s="15" t="s">
        <v>1169</v>
      </c>
      <c r="N298" s="15" t="s">
        <v>316</v>
      </c>
      <c r="O298" s="15" t="s">
        <v>1231</v>
      </c>
      <c r="P298" s="15" t="s">
        <v>1228</v>
      </c>
      <c r="Q298" s="15" t="s">
        <v>211</v>
      </c>
      <c r="R298" s="16" t="s">
        <v>54</v>
      </c>
      <c r="S298" s="12" t="s">
        <v>1032</v>
      </c>
      <c r="T298" s="14" t="s">
        <v>55</v>
      </c>
    </row>
    <row r="299" spans="1:20" ht="16.5">
      <c r="A299" s="17" t="s">
        <v>1032</v>
      </c>
      <c r="B299" s="17" t="s">
        <v>311</v>
      </c>
      <c r="C299" s="17" t="s">
        <v>204</v>
      </c>
      <c r="D299" s="18" t="s">
        <v>1166</v>
      </c>
      <c r="E299" s="17" t="s">
        <v>312</v>
      </c>
      <c r="F299" s="21" t="s">
        <v>313</v>
      </c>
      <c r="G299" s="19" t="s">
        <v>1232</v>
      </c>
      <c r="H299" s="24" t="s">
        <v>1233</v>
      </c>
      <c r="I299" s="17" t="s">
        <v>65</v>
      </c>
      <c r="J299" s="21">
        <v>1</v>
      </c>
      <c r="K299" s="21" t="s">
        <v>1034</v>
      </c>
      <c r="L299" s="21" t="s">
        <v>1234</v>
      </c>
      <c r="M299" s="19" t="s">
        <v>1169</v>
      </c>
      <c r="N299" s="19" t="s">
        <v>316</v>
      </c>
      <c r="O299" s="19" t="s">
        <v>1235</v>
      </c>
      <c r="P299" s="19" t="s">
        <v>1232</v>
      </c>
      <c r="Q299" s="19" t="s">
        <v>211</v>
      </c>
      <c r="R299" s="16" t="s">
        <v>54</v>
      </c>
      <c r="S299" s="18" t="s">
        <v>1032</v>
      </c>
      <c r="T299" s="21" t="s">
        <v>55</v>
      </c>
    </row>
    <row r="300" spans="1:20" ht="16.5">
      <c r="A300" s="11" t="s">
        <v>1032</v>
      </c>
      <c r="B300" s="11" t="s">
        <v>311</v>
      </c>
      <c r="C300" s="11" t="s">
        <v>204</v>
      </c>
      <c r="D300" s="12" t="s">
        <v>1166</v>
      </c>
      <c r="E300" s="11" t="s">
        <v>312</v>
      </c>
      <c r="F300" s="14" t="s">
        <v>313</v>
      </c>
      <c r="G300" s="15" t="s">
        <v>1236</v>
      </c>
      <c r="H300" s="23" t="s">
        <v>1237</v>
      </c>
      <c r="I300" s="11" t="s">
        <v>65</v>
      </c>
      <c r="J300" s="14">
        <v>1</v>
      </c>
      <c r="K300" s="14" t="s">
        <v>1034</v>
      </c>
      <c r="L300" s="14" t="s">
        <v>1238</v>
      </c>
      <c r="M300" s="15" t="s">
        <v>1169</v>
      </c>
      <c r="N300" s="15" t="s">
        <v>316</v>
      </c>
      <c r="O300" s="15" t="s">
        <v>1239</v>
      </c>
      <c r="P300" s="15" t="s">
        <v>1236</v>
      </c>
      <c r="Q300" s="15" t="s">
        <v>211</v>
      </c>
      <c r="R300" s="16" t="s">
        <v>54</v>
      </c>
      <c r="S300" s="12" t="s">
        <v>1032</v>
      </c>
      <c r="T300" s="14" t="s">
        <v>55</v>
      </c>
    </row>
    <row r="301" spans="1:20" ht="16.5">
      <c r="A301" s="17" t="s">
        <v>1032</v>
      </c>
      <c r="B301" s="17" t="s">
        <v>564</v>
      </c>
      <c r="C301" s="17" t="s">
        <v>204</v>
      </c>
      <c r="D301" s="18" t="s">
        <v>1133</v>
      </c>
      <c r="E301" s="17" t="s">
        <v>565</v>
      </c>
      <c r="F301" s="17" t="s">
        <v>566</v>
      </c>
      <c r="G301" s="18" t="s">
        <v>1240</v>
      </c>
      <c r="H301" s="20" t="s">
        <v>1241</v>
      </c>
      <c r="I301" s="17" t="s">
        <v>569</v>
      </c>
      <c r="J301" s="21">
        <v>1</v>
      </c>
      <c r="K301" s="21" t="s">
        <v>1034</v>
      </c>
      <c r="L301" s="21" t="s">
        <v>1242</v>
      </c>
      <c r="M301" s="19" t="s">
        <v>1136</v>
      </c>
      <c r="N301" s="19" t="s">
        <v>571</v>
      </c>
      <c r="O301" s="19" t="s">
        <v>1243</v>
      </c>
      <c r="P301" s="19" t="s">
        <v>1244</v>
      </c>
      <c r="Q301" s="18" t="s">
        <v>53</v>
      </c>
      <c r="R301" s="16" t="s">
        <v>54</v>
      </c>
      <c r="S301" s="18" t="s">
        <v>1032</v>
      </c>
      <c r="T301" s="21" t="s">
        <v>55</v>
      </c>
    </row>
    <row r="302" spans="1:20" ht="16.5">
      <c r="A302" s="11" t="s">
        <v>1032</v>
      </c>
      <c r="B302" s="11" t="s">
        <v>578</v>
      </c>
      <c r="C302" s="11" t="s">
        <v>62</v>
      </c>
      <c r="D302" s="12" t="s">
        <v>1037</v>
      </c>
      <c r="E302" s="11" t="s">
        <v>45</v>
      </c>
      <c r="F302" s="11" t="s">
        <v>62</v>
      </c>
      <c r="G302" s="12" t="s">
        <v>1055</v>
      </c>
      <c r="H302" s="13" t="s">
        <v>1245</v>
      </c>
      <c r="I302" s="11" t="s">
        <v>1246</v>
      </c>
      <c r="J302" s="14">
        <v>1</v>
      </c>
      <c r="K302" s="14" t="s">
        <v>1034</v>
      </c>
      <c r="L302" s="14" t="s">
        <v>1247</v>
      </c>
      <c r="M302" s="15" t="s">
        <v>1040</v>
      </c>
      <c r="N302" s="15" t="s">
        <v>51</v>
      </c>
      <c r="O302" s="15" t="s">
        <v>1058</v>
      </c>
      <c r="P302" s="15"/>
      <c r="Q302" s="12" t="s">
        <v>53</v>
      </c>
      <c r="R302" s="16" t="s">
        <v>54</v>
      </c>
      <c r="S302" s="12" t="s">
        <v>1032</v>
      </c>
      <c r="T302" s="14" t="s">
        <v>55</v>
      </c>
    </row>
    <row r="303" spans="1:20" ht="16.5">
      <c r="A303" s="17" t="s">
        <v>1032</v>
      </c>
      <c r="B303" s="17" t="s">
        <v>578</v>
      </c>
      <c r="C303" s="17" t="s">
        <v>62</v>
      </c>
      <c r="D303" s="18" t="s">
        <v>1055</v>
      </c>
      <c r="E303" s="17" t="s">
        <v>45</v>
      </c>
      <c r="F303" s="17" t="s">
        <v>62</v>
      </c>
      <c r="G303" s="18" t="s">
        <v>1069</v>
      </c>
      <c r="H303" s="20" t="s">
        <v>1248</v>
      </c>
      <c r="I303" s="17" t="s">
        <v>1246</v>
      </c>
      <c r="J303" s="21">
        <v>1</v>
      </c>
      <c r="K303" s="21" t="s">
        <v>1034</v>
      </c>
      <c r="L303" s="21" t="s">
        <v>1249</v>
      </c>
      <c r="M303" s="19" t="s">
        <v>1058</v>
      </c>
      <c r="N303" s="19" t="s">
        <v>51</v>
      </c>
      <c r="O303" s="19" t="s">
        <v>1072</v>
      </c>
      <c r="P303" s="19"/>
      <c r="Q303" s="18" t="s">
        <v>53</v>
      </c>
      <c r="R303" s="16" t="s">
        <v>54</v>
      </c>
      <c r="S303" s="18" t="s">
        <v>1032</v>
      </c>
      <c r="T303" s="21" t="s">
        <v>55</v>
      </c>
    </row>
    <row r="304" spans="1:20" ht="16.5">
      <c r="A304" s="11" t="s">
        <v>1032</v>
      </c>
      <c r="B304" s="11" t="s">
        <v>578</v>
      </c>
      <c r="C304" s="11" t="s">
        <v>1250</v>
      </c>
      <c r="D304" s="12" t="s">
        <v>1251</v>
      </c>
      <c r="E304" s="11" t="s">
        <v>579</v>
      </c>
      <c r="F304" s="11" t="s">
        <v>62</v>
      </c>
      <c r="G304" s="12" t="s">
        <v>1069</v>
      </c>
      <c r="H304" s="13" t="s">
        <v>1252</v>
      </c>
      <c r="I304" s="11" t="s">
        <v>1246</v>
      </c>
      <c r="J304" s="14">
        <v>1</v>
      </c>
      <c r="K304" s="14" t="s">
        <v>1034</v>
      </c>
      <c r="L304" s="14" t="s">
        <v>1253</v>
      </c>
      <c r="M304" s="15" t="s">
        <v>1254</v>
      </c>
      <c r="N304" s="15" t="s">
        <v>583</v>
      </c>
      <c r="O304" s="15" t="s">
        <v>1072</v>
      </c>
      <c r="P304" s="15"/>
      <c r="Q304" s="12" t="s">
        <v>53</v>
      </c>
      <c r="R304" s="16" t="s">
        <v>54</v>
      </c>
      <c r="S304" s="12" t="s">
        <v>1032</v>
      </c>
      <c r="T304" s="14" t="s">
        <v>55</v>
      </c>
    </row>
    <row r="305" spans="1:20" ht="16.5">
      <c r="A305" s="17" t="s">
        <v>1032</v>
      </c>
      <c r="B305" s="17" t="s">
        <v>578</v>
      </c>
      <c r="C305" s="17" t="s">
        <v>62</v>
      </c>
      <c r="D305" s="18" t="s">
        <v>1069</v>
      </c>
      <c r="E305" s="17" t="s">
        <v>635</v>
      </c>
      <c r="F305" s="17" t="s">
        <v>300</v>
      </c>
      <c r="G305" s="18" t="s">
        <v>588</v>
      </c>
      <c r="H305" s="20" t="s">
        <v>1255</v>
      </c>
      <c r="I305" s="17" t="s">
        <v>1246</v>
      </c>
      <c r="J305" s="21">
        <v>1</v>
      </c>
      <c r="K305" s="21" t="s">
        <v>1034</v>
      </c>
      <c r="L305" s="21" t="s">
        <v>1256</v>
      </c>
      <c r="M305" s="19" t="s">
        <v>1072</v>
      </c>
      <c r="N305" s="19" t="s">
        <v>640</v>
      </c>
      <c r="O305" s="19" t="s">
        <v>593</v>
      </c>
      <c r="P305" s="19"/>
      <c r="Q305" s="18" t="s">
        <v>53</v>
      </c>
      <c r="R305" s="16" t="s">
        <v>54</v>
      </c>
      <c r="S305" s="18" t="s">
        <v>1032</v>
      </c>
      <c r="T305" s="21" t="s">
        <v>55</v>
      </c>
    </row>
    <row r="306" spans="1:20" ht="16.5">
      <c r="A306" s="11" t="s">
        <v>1032</v>
      </c>
      <c r="B306" s="11" t="s">
        <v>578</v>
      </c>
      <c r="C306" s="11" t="s">
        <v>300</v>
      </c>
      <c r="D306" s="12" t="s">
        <v>588</v>
      </c>
      <c r="E306" s="11" t="s">
        <v>579</v>
      </c>
      <c r="F306" s="11" t="s">
        <v>62</v>
      </c>
      <c r="G306" s="12" t="s">
        <v>1098</v>
      </c>
      <c r="H306" s="23" t="s">
        <v>584</v>
      </c>
      <c r="I306" s="11" t="s">
        <v>1257</v>
      </c>
      <c r="J306" s="14">
        <v>1</v>
      </c>
      <c r="K306" s="14" t="s">
        <v>1034</v>
      </c>
      <c r="L306" s="14" t="s">
        <v>1258</v>
      </c>
      <c r="M306" s="15" t="s">
        <v>593</v>
      </c>
      <c r="N306" s="15" t="s">
        <v>583</v>
      </c>
      <c r="O306" s="15" t="s">
        <v>1101</v>
      </c>
      <c r="P306" s="15"/>
      <c r="Q306" s="12" t="s">
        <v>53</v>
      </c>
      <c r="R306" s="16" t="s">
        <v>54</v>
      </c>
      <c r="S306" s="12" t="s">
        <v>1032</v>
      </c>
      <c r="T306" s="14" t="s">
        <v>55</v>
      </c>
    </row>
    <row r="307" spans="1:20" ht="16.5">
      <c r="A307" s="17" t="s">
        <v>1032</v>
      </c>
      <c r="B307" s="17" t="s">
        <v>578</v>
      </c>
      <c r="C307" s="17" t="s">
        <v>62</v>
      </c>
      <c r="D307" s="18" t="s">
        <v>1098</v>
      </c>
      <c r="E307" s="17" t="s">
        <v>45</v>
      </c>
      <c r="F307" s="17" t="s">
        <v>62</v>
      </c>
      <c r="G307" s="18" t="s">
        <v>1106</v>
      </c>
      <c r="H307" s="24" t="s">
        <v>584</v>
      </c>
      <c r="I307" s="17" t="s">
        <v>1257</v>
      </c>
      <c r="J307" s="21">
        <v>1</v>
      </c>
      <c r="K307" s="21" t="s">
        <v>1034</v>
      </c>
      <c r="L307" s="21" t="s">
        <v>1259</v>
      </c>
      <c r="M307" s="19" t="s">
        <v>1101</v>
      </c>
      <c r="N307" s="19" t="s">
        <v>51</v>
      </c>
      <c r="O307" s="19" t="s">
        <v>1109</v>
      </c>
      <c r="P307" s="19"/>
      <c r="Q307" s="18" t="s">
        <v>53</v>
      </c>
      <c r="R307" s="16" t="s">
        <v>54</v>
      </c>
      <c r="S307" s="18" t="s">
        <v>1032</v>
      </c>
      <c r="T307" s="21" t="s">
        <v>55</v>
      </c>
    </row>
    <row r="308" spans="1:20" ht="16.5">
      <c r="A308" s="11" t="s">
        <v>1032</v>
      </c>
      <c r="B308" s="11" t="s">
        <v>578</v>
      </c>
      <c r="C308" s="11" t="s">
        <v>62</v>
      </c>
      <c r="D308" s="12" t="s">
        <v>1106</v>
      </c>
      <c r="E308" s="11" t="s">
        <v>45</v>
      </c>
      <c r="F308" s="11" t="s">
        <v>62</v>
      </c>
      <c r="G308" s="12" t="s">
        <v>163</v>
      </c>
      <c r="H308" s="13" t="s">
        <v>1260</v>
      </c>
      <c r="I308" s="11" t="s">
        <v>1257</v>
      </c>
      <c r="J308" s="14">
        <v>1</v>
      </c>
      <c r="K308" s="14" t="s">
        <v>1034</v>
      </c>
      <c r="L308" s="14" t="s">
        <v>1261</v>
      </c>
      <c r="M308" s="15" t="s">
        <v>1109</v>
      </c>
      <c r="N308" s="15" t="s">
        <v>51</v>
      </c>
      <c r="O308" s="15" t="s">
        <v>166</v>
      </c>
      <c r="P308" s="15"/>
      <c r="Q308" s="12" t="s">
        <v>53</v>
      </c>
      <c r="R308" s="16" t="s">
        <v>54</v>
      </c>
      <c r="S308" s="12" t="s">
        <v>1032</v>
      </c>
      <c r="T308" s="14" t="s">
        <v>55</v>
      </c>
    </row>
    <row r="309" spans="1:20" ht="16.5">
      <c r="A309" s="17" t="s">
        <v>1032</v>
      </c>
      <c r="B309" s="17" t="s">
        <v>650</v>
      </c>
      <c r="C309" s="17" t="s">
        <v>204</v>
      </c>
      <c r="D309" s="18" t="s">
        <v>1138</v>
      </c>
      <c r="E309" s="17" t="s">
        <v>667</v>
      </c>
      <c r="F309" s="17" t="s">
        <v>204</v>
      </c>
      <c r="G309" s="18" t="s">
        <v>662</v>
      </c>
      <c r="H309" s="24" t="s">
        <v>584</v>
      </c>
      <c r="I309" s="17" t="s">
        <v>680</v>
      </c>
      <c r="J309" s="21">
        <v>1</v>
      </c>
      <c r="K309" s="21" t="s">
        <v>1034</v>
      </c>
      <c r="L309" s="21" t="s">
        <v>1262</v>
      </c>
      <c r="M309" s="19" t="s">
        <v>1141</v>
      </c>
      <c r="N309" s="19" t="s">
        <v>670</v>
      </c>
      <c r="O309" s="19" t="s">
        <v>665</v>
      </c>
      <c r="P309" s="19" t="s">
        <v>1263</v>
      </c>
      <c r="Q309" s="19" t="s">
        <v>661</v>
      </c>
      <c r="R309" s="16" t="s">
        <v>54</v>
      </c>
      <c r="S309" s="18" t="s">
        <v>1032</v>
      </c>
      <c r="T309" s="21" t="s">
        <v>55</v>
      </c>
    </row>
    <row r="310" spans="1:20" ht="16.5">
      <c r="A310" s="11" t="s">
        <v>1032</v>
      </c>
      <c r="B310" s="11" t="s">
        <v>650</v>
      </c>
      <c r="C310" s="11" t="s">
        <v>204</v>
      </c>
      <c r="D310" s="12" t="s">
        <v>1143</v>
      </c>
      <c r="E310" s="11" t="s">
        <v>654</v>
      </c>
      <c r="F310" s="11" t="s">
        <v>204</v>
      </c>
      <c r="G310" s="12" t="s">
        <v>662</v>
      </c>
      <c r="H310" s="23" t="s">
        <v>584</v>
      </c>
      <c r="I310" s="11" t="s">
        <v>680</v>
      </c>
      <c r="J310" s="14">
        <v>1</v>
      </c>
      <c r="K310" s="14" t="s">
        <v>1034</v>
      </c>
      <c r="L310" s="14" t="s">
        <v>1264</v>
      </c>
      <c r="M310" s="15" t="s">
        <v>1146</v>
      </c>
      <c r="N310" s="15" t="s">
        <v>657</v>
      </c>
      <c r="O310" s="15" t="s">
        <v>665</v>
      </c>
      <c r="P310" s="15" t="s">
        <v>1265</v>
      </c>
      <c r="Q310" s="15" t="s">
        <v>661</v>
      </c>
      <c r="R310" s="16" t="s">
        <v>54</v>
      </c>
      <c r="S310" s="12" t="s">
        <v>1032</v>
      </c>
      <c r="T310" s="14" t="s">
        <v>55</v>
      </c>
    </row>
    <row r="311" spans="1:20" ht="16.5">
      <c r="A311" s="17" t="s">
        <v>1266</v>
      </c>
      <c r="B311" s="17" t="s">
        <v>43</v>
      </c>
      <c r="C311" s="17" t="s">
        <v>44</v>
      </c>
      <c r="D311" s="18" t="s">
        <v>1266</v>
      </c>
      <c r="E311" s="17" t="s">
        <v>45</v>
      </c>
      <c r="F311" s="17" t="s">
        <v>44</v>
      </c>
      <c r="G311" s="18" t="s">
        <v>42</v>
      </c>
      <c r="H311" s="20" t="s">
        <v>1267</v>
      </c>
      <c r="I311" s="17" t="s">
        <v>43</v>
      </c>
      <c r="J311" s="21">
        <v>1</v>
      </c>
      <c r="K311" s="21" t="s">
        <v>1268</v>
      </c>
      <c r="L311" s="21" t="s">
        <v>1269</v>
      </c>
      <c r="M311" s="19" t="s">
        <v>1270</v>
      </c>
      <c r="N311" s="19" t="s">
        <v>51</v>
      </c>
      <c r="O311" s="19" t="s">
        <v>50</v>
      </c>
      <c r="P311" s="19"/>
      <c r="Q311" s="18" t="s">
        <v>53</v>
      </c>
      <c r="R311" s="16" t="s">
        <v>54</v>
      </c>
      <c r="S311" s="19"/>
      <c r="T311" s="21" t="s">
        <v>55</v>
      </c>
    </row>
    <row r="312" spans="1:20" ht="16.5">
      <c r="A312" s="11" t="s">
        <v>1266</v>
      </c>
      <c r="B312" s="11" t="s">
        <v>60</v>
      </c>
      <c r="C312" s="11" t="s">
        <v>44</v>
      </c>
      <c r="D312" s="12" t="s">
        <v>1266</v>
      </c>
      <c r="E312" s="11" t="s">
        <v>61</v>
      </c>
      <c r="F312" s="11" t="s">
        <v>62</v>
      </c>
      <c r="G312" s="12" t="s">
        <v>1271</v>
      </c>
      <c r="H312" s="13" t="s">
        <v>1272</v>
      </c>
      <c r="I312" s="11" t="s">
        <v>65</v>
      </c>
      <c r="J312" s="14">
        <v>1</v>
      </c>
      <c r="K312" s="14" t="s">
        <v>1268</v>
      </c>
      <c r="L312" s="14" t="s">
        <v>1273</v>
      </c>
      <c r="M312" s="15" t="s">
        <v>1270</v>
      </c>
      <c r="N312" s="15" t="s">
        <v>67</v>
      </c>
      <c r="O312" s="15" t="s">
        <v>1274</v>
      </c>
      <c r="P312" s="15"/>
      <c r="Q312" s="12" t="s">
        <v>69</v>
      </c>
      <c r="R312" s="16" t="s">
        <v>54</v>
      </c>
      <c r="S312" s="12" t="s">
        <v>1266</v>
      </c>
      <c r="T312" s="14" t="s">
        <v>55</v>
      </c>
    </row>
    <row r="313" spans="1:20" ht="16.5">
      <c r="A313" s="17" t="s">
        <v>1266</v>
      </c>
      <c r="B313" s="17" t="s">
        <v>60</v>
      </c>
      <c r="C313" s="17" t="s">
        <v>62</v>
      </c>
      <c r="D313" s="18" t="s">
        <v>1271</v>
      </c>
      <c r="E313" s="17" t="s">
        <v>81</v>
      </c>
      <c r="F313" s="17" t="s">
        <v>82</v>
      </c>
      <c r="G313" s="18" t="s">
        <v>1275</v>
      </c>
      <c r="H313" s="20" t="s">
        <v>1276</v>
      </c>
      <c r="I313" s="17" t="s">
        <v>65</v>
      </c>
      <c r="J313" s="21">
        <v>1</v>
      </c>
      <c r="K313" s="21" t="s">
        <v>1268</v>
      </c>
      <c r="L313" s="21" t="s">
        <v>1277</v>
      </c>
      <c r="M313" s="19" t="s">
        <v>1274</v>
      </c>
      <c r="N313" s="19" t="s">
        <v>86</v>
      </c>
      <c r="O313" s="19" t="s">
        <v>1278</v>
      </c>
      <c r="P313" s="19"/>
      <c r="Q313" s="18" t="s">
        <v>53</v>
      </c>
      <c r="R313" s="22" t="s">
        <v>88</v>
      </c>
      <c r="S313" s="18" t="s">
        <v>1266</v>
      </c>
      <c r="T313" s="21" t="s">
        <v>55</v>
      </c>
    </row>
    <row r="314" spans="1:20" ht="16.5">
      <c r="A314" s="11" t="s">
        <v>1266</v>
      </c>
      <c r="B314" s="11" t="s">
        <v>60</v>
      </c>
      <c r="C314" s="11" t="s">
        <v>62</v>
      </c>
      <c r="D314" s="12" t="s">
        <v>1271</v>
      </c>
      <c r="E314" s="11" t="s">
        <v>81</v>
      </c>
      <c r="F314" s="11" t="s">
        <v>82</v>
      </c>
      <c r="G314" s="12" t="s">
        <v>1279</v>
      </c>
      <c r="H314" s="13" t="s">
        <v>1280</v>
      </c>
      <c r="I314" s="11" t="s">
        <v>65</v>
      </c>
      <c r="J314" s="14">
        <v>1</v>
      </c>
      <c r="K314" s="14" t="s">
        <v>1268</v>
      </c>
      <c r="L314" s="14" t="s">
        <v>1281</v>
      </c>
      <c r="M314" s="15" t="s">
        <v>1274</v>
      </c>
      <c r="N314" s="15" t="s">
        <v>86</v>
      </c>
      <c r="O314" s="15" t="s">
        <v>1282</v>
      </c>
      <c r="P314" s="15"/>
      <c r="Q314" s="12" t="s">
        <v>53</v>
      </c>
      <c r="R314" s="22" t="s">
        <v>88</v>
      </c>
      <c r="S314" s="12" t="s">
        <v>1266</v>
      </c>
      <c r="T314" s="14" t="s">
        <v>55</v>
      </c>
    </row>
    <row r="315" spans="1:20" ht="16.5">
      <c r="A315" s="17" t="s">
        <v>1266</v>
      </c>
      <c r="B315" s="17" t="s">
        <v>60</v>
      </c>
      <c r="C315" s="17" t="s">
        <v>44</v>
      </c>
      <c r="D315" s="18" t="s">
        <v>1266</v>
      </c>
      <c r="E315" s="17" t="s">
        <v>61</v>
      </c>
      <c r="F315" s="17" t="s">
        <v>62</v>
      </c>
      <c r="G315" s="18" t="s">
        <v>1283</v>
      </c>
      <c r="H315" s="20" t="s">
        <v>1284</v>
      </c>
      <c r="I315" s="17" t="s">
        <v>65</v>
      </c>
      <c r="J315" s="21">
        <v>1</v>
      </c>
      <c r="K315" s="21" t="s">
        <v>1268</v>
      </c>
      <c r="L315" s="21" t="s">
        <v>1285</v>
      </c>
      <c r="M315" s="19" t="s">
        <v>1270</v>
      </c>
      <c r="N315" s="19" t="s">
        <v>67</v>
      </c>
      <c r="O315" s="19" t="s">
        <v>1286</v>
      </c>
      <c r="P315" s="19"/>
      <c r="Q315" s="18" t="s">
        <v>69</v>
      </c>
      <c r="R315" s="16" t="s">
        <v>54</v>
      </c>
      <c r="S315" s="18" t="s">
        <v>1266</v>
      </c>
      <c r="T315" s="21" t="s">
        <v>55</v>
      </c>
    </row>
    <row r="316" spans="1:20" ht="16.5">
      <c r="A316" s="11" t="s">
        <v>1266</v>
      </c>
      <c r="B316" s="11" t="s">
        <v>60</v>
      </c>
      <c r="C316" s="11" t="s">
        <v>62</v>
      </c>
      <c r="D316" s="12" t="s">
        <v>1283</v>
      </c>
      <c r="E316" s="11" t="s">
        <v>71</v>
      </c>
      <c r="F316" s="11" t="s">
        <v>72</v>
      </c>
      <c r="G316" s="12" t="s">
        <v>1287</v>
      </c>
      <c r="H316" s="13" t="s">
        <v>1288</v>
      </c>
      <c r="I316" s="11" t="s">
        <v>65</v>
      </c>
      <c r="J316" s="14">
        <v>1</v>
      </c>
      <c r="K316" s="14" t="s">
        <v>1268</v>
      </c>
      <c r="L316" s="14" t="s">
        <v>1289</v>
      </c>
      <c r="M316" s="15" t="s">
        <v>1286</v>
      </c>
      <c r="N316" s="15" t="s">
        <v>76</v>
      </c>
      <c r="O316" s="15" t="s">
        <v>1290</v>
      </c>
      <c r="P316" s="15"/>
      <c r="Q316" s="12" t="s">
        <v>69</v>
      </c>
      <c r="R316" s="16" t="s">
        <v>54</v>
      </c>
      <c r="S316" s="12" t="s">
        <v>1266</v>
      </c>
      <c r="T316" s="14" t="s">
        <v>55</v>
      </c>
    </row>
    <row r="317" spans="1:20" ht="16.5">
      <c r="A317" s="17" t="s">
        <v>1266</v>
      </c>
      <c r="B317" s="17" t="s">
        <v>60</v>
      </c>
      <c r="C317" s="17" t="s">
        <v>62</v>
      </c>
      <c r="D317" s="18" t="s">
        <v>1283</v>
      </c>
      <c r="E317" s="17" t="s">
        <v>71</v>
      </c>
      <c r="F317" s="17" t="s">
        <v>72</v>
      </c>
      <c r="G317" s="18" t="s">
        <v>1291</v>
      </c>
      <c r="H317" s="20" t="s">
        <v>1288</v>
      </c>
      <c r="I317" s="17" t="s">
        <v>65</v>
      </c>
      <c r="J317" s="21">
        <v>1</v>
      </c>
      <c r="K317" s="21" t="s">
        <v>1268</v>
      </c>
      <c r="L317" s="21" t="s">
        <v>1292</v>
      </c>
      <c r="M317" s="19" t="s">
        <v>1286</v>
      </c>
      <c r="N317" s="19" t="s">
        <v>76</v>
      </c>
      <c r="O317" s="19" t="s">
        <v>1293</v>
      </c>
      <c r="P317" s="19"/>
      <c r="Q317" s="18" t="s">
        <v>69</v>
      </c>
      <c r="R317" s="16" t="s">
        <v>54</v>
      </c>
      <c r="S317" s="18" t="s">
        <v>1266</v>
      </c>
      <c r="T317" s="21" t="s">
        <v>55</v>
      </c>
    </row>
    <row r="318" spans="1:20" ht="16.5">
      <c r="A318" s="11" t="s">
        <v>1266</v>
      </c>
      <c r="B318" s="11" t="s">
        <v>60</v>
      </c>
      <c r="C318" s="11" t="s">
        <v>62</v>
      </c>
      <c r="D318" s="12" t="s">
        <v>1283</v>
      </c>
      <c r="E318" s="11" t="s">
        <v>71</v>
      </c>
      <c r="F318" s="11" t="s">
        <v>72</v>
      </c>
      <c r="G318" s="12" t="s">
        <v>1294</v>
      </c>
      <c r="H318" s="13" t="s">
        <v>1288</v>
      </c>
      <c r="I318" s="11" t="s">
        <v>65</v>
      </c>
      <c r="J318" s="14">
        <v>1</v>
      </c>
      <c r="K318" s="14" t="s">
        <v>1268</v>
      </c>
      <c r="L318" s="14" t="s">
        <v>1295</v>
      </c>
      <c r="M318" s="15" t="s">
        <v>1286</v>
      </c>
      <c r="N318" s="15" t="s">
        <v>76</v>
      </c>
      <c r="O318" s="15" t="s">
        <v>1296</v>
      </c>
      <c r="P318" s="15"/>
      <c r="Q318" s="12" t="s">
        <v>69</v>
      </c>
      <c r="R318" s="16" t="s">
        <v>54</v>
      </c>
      <c r="S318" s="12" t="s">
        <v>1266</v>
      </c>
      <c r="T318" s="14" t="s">
        <v>55</v>
      </c>
    </row>
    <row r="319" spans="1:20" ht="16.5">
      <c r="A319" s="17" t="s">
        <v>1266</v>
      </c>
      <c r="B319" s="17" t="s">
        <v>60</v>
      </c>
      <c r="C319" s="17" t="s">
        <v>62</v>
      </c>
      <c r="D319" s="18" t="s">
        <v>1283</v>
      </c>
      <c r="E319" s="17" t="s">
        <v>71</v>
      </c>
      <c r="F319" s="17" t="s">
        <v>72</v>
      </c>
      <c r="G319" s="18" t="s">
        <v>1297</v>
      </c>
      <c r="H319" s="20" t="s">
        <v>1288</v>
      </c>
      <c r="I319" s="17" t="s">
        <v>65</v>
      </c>
      <c r="J319" s="21">
        <v>1</v>
      </c>
      <c r="K319" s="21" t="s">
        <v>1268</v>
      </c>
      <c r="L319" s="21" t="s">
        <v>1298</v>
      </c>
      <c r="M319" s="19" t="s">
        <v>1286</v>
      </c>
      <c r="N319" s="19" t="s">
        <v>76</v>
      </c>
      <c r="O319" s="19" t="s">
        <v>1299</v>
      </c>
      <c r="P319" s="19"/>
      <c r="Q319" s="18" t="s">
        <v>69</v>
      </c>
      <c r="R319" s="16" t="s">
        <v>54</v>
      </c>
      <c r="S319" s="18" t="s">
        <v>1266</v>
      </c>
      <c r="T319" s="21" t="s">
        <v>55</v>
      </c>
    </row>
    <row r="320" spans="1:20" ht="16.5">
      <c r="A320" s="11" t="s">
        <v>1266</v>
      </c>
      <c r="B320" s="11" t="s">
        <v>60</v>
      </c>
      <c r="C320" s="11" t="s">
        <v>62</v>
      </c>
      <c r="D320" s="12" t="s">
        <v>1283</v>
      </c>
      <c r="E320" s="11" t="s">
        <v>81</v>
      </c>
      <c r="F320" s="11" t="s">
        <v>82</v>
      </c>
      <c r="G320" s="12" t="s">
        <v>1300</v>
      </c>
      <c r="H320" s="13" t="s">
        <v>1301</v>
      </c>
      <c r="I320" s="11" t="s">
        <v>65</v>
      </c>
      <c r="J320" s="14">
        <v>1</v>
      </c>
      <c r="K320" s="14" t="s">
        <v>1268</v>
      </c>
      <c r="L320" s="14" t="s">
        <v>1302</v>
      </c>
      <c r="M320" s="15" t="s">
        <v>1286</v>
      </c>
      <c r="N320" s="15" t="s">
        <v>86</v>
      </c>
      <c r="O320" s="15" t="s">
        <v>1303</v>
      </c>
      <c r="P320" s="15"/>
      <c r="Q320" s="12" t="s">
        <v>53</v>
      </c>
      <c r="R320" s="22" t="s">
        <v>88</v>
      </c>
      <c r="S320" s="12" t="s">
        <v>1266</v>
      </c>
      <c r="T320" s="14" t="s">
        <v>55</v>
      </c>
    </row>
    <row r="321" spans="1:20" ht="16.5">
      <c r="A321" s="17" t="s">
        <v>1266</v>
      </c>
      <c r="B321" s="17" t="s">
        <v>60</v>
      </c>
      <c r="C321" s="17" t="s">
        <v>62</v>
      </c>
      <c r="D321" s="18" t="s">
        <v>1283</v>
      </c>
      <c r="E321" s="17" t="s">
        <v>81</v>
      </c>
      <c r="F321" s="17" t="s">
        <v>82</v>
      </c>
      <c r="G321" s="18" t="s">
        <v>1304</v>
      </c>
      <c r="H321" s="20" t="s">
        <v>1305</v>
      </c>
      <c r="I321" s="17" t="s">
        <v>65</v>
      </c>
      <c r="J321" s="21">
        <v>1</v>
      </c>
      <c r="K321" s="21" t="s">
        <v>1268</v>
      </c>
      <c r="L321" s="21" t="s">
        <v>1306</v>
      </c>
      <c r="M321" s="19" t="s">
        <v>1286</v>
      </c>
      <c r="N321" s="19" t="s">
        <v>86</v>
      </c>
      <c r="O321" s="19" t="s">
        <v>1307</v>
      </c>
      <c r="P321" s="19"/>
      <c r="Q321" s="18" t="s">
        <v>53</v>
      </c>
      <c r="R321" s="22" t="s">
        <v>88</v>
      </c>
      <c r="S321" s="18" t="s">
        <v>1266</v>
      </c>
      <c r="T321" s="21" t="s">
        <v>55</v>
      </c>
    </row>
    <row r="322" spans="1:20" ht="16.5">
      <c r="A322" s="11" t="s">
        <v>1266</v>
      </c>
      <c r="B322" s="11" t="s">
        <v>60</v>
      </c>
      <c r="C322" s="11" t="s">
        <v>62</v>
      </c>
      <c r="D322" s="12" t="s">
        <v>1283</v>
      </c>
      <c r="E322" s="11" t="s">
        <v>81</v>
      </c>
      <c r="F322" s="11" t="s">
        <v>82</v>
      </c>
      <c r="G322" s="12" t="s">
        <v>1308</v>
      </c>
      <c r="H322" s="13" t="s">
        <v>1309</v>
      </c>
      <c r="I322" s="11" t="s">
        <v>65</v>
      </c>
      <c r="J322" s="14">
        <v>1</v>
      </c>
      <c r="K322" s="14" t="s">
        <v>1268</v>
      </c>
      <c r="L322" s="14" t="s">
        <v>1310</v>
      </c>
      <c r="M322" s="15" t="s">
        <v>1286</v>
      </c>
      <c r="N322" s="15" t="s">
        <v>86</v>
      </c>
      <c r="O322" s="15" t="s">
        <v>1311</v>
      </c>
      <c r="P322" s="15"/>
      <c r="Q322" s="12" t="s">
        <v>53</v>
      </c>
      <c r="R322" s="22" t="s">
        <v>88</v>
      </c>
      <c r="S322" s="12" t="s">
        <v>1266</v>
      </c>
      <c r="T322" s="14" t="s">
        <v>55</v>
      </c>
    </row>
    <row r="323" spans="1:20" ht="16.5">
      <c r="A323" s="17" t="s">
        <v>1266</v>
      </c>
      <c r="B323" s="17" t="s">
        <v>60</v>
      </c>
      <c r="C323" s="17" t="s">
        <v>44</v>
      </c>
      <c r="D323" s="18" t="s">
        <v>1266</v>
      </c>
      <c r="E323" s="17" t="s">
        <v>61</v>
      </c>
      <c r="F323" s="17" t="s">
        <v>62</v>
      </c>
      <c r="G323" s="18" t="s">
        <v>1312</v>
      </c>
      <c r="H323" s="20" t="s">
        <v>1313</v>
      </c>
      <c r="I323" s="17" t="s">
        <v>65</v>
      </c>
      <c r="J323" s="21">
        <v>1</v>
      </c>
      <c r="K323" s="21" t="s">
        <v>1268</v>
      </c>
      <c r="L323" s="21" t="s">
        <v>1314</v>
      </c>
      <c r="M323" s="19" t="s">
        <v>1270</v>
      </c>
      <c r="N323" s="19" t="s">
        <v>67</v>
      </c>
      <c r="O323" s="19" t="s">
        <v>1315</v>
      </c>
      <c r="P323" s="19"/>
      <c r="Q323" s="18" t="s">
        <v>69</v>
      </c>
      <c r="R323" s="16" t="s">
        <v>54</v>
      </c>
      <c r="S323" s="18" t="s">
        <v>1266</v>
      </c>
      <c r="T323" s="21" t="s">
        <v>55</v>
      </c>
    </row>
    <row r="324" spans="1:20" ht="16.5">
      <c r="A324" s="11" t="s">
        <v>1266</v>
      </c>
      <c r="B324" s="11" t="s">
        <v>60</v>
      </c>
      <c r="C324" s="11" t="s">
        <v>62</v>
      </c>
      <c r="D324" s="12" t="s">
        <v>1312</v>
      </c>
      <c r="E324" s="11" t="s">
        <v>81</v>
      </c>
      <c r="F324" s="11" t="s">
        <v>82</v>
      </c>
      <c r="G324" s="12" t="s">
        <v>1316</v>
      </c>
      <c r="H324" s="13" t="s">
        <v>1317</v>
      </c>
      <c r="I324" s="11" t="s">
        <v>65</v>
      </c>
      <c r="J324" s="14">
        <v>1</v>
      </c>
      <c r="K324" s="14" t="s">
        <v>1268</v>
      </c>
      <c r="L324" s="14" t="s">
        <v>1318</v>
      </c>
      <c r="M324" s="15" t="s">
        <v>1315</v>
      </c>
      <c r="N324" s="15" t="s">
        <v>86</v>
      </c>
      <c r="O324" s="15" t="s">
        <v>1319</v>
      </c>
      <c r="P324" s="15"/>
      <c r="Q324" s="12" t="s">
        <v>53</v>
      </c>
      <c r="R324" s="22" t="s">
        <v>88</v>
      </c>
      <c r="S324" s="12" t="s">
        <v>1266</v>
      </c>
      <c r="T324" s="14" t="s">
        <v>55</v>
      </c>
    </row>
    <row r="325" spans="1:20" ht="16.5">
      <c r="A325" s="17" t="s">
        <v>1266</v>
      </c>
      <c r="B325" s="17" t="s">
        <v>60</v>
      </c>
      <c r="C325" s="17" t="s">
        <v>62</v>
      </c>
      <c r="D325" s="18" t="s">
        <v>1312</v>
      </c>
      <c r="E325" s="17" t="s">
        <v>203</v>
      </c>
      <c r="F325" s="17" t="s">
        <v>204</v>
      </c>
      <c r="G325" s="18" t="s">
        <v>1320</v>
      </c>
      <c r="H325" s="20" t="s">
        <v>1321</v>
      </c>
      <c r="I325" s="17" t="s">
        <v>65</v>
      </c>
      <c r="J325" s="21">
        <v>1</v>
      </c>
      <c r="K325" s="21" t="s">
        <v>1268</v>
      </c>
      <c r="L325" s="21" t="s">
        <v>1322</v>
      </c>
      <c r="M325" s="19" t="s">
        <v>1315</v>
      </c>
      <c r="N325" s="19" t="s">
        <v>208</v>
      </c>
      <c r="O325" s="19" t="s">
        <v>1323</v>
      </c>
      <c r="P325" s="19" t="s">
        <v>1324</v>
      </c>
      <c r="Q325" s="19" t="s">
        <v>211</v>
      </c>
      <c r="R325" s="16" t="s">
        <v>54</v>
      </c>
      <c r="S325" s="18" t="s">
        <v>1266</v>
      </c>
      <c r="T325" s="21" t="s">
        <v>55</v>
      </c>
    </row>
    <row r="326" spans="1:20" ht="16.5">
      <c r="A326" s="11" t="s">
        <v>1266</v>
      </c>
      <c r="B326" s="11" t="s">
        <v>60</v>
      </c>
      <c r="C326" s="11" t="s">
        <v>62</v>
      </c>
      <c r="D326" s="12" t="s">
        <v>1283</v>
      </c>
      <c r="E326" s="11" t="s">
        <v>203</v>
      </c>
      <c r="F326" s="11" t="s">
        <v>204</v>
      </c>
      <c r="G326" s="12" t="s">
        <v>1325</v>
      </c>
      <c r="H326" s="13" t="s">
        <v>1326</v>
      </c>
      <c r="I326" s="11" t="s">
        <v>65</v>
      </c>
      <c r="J326" s="14">
        <v>1</v>
      </c>
      <c r="K326" s="14" t="s">
        <v>1268</v>
      </c>
      <c r="L326" s="14" t="s">
        <v>1327</v>
      </c>
      <c r="M326" s="15" t="s">
        <v>1286</v>
      </c>
      <c r="N326" s="15" t="s">
        <v>208</v>
      </c>
      <c r="O326" s="15" t="s">
        <v>1328</v>
      </c>
      <c r="P326" s="15" t="s">
        <v>1329</v>
      </c>
      <c r="Q326" s="15" t="s">
        <v>211</v>
      </c>
      <c r="R326" s="16" t="s">
        <v>54</v>
      </c>
      <c r="S326" s="12" t="s">
        <v>1266</v>
      </c>
      <c r="T326" s="14" t="s">
        <v>55</v>
      </c>
    </row>
    <row r="327" spans="1:20" ht="16.5">
      <c r="A327" s="17" t="s">
        <v>1266</v>
      </c>
      <c r="B327" s="17" t="s">
        <v>60</v>
      </c>
      <c r="C327" s="17" t="s">
        <v>62</v>
      </c>
      <c r="D327" s="18" t="s">
        <v>1283</v>
      </c>
      <c r="E327" s="17" t="s">
        <v>203</v>
      </c>
      <c r="F327" s="17" t="s">
        <v>204</v>
      </c>
      <c r="G327" s="18" t="s">
        <v>1330</v>
      </c>
      <c r="H327" s="20" t="s">
        <v>1331</v>
      </c>
      <c r="I327" s="17" t="s">
        <v>65</v>
      </c>
      <c r="J327" s="21">
        <v>1</v>
      </c>
      <c r="K327" s="21" t="s">
        <v>1268</v>
      </c>
      <c r="L327" s="21" t="s">
        <v>1332</v>
      </c>
      <c r="M327" s="19" t="s">
        <v>1286</v>
      </c>
      <c r="N327" s="19" t="s">
        <v>208</v>
      </c>
      <c r="O327" s="19" t="s">
        <v>1333</v>
      </c>
      <c r="P327" s="19" t="s">
        <v>1334</v>
      </c>
      <c r="Q327" s="19" t="s">
        <v>211</v>
      </c>
      <c r="R327" s="16" t="s">
        <v>54</v>
      </c>
      <c r="S327" s="18" t="s">
        <v>1266</v>
      </c>
      <c r="T327" s="21" t="s">
        <v>55</v>
      </c>
    </row>
    <row r="328" spans="1:20" ht="16.5">
      <c r="A328" s="11" t="s">
        <v>1266</v>
      </c>
      <c r="B328" s="11" t="s">
        <v>60</v>
      </c>
      <c r="C328" s="11" t="s">
        <v>62</v>
      </c>
      <c r="D328" s="12" t="s">
        <v>1283</v>
      </c>
      <c r="E328" s="11" t="s">
        <v>203</v>
      </c>
      <c r="F328" s="11" t="s">
        <v>204</v>
      </c>
      <c r="G328" s="12" t="s">
        <v>1335</v>
      </c>
      <c r="H328" s="23" t="s">
        <v>1336</v>
      </c>
      <c r="I328" s="11" t="s">
        <v>65</v>
      </c>
      <c r="J328" s="14">
        <v>1</v>
      </c>
      <c r="K328" s="14" t="s">
        <v>1268</v>
      </c>
      <c r="L328" s="14" t="s">
        <v>1337</v>
      </c>
      <c r="M328" s="15" t="s">
        <v>1286</v>
      </c>
      <c r="N328" s="15" t="s">
        <v>208</v>
      </c>
      <c r="O328" s="15" t="s">
        <v>1338</v>
      </c>
      <c r="P328" s="15"/>
      <c r="Q328" s="12" t="s">
        <v>53</v>
      </c>
      <c r="R328" s="22" t="s">
        <v>88</v>
      </c>
      <c r="S328" s="12" t="s">
        <v>1266</v>
      </c>
      <c r="T328" s="14" t="s">
        <v>55</v>
      </c>
    </row>
    <row r="329" spans="1:20" ht="16.5">
      <c r="A329" s="17" t="s">
        <v>1266</v>
      </c>
      <c r="B329" s="17" t="s">
        <v>60</v>
      </c>
      <c r="C329" s="17" t="s">
        <v>62</v>
      </c>
      <c r="D329" s="18" t="s">
        <v>1312</v>
      </c>
      <c r="E329" s="17" t="s">
        <v>203</v>
      </c>
      <c r="F329" s="17" t="s">
        <v>204</v>
      </c>
      <c r="G329" s="18" t="s">
        <v>690</v>
      </c>
      <c r="H329" s="20" t="s">
        <v>1339</v>
      </c>
      <c r="I329" s="17" t="s">
        <v>65</v>
      </c>
      <c r="J329" s="21">
        <v>1</v>
      </c>
      <c r="K329" s="21" t="s">
        <v>1268</v>
      </c>
      <c r="L329" s="21" t="s">
        <v>1340</v>
      </c>
      <c r="M329" s="19" t="s">
        <v>1315</v>
      </c>
      <c r="N329" s="19" t="s">
        <v>208</v>
      </c>
      <c r="O329" s="19" t="s">
        <v>693</v>
      </c>
      <c r="P329" s="19" t="s">
        <v>1341</v>
      </c>
      <c r="Q329" s="19" t="s">
        <v>211</v>
      </c>
      <c r="R329" s="16" t="s">
        <v>54</v>
      </c>
      <c r="S329" s="18" t="s">
        <v>1266</v>
      </c>
      <c r="T329" s="21" t="s">
        <v>55</v>
      </c>
    </row>
    <row r="330" spans="1:20" ht="16.5">
      <c r="A330" s="11" t="s">
        <v>1266</v>
      </c>
      <c r="B330" s="11" t="s">
        <v>60</v>
      </c>
      <c r="C330" s="11" t="s">
        <v>300</v>
      </c>
      <c r="D330" s="12" t="s">
        <v>597</v>
      </c>
      <c r="E330" s="11" t="s">
        <v>203</v>
      </c>
      <c r="F330" s="11" t="s">
        <v>204</v>
      </c>
      <c r="G330" s="12" t="s">
        <v>232</v>
      </c>
      <c r="H330" s="13" t="s">
        <v>1342</v>
      </c>
      <c r="I330" s="11" t="s">
        <v>65</v>
      </c>
      <c r="J330" s="14">
        <v>1</v>
      </c>
      <c r="K330" s="14" t="s">
        <v>1268</v>
      </c>
      <c r="L330" s="14" t="s">
        <v>1343</v>
      </c>
      <c r="M330" s="15" t="s">
        <v>600</v>
      </c>
      <c r="N330" s="15" t="s">
        <v>208</v>
      </c>
      <c r="O330" s="15" t="s">
        <v>235</v>
      </c>
      <c r="P330" s="15" t="s">
        <v>236</v>
      </c>
      <c r="Q330" s="15" t="s">
        <v>211</v>
      </c>
      <c r="R330" s="16" t="s">
        <v>54</v>
      </c>
      <c r="S330" s="12" t="s">
        <v>1266</v>
      </c>
      <c r="T330" s="26" t="s">
        <v>673</v>
      </c>
    </row>
    <row r="331" spans="1:20" ht="16.5">
      <c r="A331" s="17" t="s">
        <v>1266</v>
      </c>
      <c r="B331" s="17" t="s">
        <v>311</v>
      </c>
      <c r="C331" s="17" t="s">
        <v>204</v>
      </c>
      <c r="D331" s="18" t="s">
        <v>1320</v>
      </c>
      <c r="E331" s="17" t="s">
        <v>312</v>
      </c>
      <c r="F331" s="21" t="s">
        <v>313</v>
      </c>
      <c r="G331" s="19" t="s">
        <v>1344</v>
      </c>
      <c r="H331" s="24" t="s">
        <v>1345</v>
      </c>
      <c r="I331" s="17" t="s">
        <v>65</v>
      </c>
      <c r="J331" s="21">
        <v>1</v>
      </c>
      <c r="K331" s="21" t="s">
        <v>1268</v>
      </c>
      <c r="L331" s="21" t="s">
        <v>1346</v>
      </c>
      <c r="M331" s="19" t="s">
        <v>1323</v>
      </c>
      <c r="N331" s="19" t="s">
        <v>316</v>
      </c>
      <c r="O331" s="19" t="s">
        <v>1347</v>
      </c>
      <c r="P331" s="19" t="s">
        <v>1344</v>
      </c>
      <c r="Q331" s="19" t="s">
        <v>211</v>
      </c>
      <c r="R331" s="16" t="s">
        <v>54</v>
      </c>
      <c r="S331" s="18" t="s">
        <v>1266</v>
      </c>
      <c r="T331" s="21" t="s">
        <v>55</v>
      </c>
    </row>
    <row r="332" spans="1:20" ht="16.5">
      <c r="A332" s="11" t="s">
        <v>1266</v>
      </c>
      <c r="B332" s="11" t="s">
        <v>311</v>
      </c>
      <c r="C332" s="11" t="s">
        <v>204</v>
      </c>
      <c r="D332" s="12" t="s">
        <v>1320</v>
      </c>
      <c r="E332" s="11" t="s">
        <v>312</v>
      </c>
      <c r="F332" s="14" t="s">
        <v>313</v>
      </c>
      <c r="G332" s="15" t="s">
        <v>1348</v>
      </c>
      <c r="H332" s="23" t="s">
        <v>1349</v>
      </c>
      <c r="I332" s="11" t="s">
        <v>65</v>
      </c>
      <c r="J332" s="14">
        <v>1</v>
      </c>
      <c r="K332" s="14" t="s">
        <v>1268</v>
      </c>
      <c r="L332" s="14" t="s">
        <v>1350</v>
      </c>
      <c r="M332" s="15" t="s">
        <v>1323</v>
      </c>
      <c r="N332" s="15" t="s">
        <v>316</v>
      </c>
      <c r="O332" s="15" t="s">
        <v>1351</v>
      </c>
      <c r="P332" s="15" t="s">
        <v>1348</v>
      </c>
      <c r="Q332" s="15" t="s">
        <v>211</v>
      </c>
      <c r="R332" s="16" t="s">
        <v>54</v>
      </c>
      <c r="S332" s="12" t="s">
        <v>1266</v>
      </c>
      <c r="T332" s="14" t="s">
        <v>55</v>
      </c>
    </row>
    <row r="333" spans="1:20" ht="16.5">
      <c r="A333" s="17" t="s">
        <v>1266</v>
      </c>
      <c r="B333" s="17" t="s">
        <v>311</v>
      </c>
      <c r="C333" s="17" t="s">
        <v>204</v>
      </c>
      <c r="D333" s="18" t="s">
        <v>1325</v>
      </c>
      <c r="E333" s="17" t="s">
        <v>312</v>
      </c>
      <c r="F333" s="21" t="s">
        <v>313</v>
      </c>
      <c r="G333" s="19" t="s">
        <v>1352</v>
      </c>
      <c r="H333" s="24" t="s">
        <v>1353</v>
      </c>
      <c r="I333" s="17" t="s">
        <v>65</v>
      </c>
      <c r="J333" s="21">
        <v>1</v>
      </c>
      <c r="K333" s="21" t="s">
        <v>1268</v>
      </c>
      <c r="L333" s="21" t="s">
        <v>1354</v>
      </c>
      <c r="M333" s="19" t="s">
        <v>1328</v>
      </c>
      <c r="N333" s="19" t="s">
        <v>316</v>
      </c>
      <c r="O333" s="19" t="s">
        <v>1355</v>
      </c>
      <c r="P333" s="19" t="s">
        <v>1352</v>
      </c>
      <c r="Q333" s="19" t="s">
        <v>211</v>
      </c>
      <c r="R333" s="16" t="s">
        <v>54</v>
      </c>
      <c r="S333" s="18" t="s">
        <v>1266</v>
      </c>
      <c r="T333" s="21" t="s">
        <v>55</v>
      </c>
    </row>
    <row r="334" spans="1:20" ht="16.5">
      <c r="A334" s="11" t="s">
        <v>1266</v>
      </c>
      <c r="B334" s="11" t="s">
        <v>311</v>
      </c>
      <c r="C334" s="11" t="s">
        <v>204</v>
      </c>
      <c r="D334" s="12" t="s">
        <v>1325</v>
      </c>
      <c r="E334" s="11" t="s">
        <v>312</v>
      </c>
      <c r="F334" s="14" t="s">
        <v>313</v>
      </c>
      <c r="G334" s="15" t="s">
        <v>1356</v>
      </c>
      <c r="H334" s="23" t="s">
        <v>1357</v>
      </c>
      <c r="I334" s="11" t="s">
        <v>65</v>
      </c>
      <c r="J334" s="14">
        <v>1</v>
      </c>
      <c r="K334" s="14" t="s">
        <v>1268</v>
      </c>
      <c r="L334" s="14" t="s">
        <v>1358</v>
      </c>
      <c r="M334" s="15" t="s">
        <v>1328</v>
      </c>
      <c r="N334" s="15" t="s">
        <v>316</v>
      </c>
      <c r="O334" s="15" t="s">
        <v>1359</v>
      </c>
      <c r="P334" s="15" t="s">
        <v>1356</v>
      </c>
      <c r="Q334" s="15" t="s">
        <v>211</v>
      </c>
      <c r="R334" s="16" t="s">
        <v>54</v>
      </c>
      <c r="S334" s="12" t="s">
        <v>1266</v>
      </c>
      <c r="T334" s="14" t="s">
        <v>55</v>
      </c>
    </row>
    <row r="335" spans="1:20" ht="16.5">
      <c r="A335" s="17" t="s">
        <v>1266</v>
      </c>
      <c r="B335" s="17" t="s">
        <v>311</v>
      </c>
      <c r="C335" s="17" t="s">
        <v>204</v>
      </c>
      <c r="D335" s="18" t="s">
        <v>1325</v>
      </c>
      <c r="E335" s="17" t="s">
        <v>312</v>
      </c>
      <c r="F335" s="21" t="s">
        <v>313</v>
      </c>
      <c r="G335" s="19" t="s">
        <v>1360</v>
      </c>
      <c r="H335" s="24" t="s">
        <v>1361</v>
      </c>
      <c r="I335" s="17" t="s">
        <v>65</v>
      </c>
      <c r="J335" s="21">
        <v>1</v>
      </c>
      <c r="K335" s="21" t="s">
        <v>1268</v>
      </c>
      <c r="L335" s="21" t="s">
        <v>1362</v>
      </c>
      <c r="M335" s="19" t="s">
        <v>1328</v>
      </c>
      <c r="N335" s="19" t="s">
        <v>316</v>
      </c>
      <c r="O335" s="19" t="s">
        <v>1363</v>
      </c>
      <c r="P335" s="19" t="s">
        <v>1360</v>
      </c>
      <c r="Q335" s="19" t="s">
        <v>211</v>
      </c>
      <c r="R335" s="16" t="s">
        <v>54</v>
      </c>
      <c r="S335" s="18" t="s">
        <v>1266</v>
      </c>
      <c r="T335" s="21" t="s">
        <v>55</v>
      </c>
    </row>
    <row r="336" spans="1:20" ht="16.5">
      <c r="A336" s="11" t="s">
        <v>1266</v>
      </c>
      <c r="B336" s="11" t="s">
        <v>311</v>
      </c>
      <c r="C336" s="11" t="s">
        <v>204</v>
      </c>
      <c r="D336" s="12" t="s">
        <v>1325</v>
      </c>
      <c r="E336" s="11" t="s">
        <v>312</v>
      </c>
      <c r="F336" s="14" t="s">
        <v>313</v>
      </c>
      <c r="G336" s="15" t="s">
        <v>1364</v>
      </c>
      <c r="H336" s="23" t="s">
        <v>1365</v>
      </c>
      <c r="I336" s="11" t="s">
        <v>65</v>
      </c>
      <c r="J336" s="14">
        <v>1</v>
      </c>
      <c r="K336" s="14" t="s">
        <v>1268</v>
      </c>
      <c r="L336" s="14" t="s">
        <v>1366</v>
      </c>
      <c r="M336" s="15" t="s">
        <v>1328</v>
      </c>
      <c r="N336" s="15" t="s">
        <v>316</v>
      </c>
      <c r="O336" s="15" t="s">
        <v>1367</v>
      </c>
      <c r="P336" s="15" t="s">
        <v>1364</v>
      </c>
      <c r="Q336" s="15" t="s">
        <v>211</v>
      </c>
      <c r="R336" s="16" t="s">
        <v>54</v>
      </c>
      <c r="S336" s="12" t="s">
        <v>1266</v>
      </c>
      <c r="T336" s="14" t="s">
        <v>55</v>
      </c>
    </row>
    <row r="337" spans="1:20" ht="16.5">
      <c r="A337" s="17" t="s">
        <v>1266</v>
      </c>
      <c r="B337" s="17" t="s">
        <v>311</v>
      </c>
      <c r="C337" s="17" t="s">
        <v>204</v>
      </c>
      <c r="D337" s="18" t="s">
        <v>1330</v>
      </c>
      <c r="E337" s="17" t="s">
        <v>312</v>
      </c>
      <c r="F337" s="21" t="s">
        <v>313</v>
      </c>
      <c r="G337" s="19" t="s">
        <v>1334</v>
      </c>
      <c r="H337" s="24" t="s">
        <v>1368</v>
      </c>
      <c r="I337" s="17" t="s">
        <v>65</v>
      </c>
      <c r="J337" s="21">
        <v>1</v>
      </c>
      <c r="K337" s="21" t="s">
        <v>1268</v>
      </c>
      <c r="L337" s="21" t="s">
        <v>1369</v>
      </c>
      <c r="M337" s="19" t="s">
        <v>1333</v>
      </c>
      <c r="N337" s="19" t="s">
        <v>316</v>
      </c>
      <c r="O337" s="19" t="s">
        <v>1370</v>
      </c>
      <c r="P337" s="19" t="s">
        <v>1334</v>
      </c>
      <c r="Q337" s="19" t="s">
        <v>211</v>
      </c>
      <c r="R337" s="16" t="s">
        <v>54</v>
      </c>
      <c r="S337" s="18" t="s">
        <v>1266</v>
      </c>
      <c r="T337" s="21" t="s">
        <v>55</v>
      </c>
    </row>
    <row r="338" spans="1:20" ht="16.5">
      <c r="A338" s="11" t="s">
        <v>1266</v>
      </c>
      <c r="B338" s="11" t="s">
        <v>311</v>
      </c>
      <c r="C338" s="11" t="s">
        <v>204</v>
      </c>
      <c r="D338" s="12" t="s">
        <v>690</v>
      </c>
      <c r="E338" s="11" t="s">
        <v>312</v>
      </c>
      <c r="F338" s="14" t="s">
        <v>313</v>
      </c>
      <c r="G338" s="15" t="s">
        <v>1341</v>
      </c>
      <c r="H338" s="23" t="s">
        <v>1371</v>
      </c>
      <c r="I338" s="11" t="s">
        <v>65</v>
      </c>
      <c r="J338" s="14">
        <v>1</v>
      </c>
      <c r="K338" s="14" t="s">
        <v>1268</v>
      </c>
      <c r="L338" s="14" t="s">
        <v>1372</v>
      </c>
      <c r="M338" s="15" t="s">
        <v>693</v>
      </c>
      <c r="N338" s="15" t="s">
        <v>316</v>
      </c>
      <c r="O338" s="15" t="s">
        <v>1373</v>
      </c>
      <c r="P338" s="15" t="s">
        <v>1341</v>
      </c>
      <c r="Q338" s="15" t="s">
        <v>211</v>
      </c>
      <c r="R338" s="16" t="s">
        <v>54</v>
      </c>
      <c r="S338" s="12" t="s">
        <v>1266</v>
      </c>
      <c r="T338" s="14" t="s">
        <v>55</v>
      </c>
    </row>
    <row r="339" spans="1:20" ht="16.5">
      <c r="A339" s="17" t="s">
        <v>1266</v>
      </c>
      <c r="B339" s="17" t="s">
        <v>487</v>
      </c>
      <c r="C339" s="17" t="s">
        <v>62</v>
      </c>
      <c r="D339" s="18" t="s">
        <v>1283</v>
      </c>
      <c r="E339" s="17" t="s">
        <v>555</v>
      </c>
      <c r="F339" s="17" t="s">
        <v>556</v>
      </c>
      <c r="G339" s="18" t="s">
        <v>1374</v>
      </c>
      <c r="H339" s="20" t="s">
        <v>1375</v>
      </c>
      <c r="I339" s="17" t="s">
        <v>559</v>
      </c>
      <c r="J339" s="21">
        <v>1</v>
      </c>
      <c r="K339" s="21" t="s">
        <v>1268</v>
      </c>
      <c r="L339" s="21" t="s">
        <v>1376</v>
      </c>
      <c r="M339" s="19" t="s">
        <v>1286</v>
      </c>
      <c r="N339" s="19" t="s">
        <v>561</v>
      </c>
      <c r="O339" s="19" t="s">
        <v>1377</v>
      </c>
      <c r="P339" s="19"/>
      <c r="Q339" s="18" t="s">
        <v>53</v>
      </c>
      <c r="R339" s="16" t="s">
        <v>54</v>
      </c>
      <c r="S339" s="18" t="s">
        <v>1266</v>
      </c>
      <c r="T339" s="21" t="s">
        <v>55</v>
      </c>
    </row>
    <row r="340" spans="1:20" ht="16.5">
      <c r="A340" s="11" t="s">
        <v>1266</v>
      </c>
      <c r="B340" s="11" t="s">
        <v>564</v>
      </c>
      <c r="C340" s="11" t="s">
        <v>204</v>
      </c>
      <c r="D340" s="12" t="s">
        <v>690</v>
      </c>
      <c r="E340" s="11" t="s">
        <v>565</v>
      </c>
      <c r="F340" s="11" t="s">
        <v>566</v>
      </c>
      <c r="G340" s="12" t="s">
        <v>1378</v>
      </c>
      <c r="H340" s="13" t="s">
        <v>1379</v>
      </c>
      <c r="I340" s="11" t="s">
        <v>569</v>
      </c>
      <c r="J340" s="14">
        <v>1</v>
      </c>
      <c r="K340" s="14" t="s">
        <v>1268</v>
      </c>
      <c r="L340" s="14" t="s">
        <v>1380</v>
      </c>
      <c r="M340" s="15" t="s">
        <v>693</v>
      </c>
      <c r="N340" s="15" t="s">
        <v>571</v>
      </c>
      <c r="O340" s="15" t="s">
        <v>1381</v>
      </c>
      <c r="P340" s="15" t="s">
        <v>1341</v>
      </c>
      <c r="Q340" s="12" t="s">
        <v>53</v>
      </c>
      <c r="R340" s="16" t="s">
        <v>54</v>
      </c>
      <c r="S340" s="12" t="s">
        <v>1266</v>
      </c>
      <c r="T340" s="14" t="s">
        <v>55</v>
      </c>
    </row>
    <row r="341" spans="1:20" ht="16.5">
      <c r="A341" s="17" t="s">
        <v>1266</v>
      </c>
      <c r="B341" s="17" t="s">
        <v>578</v>
      </c>
      <c r="C341" s="17" t="s">
        <v>62</v>
      </c>
      <c r="D341" s="18" t="s">
        <v>1271</v>
      </c>
      <c r="E341" s="17" t="s">
        <v>45</v>
      </c>
      <c r="F341" s="17" t="s">
        <v>62</v>
      </c>
      <c r="G341" s="18" t="s">
        <v>1283</v>
      </c>
      <c r="H341" s="20" t="s">
        <v>1382</v>
      </c>
      <c r="I341" s="17" t="s">
        <v>1246</v>
      </c>
      <c r="J341" s="21">
        <v>1</v>
      </c>
      <c r="K341" s="21" t="s">
        <v>1268</v>
      </c>
      <c r="L341" s="21" t="s">
        <v>1383</v>
      </c>
      <c r="M341" s="19" t="s">
        <v>1274</v>
      </c>
      <c r="N341" s="19" t="s">
        <v>51</v>
      </c>
      <c r="O341" s="19" t="s">
        <v>1286</v>
      </c>
      <c r="P341" s="19"/>
      <c r="Q341" s="18" t="s">
        <v>53</v>
      </c>
      <c r="R341" s="16" t="s">
        <v>54</v>
      </c>
      <c r="S341" s="18" t="s">
        <v>1266</v>
      </c>
      <c r="T341" s="21" t="s">
        <v>55</v>
      </c>
    </row>
    <row r="342" spans="1:20" ht="16.5">
      <c r="A342" s="11" t="s">
        <v>1266</v>
      </c>
      <c r="B342" s="11" t="s">
        <v>578</v>
      </c>
      <c r="C342" s="11" t="s">
        <v>1250</v>
      </c>
      <c r="D342" s="12" t="s">
        <v>1251</v>
      </c>
      <c r="E342" s="11" t="s">
        <v>579</v>
      </c>
      <c r="F342" s="11" t="s">
        <v>62</v>
      </c>
      <c r="G342" s="12" t="s">
        <v>1283</v>
      </c>
      <c r="H342" s="23" t="s">
        <v>584</v>
      </c>
      <c r="I342" s="11" t="s">
        <v>1246</v>
      </c>
      <c r="J342" s="14">
        <v>1</v>
      </c>
      <c r="K342" s="14" t="s">
        <v>1268</v>
      </c>
      <c r="L342" s="14" t="s">
        <v>1384</v>
      </c>
      <c r="M342" s="15" t="s">
        <v>1254</v>
      </c>
      <c r="N342" s="15" t="s">
        <v>583</v>
      </c>
      <c r="O342" s="15" t="s">
        <v>1286</v>
      </c>
      <c r="P342" s="15"/>
      <c r="Q342" s="12" t="s">
        <v>53</v>
      </c>
      <c r="R342" s="16" t="s">
        <v>54</v>
      </c>
      <c r="S342" s="12" t="s">
        <v>1266</v>
      </c>
      <c r="T342" s="14" t="s">
        <v>55</v>
      </c>
    </row>
    <row r="343" spans="1:20" ht="16.5">
      <c r="A343" s="17" t="s">
        <v>1266</v>
      </c>
      <c r="B343" s="17" t="s">
        <v>578</v>
      </c>
      <c r="C343" s="17" t="s">
        <v>1250</v>
      </c>
      <c r="D343" s="18" t="s">
        <v>1385</v>
      </c>
      <c r="E343" s="17" t="s">
        <v>1386</v>
      </c>
      <c r="F343" s="17" t="s">
        <v>62</v>
      </c>
      <c r="G343" s="18" t="s">
        <v>1283</v>
      </c>
      <c r="H343" s="20" t="s">
        <v>1387</v>
      </c>
      <c r="I343" s="17" t="s">
        <v>1246</v>
      </c>
      <c r="J343" s="21">
        <v>1</v>
      </c>
      <c r="K343" s="21" t="s">
        <v>1268</v>
      </c>
      <c r="L343" s="21" t="s">
        <v>1388</v>
      </c>
      <c r="M343" s="19" t="s">
        <v>1389</v>
      </c>
      <c r="N343" s="19" t="s">
        <v>1390</v>
      </c>
      <c r="O343" s="19" t="s">
        <v>1286</v>
      </c>
      <c r="P343" s="19"/>
      <c r="Q343" s="18" t="s">
        <v>53</v>
      </c>
      <c r="R343" s="16" t="s">
        <v>54</v>
      </c>
      <c r="S343" s="18" t="s">
        <v>1266</v>
      </c>
      <c r="T343" s="21" t="s">
        <v>55</v>
      </c>
    </row>
    <row r="344" spans="1:20" ht="16.5">
      <c r="A344" s="11" t="s">
        <v>1266</v>
      </c>
      <c r="B344" s="11" t="s">
        <v>578</v>
      </c>
      <c r="C344" s="11" t="s">
        <v>1250</v>
      </c>
      <c r="D344" s="12" t="s">
        <v>1391</v>
      </c>
      <c r="E344" s="11" t="s">
        <v>1386</v>
      </c>
      <c r="F344" s="11" t="s">
        <v>62</v>
      </c>
      <c r="G344" s="12" t="s">
        <v>1283</v>
      </c>
      <c r="H344" s="13" t="s">
        <v>1392</v>
      </c>
      <c r="I344" s="11" t="s">
        <v>1246</v>
      </c>
      <c r="J344" s="14">
        <v>1</v>
      </c>
      <c r="K344" s="14" t="s">
        <v>1268</v>
      </c>
      <c r="L344" s="14" t="s">
        <v>1393</v>
      </c>
      <c r="M344" s="15" t="s">
        <v>1394</v>
      </c>
      <c r="N344" s="15" t="s">
        <v>1390</v>
      </c>
      <c r="O344" s="15" t="s">
        <v>1286</v>
      </c>
      <c r="P344" s="15"/>
      <c r="Q344" s="12" t="s">
        <v>53</v>
      </c>
      <c r="R344" s="16" t="s">
        <v>54</v>
      </c>
      <c r="S344" s="12" t="s">
        <v>1266</v>
      </c>
      <c r="T344" s="14" t="s">
        <v>55</v>
      </c>
    </row>
    <row r="345" spans="1:20" ht="16.5">
      <c r="A345" s="17" t="s">
        <v>1266</v>
      </c>
      <c r="B345" s="17" t="s">
        <v>578</v>
      </c>
      <c r="C345" s="17" t="s">
        <v>62</v>
      </c>
      <c r="D345" s="18" t="s">
        <v>1283</v>
      </c>
      <c r="E345" s="17" t="s">
        <v>635</v>
      </c>
      <c r="F345" s="17" t="s">
        <v>300</v>
      </c>
      <c r="G345" s="18" t="s">
        <v>597</v>
      </c>
      <c r="H345" s="24" t="s">
        <v>584</v>
      </c>
      <c r="I345" s="17" t="s">
        <v>1246</v>
      </c>
      <c r="J345" s="21">
        <v>1</v>
      </c>
      <c r="K345" s="21" t="s">
        <v>1268</v>
      </c>
      <c r="L345" s="21" t="s">
        <v>1395</v>
      </c>
      <c r="M345" s="19" t="s">
        <v>1286</v>
      </c>
      <c r="N345" s="19" t="s">
        <v>640</v>
      </c>
      <c r="O345" s="19" t="s">
        <v>600</v>
      </c>
      <c r="P345" s="19"/>
      <c r="Q345" s="18" t="s">
        <v>53</v>
      </c>
      <c r="R345" s="16" t="s">
        <v>54</v>
      </c>
      <c r="S345" s="18" t="s">
        <v>1266</v>
      </c>
      <c r="T345" s="21" t="s">
        <v>55</v>
      </c>
    </row>
    <row r="346" spans="1:20" ht="16.5">
      <c r="A346" s="11" t="s">
        <v>1266</v>
      </c>
      <c r="B346" s="11" t="s">
        <v>578</v>
      </c>
      <c r="C346" s="11" t="s">
        <v>300</v>
      </c>
      <c r="D346" s="12" t="s">
        <v>597</v>
      </c>
      <c r="E346" s="11" t="s">
        <v>579</v>
      </c>
      <c r="F346" s="11" t="s">
        <v>62</v>
      </c>
      <c r="G346" s="12" t="s">
        <v>1312</v>
      </c>
      <c r="H346" s="13" t="s">
        <v>1396</v>
      </c>
      <c r="I346" s="11" t="s">
        <v>1257</v>
      </c>
      <c r="J346" s="14">
        <v>1</v>
      </c>
      <c r="K346" s="14" t="s">
        <v>1268</v>
      </c>
      <c r="L346" s="14" t="s">
        <v>1397</v>
      </c>
      <c r="M346" s="15" t="s">
        <v>600</v>
      </c>
      <c r="N346" s="15" t="s">
        <v>583</v>
      </c>
      <c r="O346" s="15" t="s">
        <v>1315</v>
      </c>
      <c r="P346" s="15"/>
      <c r="Q346" s="12" t="s">
        <v>53</v>
      </c>
      <c r="R346" s="16" t="s">
        <v>54</v>
      </c>
      <c r="S346" s="12" t="s">
        <v>1266</v>
      </c>
      <c r="T346" s="14" t="s">
        <v>55</v>
      </c>
    </row>
    <row r="347" spans="1:20" ht="16.5">
      <c r="A347" s="17" t="s">
        <v>1266</v>
      </c>
      <c r="B347" s="17" t="s">
        <v>578</v>
      </c>
      <c r="C347" s="17" t="s">
        <v>62</v>
      </c>
      <c r="D347" s="18" t="s">
        <v>1312</v>
      </c>
      <c r="E347" s="17" t="s">
        <v>45</v>
      </c>
      <c r="F347" s="17" t="s">
        <v>62</v>
      </c>
      <c r="G347" s="19" t="s">
        <v>120</v>
      </c>
      <c r="H347" s="24" t="s">
        <v>584</v>
      </c>
      <c r="I347" s="17" t="s">
        <v>1257</v>
      </c>
      <c r="J347" s="21">
        <v>1</v>
      </c>
      <c r="K347" s="21" t="s">
        <v>1268</v>
      </c>
      <c r="L347" s="21" t="s">
        <v>1398</v>
      </c>
      <c r="M347" s="19" t="s">
        <v>1315</v>
      </c>
      <c r="N347" s="19" t="s">
        <v>51</v>
      </c>
      <c r="O347" s="19" t="s">
        <v>123</v>
      </c>
      <c r="P347" s="19"/>
      <c r="Q347" s="18" t="s">
        <v>53</v>
      </c>
      <c r="R347" s="16" t="s">
        <v>54</v>
      </c>
      <c r="S347" s="18" t="s">
        <v>1266</v>
      </c>
      <c r="T347" s="21" t="s">
        <v>55</v>
      </c>
    </row>
    <row r="348" spans="1:20" ht="16.5">
      <c r="A348" s="11" t="s">
        <v>1266</v>
      </c>
      <c r="B348" s="11" t="s">
        <v>578</v>
      </c>
      <c r="C348" s="11" t="s">
        <v>62</v>
      </c>
      <c r="D348" s="12" t="s">
        <v>1312</v>
      </c>
      <c r="E348" s="11" t="s">
        <v>45</v>
      </c>
      <c r="F348" s="11" t="s">
        <v>62</v>
      </c>
      <c r="G348" s="15" t="s">
        <v>625</v>
      </c>
      <c r="H348" s="23" t="s">
        <v>584</v>
      </c>
      <c r="I348" s="11" t="s">
        <v>1257</v>
      </c>
      <c r="J348" s="14">
        <v>1</v>
      </c>
      <c r="K348" s="14" t="s">
        <v>1268</v>
      </c>
      <c r="L348" s="14" t="s">
        <v>1399</v>
      </c>
      <c r="M348" s="15" t="s">
        <v>1315</v>
      </c>
      <c r="N348" s="15" t="s">
        <v>51</v>
      </c>
      <c r="O348" s="15" t="s">
        <v>629</v>
      </c>
      <c r="P348" s="15"/>
      <c r="Q348" s="12" t="s">
        <v>53</v>
      </c>
      <c r="R348" s="16" t="s">
        <v>54</v>
      </c>
      <c r="S348" s="12" t="s">
        <v>1266</v>
      </c>
      <c r="T348" s="14" t="s">
        <v>55</v>
      </c>
    </row>
    <row r="349" spans="1:20" ht="16.5">
      <c r="A349" s="17" t="s">
        <v>1266</v>
      </c>
      <c r="B349" s="17" t="s">
        <v>650</v>
      </c>
      <c r="C349" s="17" t="s">
        <v>204</v>
      </c>
      <c r="D349" s="18" t="s">
        <v>1335</v>
      </c>
      <c r="E349" s="17" t="s">
        <v>667</v>
      </c>
      <c r="F349" s="17" t="s">
        <v>204</v>
      </c>
      <c r="G349" s="18" t="s">
        <v>1400</v>
      </c>
      <c r="H349" s="20" t="s">
        <v>1401</v>
      </c>
      <c r="I349" s="17" t="s">
        <v>652</v>
      </c>
      <c r="J349" s="21">
        <v>2</v>
      </c>
      <c r="K349" s="21" t="s">
        <v>1268</v>
      </c>
      <c r="L349" s="21" t="s">
        <v>1402</v>
      </c>
      <c r="M349" s="19" t="s">
        <v>1338</v>
      </c>
      <c r="N349" s="19" t="s">
        <v>670</v>
      </c>
      <c r="O349" s="19" t="s">
        <v>1403</v>
      </c>
      <c r="P349" s="19"/>
      <c r="Q349" s="18" t="s">
        <v>286</v>
      </c>
      <c r="R349" s="25" t="s">
        <v>607</v>
      </c>
      <c r="S349" s="18" t="s">
        <v>1266</v>
      </c>
      <c r="T349" s="21" t="s">
        <v>55</v>
      </c>
    </row>
    <row r="350" spans="1:20" ht="16.5">
      <c r="A350" s="11" t="s">
        <v>1266</v>
      </c>
      <c r="B350" s="11" t="s">
        <v>650</v>
      </c>
      <c r="C350" s="11" t="s">
        <v>204</v>
      </c>
      <c r="D350" s="12" t="s">
        <v>1400</v>
      </c>
      <c r="E350" s="11" t="s">
        <v>667</v>
      </c>
      <c r="F350" s="11" t="s">
        <v>204</v>
      </c>
      <c r="G350" s="12" t="s">
        <v>232</v>
      </c>
      <c r="H350" s="13" t="s">
        <v>1404</v>
      </c>
      <c r="I350" s="11" t="s">
        <v>680</v>
      </c>
      <c r="J350" s="14">
        <v>2</v>
      </c>
      <c r="K350" s="14" t="s">
        <v>1268</v>
      </c>
      <c r="L350" s="14" t="s">
        <v>1405</v>
      </c>
      <c r="M350" s="15" t="s">
        <v>1403</v>
      </c>
      <c r="N350" s="15" t="s">
        <v>670</v>
      </c>
      <c r="O350" s="15" t="s">
        <v>235</v>
      </c>
      <c r="P350" s="15" t="s">
        <v>236</v>
      </c>
      <c r="Q350" s="12" t="s">
        <v>286</v>
      </c>
      <c r="R350" s="25" t="s">
        <v>607</v>
      </c>
      <c r="S350" s="12" t="s">
        <v>1266</v>
      </c>
      <c r="T350" s="14" t="s">
        <v>55</v>
      </c>
    </row>
    <row r="351" spans="1:20" ht="16.5">
      <c r="A351" s="21" t="s">
        <v>56</v>
      </c>
      <c r="B351" s="17" t="s">
        <v>43</v>
      </c>
      <c r="C351" s="17" t="s">
        <v>44</v>
      </c>
      <c r="D351" s="19" t="s">
        <v>56</v>
      </c>
      <c r="E351" s="17" t="s">
        <v>45</v>
      </c>
      <c r="F351" s="17" t="s">
        <v>44</v>
      </c>
      <c r="G351" s="18" t="s">
        <v>42</v>
      </c>
      <c r="H351" s="20" t="s">
        <v>1406</v>
      </c>
      <c r="I351" s="17" t="s">
        <v>43</v>
      </c>
      <c r="J351" s="21">
        <v>1</v>
      </c>
      <c r="K351" s="21" t="s">
        <v>1407</v>
      </c>
      <c r="L351" s="21" t="s">
        <v>1408</v>
      </c>
      <c r="M351" s="19" t="s">
        <v>59</v>
      </c>
      <c r="N351" s="19" t="s">
        <v>51</v>
      </c>
      <c r="O351" s="19" t="s">
        <v>50</v>
      </c>
      <c r="P351" s="19"/>
      <c r="Q351" s="18" t="s">
        <v>53</v>
      </c>
      <c r="R351" s="16" t="s">
        <v>54</v>
      </c>
      <c r="S351" s="19"/>
      <c r="T351" s="21" t="s">
        <v>55</v>
      </c>
    </row>
    <row r="352" spans="1:20" ht="16.5">
      <c r="A352" s="14" t="s">
        <v>56</v>
      </c>
      <c r="B352" s="11" t="s">
        <v>43</v>
      </c>
      <c r="C352" s="11" t="s">
        <v>44</v>
      </c>
      <c r="D352" s="15" t="s">
        <v>56</v>
      </c>
      <c r="E352" s="11" t="s">
        <v>45</v>
      </c>
      <c r="F352" s="11" t="s">
        <v>44</v>
      </c>
      <c r="G352" s="12" t="s">
        <v>1409</v>
      </c>
      <c r="H352" s="13" t="s">
        <v>1410</v>
      </c>
      <c r="I352" s="11" t="s">
        <v>43</v>
      </c>
      <c r="J352" s="14">
        <v>1</v>
      </c>
      <c r="K352" s="14" t="s">
        <v>1407</v>
      </c>
      <c r="L352" s="14" t="s">
        <v>1411</v>
      </c>
      <c r="M352" s="15" t="s">
        <v>59</v>
      </c>
      <c r="N352" s="15" t="s">
        <v>51</v>
      </c>
      <c r="O352" s="15" t="s">
        <v>1412</v>
      </c>
      <c r="P352" s="15"/>
      <c r="Q352" s="12" t="s">
        <v>53</v>
      </c>
      <c r="R352" s="16" t="s">
        <v>54</v>
      </c>
      <c r="S352" s="15"/>
      <c r="T352" s="14" t="s">
        <v>55</v>
      </c>
    </row>
    <row r="353" spans="1:20" ht="16.5">
      <c r="A353" s="21" t="s">
        <v>56</v>
      </c>
      <c r="B353" s="17" t="s">
        <v>60</v>
      </c>
      <c r="C353" s="17" t="s">
        <v>44</v>
      </c>
      <c r="D353" s="19" t="s">
        <v>56</v>
      </c>
      <c r="E353" s="17" t="s">
        <v>61</v>
      </c>
      <c r="F353" s="17" t="s">
        <v>62</v>
      </c>
      <c r="G353" s="18" t="s">
        <v>1413</v>
      </c>
      <c r="H353" s="24" t="s">
        <v>1414</v>
      </c>
      <c r="I353" s="17" t="s">
        <v>65</v>
      </c>
      <c r="J353" s="21">
        <v>1</v>
      </c>
      <c r="K353" s="21" t="s">
        <v>1407</v>
      </c>
      <c r="L353" s="21" t="s">
        <v>1415</v>
      </c>
      <c r="M353" s="19" t="s">
        <v>59</v>
      </c>
      <c r="N353" s="19" t="s">
        <v>67</v>
      </c>
      <c r="O353" s="19" t="s">
        <v>1416</v>
      </c>
      <c r="P353" s="19"/>
      <c r="Q353" s="18" t="s">
        <v>69</v>
      </c>
      <c r="R353" s="16" t="s">
        <v>54</v>
      </c>
      <c r="S353" s="18" t="s">
        <v>1417</v>
      </c>
      <c r="T353" s="21" t="s">
        <v>55</v>
      </c>
    </row>
    <row r="354" spans="1:20" ht="16.5">
      <c r="A354" s="14" t="s">
        <v>56</v>
      </c>
      <c r="B354" s="11" t="s">
        <v>60</v>
      </c>
      <c r="C354" s="11" t="s">
        <v>62</v>
      </c>
      <c r="D354" s="12" t="s">
        <v>1413</v>
      </c>
      <c r="E354" s="11" t="s">
        <v>71</v>
      </c>
      <c r="F354" s="11" t="s">
        <v>72</v>
      </c>
      <c r="G354" s="12" t="s">
        <v>1418</v>
      </c>
      <c r="H354" s="13" t="s">
        <v>1419</v>
      </c>
      <c r="I354" s="11" t="s">
        <v>65</v>
      </c>
      <c r="J354" s="14">
        <v>1</v>
      </c>
      <c r="K354" s="14" t="s">
        <v>1407</v>
      </c>
      <c r="L354" s="14" t="s">
        <v>1420</v>
      </c>
      <c r="M354" s="15" t="s">
        <v>1416</v>
      </c>
      <c r="N354" s="15" t="s">
        <v>76</v>
      </c>
      <c r="O354" s="15" t="s">
        <v>1421</v>
      </c>
      <c r="P354" s="15"/>
      <c r="Q354" s="12" t="s">
        <v>69</v>
      </c>
      <c r="R354" s="16" t="s">
        <v>54</v>
      </c>
      <c r="S354" s="12" t="s">
        <v>1417</v>
      </c>
      <c r="T354" s="14" t="s">
        <v>55</v>
      </c>
    </row>
    <row r="355" spans="1:20" ht="16.5">
      <c r="A355" s="21" t="s">
        <v>56</v>
      </c>
      <c r="B355" s="17" t="s">
        <v>60</v>
      </c>
      <c r="C355" s="17" t="s">
        <v>62</v>
      </c>
      <c r="D355" s="18" t="s">
        <v>1413</v>
      </c>
      <c r="E355" s="17" t="s">
        <v>71</v>
      </c>
      <c r="F355" s="17" t="s">
        <v>72</v>
      </c>
      <c r="G355" s="18" t="s">
        <v>1422</v>
      </c>
      <c r="H355" s="20" t="s">
        <v>1419</v>
      </c>
      <c r="I355" s="17" t="s">
        <v>65</v>
      </c>
      <c r="J355" s="21">
        <v>1</v>
      </c>
      <c r="K355" s="21" t="s">
        <v>1407</v>
      </c>
      <c r="L355" s="21" t="s">
        <v>1423</v>
      </c>
      <c r="M355" s="19" t="s">
        <v>1416</v>
      </c>
      <c r="N355" s="19" t="s">
        <v>76</v>
      </c>
      <c r="O355" s="19" t="s">
        <v>1424</v>
      </c>
      <c r="P355" s="19"/>
      <c r="Q355" s="18" t="s">
        <v>69</v>
      </c>
      <c r="R355" s="16" t="s">
        <v>54</v>
      </c>
      <c r="S355" s="18" t="s">
        <v>1417</v>
      </c>
      <c r="T355" s="21" t="s">
        <v>55</v>
      </c>
    </row>
    <row r="356" spans="1:20" ht="16.5">
      <c r="A356" s="14" t="s">
        <v>56</v>
      </c>
      <c r="B356" s="11" t="s">
        <v>60</v>
      </c>
      <c r="C356" s="11" t="s">
        <v>62</v>
      </c>
      <c r="D356" s="12" t="s">
        <v>1413</v>
      </c>
      <c r="E356" s="11" t="s">
        <v>71</v>
      </c>
      <c r="F356" s="11" t="s">
        <v>72</v>
      </c>
      <c r="G356" s="12" t="s">
        <v>1425</v>
      </c>
      <c r="H356" s="13" t="s">
        <v>1419</v>
      </c>
      <c r="I356" s="11" t="s">
        <v>65</v>
      </c>
      <c r="J356" s="14">
        <v>1</v>
      </c>
      <c r="K356" s="14" t="s">
        <v>1407</v>
      </c>
      <c r="L356" s="14" t="s">
        <v>1426</v>
      </c>
      <c r="M356" s="15" t="s">
        <v>1416</v>
      </c>
      <c r="N356" s="15" t="s">
        <v>76</v>
      </c>
      <c r="O356" s="15" t="s">
        <v>1427</v>
      </c>
      <c r="P356" s="15"/>
      <c r="Q356" s="12" t="s">
        <v>69</v>
      </c>
      <c r="R356" s="16" t="s">
        <v>54</v>
      </c>
      <c r="S356" s="12" t="s">
        <v>1417</v>
      </c>
      <c r="T356" s="14" t="s">
        <v>55</v>
      </c>
    </row>
    <row r="357" spans="1:20" ht="16.5">
      <c r="A357" s="21" t="s">
        <v>56</v>
      </c>
      <c r="B357" s="17" t="s">
        <v>60</v>
      </c>
      <c r="C357" s="17" t="s">
        <v>62</v>
      </c>
      <c r="D357" s="18" t="s">
        <v>1413</v>
      </c>
      <c r="E357" s="17" t="s">
        <v>71</v>
      </c>
      <c r="F357" s="17" t="s">
        <v>72</v>
      </c>
      <c r="G357" s="18" t="s">
        <v>1428</v>
      </c>
      <c r="H357" s="20" t="s">
        <v>1419</v>
      </c>
      <c r="I357" s="17" t="s">
        <v>65</v>
      </c>
      <c r="J357" s="21">
        <v>1</v>
      </c>
      <c r="K357" s="21" t="s">
        <v>1407</v>
      </c>
      <c r="L357" s="21" t="s">
        <v>1429</v>
      </c>
      <c r="M357" s="19" t="s">
        <v>1416</v>
      </c>
      <c r="N357" s="19" t="s">
        <v>76</v>
      </c>
      <c r="O357" s="19" t="s">
        <v>1430</v>
      </c>
      <c r="P357" s="19"/>
      <c r="Q357" s="18" t="s">
        <v>69</v>
      </c>
      <c r="R357" s="16" t="s">
        <v>54</v>
      </c>
      <c r="S357" s="18" t="s">
        <v>1417</v>
      </c>
      <c r="T357" s="21" t="s">
        <v>55</v>
      </c>
    </row>
    <row r="358" spans="1:20" ht="16.5">
      <c r="A358" s="14" t="s">
        <v>56</v>
      </c>
      <c r="B358" s="11" t="s">
        <v>60</v>
      </c>
      <c r="C358" s="11" t="s">
        <v>62</v>
      </c>
      <c r="D358" s="12" t="s">
        <v>1413</v>
      </c>
      <c r="E358" s="11" t="s">
        <v>71</v>
      </c>
      <c r="F358" s="11" t="s">
        <v>72</v>
      </c>
      <c r="G358" s="12" t="s">
        <v>1431</v>
      </c>
      <c r="H358" s="13" t="s">
        <v>1419</v>
      </c>
      <c r="I358" s="11" t="s">
        <v>65</v>
      </c>
      <c r="J358" s="14">
        <v>1</v>
      </c>
      <c r="K358" s="14" t="s">
        <v>1407</v>
      </c>
      <c r="L358" s="14" t="s">
        <v>1432</v>
      </c>
      <c r="M358" s="15" t="s">
        <v>1416</v>
      </c>
      <c r="N358" s="15" t="s">
        <v>76</v>
      </c>
      <c r="O358" s="15" t="s">
        <v>1433</v>
      </c>
      <c r="P358" s="15"/>
      <c r="Q358" s="12" t="s">
        <v>69</v>
      </c>
      <c r="R358" s="16" t="s">
        <v>54</v>
      </c>
      <c r="S358" s="12" t="s">
        <v>1417</v>
      </c>
      <c r="T358" s="14" t="s">
        <v>55</v>
      </c>
    </row>
    <row r="359" spans="1:20" ht="16.5">
      <c r="A359" s="21" t="s">
        <v>56</v>
      </c>
      <c r="B359" s="17" t="s">
        <v>60</v>
      </c>
      <c r="C359" s="17" t="s">
        <v>62</v>
      </c>
      <c r="D359" s="18" t="s">
        <v>1413</v>
      </c>
      <c r="E359" s="17" t="s">
        <v>71</v>
      </c>
      <c r="F359" s="17" t="s">
        <v>72</v>
      </c>
      <c r="G359" s="18" t="s">
        <v>1434</v>
      </c>
      <c r="H359" s="20" t="s">
        <v>1419</v>
      </c>
      <c r="I359" s="17" t="s">
        <v>65</v>
      </c>
      <c r="J359" s="21">
        <v>1</v>
      </c>
      <c r="K359" s="21" t="s">
        <v>1407</v>
      </c>
      <c r="L359" s="21" t="s">
        <v>1435</v>
      </c>
      <c r="M359" s="19" t="s">
        <v>1416</v>
      </c>
      <c r="N359" s="19" t="s">
        <v>76</v>
      </c>
      <c r="O359" s="19" t="s">
        <v>1436</v>
      </c>
      <c r="P359" s="19"/>
      <c r="Q359" s="18" t="s">
        <v>69</v>
      </c>
      <c r="R359" s="16" t="s">
        <v>54</v>
      </c>
      <c r="S359" s="18" t="s">
        <v>1417</v>
      </c>
      <c r="T359" s="21" t="s">
        <v>55</v>
      </c>
    </row>
    <row r="360" spans="1:20" ht="16.5">
      <c r="A360" s="14" t="s">
        <v>56</v>
      </c>
      <c r="B360" s="11" t="s">
        <v>60</v>
      </c>
      <c r="C360" s="11" t="s">
        <v>62</v>
      </c>
      <c r="D360" s="12" t="s">
        <v>1413</v>
      </c>
      <c r="E360" s="11" t="s">
        <v>71</v>
      </c>
      <c r="F360" s="11" t="s">
        <v>72</v>
      </c>
      <c r="G360" s="12" t="s">
        <v>1437</v>
      </c>
      <c r="H360" s="13" t="s">
        <v>1419</v>
      </c>
      <c r="I360" s="11" t="s">
        <v>65</v>
      </c>
      <c r="J360" s="14">
        <v>1</v>
      </c>
      <c r="K360" s="14" t="s">
        <v>1407</v>
      </c>
      <c r="L360" s="14" t="s">
        <v>1438</v>
      </c>
      <c r="M360" s="15" t="s">
        <v>1416</v>
      </c>
      <c r="N360" s="15" t="s">
        <v>76</v>
      </c>
      <c r="O360" s="15" t="s">
        <v>1439</v>
      </c>
      <c r="P360" s="15"/>
      <c r="Q360" s="12" t="s">
        <v>69</v>
      </c>
      <c r="R360" s="16" t="s">
        <v>54</v>
      </c>
      <c r="S360" s="12" t="s">
        <v>1417</v>
      </c>
      <c r="T360" s="14" t="s">
        <v>55</v>
      </c>
    </row>
    <row r="361" spans="1:20" ht="16.5">
      <c r="A361" s="21" t="s">
        <v>56</v>
      </c>
      <c r="B361" s="17" t="s">
        <v>60</v>
      </c>
      <c r="C361" s="17" t="s">
        <v>62</v>
      </c>
      <c r="D361" s="18" t="s">
        <v>1413</v>
      </c>
      <c r="E361" s="17" t="s">
        <v>81</v>
      </c>
      <c r="F361" s="17" t="s">
        <v>82</v>
      </c>
      <c r="G361" s="18" t="s">
        <v>1440</v>
      </c>
      <c r="H361" s="20" t="s">
        <v>1441</v>
      </c>
      <c r="I361" s="17" t="s">
        <v>65</v>
      </c>
      <c r="J361" s="21">
        <v>1</v>
      </c>
      <c r="K361" s="21" t="s">
        <v>1407</v>
      </c>
      <c r="L361" s="21" t="s">
        <v>1442</v>
      </c>
      <c r="M361" s="19" t="s">
        <v>1416</v>
      </c>
      <c r="N361" s="19" t="s">
        <v>86</v>
      </c>
      <c r="O361" s="19" t="s">
        <v>1443</v>
      </c>
      <c r="P361" s="19"/>
      <c r="Q361" s="18" t="s">
        <v>53</v>
      </c>
      <c r="R361" s="22" t="s">
        <v>88</v>
      </c>
      <c r="S361" s="18" t="s">
        <v>1417</v>
      </c>
      <c r="T361" s="21" t="s">
        <v>55</v>
      </c>
    </row>
    <row r="362" spans="1:20" ht="16.5">
      <c r="A362" s="14" t="s">
        <v>56</v>
      </c>
      <c r="B362" s="11" t="s">
        <v>60</v>
      </c>
      <c r="C362" s="11" t="s">
        <v>62</v>
      </c>
      <c r="D362" s="12" t="s">
        <v>1413</v>
      </c>
      <c r="E362" s="11" t="s">
        <v>81</v>
      </c>
      <c r="F362" s="11" t="s">
        <v>82</v>
      </c>
      <c r="G362" s="12" t="s">
        <v>1444</v>
      </c>
      <c r="H362" s="13" t="s">
        <v>1445</v>
      </c>
      <c r="I362" s="11" t="s">
        <v>65</v>
      </c>
      <c r="J362" s="14">
        <v>1</v>
      </c>
      <c r="K362" s="14" t="s">
        <v>1407</v>
      </c>
      <c r="L362" s="14" t="s">
        <v>1446</v>
      </c>
      <c r="M362" s="15" t="s">
        <v>1416</v>
      </c>
      <c r="N362" s="15" t="s">
        <v>86</v>
      </c>
      <c r="O362" s="15" t="s">
        <v>1447</v>
      </c>
      <c r="P362" s="15"/>
      <c r="Q362" s="12" t="s">
        <v>53</v>
      </c>
      <c r="R362" s="22" t="s">
        <v>88</v>
      </c>
      <c r="S362" s="12" t="s">
        <v>1417</v>
      </c>
      <c r="T362" s="14" t="s">
        <v>55</v>
      </c>
    </row>
    <row r="363" spans="1:20" ht="16.5">
      <c r="A363" s="21" t="s">
        <v>56</v>
      </c>
      <c r="B363" s="17" t="s">
        <v>60</v>
      </c>
      <c r="C363" s="17" t="s">
        <v>44</v>
      </c>
      <c r="D363" s="19" t="s">
        <v>56</v>
      </c>
      <c r="E363" s="17" t="s">
        <v>61</v>
      </c>
      <c r="F363" s="17" t="s">
        <v>62</v>
      </c>
      <c r="G363" s="18" t="s">
        <v>1448</v>
      </c>
      <c r="H363" s="24" t="s">
        <v>1449</v>
      </c>
      <c r="I363" s="17" t="s">
        <v>65</v>
      </c>
      <c r="J363" s="21">
        <v>1</v>
      </c>
      <c r="K363" s="21" t="s">
        <v>1407</v>
      </c>
      <c r="L363" s="21" t="s">
        <v>1450</v>
      </c>
      <c r="M363" s="19" t="s">
        <v>59</v>
      </c>
      <c r="N363" s="19" t="s">
        <v>67</v>
      </c>
      <c r="O363" s="19" t="s">
        <v>1451</v>
      </c>
      <c r="P363" s="19"/>
      <c r="Q363" s="18" t="s">
        <v>69</v>
      </c>
      <c r="R363" s="16" t="s">
        <v>54</v>
      </c>
      <c r="S363" s="18" t="s">
        <v>1417</v>
      </c>
      <c r="T363" s="21" t="s">
        <v>55</v>
      </c>
    </row>
    <row r="364" spans="1:20" ht="16.5">
      <c r="A364" s="14" t="s">
        <v>56</v>
      </c>
      <c r="B364" s="11" t="s">
        <v>60</v>
      </c>
      <c r="C364" s="11" t="s">
        <v>62</v>
      </c>
      <c r="D364" s="12" t="s">
        <v>1448</v>
      </c>
      <c r="E364" s="11" t="s">
        <v>81</v>
      </c>
      <c r="F364" s="11" t="s">
        <v>82</v>
      </c>
      <c r="G364" s="12" t="s">
        <v>1452</v>
      </c>
      <c r="H364" s="13" t="s">
        <v>1453</v>
      </c>
      <c r="I364" s="11" t="s">
        <v>65</v>
      </c>
      <c r="J364" s="14">
        <v>1</v>
      </c>
      <c r="K364" s="14" t="s">
        <v>1407</v>
      </c>
      <c r="L364" s="14" t="s">
        <v>1454</v>
      </c>
      <c r="M364" s="15" t="s">
        <v>1451</v>
      </c>
      <c r="N364" s="15" t="s">
        <v>86</v>
      </c>
      <c r="O364" s="15" t="s">
        <v>1455</v>
      </c>
      <c r="P364" s="15"/>
      <c r="Q364" s="12" t="s">
        <v>53</v>
      </c>
      <c r="R364" s="22" t="s">
        <v>88</v>
      </c>
      <c r="S364" s="12" t="s">
        <v>1417</v>
      </c>
      <c r="T364" s="14" t="s">
        <v>55</v>
      </c>
    </row>
    <row r="365" spans="1:20" ht="16.5">
      <c r="A365" s="21" t="s">
        <v>56</v>
      </c>
      <c r="B365" s="17" t="s">
        <v>60</v>
      </c>
      <c r="C365" s="17" t="s">
        <v>62</v>
      </c>
      <c r="D365" s="18" t="s">
        <v>1448</v>
      </c>
      <c r="E365" s="17" t="s">
        <v>81</v>
      </c>
      <c r="F365" s="17" t="s">
        <v>82</v>
      </c>
      <c r="G365" s="18" t="s">
        <v>1456</v>
      </c>
      <c r="H365" s="20" t="s">
        <v>1457</v>
      </c>
      <c r="I365" s="17" t="s">
        <v>65</v>
      </c>
      <c r="J365" s="21">
        <v>1</v>
      </c>
      <c r="K365" s="21" t="s">
        <v>1407</v>
      </c>
      <c r="L365" s="21" t="s">
        <v>1458</v>
      </c>
      <c r="M365" s="19" t="s">
        <v>1451</v>
      </c>
      <c r="N365" s="19" t="s">
        <v>86</v>
      </c>
      <c r="O365" s="19" t="s">
        <v>1459</v>
      </c>
      <c r="P365" s="19"/>
      <c r="Q365" s="18" t="s">
        <v>53</v>
      </c>
      <c r="R365" s="22" t="s">
        <v>88</v>
      </c>
      <c r="S365" s="18" t="s">
        <v>1417</v>
      </c>
      <c r="T365" s="21" t="s">
        <v>55</v>
      </c>
    </row>
    <row r="366" spans="1:20" ht="16.5">
      <c r="A366" s="14" t="s">
        <v>56</v>
      </c>
      <c r="B366" s="11" t="s">
        <v>60</v>
      </c>
      <c r="C366" s="11" t="s">
        <v>62</v>
      </c>
      <c r="D366" s="12" t="s">
        <v>1448</v>
      </c>
      <c r="E366" s="11" t="s">
        <v>81</v>
      </c>
      <c r="F366" s="11" t="s">
        <v>82</v>
      </c>
      <c r="G366" s="12" t="s">
        <v>1460</v>
      </c>
      <c r="H366" s="13" t="s">
        <v>1461</v>
      </c>
      <c r="I366" s="11" t="s">
        <v>65</v>
      </c>
      <c r="J366" s="14">
        <v>1</v>
      </c>
      <c r="K366" s="14" t="s">
        <v>1407</v>
      </c>
      <c r="L366" s="14" t="s">
        <v>1462</v>
      </c>
      <c r="M366" s="15" t="s">
        <v>1451</v>
      </c>
      <c r="N366" s="15" t="s">
        <v>86</v>
      </c>
      <c r="O366" s="15" t="s">
        <v>1463</v>
      </c>
      <c r="P366" s="15"/>
      <c r="Q366" s="12" t="s">
        <v>53</v>
      </c>
      <c r="R366" s="22" t="s">
        <v>88</v>
      </c>
      <c r="S366" s="12" t="s">
        <v>1417</v>
      </c>
      <c r="T366" s="14" t="s">
        <v>55</v>
      </c>
    </row>
    <row r="367" spans="1:20" ht="16.5">
      <c r="A367" s="21" t="s">
        <v>56</v>
      </c>
      <c r="B367" s="17" t="s">
        <v>60</v>
      </c>
      <c r="C367" s="17" t="s">
        <v>44</v>
      </c>
      <c r="D367" s="19" t="s">
        <v>56</v>
      </c>
      <c r="E367" s="17" t="s">
        <v>61</v>
      </c>
      <c r="F367" s="17" t="s">
        <v>62</v>
      </c>
      <c r="G367" s="18" t="s">
        <v>1464</v>
      </c>
      <c r="H367" s="24" t="s">
        <v>1465</v>
      </c>
      <c r="I367" s="17" t="s">
        <v>65</v>
      </c>
      <c r="J367" s="21">
        <v>1</v>
      </c>
      <c r="K367" s="21" t="s">
        <v>1407</v>
      </c>
      <c r="L367" s="21" t="s">
        <v>1466</v>
      </c>
      <c r="M367" s="19" t="s">
        <v>59</v>
      </c>
      <c r="N367" s="19" t="s">
        <v>67</v>
      </c>
      <c r="O367" s="19" t="s">
        <v>1467</v>
      </c>
      <c r="P367" s="19"/>
      <c r="Q367" s="18" t="s">
        <v>69</v>
      </c>
      <c r="R367" s="16" t="s">
        <v>54</v>
      </c>
      <c r="S367" s="18" t="s">
        <v>1417</v>
      </c>
      <c r="T367" s="21" t="s">
        <v>55</v>
      </c>
    </row>
    <row r="368" spans="1:20" ht="16.5">
      <c r="A368" s="14" t="s">
        <v>56</v>
      </c>
      <c r="B368" s="11" t="s">
        <v>60</v>
      </c>
      <c r="C368" s="11" t="s">
        <v>62</v>
      </c>
      <c r="D368" s="12" t="s">
        <v>1464</v>
      </c>
      <c r="E368" s="11" t="s">
        <v>81</v>
      </c>
      <c r="F368" s="11" t="s">
        <v>82</v>
      </c>
      <c r="G368" s="12" t="s">
        <v>1468</v>
      </c>
      <c r="H368" s="13" t="s">
        <v>1469</v>
      </c>
      <c r="I368" s="11" t="s">
        <v>65</v>
      </c>
      <c r="J368" s="14">
        <v>1</v>
      </c>
      <c r="K368" s="14" t="s">
        <v>1407</v>
      </c>
      <c r="L368" s="14" t="s">
        <v>1470</v>
      </c>
      <c r="M368" s="15" t="s">
        <v>1467</v>
      </c>
      <c r="N368" s="15" t="s">
        <v>86</v>
      </c>
      <c r="O368" s="15" t="s">
        <v>1471</v>
      </c>
      <c r="P368" s="15"/>
      <c r="Q368" s="12" t="s">
        <v>53</v>
      </c>
      <c r="R368" s="22" t="s">
        <v>88</v>
      </c>
      <c r="S368" s="12" t="s">
        <v>1417</v>
      </c>
      <c r="T368" s="14" t="s">
        <v>55</v>
      </c>
    </row>
    <row r="369" spans="1:20" ht="16.5">
      <c r="A369" s="21" t="s">
        <v>56</v>
      </c>
      <c r="B369" s="17" t="s">
        <v>60</v>
      </c>
      <c r="C369" s="17" t="s">
        <v>44</v>
      </c>
      <c r="D369" s="19" t="s">
        <v>56</v>
      </c>
      <c r="E369" s="17" t="s">
        <v>61</v>
      </c>
      <c r="F369" s="17" t="s">
        <v>62</v>
      </c>
      <c r="G369" s="18" t="s">
        <v>1472</v>
      </c>
      <c r="H369" s="24" t="s">
        <v>1473</v>
      </c>
      <c r="I369" s="17" t="s">
        <v>65</v>
      </c>
      <c r="J369" s="21">
        <v>1</v>
      </c>
      <c r="K369" s="21" t="s">
        <v>1407</v>
      </c>
      <c r="L369" s="21" t="s">
        <v>1474</v>
      </c>
      <c r="M369" s="19" t="s">
        <v>59</v>
      </c>
      <c r="N369" s="19" t="s">
        <v>67</v>
      </c>
      <c r="O369" s="19" t="s">
        <v>1475</v>
      </c>
      <c r="P369" s="19"/>
      <c r="Q369" s="18" t="s">
        <v>69</v>
      </c>
      <c r="R369" s="16" t="s">
        <v>54</v>
      </c>
      <c r="S369" s="18" t="s">
        <v>1417</v>
      </c>
      <c r="T369" s="21" t="s">
        <v>55</v>
      </c>
    </row>
    <row r="370" spans="1:20" ht="16.5">
      <c r="A370" s="14" t="s">
        <v>56</v>
      </c>
      <c r="B370" s="11" t="s">
        <v>60</v>
      </c>
      <c r="C370" s="11" t="s">
        <v>62</v>
      </c>
      <c r="D370" s="12" t="s">
        <v>1472</v>
      </c>
      <c r="E370" s="11" t="s">
        <v>71</v>
      </c>
      <c r="F370" s="11" t="s">
        <v>72</v>
      </c>
      <c r="G370" s="12" t="s">
        <v>1476</v>
      </c>
      <c r="H370" s="13" t="s">
        <v>1477</v>
      </c>
      <c r="I370" s="11" t="s">
        <v>65</v>
      </c>
      <c r="J370" s="14">
        <v>1</v>
      </c>
      <c r="K370" s="14" t="s">
        <v>1407</v>
      </c>
      <c r="L370" s="14" t="s">
        <v>1478</v>
      </c>
      <c r="M370" s="15" t="s">
        <v>1475</v>
      </c>
      <c r="N370" s="15" t="s">
        <v>76</v>
      </c>
      <c r="O370" s="15" t="s">
        <v>1479</v>
      </c>
      <c r="P370" s="15"/>
      <c r="Q370" s="12" t="s">
        <v>69</v>
      </c>
      <c r="R370" s="16" t="s">
        <v>54</v>
      </c>
      <c r="S370" s="12" t="s">
        <v>1417</v>
      </c>
      <c r="T370" s="14" t="s">
        <v>55</v>
      </c>
    </row>
    <row r="371" spans="1:20" ht="16.5">
      <c r="A371" s="21" t="s">
        <v>56</v>
      </c>
      <c r="B371" s="17" t="s">
        <v>60</v>
      </c>
      <c r="C371" s="17" t="s">
        <v>62</v>
      </c>
      <c r="D371" s="18" t="s">
        <v>1472</v>
      </c>
      <c r="E371" s="17" t="s">
        <v>71</v>
      </c>
      <c r="F371" s="17" t="s">
        <v>72</v>
      </c>
      <c r="G371" s="18" t="s">
        <v>1480</v>
      </c>
      <c r="H371" s="20" t="s">
        <v>1477</v>
      </c>
      <c r="I371" s="17" t="s">
        <v>65</v>
      </c>
      <c r="J371" s="21">
        <v>1</v>
      </c>
      <c r="K371" s="21" t="s">
        <v>1407</v>
      </c>
      <c r="L371" s="21" t="s">
        <v>1481</v>
      </c>
      <c r="M371" s="19" t="s">
        <v>1475</v>
      </c>
      <c r="N371" s="19" t="s">
        <v>76</v>
      </c>
      <c r="O371" s="19" t="s">
        <v>1482</v>
      </c>
      <c r="P371" s="19"/>
      <c r="Q371" s="18" t="s">
        <v>69</v>
      </c>
      <c r="R371" s="16" t="s">
        <v>54</v>
      </c>
      <c r="S371" s="18" t="s">
        <v>1417</v>
      </c>
      <c r="T371" s="21" t="s">
        <v>55</v>
      </c>
    </row>
    <row r="372" spans="1:20" ht="16.5">
      <c r="A372" s="14" t="s">
        <v>56</v>
      </c>
      <c r="B372" s="11" t="s">
        <v>60</v>
      </c>
      <c r="C372" s="11" t="s">
        <v>62</v>
      </c>
      <c r="D372" s="12" t="s">
        <v>1472</v>
      </c>
      <c r="E372" s="11" t="s">
        <v>81</v>
      </c>
      <c r="F372" s="11" t="s">
        <v>82</v>
      </c>
      <c r="G372" s="12" t="s">
        <v>1483</v>
      </c>
      <c r="H372" s="13" t="s">
        <v>1484</v>
      </c>
      <c r="I372" s="11" t="s">
        <v>65</v>
      </c>
      <c r="J372" s="14">
        <v>1</v>
      </c>
      <c r="K372" s="14" t="s">
        <v>1407</v>
      </c>
      <c r="L372" s="14" t="s">
        <v>1485</v>
      </c>
      <c r="M372" s="15" t="s">
        <v>1475</v>
      </c>
      <c r="N372" s="15" t="s">
        <v>86</v>
      </c>
      <c r="O372" s="15" t="s">
        <v>1486</v>
      </c>
      <c r="P372" s="15"/>
      <c r="Q372" s="12" t="s">
        <v>53</v>
      </c>
      <c r="R372" s="22" t="s">
        <v>88</v>
      </c>
      <c r="S372" s="12" t="s">
        <v>1417</v>
      </c>
      <c r="T372" s="14" t="s">
        <v>55</v>
      </c>
    </row>
    <row r="373" spans="1:20" ht="16.5">
      <c r="A373" s="21" t="s">
        <v>56</v>
      </c>
      <c r="B373" s="17" t="s">
        <v>60</v>
      </c>
      <c r="C373" s="17" t="s">
        <v>44</v>
      </c>
      <c r="D373" s="19" t="s">
        <v>56</v>
      </c>
      <c r="E373" s="17" t="s">
        <v>61</v>
      </c>
      <c r="F373" s="17" t="s">
        <v>62</v>
      </c>
      <c r="G373" s="18" t="s">
        <v>1487</v>
      </c>
      <c r="H373" s="24" t="s">
        <v>1488</v>
      </c>
      <c r="I373" s="17" t="s">
        <v>65</v>
      </c>
      <c r="J373" s="21">
        <v>1</v>
      </c>
      <c r="K373" s="21" t="s">
        <v>1407</v>
      </c>
      <c r="L373" s="21" t="s">
        <v>1489</v>
      </c>
      <c r="M373" s="19" t="s">
        <v>59</v>
      </c>
      <c r="N373" s="19" t="s">
        <v>67</v>
      </c>
      <c r="O373" s="19" t="s">
        <v>1490</v>
      </c>
      <c r="P373" s="19"/>
      <c r="Q373" s="18" t="s">
        <v>69</v>
      </c>
      <c r="R373" s="16" t="s">
        <v>54</v>
      </c>
      <c r="S373" s="18" t="s">
        <v>1417</v>
      </c>
      <c r="T373" s="21" t="s">
        <v>55</v>
      </c>
    </row>
    <row r="374" spans="1:20" ht="16.5">
      <c r="A374" s="14" t="s">
        <v>56</v>
      </c>
      <c r="B374" s="11" t="s">
        <v>60</v>
      </c>
      <c r="C374" s="11" t="s">
        <v>62</v>
      </c>
      <c r="D374" s="12" t="s">
        <v>1487</v>
      </c>
      <c r="E374" s="11" t="s">
        <v>81</v>
      </c>
      <c r="F374" s="11" t="s">
        <v>82</v>
      </c>
      <c r="G374" s="12" t="s">
        <v>1491</v>
      </c>
      <c r="H374" s="13" t="s">
        <v>1492</v>
      </c>
      <c r="I374" s="11" t="s">
        <v>65</v>
      </c>
      <c r="J374" s="14">
        <v>1</v>
      </c>
      <c r="K374" s="14" t="s">
        <v>1407</v>
      </c>
      <c r="L374" s="14" t="s">
        <v>1493</v>
      </c>
      <c r="M374" s="15" t="s">
        <v>1490</v>
      </c>
      <c r="N374" s="15" t="s">
        <v>86</v>
      </c>
      <c r="O374" s="15" t="s">
        <v>1494</v>
      </c>
      <c r="P374" s="15"/>
      <c r="Q374" s="12" t="s">
        <v>53</v>
      </c>
      <c r="R374" s="22" t="s">
        <v>88</v>
      </c>
      <c r="S374" s="12" t="s">
        <v>1417</v>
      </c>
      <c r="T374" s="14" t="s">
        <v>55</v>
      </c>
    </row>
    <row r="375" spans="1:20" ht="16.5">
      <c r="A375" s="21" t="s">
        <v>56</v>
      </c>
      <c r="B375" s="17" t="s">
        <v>60</v>
      </c>
      <c r="C375" s="17" t="s">
        <v>62</v>
      </c>
      <c r="D375" s="18" t="s">
        <v>1487</v>
      </c>
      <c r="E375" s="17" t="s">
        <v>81</v>
      </c>
      <c r="F375" s="17" t="s">
        <v>82</v>
      </c>
      <c r="G375" s="18" t="s">
        <v>1495</v>
      </c>
      <c r="H375" s="20" t="s">
        <v>1496</v>
      </c>
      <c r="I375" s="17" t="s">
        <v>65</v>
      </c>
      <c r="J375" s="21">
        <v>1</v>
      </c>
      <c r="K375" s="21" t="s">
        <v>1407</v>
      </c>
      <c r="L375" s="21" t="s">
        <v>1497</v>
      </c>
      <c r="M375" s="19" t="s">
        <v>1490</v>
      </c>
      <c r="N375" s="19" t="s">
        <v>86</v>
      </c>
      <c r="O375" s="19" t="s">
        <v>1498</v>
      </c>
      <c r="P375" s="19"/>
      <c r="Q375" s="18" t="s">
        <v>53</v>
      </c>
      <c r="R375" s="22" t="s">
        <v>88</v>
      </c>
      <c r="S375" s="18" t="s">
        <v>1417</v>
      </c>
      <c r="T375" s="21" t="s">
        <v>55</v>
      </c>
    </row>
    <row r="376" spans="1:20" ht="16.5">
      <c r="A376" s="14" t="s">
        <v>56</v>
      </c>
      <c r="B376" s="11" t="s">
        <v>60</v>
      </c>
      <c r="C376" s="11" t="s">
        <v>44</v>
      </c>
      <c r="D376" s="15" t="s">
        <v>56</v>
      </c>
      <c r="E376" s="11" t="s">
        <v>61</v>
      </c>
      <c r="F376" s="11" t="s">
        <v>62</v>
      </c>
      <c r="G376" s="12" t="s">
        <v>1499</v>
      </c>
      <c r="H376" s="23" t="s">
        <v>1500</v>
      </c>
      <c r="I376" s="11" t="s">
        <v>65</v>
      </c>
      <c r="J376" s="14">
        <v>1</v>
      </c>
      <c r="K376" s="14" t="s">
        <v>1407</v>
      </c>
      <c r="L376" s="14" t="s">
        <v>1501</v>
      </c>
      <c r="M376" s="15" t="s">
        <v>59</v>
      </c>
      <c r="N376" s="15" t="s">
        <v>67</v>
      </c>
      <c r="O376" s="15" t="s">
        <v>1502</v>
      </c>
      <c r="P376" s="15"/>
      <c r="Q376" s="12" t="s">
        <v>69</v>
      </c>
      <c r="R376" s="16" t="s">
        <v>54</v>
      </c>
      <c r="S376" s="12" t="s">
        <v>1417</v>
      </c>
      <c r="T376" s="14" t="s">
        <v>55</v>
      </c>
    </row>
    <row r="377" spans="1:20" ht="16.5">
      <c r="A377" s="21" t="s">
        <v>56</v>
      </c>
      <c r="B377" s="17" t="s">
        <v>60</v>
      </c>
      <c r="C377" s="17" t="s">
        <v>62</v>
      </c>
      <c r="D377" s="18" t="s">
        <v>1499</v>
      </c>
      <c r="E377" s="17" t="s">
        <v>81</v>
      </c>
      <c r="F377" s="17" t="s">
        <v>82</v>
      </c>
      <c r="G377" s="18" t="s">
        <v>1503</v>
      </c>
      <c r="H377" s="20" t="s">
        <v>1504</v>
      </c>
      <c r="I377" s="17" t="s">
        <v>65</v>
      </c>
      <c r="J377" s="21">
        <v>1</v>
      </c>
      <c r="K377" s="21" t="s">
        <v>1407</v>
      </c>
      <c r="L377" s="21" t="s">
        <v>1505</v>
      </c>
      <c r="M377" s="19" t="s">
        <v>1502</v>
      </c>
      <c r="N377" s="19" t="s">
        <v>86</v>
      </c>
      <c r="O377" s="19" t="s">
        <v>1506</v>
      </c>
      <c r="P377" s="19"/>
      <c r="Q377" s="18" t="s">
        <v>53</v>
      </c>
      <c r="R377" s="22" t="s">
        <v>88</v>
      </c>
      <c r="S377" s="18" t="s">
        <v>1417</v>
      </c>
      <c r="T377" s="21" t="s">
        <v>55</v>
      </c>
    </row>
    <row r="378" spans="1:20" ht="16.5">
      <c r="A378" s="14" t="s">
        <v>56</v>
      </c>
      <c r="B378" s="11" t="s">
        <v>60</v>
      </c>
      <c r="C378" s="11" t="s">
        <v>62</v>
      </c>
      <c r="D378" s="12" t="s">
        <v>1413</v>
      </c>
      <c r="E378" s="11" t="s">
        <v>203</v>
      </c>
      <c r="F378" s="11" t="s">
        <v>204</v>
      </c>
      <c r="G378" s="12" t="s">
        <v>1507</v>
      </c>
      <c r="H378" s="13" t="s">
        <v>1508</v>
      </c>
      <c r="I378" s="11" t="s">
        <v>65</v>
      </c>
      <c r="J378" s="14">
        <v>1</v>
      </c>
      <c r="K378" s="14" t="s">
        <v>1407</v>
      </c>
      <c r="L378" s="14" t="s">
        <v>1509</v>
      </c>
      <c r="M378" s="15" t="s">
        <v>1416</v>
      </c>
      <c r="N378" s="15" t="s">
        <v>208</v>
      </c>
      <c r="O378" s="15" t="s">
        <v>1510</v>
      </c>
      <c r="P378" s="15" t="s">
        <v>1511</v>
      </c>
      <c r="Q378" s="15" t="s">
        <v>211</v>
      </c>
      <c r="R378" s="16" t="s">
        <v>54</v>
      </c>
      <c r="S378" s="12" t="s">
        <v>1417</v>
      </c>
      <c r="T378" s="14" t="s">
        <v>55</v>
      </c>
    </row>
    <row r="379" spans="1:20" ht="16.5">
      <c r="A379" s="21" t="s">
        <v>56</v>
      </c>
      <c r="B379" s="17" t="s">
        <v>60</v>
      </c>
      <c r="C379" s="17" t="s">
        <v>62</v>
      </c>
      <c r="D379" s="18" t="s">
        <v>1413</v>
      </c>
      <c r="E379" s="17" t="s">
        <v>203</v>
      </c>
      <c r="F379" s="17" t="s">
        <v>204</v>
      </c>
      <c r="G379" s="18" t="s">
        <v>1512</v>
      </c>
      <c r="H379" s="20" t="s">
        <v>1513</v>
      </c>
      <c r="I379" s="17" t="s">
        <v>65</v>
      </c>
      <c r="J379" s="21">
        <v>1</v>
      </c>
      <c r="K379" s="21" t="s">
        <v>1407</v>
      </c>
      <c r="L379" s="21" t="s">
        <v>1514</v>
      </c>
      <c r="M379" s="19" t="s">
        <v>1416</v>
      </c>
      <c r="N379" s="19" t="s">
        <v>208</v>
      </c>
      <c r="O379" s="19" t="s">
        <v>1515</v>
      </c>
      <c r="P379" s="19" t="s">
        <v>1516</v>
      </c>
      <c r="Q379" s="19" t="s">
        <v>211</v>
      </c>
      <c r="R379" s="16" t="s">
        <v>54</v>
      </c>
      <c r="S379" s="18" t="s">
        <v>1417</v>
      </c>
      <c r="T379" s="21" t="s">
        <v>55</v>
      </c>
    </row>
    <row r="380" spans="1:20" ht="16.5">
      <c r="A380" s="14" t="s">
        <v>56</v>
      </c>
      <c r="B380" s="11" t="s">
        <v>60</v>
      </c>
      <c r="C380" s="11" t="s">
        <v>62</v>
      </c>
      <c r="D380" s="12" t="s">
        <v>1413</v>
      </c>
      <c r="E380" s="11" t="s">
        <v>203</v>
      </c>
      <c r="F380" s="11" t="s">
        <v>204</v>
      </c>
      <c r="G380" s="12" t="s">
        <v>1517</v>
      </c>
      <c r="H380" s="13" t="s">
        <v>1518</v>
      </c>
      <c r="I380" s="11" t="s">
        <v>65</v>
      </c>
      <c r="J380" s="14">
        <v>1</v>
      </c>
      <c r="K380" s="14" t="s">
        <v>1407</v>
      </c>
      <c r="L380" s="14" t="s">
        <v>1519</v>
      </c>
      <c r="M380" s="15" t="s">
        <v>1416</v>
      </c>
      <c r="N380" s="15" t="s">
        <v>208</v>
      </c>
      <c r="O380" s="15" t="s">
        <v>1520</v>
      </c>
      <c r="P380" s="15" t="s">
        <v>1521</v>
      </c>
      <c r="Q380" s="15" t="s">
        <v>211</v>
      </c>
      <c r="R380" s="16" t="s">
        <v>54</v>
      </c>
      <c r="S380" s="12" t="s">
        <v>1417</v>
      </c>
      <c r="T380" s="14" t="s">
        <v>55</v>
      </c>
    </row>
    <row r="381" spans="1:20" ht="16.5">
      <c r="A381" s="21" t="s">
        <v>56</v>
      </c>
      <c r="B381" s="17" t="s">
        <v>60</v>
      </c>
      <c r="C381" s="17" t="s">
        <v>62</v>
      </c>
      <c r="D381" s="18" t="s">
        <v>1487</v>
      </c>
      <c r="E381" s="17" t="s">
        <v>203</v>
      </c>
      <c r="F381" s="17" t="s">
        <v>204</v>
      </c>
      <c r="G381" s="18" t="s">
        <v>1522</v>
      </c>
      <c r="H381" s="20" t="s">
        <v>1523</v>
      </c>
      <c r="I381" s="17" t="s">
        <v>65</v>
      </c>
      <c r="J381" s="21">
        <v>1</v>
      </c>
      <c r="K381" s="21" t="s">
        <v>1407</v>
      </c>
      <c r="L381" s="21" t="s">
        <v>1524</v>
      </c>
      <c r="M381" s="19" t="s">
        <v>1490</v>
      </c>
      <c r="N381" s="19" t="s">
        <v>208</v>
      </c>
      <c r="O381" s="19" t="s">
        <v>1525</v>
      </c>
      <c r="P381" s="19" t="s">
        <v>1526</v>
      </c>
      <c r="Q381" s="19" t="s">
        <v>211</v>
      </c>
      <c r="R381" s="16" t="s">
        <v>54</v>
      </c>
      <c r="S381" s="18" t="s">
        <v>1417</v>
      </c>
      <c r="T381" s="21" t="s">
        <v>55</v>
      </c>
    </row>
    <row r="382" spans="1:20" ht="16.5">
      <c r="A382" s="14" t="s">
        <v>56</v>
      </c>
      <c r="B382" s="11" t="s">
        <v>60</v>
      </c>
      <c r="C382" s="11" t="s">
        <v>62</v>
      </c>
      <c r="D382" s="12" t="s">
        <v>1487</v>
      </c>
      <c r="E382" s="11" t="s">
        <v>203</v>
      </c>
      <c r="F382" s="11" t="s">
        <v>204</v>
      </c>
      <c r="G382" s="12" t="s">
        <v>1527</v>
      </c>
      <c r="H382" s="13" t="s">
        <v>1528</v>
      </c>
      <c r="I382" s="11" t="s">
        <v>65</v>
      </c>
      <c r="J382" s="14">
        <v>1</v>
      </c>
      <c r="K382" s="14" t="s">
        <v>1407</v>
      </c>
      <c r="L382" s="14" t="s">
        <v>1529</v>
      </c>
      <c r="M382" s="15" t="s">
        <v>1490</v>
      </c>
      <c r="N382" s="15" t="s">
        <v>208</v>
      </c>
      <c r="O382" s="15" t="s">
        <v>1530</v>
      </c>
      <c r="P382" s="15" t="s">
        <v>1531</v>
      </c>
      <c r="Q382" s="15" t="s">
        <v>211</v>
      </c>
      <c r="R382" s="16" t="s">
        <v>54</v>
      </c>
      <c r="S382" s="12" t="s">
        <v>1417</v>
      </c>
      <c r="T382" s="14" t="s">
        <v>55</v>
      </c>
    </row>
    <row r="383" spans="1:20" ht="16.5">
      <c r="A383" s="21" t="s">
        <v>56</v>
      </c>
      <c r="B383" s="17" t="s">
        <v>60</v>
      </c>
      <c r="C383" s="17" t="s">
        <v>62</v>
      </c>
      <c r="D383" s="18" t="s">
        <v>1472</v>
      </c>
      <c r="E383" s="17" t="s">
        <v>203</v>
      </c>
      <c r="F383" s="17" t="s">
        <v>204</v>
      </c>
      <c r="G383" s="18" t="s">
        <v>1532</v>
      </c>
      <c r="H383" s="20" t="s">
        <v>1533</v>
      </c>
      <c r="I383" s="17" t="s">
        <v>65</v>
      </c>
      <c r="J383" s="21">
        <v>1</v>
      </c>
      <c r="K383" s="21" t="s">
        <v>1407</v>
      </c>
      <c r="L383" s="21" t="s">
        <v>1534</v>
      </c>
      <c r="M383" s="19" t="s">
        <v>1475</v>
      </c>
      <c r="N383" s="19" t="s">
        <v>208</v>
      </c>
      <c r="O383" s="19" t="s">
        <v>1535</v>
      </c>
      <c r="P383" s="19" t="s">
        <v>1536</v>
      </c>
      <c r="Q383" s="19" t="s">
        <v>211</v>
      </c>
      <c r="R383" s="16" t="s">
        <v>54</v>
      </c>
      <c r="S383" s="18" t="s">
        <v>1417</v>
      </c>
      <c r="T383" s="21" t="s">
        <v>55</v>
      </c>
    </row>
    <row r="384" spans="1:20" ht="16.5">
      <c r="A384" s="14" t="s">
        <v>56</v>
      </c>
      <c r="B384" s="11" t="s">
        <v>60</v>
      </c>
      <c r="C384" s="11" t="s">
        <v>62</v>
      </c>
      <c r="D384" s="12" t="s">
        <v>1472</v>
      </c>
      <c r="E384" s="11" t="s">
        <v>203</v>
      </c>
      <c r="F384" s="11" t="s">
        <v>204</v>
      </c>
      <c r="G384" s="12" t="s">
        <v>1537</v>
      </c>
      <c r="H384" s="13" t="s">
        <v>1538</v>
      </c>
      <c r="I384" s="11" t="s">
        <v>65</v>
      </c>
      <c r="J384" s="14">
        <v>1</v>
      </c>
      <c r="K384" s="14" t="s">
        <v>1407</v>
      </c>
      <c r="L384" s="14" t="s">
        <v>1539</v>
      </c>
      <c r="M384" s="15" t="s">
        <v>1475</v>
      </c>
      <c r="N384" s="15" t="s">
        <v>208</v>
      </c>
      <c r="O384" s="15" t="s">
        <v>1540</v>
      </c>
      <c r="P384" s="15" t="s">
        <v>1541</v>
      </c>
      <c r="Q384" s="15" t="s">
        <v>211</v>
      </c>
      <c r="R384" s="16" t="s">
        <v>54</v>
      </c>
      <c r="S384" s="12" t="s">
        <v>1417</v>
      </c>
      <c r="T384" s="14" t="s">
        <v>55</v>
      </c>
    </row>
    <row r="385" spans="1:20" ht="16.5">
      <c r="A385" s="21" t="s">
        <v>56</v>
      </c>
      <c r="B385" s="17" t="s">
        <v>60</v>
      </c>
      <c r="C385" s="17" t="s">
        <v>62</v>
      </c>
      <c r="D385" s="18" t="s">
        <v>1448</v>
      </c>
      <c r="E385" s="17" t="s">
        <v>203</v>
      </c>
      <c r="F385" s="17" t="s">
        <v>204</v>
      </c>
      <c r="G385" s="18" t="s">
        <v>1542</v>
      </c>
      <c r="H385" s="20" t="s">
        <v>1543</v>
      </c>
      <c r="I385" s="17" t="s">
        <v>65</v>
      </c>
      <c r="J385" s="21">
        <v>1</v>
      </c>
      <c r="K385" s="21" t="s">
        <v>1407</v>
      </c>
      <c r="L385" s="21" t="s">
        <v>1544</v>
      </c>
      <c r="M385" s="19" t="s">
        <v>1451</v>
      </c>
      <c r="N385" s="19" t="s">
        <v>208</v>
      </c>
      <c r="O385" s="19" t="s">
        <v>1545</v>
      </c>
      <c r="P385" s="19" t="s">
        <v>1546</v>
      </c>
      <c r="Q385" s="19" t="s">
        <v>211</v>
      </c>
      <c r="R385" s="16" t="s">
        <v>54</v>
      </c>
      <c r="S385" s="18" t="s">
        <v>1417</v>
      </c>
      <c r="T385" s="21" t="s">
        <v>55</v>
      </c>
    </row>
    <row r="386" spans="1:20" ht="16.5">
      <c r="A386" s="14" t="s">
        <v>56</v>
      </c>
      <c r="B386" s="11" t="s">
        <v>60</v>
      </c>
      <c r="C386" s="11" t="s">
        <v>62</v>
      </c>
      <c r="D386" s="12" t="s">
        <v>1448</v>
      </c>
      <c r="E386" s="11" t="s">
        <v>203</v>
      </c>
      <c r="F386" s="11" t="s">
        <v>204</v>
      </c>
      <c r="G386" s="12" t="s">
        <v>1547</v>
      </c>
      <c r="H386" s="13" t="s">
        <v>1548</v>
      </c>
      <c r="I386" s="11" t="s">
        <v>65</v>
      </c>
      <c r="J386" s="14">
        <v>1</v>
      </c>
      <c r="K386" s="14" t="s">
        <v>1407</v>
      </c>
      <c r="L386" s="14" t="s">
        <v>1549</v>
      </c>
      <c r="M386" s="15" t="s">
        <v>1451</v>
      </c>
      <c r="N386" s="15" t="s">
        <v>208</v>
      </c>
      <c r="O386" s="15" t="s">
        <v>1550</v>
      </c>
      <c r="P386" s="15" t="s">
        <v>1551</v>
      </c>
      <c r="Q386" s="15" t="s">
        <v>211</v>
      </c>
      <c r="R386" s="16" t="s">
        <v>54</v>
      </c>
      <c r="S386" s="12" t="s">
        <v>1417</v>
      </c>
      <c r="T386" s="14" t="s">
        <v>55</v>
      </c>
    </row>
    <row r="387" spans="1:20" ht="16.5">
      <c r="A387" s="21" t="s">
        <v>56</v>
      </c>
      <c r="B387" s="17" t="s">
        <v>60</v>
      </c>
      <c r="C387" s="17" t="s">
        <v>62</v>
      </c>
      <c r="D387" s="18" t="s">
        <v>1464</v>
      </c>
      <c r="E387" s="17" t="s">
        <v>203</v>
      </c>
      <c r="F387" s="17" t="s">
        <v>204</v>
      </c>
      <c r="G387" s="18" t="s">
        <v>1552</v>
      </c>
      <c r="H387" s="20" t="s">
        <v>1553</v>
      </c>
      <c r="I387" s="17" t="s">
        <v>65</v>
      </c>
      <c r="J387" s="21">
        <v>1</v>
      </c>
      <c r="K387" s="21" t="s">
        <v>1407</v>
      </c>
      <c r="L387" s="21" t="s">
        <v>1554</v>
      </c>
      <c r="M387" s="19" t="s">
        <v>1467</v>
      </c>
      <c r="N387" s="19" t="s">
        <v>208</v>
      </c>
      <c r="O387" s="19" t="s">
        <v>1555</v>
      </c>
      <c r="P387" s="19" t="s">
        <v>1556</v>
      </c>
      <c r="Q387" s="19" t="s">
        <v>211</v>
      </c>
      <c r="R387" s="16" t="s">
        <v>54</v>
      </c>
      <c r="S387" s="18" t="s">
        <v>1417</v>
      </c>
      <c r="T387" s="21" t="s">
        <v>55</v>
      </c>
    </row>
    <row r="388" spans="1:20" ht="16.5">
      <c r="A388" s="14" t="s">
        <v>56</v>
      </c>
      <c r="B388" s="11" t="s">
        <v>60</v>
      </c>
      <c r="C388" s="11" t="s">
        <v>62</v>
      </c>
      <c r="D388" s="12" t="s">
        <v>1499</v>
      </c>
      <c r="E388" s="11" t="s">
        <v>203</v>
      </c>
      <c r="F388" s="11" t="s">
        <v>204</v>
      </c>
      <c r="G388" s="12" t="s">
        <v>1557</v>
      </c>
      <c r="H388" s="13" t="s">
        <v>1558</v>
      </c>
      <c r="I388" s="11" t="s">
        <v>65</v>
      </c>
      <c r="J388" s="14">
        <v>1</v>
      </c>
      <c r="K388" s="14" t="s">
        <v>1407</v>
      </c>
      <c r="L388" s="14" t="s">
        <v>1559</v>
      </c>
      <c r="M388" s="15" t="s">
        <v>1502</v>
      </c>
      <c r="N388" s="15" t="s">
        <v>208</v>
      </c>
      <c r="O388" s="15" t="s">
        <v>1560</v>
      </c>
      <c r="P388" s="15" t="s">
        <v>1561</v>
      </c>
      <c r="Q388" s="15" t="s">
        <v>211</v>
      </c>
      <c r="R388" s="16" t="s">
        <v>54</v>
      </c>
      <c r="S388" s="12" t="s">
        <v>1417</v>
      </c>
      <c r="T388" s="14" t="s">
        <v>55</v>
      </c>
    </row>
    <row r="389" spans="1:20" ht="16.5">
      <c r="A389" s="21" t="s">
        <v>56</v>
      </c>
      <c r="B389" s="17" t="s">
        <v>60</v>
      </c>
      <c r="C389" s="17" t="s">
        <v>62</v>
      </c>
      <c r="D389" s="18" t="s">
        <v>1472</v>
      </c>
      <c r="E389" s="17" t="s">
        <v>203</v>
      </c>
      <c r="F389" s="17" t="s">
        <v>295</v>
      </c>
      <c r="G389" s="18" t="s">
        <v>1562</v>
      </c>
      <c r="H389" s="20" t="s">
        <v>1563</v>
      </c>
      <c r="I389" s="17" t="s">
        <v>65</v>
      </c>
      <c r="J389" s="21">
        <v>1</v>
      </c>
      <c r="K389" s="21" t="s">
        <v>1407</v>
      </c>
      <c r="L389" s="21" t="s">
        <v>1564</v>
      </c>
      <c r="M389" s="19" t="s">
        <v>1475</v>
      </c>
      <c r="N389" s="19" t="s">
        <v>208</v>
      </c>
      <c r="O389" s="19" t="s">
        <v>1565</v>
      </c>
      <c r="P389" s="19"/>
      <c r="Q389" s="18" t="s">
        <v>286</v>
      </c>
      <c r="R389" s="22" t="s">
        <v>88</v>
      </c>
      <c r="S389" s="18" t="s">
        <v>1417</v>
      </c>
      <c r="T389" s="21" t="s">
        <v>55</v>
      </c>
    </row>
    <row r="390" spans="1:20" ht="16.5">
      <c r="A390" s="14" t="s">
        <v>56</v>
      </c>
      <c r="B390" s="11" t="s">
        <v>60</v>
      </c>
      <c r="C390" s="11" t="s">
        <v>300</v>
      </c>
      <c r="D390" s="12" t="s">
        <v>1566</v>
      </c>
      <c r="E390" s="11" t="s">
        <v>203</v>
      </c>
      <c r="F390" s="11" t="s">
        <v>295</v>
      </c>
      <c r="G390" s="12" t="s">
        <v>1562</v>
      </c>
      <c r="H390" s="13" t="s">
        <v>1567</v>
      </c>
      <c r="I390" s="11" t="s">
        <v>65</v>
      </c>
      <c r="J390" s="14">
        <v>1</v>
      </c>
      <c r="K390" s="14" t="s">
        <v>1407</v>
      </c>
      <c r="L390" s="14" t="s">
        <v>1568</v>
      </c>
      <c r="M390" s="15" t="s">
        <v>1569</v>
      </c>
      <c r="N390" s="15" t="s">
        <v>208</v>
      </c>
      <c r="O390" s="15" t="s">
        <v>1565</v>
      </c>
      <c r="P390" s="15"/>
      <c r="Q390" s="12" t="s">
        <v>286</v>
      </c>
      <c r="R390" s="22" t="s">
        <v>88</v>
      </c>
      <c r="S390" s="12" t="s">
        <v>1417</v>
      </c>
      <c r="T390" s="14" t="s">
        <v>55</v>
      </c>
    </row>
    <row r="391" spans="1:20" ht="16.5">
      <c r="A391" s="21" t="s">
        <v>56</v>
      </c>
      <c r="B391" s="17" t="s">
        <v>311</v>
      </c>
      <c r="C391" s="17" t="s">
        <v>204</v>
      </c>
      <c r="D391" s="18" t="s">
        <v>1507</v>
      </c>
      <c r="E391" s="17" t="s">
        <v>312</v>
      </c>
      <c r="F391" s="21" t="s">
        <v>313</v>
      </c>
      <c r="G391" s="19" t="s">
        <v>1570</v>
      </c>
      <c r="H391" s="24" t="s">
        <v>1571</v>
      </c>
      <c r="I391" s="17" t="s">
        <v>65</v>
      </c>
      <c r="J391" s="21">
        <v>1</v>
      </c>
      <c r="K391" s="21" t="s">
        <v>1407</v>
      </c>
      <c r="L391" s="21" t="s">
        <v>1572</v>
      </c>
      <c r="M391" s="19" t="s">
        <v>1510</v>
      </c>
      <c r="N391" s="19" t="s">
        <v>316</v>
      </c>
      <c r="O391" s="19" t="s">
        <v>1573</v>
      </c>
      <c r="P391" s="19" t="s">
        <v>1570</v>
      </c>
      <c r="Q391" s="19" t="s">
        <v>211</v>
      </c>
      <c r="R391" s="16" t="s">
        <v>54</v>
      </c>
      <c r="S391" s="18" t="s">
        <v>1417</v>
      </c>
      <c r="T391" s="21" t="s">
        <v>55</v>
      </c>
    </row>
    <row r="392" spans="1:20" ht="16.5">
      <c r="A392" s="14" t="s">
        <v>56</v>
      </c>
      <c r="B392" s="11" t="s">
        <v>311</v>
      </c>
      <c r="C392" s="11" t="s">
        <v>204</v>
      </c>
      <c r="D392" s="12" t="s">
        <v>1507</v>
      </c>
      <c r="E392" s="11" t="s">
        <v>312</v>
      </c>
      <c r="F392" s="14" t="s">
        <v>313</v>
      </c>
      <c r="G392" s="15" t="s">
        <v>1574</v>
      </c>
      <c r="H392" s="23" t="s">
        <v>1575</v>
      </c>
      <c r="I392" s="11" t="s">
        <v>65</v>
      </c>
      <c r="J392" s="14">
        <v>1</v>
      </c>
      <c r="K392" s="14" t="s">
        <v>1407</v>
      </c>
      <c r="L392" s="14" t="s">
        <v>1576</v>
      </c>
      <c r="M392" s="15" t="s">
        <v>1510</v>
      </c>
      <c r="N392" s="15" t="s">
        <v>316</v>
      </c>
      <c r="O392" s="15" t="s">
        <v>1577</v>
      </c>
      <c r="P392" s="15" t="s">
        <v>1574</v>
      </c>
      <c r="Q392" s="15" t="s">
        <v>211</v>
      </c>
      <c r="R392" s="16" t="s">
        <v>54</v>
      </c>
      <c r="S392" s="12" t="s">
        <v>1417</v>
      </c>
      <c r="T392" s="14" t="s">
        <v>55</v>
      </c>
    </row>
    <row r="393" spans="1:20" ht="16.5">
      <c r="A393" s="21" t="s">
        <v>56</v>
      </c>
      <c r="B393" s="17" t="s">
        <v>311</v>
      </c>
      <c r="C393" s="17" t="s">
        <v>204</v>
      </c>
      <c r="D393" s="18" t="s">
        <v>1507</v>
      </c>
      <c r="E393" s="17" t="s">
        <v>312</v>
      </c>
      <c r="F393" s="21" t="s">
        <v>313</v>
      </c>
      <c r="G393" s="19" t="s">
        <v>1578</v>
      </c>
      <c r="H393" s="24" t="s">
        <v>1579</v>
      </c>
      <c r="I393" s="17" t="s">
        <v>65</v>
      </c>
      <c r="J393" s="21">
        <v>1</v>
      </c>
      <c r="K393" s="21" t="s">
        <v>1407</v>
      </c>
      <c r="L393" s="21" t="s">
        <v>1580</v>
      </c>
      <c r="M393" s="19" t="s">
        <v>1510</v>
      </c>
      <c r="N393" s="19" t="s">
        <v>316</v>
      </c>
      <c r="O393" s="19" t="s">
        <v>1581</v>
      </c>
      <c r="P393" s="19" t="s">
        <v>1578</v>
      </c>
      <c r="Q393" s="19" t="s">
        <v>211</v>
      </c>
      <c r="R393" s="16" t="s">
        <v>54</v>
      </c>
      <c r="S393" s="18" t="s">
        <v>1417</v>
      </c>
      <c r="T393" s="21" t="s">
        <v>55</v>
      </c>
    </row>
    <row r="394" spans="1:20" ht="16.5">
      <c r="A394" s="14" t="s">
        <v>56</v>
      </c>
      <c r="B394" s="11" t="s">
        <v>311</v>
      </c>
      <c r="C394" s="11" t="s">
        <v>204</v>
      </c>
      <c r="D394" s="12" t="s">
        <v>1507</v>
      </c>
      <c r="E394" s="11" t="s">
        <v>312</v>
      </c>
      <c r="F394" s="14" t="s">
        <v>313</v>
      </c>
      <c r="G394" s="15" t="s">
        <v>1582</v>
      </c>
      <c r="H394" s="23" t="s">
        <v>1583</v>
      </c>
      <c r="I394" s="11" t="s">
        <v>65</v>
      </c>
      <c r="J394" s="14">
        <v>1</v>
      </c>
      <c r="K394" s="14" t="s">
        <v>1407</v>
      </c>
      <c r="L394" s="14" t="s">
        <v>1584</v>
      </c>
      <c r="M394" s="15" t="s">
        <v>1510</v>
      </c>
      <c r="N394" s="15" t="s">
        <v>316</v>
      </c>
      <c r="O394" s="15" t="s">
        <v>1585</v>
      </c>
      <c r="P394" s="15" t="s">
        <v>1582</v>
      </c>
      <c r="Q394" s="15" t="s">
        <v>211</v>
      </c>
      <c r="R394" s="16" t="s">
        <v>54</v>
      </c>
      <c r="S394" s="12" t="s">
        <v>1417</v>
      </c>
      <c r="T394" s="14" t="s">
        <v>55</v>
      </c>
    </row>
    <row r="395" spans="1:20" ht="16.5">
      <c r="A395" s="21" t="s">
        <v>56</v>
      </c>
      <c r="B395" s="17" t="s">
        <v>311</v>
      </c>
      <c r="C395" s="17" t="s">
        <v>204</v>
      </c>
      <c r="D395" s="18" t="s">
        <v>1507</v>
      </c>
      <c r="E395" s="17" t="s">
        <v>312</v>
      </c>
      <c r="F395" s="21" t="s">
        <v>313</v>
      </c>
      <c r="G395" s="19" t="s">
        <v>1586</v>
      </c>
      <c r="H395" s="24" t="s">
        <v>1587</v>
      </c>
      <c r="I395" s="17" t="s">
        <v>65</v>
      </c>
      <c r="J395" s="21">
        <v>1</v>
      </c>
      <c r="K395" s="21" t="s">
        <v>1407</v>
      </c>
      <c r="L395" s="21" t="s">
        <v>1588</v>
      </c>
      <c r="M395" s="19" t="s">
        <v>1510</v>
      </c>
      <c r="N395" s="19" t="s">
        <v>316</v>
      </c>
      <c r="O395" s="19" t="s">
        <v>1589</v>
      </c>
      <c r="P395" s="19" t="s">
        <v>1586</v>
      </c>
      <c r="Q395" s="19" t="s">
        <v>211</v>
      </c>
      <c r="R395" s="16" t="s">
        <v>54</v>
      </c>
      <c r="S395" s="18" t="s">
        <v>1417</v>
      </c>
      <c r="T395" s="21" t="s">
        <v>55</v>
      </c>
    </row>
    <row r="396" spans="1:20" ht="16.5">
      <c r="A396" s="14" t="s">
        <v>56</v>
      </c>
      <c r="B396" s="11" t="s">
        <v>311</v>
      </c>
      <c r="C396" s="11" t="s">
        <v>204</v>
      </c>
      <c r="D396" s="12" t="s">
        <v>1507</v>
      </c>
      <c r="E396" s="11" t="s">
        <v>312</v>
      </c>
      <c r="F396" s="14" t="s">
        <v>313</v>
      </c>
      <c r="G396" s="15" t="s">
        <v>1590</v>
      </c>
      <c r="H396" s="23" t="s">
        <v>1591</v>
      </c>
      <c r="I396" s="11" t="s">
        <v>65</v>
      </c>
      <c r="J396" s="14">
        <v>1</v>
      </c>
      <c r="K396" s="14" t="s">
        <v>1407</v>
      </c>
      <c r="L396" s="14" t="s">
        <v>1592</v>
      </c>
      <c r="M396" s="15" t="s">
        <v>1510</v>
      </c>
      <c r="N396" s="15" t="s">
        <v>316</v>
      </c>
      <c r="O396" s="15" t="s">
        <v>1593</v>
      </c>
      <c r="P396" s="15" t="s">
        <v>1590</v>
      </c>
      <c r="Q396" s="15" t="s">
        <v>211</v>
      </c>
      <c r="R396" s="16" t="s">
        <v>54</v>
      </c>
      <c r="S396" s="12" t="s">
        <v>1417</v>
      </c>
      <c r="T396" s="14" t="s">
        <v>55</v>
      </c>
    </row>
    <row r="397" spans="1:20" ht="16.5">
      <c r="A397" s="21" t="s">
        <v>56</v>
      </c>
      <c r="B397" s="17" t="s">
        <v>311</v>
      </c>
      <c r="C397" s="17" t="s">
        <v>204</v>
      </c>
      <c r="D397" s="18" t="s">
        <v>1507</v>
      </c>
      <c r="E397" s="17" t="s">
        <v>312</v>
      </c>
      <c r="F397" s="21" t="s">
        <v>313</v>
      </c>
      <c r="G397" s="19" t="s">
        <v>1594</v>
      </c>
      <c r="H397" s="24" t="s">
        <v>1595</v>
      </c>
      <c r="I397" s="17" t="s">
        <v>65</v>
      </c>
      <c r="J397" s="21">
        <v>1</v>
      </c>
      <c r="K397" s="21" t="s">
        <v>1407</v>
      </c>
      <c r="L397" s="21" t="s">
        <v>1596</v>
      </c>
      <c r="M397" s="19" t="s">
        <v>1510</v>
      </c>
      <c r="N397" s="19" t="s">
        <v>316</v>
      </c>
      <c r="O397" s="19" t="s">
        <v>1597</v>
      </c>
      <c r="P397" s="19" t="s">
        <v>1594</v>
      </c>
      <c r="Q397" s="19" t="s">
        <v>211</v>
      </c>
      <c r="R397" s="16" t="s">
        <v>54</v>
      </c>
      <c r="S397" s="18" t="s">
        <v>1417</v>
      </c>
      <c r="T397" s="21" t="s">
        <v>55</v>
      </c>
    </row>
    <row r="398" spans="1:20" ht="16.5">
      <c r="A398" s="14" t="s">
        <v>56</v>
      </c>
      <c r="B398" s="11" t="s">
        <v>311</v>
      </c>
      <c r="C398" s="11" t="s">
        <v>204</v>
      </c>
      <c r="D398" s="12" t="s">
        <v>1512</v>
      </c>
      <c r="E398" s="11" t="s">
        <v>312</v>
      </c>
      <c r="F398" s="14" t="s">
        <v>313</v>
      </c>
      <c r="G398" s="15" t="s">
        <v>1598</v>
      </c>
      <c r="H398" s="23" t="s">
        <v>1599</v>
      </c>
      <c r="I398" s="11" t="s">
        <v>65</v>
      </c>
      <c r="J398" s="14">
        <v>1</v>
      </c>
      <c r="K398" s="14" t="s">
        <v>1407</v>
      </c>
      <c r="L398" s="14" t="s">
        <v>1600</v>
      </c>
      <c r="M398" s="15" t="s">
        <v>1515</v>
      </c>
      <c r="N398" s="15" t="s">
        <v>316</v>
      </c>
      <c r="O398" s="15" t="s">
        <v>1601</v>
      </c>
      <c r="P398" s="15" t="s">
        <v>1598</v>
      </c>
      <c r="Q398" s="15" t="s">
        <v>211</v>
      </c>
      <c r="R398" s="16" t="s">
        <v>54</v>
      </c>
      <c r="S398" s="12" t="s">
        <v>1417</v>
      </c>
      <c r="T398" s="14" t="s">
        <v>55</v>
      </c>
    </row>
    <row r="399" spans="1:20" ht="16.5">
      <c r="A399" s="21" t="s">
        <v>56</v>
      </c>
      <c r="B399" s="17" t="s">
        <v>311</v>
      </c>
      <c r="C399" s="17" t="s">
        <v>204</v>
      </c>
      <c r="D399" s="18" t="s">
        <v>1512</v>
      </c>
      <c r="E399" s="17" t="s">
        <v>312</v>
      </c>
      <c r="F399" s="21" t="s">
        <v>313</v>
      </c>
      <c r="G399" s="19" t="s">
        <v>1602</v>
      </c>
      <c r="H399" s="24" t="s">
        <v>1603</v>
      </c>
      <c r="I399" s="17" t="s">
        <v>65</v>
      </c>
      <c r="J399" s="21">
        <v>1</v>
      </c>
      <c r="K399" s="21" t="s">
        <v>1407</v>
      </c>
      <c r="L399" s="21" t="s">
        <v>1604</v>
      </c>
      <c r="M399" s="19" t="s">
        <v>1515</v>
      </c>
      <c r="N399" s="19" t="s">
        <v>316</v>
      </c>
      <c r="O399" s="19" t="s">
        <v>1605</v>
      </c>
      <c r="P399" s="19" t="s">
        <v>1602</v>
      </c>
      <c r="Q399" s="19" t="s">
        <v>211</v>
      </c>
      <c r="R399" s="16" t="s">
        <v>54</v>
      </c>
      <c r="S399" s="18" t="s">
        <v>1417</v>
      </c>
      <c r="T399" s="21" t="s">
        <v>55</v>
      </c>
    </row>
    <row r="400" spans="1:20" ht="16.5">
      <c r="A400" s="14" t="s">
        <v>56</v>
      </c>
      <c r="B400" s="11" t="s">
        <v>311</v>
      </c>
      <c r="C400" s="11" t="s">
        <v>204</v>
      </c>
      <c r="D400" s="12" t="s">
        <v>1512</v>
      </c>
      <c r="E400" s="11" t="s">
        <v>312</v>
      </c>
      <c r="F400" s="14" t="s">
        <v>313</v>
      </c>
      <c r="G400" s="15" t="s">
        <v>1606</v>
      </c>
      <c r="H400" s="23" t="s">
        <v>1607</v>
      </c>
      <c r="I400" s="11" t="s">
        <v>65</v>
      </c>
      <c r="J400" s="14">
        <v>1</v>
      </c>
      <c r="K400" s="14" t="s">
        <v>1407</v>
      </c>
      <c r="L400" s="14" t="s">
        <v>1608</v>
      </c>
      <c r="M400" s="15" t="s">
        <v>1515</v>
      </c>
      <c r="N400" s="15" t="s">
        <v>316</v>
      </c>
      <c r="O400" s="15" t="s">
        <v>1609</v>
      </c>
      <c r="P400" s="15" t="s">
        <v>1606</v>
      </c>
      <c r="Q400" s="15" t="s">
        <v>211</v>
      </c>
      <c r="R400" s="16" t="s">
        <v>54</v>
      </c>
      <c r="S400" s="12" t="s">
        <v>1417</v>
      </c>
      <c r="T400" s="14" t="s">
        <v>55</v>
      </c>
    </row>
    <row r="401" spans="1:20" ht="16.5">
      <c r="A401" s="21" t="s">
        <v>56</v>
      </c>
      <c r="B401" s="17" t="s">
        <v>311</v>
      </c>
      <c r="C401" s="17" t="s">
        <v>204</v>
      </c>
      <c r="D401" s="18" t="s">
        <v>1512</v>
      </c>
      <c r="E401" s="17" t="s">
        <v>312</v>
      </c>
      <c r="F401" s="21" t="s">
        <v>313</v>
      </c>
      <c r="G401" s="19" t="s">
        <v>1610</v>
      </c>
      <c r="H401" s="24" t="s">
        <v>1611</v>
      </c>
      <c r="I401" s="17" t="s">
        <v>65</v>
      </c>
      <c r="J401" s="21">
        <v>1</v>
      </c>
      <c r="K401" s="21" t="s">
        <v>1407</v>
      </c>
      <c r="L401" s="21" t="s">
        <v>1612</v>
      </c>
      <c r="M401" s="19" t="s">
        <v>1515</v>
      </c>
      <c r="N401" s="19" t="s">
        <v>316</v>
      </c>
      <c r="O401" s="19" t="s">
        <v>1613</v>
      </c>
      <c r="P401" s="19" t="s">
        <v>1610</v>
      </c>
      <c r="Q401" s="19" t="s">
        <v>211</v>
      </c>
      <c r="R401" s="16" t="s">
        <v>54</v>
      </c>
      <c r="S401" s="18" t="s">
        <v>1417</v>
      </c>
      <c r="T401" s="21" t="s">
        <v>55</v>
      </c>
    </row>
    <row r="402" spans="1:20" ht="16.5">
      <c r="A402" s="14" t="s">
        <v>56</v>
      </c>
      <c r="B402" s="11" t="s">
        <v>311</v>
      </c>
      <c r="C402" s="11" t="s">
        <v>204</v>
      </c>
      <c r="D402" s="12" t="s">
        <v>1512</v>
      </c>
      <c r="E402" s="11" t="s">
        <v>312</v>
      </c>
      <c r="F402" s="14" t="s">
        <v>313</v>
      </c>
      <c r="G402" s="15" t="s">
        <v>1614</v>
      </c>
      <c r="H402" s="23" t="s">
        <v>1615</v>
      </c>
      <c r="I402" s="11" t="s">
        <v>65</v>
      </c>
      <c r="J402" s="14">
        <v>1</v>
      </c>
      <c r="K402" s="14" t="s">
        <v>1407</v>
      </c>
      <c r="L402" s="14" t="s">
        <v>1616</v>
      </c>
      <c r="M402" s="15" t="s">
        <v>1515</v>
      </c>
      <c r="N402" s="15" t="s">
        <v>316</v>
      </c>
      <c r="O402" s="15" t="s">
        <v>1617</v>
      </c>
      <c r="P402" s="15" t="s">
        <v>1614</v>
      </c>
      <c r="Q402" s="15" t="s">
        <v>211</v>
      </c>
      <c r="R402" s="16" t="s">
        <v>54</v>
      </c>
      <c r="S402" s="12" t="s">
        <v>1417</v>
      </c>
      <c r="T402" s="14" t="s">
        <v>55</v>
      </c>
    </row>
    <row r="403" spans="1:20" ht="16.5">
      <c r="A403" s="21" t="s">
        <v>56</v>
      </c>
      <c r="B403" s="17" t="s">
        <v>311</v>
      </c>
      <c r="C403" s="17" t="s">
        <v>204</v>
      </c>
      <c r="D403" s="18" t="s">
        <v>1512</v>
      </c>
      <c r="E403" s="17" t="s">
        <v>312</v>
      </c>
      <c r="F403" s="21" t="s">
        <v>313</v>
      </c>
      <c r="G403" s="19" t="s">
        <v>1618</v>
      </c>
      <c r="H403" s="24" t="s">
        <v>1619</v>
      </c>
      <c r="I403" s="17" t="s">
        <v>65</v>
      </c>
      <c r="J403" s="21">
        <v>1</v>
      </c>
      <c r="K403" s="21" t="s">
        <v>1407</v>
      </c>
      <c r="L403" s="21" t="s">
        <v>1620</v>
      </c>
      <c r="M403" s="19" t="s">
        <v>1515</v>
      </c>
      <c r="N403" s="19" t="s">
        <v>316</v>
      </c>
      <c r="O403" s="19" t="s">
        <v>1621</v>
      </c>
      <c r="P403" s="19" t="s">
        <v>1618</v>
      </c>
      <c r="Q403" s="19" t="s">
        <v>211</v>
      </c>
      <c r="R403" s="16" t="s">
        <v>54</v>
      </c>
      <c r="S403" s="18" t="s">
        <v>1417</v>
      </c>
      <c r="T403" s="21" t="s">
        <v>55</v>
      </c>
    </row>
    <row r="404" spans="1:20" ht="16.5">
      <c r="A404" s="14" t="s">
        <v>56</v>
      </c>
      <c r="B404" s="11" t="s">
        <v>311</v>
      </c>
      <c r="C404" s="11" t="s">
        <v>204</v>
      </c>
      <c r="D404" s="12" t="s">
        <v>1512</v>
      </c>
      <c r="E404" s="11" t="s">
        <v>312</v>
      </c>
      <c r="F404" s="14" t="s">
        <v>313</v>
      </c>
      <c r="G404" s="15" t="s">
        <v>1622</v>
      </c>
      <c r="H404" s="23" t="s">
        <v>1623</v>
      </c>
      <c r="I404" s="11" t="s">
        <v>65</v>
      </c>
      <c r="J404" s="14">
        <v>1</v>
      </c>
      <c r="K404" s="14" t="s">
        <v>1407</v>
      </c>
      <c r="L404" s="14" t="s">
        <v>1624</v>
      </c>
      <c r="M404" s="15" t="s">
        <v>1515</v>
      </c>
      <c r="N404" s="15" t="s">
        <v>316</v>
      </c>
      <c r="O404" s="15" t="s">
        <v>1625</v>
      </c>
      <c r="P404" s="15" t="s">
        <v>1622</v>
      </c>
      <c r="Q404" s="15" t="s">
        <v>211</v>
      </c>
      <c r="R404" s="16" t="s">
        <v>54</v>
      </c>
      <c r="S404" s="12" t="s">
        <v>1417</v>
      </c>
      <c r="T404" s="14" t="s">
        <v>55</v>
      </c>
    </row>
    <row r="405" spans="1:20" ht="16.5">
      <c r="A405" s="21" t="s">
        <v>56</v>
      </c>
      <c r="B405" s="17" t="s">
        <v>311</v>
      </c>
      <c r="C405" s="17" t="s">
        <v>204</v>
      </c>
      <c r="D405" s="18" t="s">
        <v>1517</v>
      </c>
      <c r="E405" s="17" t="s">
        <v>312</v>
      </c>
      <c r="F405" s="21" t="s">
        <v>313</v>
      </c>
      <c r="G405" s="19" t="s">
        <v>1626</v>
      </c>
      <c r="H405" s="24" t="s">
        <v>1627</v>
      </c>
      <c r="I405" s="17" t="s">
        <v>65</v>
      </c>
      <c r="J405" s="21">
        <v>1</v>
      </c>
      <c r="K405" s="21" t="s">
        <v>1407</v>
      </c>
      <c r="L405" s="21" t="s">
        <v>1628</v>
      </c>
      <c r="M405" s="19" t="s">
        <v>1520</v>
      </c>
      <c r="N405" s="19" t="s">
        <v>316</v>
      </c>
      <c r="O405" s="19" t="s">
        <v>1629</v>
      </c>
      <c r="P405" s="19" t="s">
        <v>1626</v>
      </c>
      <c r="Q405" s="19" t="s">
        <v>211</v>
      </c>
      <c r="R405" s="16" t="s">
        <v>54</v>
      </c>
      <c r="S405" s="18" t="s">
        <v>1417</v>
      </c>
      <c r="T405" s="21" t="s">
        <v>55</v>
      </c>
    </row>
    <row r="406" spans="1:20" ht="16.5">
      <c r="A406" s="14" t="s">
        <v>56</v>
      </c>
      <c r="B406" s="11" t="s">
        <v>311</v>
      </c>
      <c r="C406" s="11" t="s">
        <v>204</v>
      </c>
      <c r="D406" s="12" t="s">
        <v>1517</v>
      </c>
      <c r="E406" s="11" t="s">
        <v>312</v>
      </c>
      <c r="F406" s="14" t="s">
        <v>313</v>
      </c>
      <c r="G406" s="15" t="s">
        <v>1630</v>
      </c>
      <c r="H406" s="23" t="s">
        <v>1631</v>
      </c>
      <c r="I406" s="11" t="s">
        <v>65</v>
      </c>
      <c r="J406" s="14">
        <v>1</v>
      </c>
      <c r="K406" s="14" t="s">
        <v>1407</v>
      </c>
      <c r="L406" s="14" t="s">
        <v>1632</v>
      </c>
      <c r="M406" s="15" t="s">
        <v>1520</v>
      </c>
      <c r="N406" s="15" t="s">
        <v>316</v>
      </c>
      <c r="O406" s="15" t="s">
        <v>1633</v>
      </c>
      <c r="P406" s="15" t="s">
        <v>1630</v>
      </c>
      <c r="Q406" s="15" t="s">
        <v>211</v>
      </c>
      <c r="R406" s="16" t="s">
        <v>54</v>
      </c>
      <c r="S406" s="12" t="s">
        <v>1417</v>
      </c>
      <c r="T406" s="14" t="s">
        <v>55</v>
      </c>
    </row>
    <row r="407" spans="1:20" ht="16.5">
      <c r="A407" s="21" t="s">
        <v>56</v>
      </c>
      <c r="B407" s="17" t="s">
        <v>311</v>
      </c>
      <c r="C407" s="17" t="s">
        <v>204</v>
      </c>
      <c r="D407" s="18" t="s">
        <v>1517</v>
      </c>
      <c r="E407" s="17" t="s">
        <v>312</v>
      </c>
      <c r="F407" s="21" t="s">
        <v>313</v>
      </c>
      <c r="G407" s="19" t="s">
        <v>1634</v>
      </c>
      <c r="H407" s="24" t="s">
        <v>1635</v>
      </c>
      <c r="I407" s="17" t="s">
        <v>65</v>
      </c>
      <c r="J407" s="21">
        <v>1</v>
      </c>
      <c r="K407" s="21" t="s">
        <v>1407</v>
      </c>
      <c r="L407" s="21" t="s">
        <v>1636</v>
      </c>
      <c r="M407" s="19" t="s">
        <v>1520</v>
      </c>
      <c r="N407" s="19" t="s">
        <v>316</v>
      </c>
      <c r="O407" s="19" t="s">
        <v>1637</v>
      </c>
      <c r="P407" s="19" t="s">
        <v>1634</v>
      </c>
      <c r="Q407" s="19" t="s">
        <v>211</v>
      </c>
      <c r="R407" s="16" t="s">
        <v>54</v>
      </c>
      <c r="S407" s="18" t="s">
        <v>1417</v>
      </c>
      <c r="T407" s="21" t="s">
        <v>55</v>
      </c>
    </row>
    <row r="408" spans="1:20" ht="16.5">
      <c r="A408" s="14" t="s">
        <v>56</v>
      </c>
      <c r="B408" s="11" t="s">
        <v>311</v>
      </c>
      <c r="C408" s="11" t="s">
        <v>204</v>
      </c>
      <c r="D408" s="12" t="s">
        <v>1517</v>
      </c>
      <c r="E408" s="11" t="s">
        <v>312</v>
      </c>
      <c r="F408" s="14" t="s">
        <v>313</v>
      </c>
      <c r="G408" s="15" t="s">
        <v>1638</v>
      </c>
      <c r="H408" s="23" t="s">
        <v>1639</v>
      </c>
      <c r="I408" s="11" t="s">
        <v>65</v>
      </c>
      <c r="J408" s="14">
        <v>1</v>
      </c>
      <c r="K408" s="14" t="s">
        <v>1407</v>
      </c>
      <c r="L408" s="14" t="s">
        <v>1640</v>
      </c>
      <c r="M408" s="15" t="s">
        <v>1520</v>
      </c>
      <c r="N408" s="15" t="s">
        <v>316</v>
      </c>
      <c r="O408" s="15" t="s">
        <v>1641</v>
      </c>
      <c r="P408" s="15" t="s">
        <v>1638</v>
      </c>
      <c r="Q408" s="15" t="s">
        <v>211</v>
      </c>
      <c r="R408" s="16" t="s">
        <v>54</v>
      </c>
      <c r="S408" s="12" t="s">
        <v>1417</v>
      </c>
      <c r="T408" s="14" t="s">
        <v>55</v>
      </c>
    </row>
    <row r="409" spans="1:20" ht="16.5">
      <c r="A409" s="21" t="s">
        <v>56</v>
      </c>
      <c r="B409" s="17" t="s">
        <v>311</v>
      </c>
      <c r="C409" s="17" t="s">
        <v>204</v>
      </c>
      <c r="D409" s="18" t="s">
        <v>1517</v>
      </c>
      <c r="E409" s="17" t="s">
        <v>312</v>
      </c>
      <c r="F409" s="21" t="s">
        <v>313</v>
      </c>
      <c r="G409" s="19" t="s">
        <v>1642</v>
      </c>
      <c r="H409" s="24" t="s">
        <v>1643</v>
      </c>
      <c r="I409" s="17" t="s">
        <v>65</v>
      </c>
      <c r="J409" s="21">
        <v>1</v>
      </c>
      <c r="K409" s="21" t="s">
        <v>1407</v>
      </c>
      <c r="L409" s="21" t="s">
        <v>1644</v>
      </c>
      <c r="M409" s="19" t="s">
        <v>1520</v>
      </c>
      <c r="N409" s="19" t="s">
        <v>316</v>
      </c>
      <c r="O409" s="19" t="s">
        <v>1645</v>
      </c>
      <c r="P409" s="19" t="s">
        <v>1642</v>
      </c>
      <c r="Q409" s="19" t="s">
        <v>211</v>
      </c>
      <c r="R409" s="16" t="s">
        <v>54</v>
      </c>
      <c r="S409" s="18" t="s">
        <v>1417</v>
      </c>
      <c r="T409" s="21" t="s">
        <v>55</v>
      </c>
    </row>
    <row r="410" spans="1:20" ht="16.5">
      <c r="A410" s="14" t="s">
        <v>56</v>
      </c>
      <c r="B410" s="11" t="s">
        <v>311</v>
      </c>
      <c r="C410" s="11" t="s">
        <v>204</v>
      </c>
      <c r="D410" s="12" t="s">
        <v>1517</v>
      </c>
      <c r="E410" s="11" t="s">
        <v>312</v>
      </c>
      <c r="F410" s="14" t="s">
        <v>313</v>
      </c>
      <c r="G410" s="15" t="s">
        <v>1646</v>
      </c>
      <c r="H410" s="23" t="s">
        <v>1647</v>
      </c>
      <c r="I410" s="11" t="s">
        <v>65</v>
      </c>
      <c r="J410" s="14">
        <v>1</v>
      </c>
      <c r="K410" s="14" t="s">
        <v>1407</v>
      </c>
      <c r="L410" s="14" t="s">
        <v>1648</v>
      </c>
      <c r="M410" s="15" t="s">
        <v>1520</v>
      </c>
      <c r="N410" s="15" t="s">
        <v>316</v>
      </c>
      <c r="O410" s="15" t="s">
        <v>1649</v>
      </c>
      <c r="P410" s="15" t="s">
        <v>1646</v>
      </c>
      <c r="Q410" s="15" t="s">
        <v>211</v>
      </c>
      <c r="R410" s="16" t="s">
        <v>54</v>
      </c>
      <c r="S410" s="12" t="s">
        <v>1417</v>
      </c>
      <c r="T410" s="14" t="s">
        <v>55</v>
      </c>
    </row>
    <row r="411" spans="1:20" ht="16.5">
      <c r="A411" s="21" t="s">
        <v>56</v>
      </c>
      <c r="B411" s="17" t="s">
        <v>311</v>
      </c>
      <c r="C411" s="17" t="s">
        <v>204</v>
      </c>
      <c r="D411" s="18" t="s">
        <v>1517</v>
      </c>
      <c r="E411" s="17" t="s">
        <v>312</v>
      </c>
      <c r="F411" s="21" t="s">
        <v>313</v>
      </c>
      <c r="G411" s="19" t="s">
        <v>1650</v>
      </c>
      <c r="H411" s="24" t="s">
        <v>1651</v>
      </c>
      <c r="I411" s="17" t="s">
        <v>65</v>
      </c>
      <c r="J411" s="21">
        <v>1</v>
      </c>
      <c r="K411" s="21" t="s">
        <v>1407</v>
      </c>
      <c r="L411" s="21" t="s">
        <v>1652</v>
      </c>
      <c r="M411" s="19" t="s">
        <v>1520</v>
      </c>
      <c r="N411" s="19" t="s">
        <v>316</v>
      </c>
      <c r="O411" s="19" t="s">
        <v>1653</v>
      </c>
      <c r="P411" s="19" t="s">
        <v>1650</v>
      </c>
      <c r="Q411" s="19" t="s">
        <v>211</v>
      </c>
      <c r="R411" s="16" t="s">
        <v>54</v>
      </c>
      <c r="S411" s="18" t="s">
        <v>1417</v>
      </c>
      <c r="T411" s="21" t="s">
        <v>55</v>
      </c>
    </row>
    <row r="412" spans="1:20" ht="16.5">
      <c r="A412" s="14" t="s">
        <v>56</v>
      </c>
      <c r="B412" s="11" t="s">
        <v>311</v>
      </c>
      <c r="C412" s="11" t="s">
        <v>204</v>
      </c>
      <c r="D412" s="12" t="s">
        <v>1522</v>
      </c>
      <c r="E412" s="11" t="s">
        <v>312</v>
      </c>
      <c r="F412" s="14" t="s">
        <v>313</v>
      </c>
      <c r="G412" s="15" t="s">
        <v>1526</v>
      </c>
      <c r="H412" s="23" t="s">
        <v>1654</v>
      </c>
      <c r="I412" s="11" t="s">
        <v>65</v>
      </c>
      <c r="J412" s="14">
        <v>1</v>
      </c>
      <c r="K412" s="14" t="s">
        <v>1407</v>
      </c>
      <c r="L412" s="14" t="s">
        <v>1655</v>
      </c>
      <c r="M412" s="15" t="s">
        <v>1525</v>
      </c>
      <c r="N412" s="15" t="s">
        <v>316</v>
      </c>
      <c r="O412" s="15" t="s">
        <v>1656</v>
      </c>
      <c r="P412" s="15" t="s">
        <v>1526</v>
      </c>
      <c r="Q412" s="15" t="s">
        <v>211</v>
      </c>
      <c r="R412" s="16" t="s">
        <v>54</v>
      </c>
      <c r="S412" s="12" t="s">
        <v>1417</v>
      </c>
      <c r="T412" s="14" t="s">
        <v>55</v>
      </c>
    </row>
    <row r="413" spans="1:20" ht="16.5">
      <c r="A413" s="21" t="s">
        <v>56</v>
      </c>
      <c r="B413" s="17" t="s">
        <v>311</v>
      </c>
      <c r="C413" s="17" t="s">
        <v>204</v>
      </c>
      <c r="D413" s="18" t="s">
        <v>1527</v>
      </c>
      <c r="E413" s="17" t="s">
        <v>312</v>
      </c>
      <c r="F413" s="21" t="s">
        <v>313</v>
      </c>
      <c r="G413" s="19" t="s">
        <v>1531</v>
      </c>
      <c r="H413" s="24" t="s">
        <v>1657</v>
      </c>
      <c r="I413" s="17" t="s">
        <v>65</v>
      </c>
      <c r="J413" s="21">
        <v>1</v>
      </c>
      <c r="K413" s="21" t="s">
        <v>1407</v>
      </c>
      <c r="L413" s="21" t="s">
        <v>1658</v>
      </c>
      <c r="M413" s="19" t="s">
        <v>1530</v>
      </c>
      <c r="N413" s="19" t="s">
        <v>316</v>
      </c>
      <c r="O413" s="19" t="s">
        <v>1659</v>
      </c>
      <c r="P413" s="19" t="s">
        <v>1531</v>
      </c>
      <c r="Q413" s="19" t="s">
        <v>211</v>
      </c>
      <c r="R413" s="16" t="s">
        <v>54</v>
      </c>
      <c r="S413" s="18" t="s">
        <v>1417</v>
      </c>
      <c r="T413" s="21" t="s">
        <v>55</v>
      </c>
    </row>
    <row r="414" spans="1:20" ht="16.5">
      <c r="A414" s="14" t="s">
        <v>56</v>
      </c>
      <c r="B414" s="11" t="s">
        <v>311</v>
      </c>
      <c r="C414" s="11" t="s">
        <v>204</v>
      </c>
      <c r="D414" s="12" t="s">
        <v>1532</v>
      </c>
      <c r="E414" s="11" t="s">
        <v>312</v>
      </c>
      <c r="F414" s="14" t="s">
        <v>313</v>
      </c>
      <c r="G414" s="15" t="s">
        <v>1660</v>
      </c>
      <c r="H414" s="23" t="s">
        <v>1661</v>
      </c>
      <c r="I414" s="11" t="s">
        <v>65</v>
      </c>
      <c r="J414" s="14">
        <v>1</v>
      </c>
      <c r="K414" s="14" t="s">
        <v>1407</v>
      </c>
      <c r="L414" s="14" t="s">
        <v>1662</v>
      </c>
      <c r="M414" s="15" t="s">
        <v>1535</v>
      </c>
      <c r="N414" s="15" t="s">
        <v>316</v>
      </c>
      <c r="O414" s="15" t="s">
        <v>1663</v>
      </c>
      <c r="P414" s="15" t="s">
        <v>1660</v>
      </c>
      <c r="Q414" s="15" t="s">
        <v>211</v>
      </c>
      <c r="R414" s="16" t="s">
        <v>54</v>
      </c>
      <c r="S414" s="12" t="s">
        <v>1417</v>
      </c>
      <c r="T414" s="14" t="s">
        <v>55</v>
      </c>
    </row>
    <row r="415" spans="1:20" ht="16.5">
      <c r="A415" s="21" t="s">
        <v>56</v>
      </c>
      <c r="B415" s="17" t="s">
        <v>311</v>
      </c>
      <c r="C415" s="17" t="s">
        <v>204</v>
      </c>
      <c r="D415" s="18" t="s">
        <v>1532</v>
      </c>
      <c r="E415" s="17" t="s">
        <v>312</v>
      </c>
      <c r="F415" s="21" t="s">
        <v>313</v>
      </c>
      <c r="G415" s="19" t="s">
        <v>1664</v>
      </c>
      <c r="H415" s="24" t="s">
        <v>1665</v>
      </c>
      <c r="I415" s="17" t="s">
        <v>65</v>
      </c>
      <c r="J415" s="21">
        <v>1</v>
      </c>
      <c r="K415" s="21" t="s">
        <v>1407</v>
      </c>
      <c r="L415" s="21" t="s">
        <v>1666</v>
      </c>
      <c r="M415" s="19" t="s">
        <v>1535</v>
      </c>
      <c r="N415" s="19" t="s">
        <v>316</v>
      </c>
      <c r="O415" s="19" t="s">
        <v>1667</v>
      </c>
      <c r="P415" s="19" t="s">
        <v>1664</v>
      </c>
      <c r="Q415" s="19" t="s">
        <v>211</v>
      </c>
      <c r="R415" s="16" t="s">
        <v>54</v>
      </c>
      <c r="S415" s="18" t="s">
        <v>1417</v>
      </c>
      <c r="T415" s="21" t="s">
        <v>55</v>
      </c>
    </row>
    <row r="416" spans="1:20" ht="16.5">
      <c r="A416" s="14" t="s">
        <v>56</v>
      </c>
      <c r="B416" s="11" t="s">
        <v>311</v>
      </c>
      <c r="C416" s="11" t="s">
        <v>204</v>
      </c>
      <c r="D416" s="12" t="s">
        <v>1537</v>
      </c>
      <c r="E416" s="11" t="s">
        <v>312</v>
      </c>
      <c r="F416" s="14" t="s">
        <v>313</v>
      </c>
      <c r="G416" s="15" t="s">
        <v>1541</v>
      </c>
      <c r="H416" s="23" t="s">
        <v>1668</v>
      </c>
      <c r="I416" s="11" t="s">
        <v>65</v>
      </c>
      <c r="J416" s="14">
        <v>1</v>
      </c>
      <c r="K416" s="14" t="s">
        <v>1407</v>
      </c>
      <c r="L416" s="14" t="s">
        <v>1669</v>
      </c>
      <c r="M416" s="15" t="s">
        <v>1540</v>
      </c>
      <c r="N416" s="15" t="s">
        <v>316</v>
      </c>
      <c r="O416" s="15" t="s">
        <v>1670</v>
      </c>
      <c r="P416" s="15" t="s">
        <v>1541</v>
      </c>
      <c r="Q416" s="15" t="s">
        <v>211</v>
      </c>
      <c r="R416" s="16" t="s">
        <v>54</v>
      </c>
      <c r="S416" s="12" t="s">
        <v>1417</v>
      </c>
      <c r="T416" s="14" t="s">
        <v>55</v>
      </c>
    </row>
    <row r="417" spans="1:20" ht="16.5">
      <c r="A417" s="21" t="s">
        <v>56</v>
      </c>
      <c r="B417" s="17" t="s">
        <v>311</v>
      </c>
      <c r="C417" s="17" t="s">
        <v>204</v>
      </c>
      <c r="D417" s="18" t="s">
        <v>1542</v>
      </c>
      <c r="E417" s="17" t="s">
        <v>312</v>
      </c>
      <c r="F417" s="21" t="s">
        <v>313</v>
      </c>
      <c r="G417" s="19" t="s">
        <v>1671</v>
      </c>
      <c r="H417" s="24" t="s">
        <v>1672</v>
      </c>
      <c r="I417" s="17" t="s">
        <v>65</v>
      </c>
      <c r="J417" s="21">
        <v>1</v>
      </c>
      <c r="K417" s="21" t="s">
        <v>1407</v>
      </c>
      <c r="L417" s="21" t="s">
        <v>1673</v>
      </c>
      <c r="M417" s="19" t="s">
        <v>1545</v>
      </c>
      <c r="N417" s="19" t="s">
        <v>316</v>
      </c>
      <c r="O417" s="19" t="s">
        <v>1674</v>
      </c>
      <c r="P417" s="19" t="s">
        <v>1671</v>
      </c>
      <c r="Q417" s="19" t="s">
        <v>211</v>
      </c>
      <c r="R417" s="16" t="s">
        <v>54</v>
      </c>
      <c r="S417" s="18" t="s">
        <v>1417</v>
      </c>
      <c r="T417" s="21" t="s">
        <v>55</v>
      </c>
    </row>
    <row r="418" spans="1:20" ht="16.5">
      <c r="A418" s="14" t="s">
        <v>56</v>
      </c>
      <c r="B418" s="11" t="s">
        <v>311</v>
      </c>
      <c r="C418" s="11" t="s">
        <v>204</v>
      </c>
      <c r="D418" s="12" t="s">
        <v>1542</v>
      </c>
      <c r="E418" s="11" t="s">
        <v>312</v>
      </c>
      <c r="F418" s="14" t="s">
        <v>313</v>
      </c>
      <c r="G418" s="15" t="s">
        <v>1675</v>
      </c>
      <c r="H418" s="23" t="s">
        <v>1676</v>
      </c>
      <c r="I418" s="11" t="s">
        <v>65</v>
      </c>
      <c r="J418" s="14">
        <v>1</v>
      </c>
      <c r="K418" s="14" t="s">
        <v>1407</v>
      </c>
      <c r="L418" s="14" t="s">
        <v>1677</v>
      </c>
      <c r="M418" s="15" t="s">
        <v>1545</v>
      </c>
      <c r="N418" s="15" t="s">
        <v>316</v>
      </c>
      <c r="O418" s="15" t="s">
        <v>1678</v>
      </c>
      <c r="P418" s="15" t="s">
        <v>1675</v>
      </c>
      <c r="Q418" s="15" t="s">
        <v>211</v>
      </c>
      <c r="R418" s="16" t="s">
        <v>54</v>
      </c>
      <c r="S418" s="12" t="s">
        <v>1417</v>
      </c>
      <c r="T418" s="14" t="s">
        <v>55</v>
      </c>
    </row>
    <row r="419" spans="1:20" ht="16.5">
      <c r="A419" s="21" t="s">
        <v>56</v>
      </c>
      <c r="B419" s="17" t="s">
        <v>311</v>
      </c>
      <c r="C419" s="17" t="s">
        <v>204</v>
      </c>
      <c r="D419" s="18" t="s">
        <v>1547</v>
      </c>
      <c r="E419" s="17" t="s">
        <v>312</v>
      </c>
      <c r="F419" s="21" t="s">
        <v>313</v>
      </c>
      <c r="G419" s="19" t="s">
        <v>1551</v>
      </c>
      <c r="H419" s="24" t="s">
        <v>1679</v>
      </c>
      <c r="I419" s="17" t="s">
        <v>65</v>
      </c>
      <c r="J419" s="21">
        <v>1</v>
      </c>
      <c r="K419" s="21" t="s">
        <v>1407</v>
      </c>
      <c r="L419" s="21" t="s">
        <v>1680</v>
      </c>
      <c r="M419" s="19" t="s">
        <v>1550</v>
      </c>
      <c r="N419" s="19" t="s">
        <v>316</v>
      </c>
      <c r="O419" s="19" t="s">
        <v>1681</v>
      </c>
      <c r="P419" s="19" t="s">
        <v>1551</v>
      </c>
      <c r="Q419" s="19" t="s">
        <v>211</v>
      </c>
      <c r="R419" s="16" t="s">
        <v>54</v>
      </c>
      <c r="S419" s="18" t="s">
        <v>1417</v>
      </c>
      <c r="T419" s="21" t="s">
        <v>55</v>
      </c>
    </row>
    <row r="420" spans="1:20" ht="16.5">
      <c r="A420" s="14" t="s">
        <v>56</v>
      </c>
      <c r="B420" s="11" t="s">
        <v>311</v>
      </c>
      <c r="C420" s="11" t="s">
        <v>204</v>
      </c>
      <c r="D420" s="12" t="s">
        <v>1552</v>
      </c>
      <c r="E420" s="11" t="s">
        <v>312</v>
      </c>
      <c r="F420" s="14" t="s">
        <v>313</v>
      </c>
      <c r="G420" s="15" t="s">
        <v>1556</v>
      </c>
      <c r="H420" s="23" t="s">
        <v>1682</v>
      </c>
      <c r="I420" s="11" t="s">
        <v>65</v>
      </c>
      <c r="J420" s="14">
        <v>1</v>
      </c>
      <c r="K420" s="14" t="s">
        <v>1407</v>
      </c>
      <c r="L420" s="14" t="s">
        <v>1683</v>
      </c>
      <c r="M420" s="15" t="s">
        <v>1555</v>
      </c>
      <c r="N420" s="15" t="s">
        <v>316</v>
      </c>
      <c r="O420" s="15" t="s">
        <v>1684</v>
      </c>
      <c r="P420" s="15" t="s">
        <v>1556</v>
      </c>
      <c r="Q420" s="15" t="s">
        <v>211</v>
      </c>
      <c r="R420" s="16" t="s">
        <v>54</v>
      </c>
      <c r="S420" s="12" t="s">
        <v>1417</v>
      </c>
      <c r="T420" s="14" t="s">
        <v>55</v>
      </c>
    </row>
    <row r="421" spans="1:20" ht="16.5">
      <c r="A421" s="21" t="s">
        <v>56</v>
      </c>
      <c r="B421" s="17" t="s">
        <v>311</v>
      </c>
      <c r="C421" s="17" t="s">
        <v>204</v>
      </c>
      <c r="D421" s="18" t="s">
        <v>1557</v>
      </c>
      <c r="E421" s="17" t="s">
        <v>312</v>
      </c>
      <c r="F421" s="21" t="s">
        <v>313</v>
      </c>
      <c r="G421" s="19" t="s">
        <v>1561</v>
      </c>
      <c r="H421" s="24" t="s">
        <v>1685</v>
      </c>
      <c r="I421" s="17" t="s">
        <v>65</v>
      </c>
      <c r="J421" s="21">
        <v>1</v>
      </c>
      <c r="K421" s="21" t="s">
        <v>1407</v>
      </c>
      <c r="L421" s="21" t="s">
        <v>1686</v>
      </c>
      <c r="M421" s="19" t="s">
        <v>1560</v>
      </c>
      <c r="N421" s="19" t="s">
        <v>316</v>
      </c>
      <c r="O421" s="19" t="s">
        <v>1687</v>
      </c>
      <c r="P421" s="19" t="s">
        <v>1561</v>
      </c>
      <c r="Q421" s="19" t="s">
        <v>211</v>
      </c>
      <c r="R421" s="16" t="s">
        <v>54</v>
      </c>
      <c r="S421" s="18" t="s">
        <v>1417</v>
      </c>
      <c r="T421" s="21" t="s">
        <v>55</v>
      </c>
    </row>
    <row r="422" spans="1:20" ht="16.5">
      <c r="A422" s="14" t="s">
        <v>56</v>
      </c>
      <c r="B422" s="11" t="s">
        <v>487</v>
      </c>
      <c r="C422" s="11" t="s">
        <v>488</v>
      </c>
      <c r="D422" s="12" t="s">
        <v>1688</v>
      </c>
      <c r="E422" s="11" t="s">
        <v>490</v>
      </c>
      <c r="F422" s="11" t="s">
        <v>491</v>
      </c>
      <c r="G422" s="12" t="s">
        <v>1689</v>
      </c>
      <c r="H422" s="23" t="s">
        <v>584</v>
      </c>
      <c r="I422" s="11" t="s">
        <v>494</v>
      </c>
      <c r="J422" s="14">
        <v>1</v>
      </c>
      <c r="K422" s="14" t="s">
        <v>1407</v>
      </c>
      <c r="L422" s="14" t="s">
        <v>1690</v>
      </c>
      <c r="M422" s="15" t="s">
        <v>1691</v>
      </c>
      <c r="N422" s="15" t="s">
        <v>497</v>
      </c>
      <c r="O422" s="15" t="s">
        <v>1692</v>
      </c>
      <c r="P422" s="15" t="s">
        <v>1693</v>
      </c>
      <c r="Q422" s="15" t="s">
        <v>500</v>
      </c>
      <c r="R422" s="16" t="s">
        <v>54</v>
      </c>
      <c r="S422" s="12" t="s">
        <v>1417</v>
      </c>
      <c r="T422" s="14" t="s">
        <v>55</v>
      </c>
    </row>
    <row r="423" spans="1:20" ht="16.5">
      <c r="A423" s="21" t="s">
        <v>56</v>
      </c>
      <c r="B423" s="17" t="s">
        <v>487</v>
      </c>
      <c r="C423" s="17" t="s">
        <v>204</v>
      </c>
      <c r="D423" s="18" t="s">
        <v>1527</v>
      </c>
      <c r="E423" s="17" t="s">
        <v>501</v>
      </c>
      <c r="F423" s="17" t="s">
        <v>488</v>
      </c>
      <c r="G423" s="18" t="s">
        <v>1688</v>
      </c>
      <c r="H423" s="20" t="s">
        <v>1694</v>
      </c>
      <c r="I423" s="17" t="s">
        <v>494</v>
      </c>
      <c r="J423" s="21">
        <v>1</v>
      </c>
      <c r="K423" s="21" t="s">
        <v>1407</v>
      </c>
      <c r="L423" s="21" t="s">
        <v>1695</v>
      </c>
      <c r="M423" s="19" t="s">
        <v>1530</v>
      </c>
      <c r="N423" s="19" t="s">
        <v>504</v>
      </c>
      <c r="O423" s="19" t="s">
        <v>1691</v>
      </c>
      <c r="P423" s="19"/>
      <c r="Q423" s="19" t="s">
        <v>211</v>
      </c>
      <c r="R423" s="16" t="s">
        <v>54</v>
      </c>
      <c r="S423" s="18" t="s">
        <v>1417</v>
      </c>
      <c r="T423" s="21" t="s">
        <v>55</v>
      </c>
    </row>
    <row r="424" spans="1:20" ht="29.25">
      <c r="A424" s="14" t="s">
        <v>56</v>
      </c>
      <c r="B424" s="11" t="s">
        <v>487</v>
      </c>
      <c r="C424" s="11" t="s">
        <v>491</v>
      </c>
      <c r="D424" s="12" t="s">
        <v>1689</v>
      </c>
      <c r="E424" s="11" t="s">
        <v>505</v>
      </c>
      <c r="F424" s="11" t="s">
        <v>204</v>
      </c>
      <c r="G424" s="12" t="s">
        <v>1527</v>
      </c>
      <c r="H424" s="13" t="s">
        <v>1696</v>
      </c>
      <c r="I424" s="11" t="s">
        <v>507</v>
      </c>
      <c r="J424" s="14">
        <v>1</v>
      </c>
      <c r="K424" s="14" t="s">
        <v>1407</v>
      </c>
      <c r="L424" s="14" t="s">
        <v>1697</v>
      </c>
      <c r="M424" s="15" t="s">
        <v>1692</v>
      </c>
      <c r="N424" s="15" t="s">
        <v>509</v>
      </c>
      <c r="O424" s="15" t="s">
        <v>1530</v>
      </c>
      <c r="P424" s="15" t="s">
        <v>1693</v>
      </c>
      <c r="Q424" s="12" t="s">
        <v>286</v>
      </c>
      <c r="R424" s="22" t="s">
        <v>88</v>
      </c>
      <c r="S424" s="12" t="s">
        <v>1417</v>
      </c>
      <c r="T424" s="14" t="s">
        <v>55</v>
      </c>
    </row>
    <row r="425" spans="1:20" ht="16.5">
      <c r="A425" s="21" t="s">
        <v>56</v>
      </c>
      <c r="B425" s="17" t="s">
        <v>487</v>
      </c>
      <c r="C425" s="17" t="s">
        <v>488</v>
      </c>
      <c r="D425" s="18" t="s">
        <v>1698</v>
      </c>
      <c r="E425" s="17" t="s">
        <v>490</v>
      </c>
      <c r="F425" s="17" t="s">
        <v>491</v>
      </c>
      <c r="G425" s="18" t="s">
        <v>1699</v>
      </c>
      <c r="H425" s="24" t="s">
        <v>584</v>
      </c>
      <c r="I425" s="17" t="s">
        <v>494</v>
      </c>
      <c r="J425" s="21">
        <v>1</v>
      </c>
      <c r="K425" s="21" t="s">
        <v>1407</v>
      </c>
      <c r="L425" s="21" t="s">
        <v>1700</v>
      </c>
      <c r="M425" s="19" t="s">
        <v>1701</v>
      </c>
      <c r="N425" s="19" t="s">
        <v>497</v>
      </c>
      <c r="O425" s="19" t="s">
        <v>1702</v>
      </c>
      <c r="P425" s="19" t="s">
        <v>1703</v>
      </c>
      <c r="Q425" s="19" t="s">
        <v>500</v>
      </c>
      <c r="R425" s="16" t="s">
        <v>54</v>
      </c>
      <c r="S425" s="18" t="s">
        <v>1417</v>
      </c>
      <c r="T425" s="21" t="s">
        <v>55</v>
      </c>
    </row>
    <row r="426" spans="1:20" ht="16.5">
      <c r="A426" s="14" t="s">
        <v>56</v>
      </c>
      <c r="B426" s="11" t="s">
        <v>487</v>
      </c>
      <c r="C426" s="11" t="s">
        <v>204</v>
      </c>
      <c r="D426" s="12" t="s">
        <v>1532</v>
      </c>
      <c r="E426" s="11" t="s">
        <v>501</v>
      </c>
      <c r="F426" s="11" t="s">
        <v>488</v>
      </c>
      <c r="G426" s="12" t="s">
        <v>1698</v>
      </c>
      <c r="H426" s="13" t="s">
        <v>1704</v>
      </c>
      <c r="I426" s="11" t="s">
        <v>494</v>
      </c>
      <c r="J426" s="14">
        <v>1</v>
      </c>
      <c r="K426" s="14" t="s">
        <v>1407</v>
      </c>
      <c r="L426" s="14" t="s">
        <v>1705</v>
      </c>
      <c r="M426" s="15" t="s">
        <v>1535</v>
      </c>
      <c r="N426" s="15" t="s">
        <v>504</v>
      </c>
      <c r="O426" s="15" t="s">
        <v>1701</v>
      </c>
      <c r="P426" s="15"/>
      <c r="Q426" s="15" t="s">
        <v>211</v>
      </c>
      <c r="R426" s="16" t="s">
        <v>54</v>
      </c>
      <c r="S426" s="12" t="s">
        <v>1417</v>
      </c>
      <c r="T426" s="14" t="s">
        <v>55</v>
      </c>
    </row>
    <row r="427" spans="1:20" ht="16.5">
      <c r="A427" s="21" t="s">
        <v>56</v>
      </c>
      <c r="B427" s="17" t="s">
        <v>487</v>
      </c>
      <c r="C427" s="17" t="s">
        <v>491</v>
      </c>
      <c r="D427" s="18" t="s">
        <v>1699</v>
      </c>
      <c r="E427" s="17" t="s">
        <v>505</v>
      </c>
      <c r="F427" s="17" t="s">
        <v>204</v>
      </c>
      <c r="G427" s="18" t="s">
        <v>1532</v>
      </c>
      <c r="H427" s="20" t="s">
        <v>1706</v>
      </c>
      <c r="I427" s="17" t="s">
        <v>507</v>
      </c>
      <c r="J427" s="21">
        <v>1</v>
      </c>
      <c r="K427" s="21" t="s">
        <v>1407</v>
      </c>
      <c r="L427" s="21" t="s">
        <v>1707</v>
      </c>
      <c r="M427" s="19" t="s">
        <v>1702</v>
      </c>
      <c r="N427" s="19" t="s">
        <v>509</v>
      </c>
      <c r="O427" s="19" t="s">
        <v>1535</v>
      </c>
      <c r="P427" s="19" t="s">
        <v>1703</v>
      </c>
      <c r="Q427" s="18" t="s">
        <v>286</v>
      </c>
      <c r="R427" s="22" t="s">
        <v>88</v>
      </c>
      <c r="S427" s="18" t="s">
        <v>1417</v>
      </c>
      <c r="T427" s="21" t="s">
        <v>55</v>
      </c>
    </row>
    <row r="428" spans="1:20" ht="16.5">
      <c r="A428" s="14" t="s">
        <v>56</v>
      </c>
      <c r="B428" s="11" t="s">
        <v>564</v>
      </c>
      <c r="C428" s="11" t="s">
        <v>204</v>
      </c>
      <c r="D428" s="12" t="s">
        <v>1527</v>
      </c>
      <c r="E428" s="11" t="s">
        <v>565</v>
      </c>
      <c r="F428" s="11" t="s">
        <v>566</v>
      </c>
      <c r="G428" s="12" t="s">
        <v>1708</v>
      </c>
      <c r="H428" s="13" t="s">
        <v>1709</v>
      </c>
      <c r="I428" s="11" t="s">
        <v>569</v>
      </c>
      <c r="J428" s="14">
        <v>1</v>
      </c>
      <c r="K428" s="14" t="s">
        <v>1407</v>
      </c>
      <c r="L428" s="14" t="s">
        <v>1710</v>
      </c>
      <c r="M428" s="15" t="s">
        <v>1530</v>
      </c>
      <c r="N428" s="15" t="s">
        <v>571</v>
      </c>
      <c r="O428" s="15" t="s">
        <v>1711</v>
      </c>
      <c r="P428" s="15" t="s">
        <v>1531</v>
      </c>
      <c r="Q428" s="12" t="s">
        <v>53</v>
      </c>
      <c r="R428" s="16" t="s">
        <v>54</v>
      </c>
      <c r="S428" s="12" t="s">
        <v>1417</v>
      </c>
      <c r="T428" s="14" t="s">
        <v>55</v>
      </c>
    </row>
    <row r="429" spans="1:20" ht="16.5">
      <c r="A429" s="21" t="s">
        <v>56</v>
      </c>
      <c r="B429" s="17" t="s">
        <v>578</v>
      </c>
      <c r="C429" s="17" t="s">
        <v>62</v>
      </c>
      <c r="D429" s="18" t="s">
        <v>621</v>
      </c>
      <c r="E429" s="17" t="s">
        <v>45</v>
      </c>
      <c r="F429" s="17" t="s">
        <v>62</v>
      </c>
      <c r="G429" s="18" t="s">
        <v>1413</v>
      </c>
      <c r="H429" s="20" t="s">
        <v>1712</v>
      </c>
      <c r="I429" s="17" t="s">
        <v>581</v>
      </c>
      <c r="J429" s="21">
        <v>1</v>
      </c>
      <c r="K429" s="21" t="s">
        <v>1407</v>
      </c>
      <c r="L429" s="21" t="s">
        <v>1713</v>
      </c>
      <c r="M429" s="19" t="s">
        <v>623</v>
      </c>
      <c r="N429" s="19" t="s">
        <v>51</v>
      </c>
      <c r="O429" s="19" t="s">
        <v>1416</v>
      </c>
      <c r="P429" s="19"/>
      <c r="Q429" s="18" t="s">
        <v>53</v>
      </c>
      <c r="R429" s="16" t="s">
        <v>54</v>
      </c>
      <c r="S429" s="18" t="s">
        <v>1417</v>
      </c>
      <c r="T429" s="21" t="s">
        <v>55</v>
      </c>
    </row>
    <row r="430" spans="1:20" ht="16.5">
      <c r="A430" s="14" t="s">
        <v>56</v>
      </c>
      <c r="B430" s="11" t="s">
        <v>578</v>
      </c>
      <c r="C430" s="11" t="s">
        <v>62</v>
      </c>
      <c r="D430" s="12" t="s">
        <v>1499</v>
      </c>
      <c r="E430" s="11" t="s">
        <v>45</v>
      </c>
      <c r="F430" s="11" t="s">
        <v>62</v>
      </c>
      <c r="G430" s="12" t="s">
        <v>1413</v>
      </c>
      <c r="H430" s="13" t="s">
        <v>1714</v>
      </c>
      <c r="I430" s="11" t="s">
        <v>581</v>
      </c>
      <c r="J430" s="14">
        <v>1</v>
      </c>
      <c r="K430" s="14" t="s">
        <v>1407</v>
      </c>
      <c r="L430" s="14" t="s">
        <v>1715</v>
      </c>
      <c r="M430" s="15" t="s">
        <v>1502</v>
      </c>
      <c r="N430" s="15" t="s">
        <v>51</v>
      </c>
      <c r="O430" s="15" t="s">
        <v>1416</v>
      </c>
      <c r="P430" s="15"/>
      <c r="Q430" s="12" t="s">
        <v>53</v>
      </c>
      <c r="R430" s="16" t="s">
        <v>54</v>
      </c>
      <c r="S430" s="12" t="s">
        <v>1417</v>
      </c>
      <c r="T430" s="14" t="s">
        <v>55</v>
      </c>
    </row>
    <row r="431" spans="1:20" ht="16.5">
      <c r="A431" s="21" t="s">
        <v>56</v>
      </c>
      <c r="B431" s="17" t="s">
        <v>578</v>
      </c>
      <c r="C431" s="17" t="s">
        <v>62</v>
      </c>
      <c r="D431" s="18" t="s">
        <v>1464</v>
      </c>
      <c r="E431" s="17" t="s">
        <v>45</v>
      </c>
      <c r="F431" s="17" t="s">
        <v>62</v>
      </c>
      <c r="G431" s="18" t="s">
        <v>1448</v>
      </c>
      <c r="H431" s="20" t="s">
        <v>1716</v>
      </c>
      <c r="I431" s="17" t="s">
        <v>1246</v>
      </c>
      <c r="J431" s="21">
        <v>1</v>
      </c>
      <c r="K431" s="21" t="s">
        <v>1407</v>
      </c>
      <c r="L431" s="21" t="s">
        <v>1717</v>
      </c>
      <c r="M431" s="19" t="s">
        <v>1467</v>
      </c>
      <c r="N431" s="19" t="s">
        <v>51</v>
      </c>
      <c r="O431" s="19" t="s">
        <v>1451</v>
      </c>
      <c r="P431" s="19"/>
      <c r="Q431" s="18" t="s">
        <v>53</v>
      </c>
      <c r="R431" s="16" t="s">
        <v>54</v>
      </c>
      <c r="S431" s="18" t="s">
        <v>1417</v>
      </c>
      <c r="T431" s="21" t="s">
        <v>55</v>
      </c>
    </row>
    <row r="432" spans="1:20" ht="16.5">
      <c r="A432" s="14" t="s">
        <v>56</v>
      </c>
      <c r="B432" s="11" t="s">
        <v>578</v>
      </c>
      <c r="C432" s="11" t="s">
        <v>62</v>
      </c>
      <c r="D432" s="12" t="s">
        <v>1448</v>
      </c>
      <c r="E432" s="11" t="s">
        <v>635</v>
      </c>
      <c r="F432" s="11" t="s">
        <v>300</v>
      </c>
      <c r="G432" s="12" t="s">
        <v>630</v>
      </c>
      <c r="H432" s="23" t="s">
        <v>584</v>
      </c>
      <c r="I432" s="11" t="s">
        <v>1246</v>
      </c>
      <c r="J432" s="14">
        <v>1</v>
      </c>
      <c r="K432" s="14" t="s">
        <v>1407</v>
      </c>
      <c r="L432" s="14" t="s">
        <v>1718</v>
      </c>
      <c r="M432" s="15" t="s">
        <v>1451</v>
      </c>
      <c r="N432" s="15" t="s">
        <v>640</v>
      </c>
      <c r="O432" s="15" t="s">
        <v>634</v>
      </c>
      <c r="P432" s="15"/>
      <c r="Q432" s="12" t="s">
        <v>53</v>
      </c>
      <c r="R432" s="16" t="s">
        <v>54</v>
      </c>
      <c r="S432" s="12" t="s">
        <v>1417</v>
      </c>
      <c r="T432" s="14" t="s">
        <v>55</v>
      </c>
    </row>
    <row r="433" spans="1:20" ht="16.5">
      <c r="A433" s="21" t="s">
        <v>56</v>
      </c>
      <c r="B433" s="17" t="s">
        <v>578</v>
      </c>
      <c r="C433" s="17" t="s">
        <v>300</v>
      </c>
      <c r="D433" s="18" t="s">
        <v>630</v>
      </c>
      <c r="E433" s="17" t="s">
        <v>589</v>
      </c>
      <c r="F433" s="17" t="s">
        <v>62</v>
      </c>
      <c r="G433" s="18" t="s">
        <v>1413</v>
      </c>
      <c r="H433" s="20" t="s">
        <v>1719</v>
      </c>
      <c r="I433" s="17" t="s">
        <v>1720</v>
      </c>
      <c r="J433" s="21">
        <v>1</v>
      </c>
      <c r="K433" s="21" t="s">
        <v>1407</v>
      </c>
      <c r="L433" s="21" t="s">
        <v>1721</v>
      </c>
      <c r="M433" s="19" t="s">
        <v>634</v>
      </c>
      <c r="N433" s="19" t="s">
        <v>594</v>
      </c>
      <c r="O433" s="19" t="s">
        <v>1416</v>
      </c>
      <c r="P433" s="19"/>
      <c r="Q433" s="18" t="s">
        <v>649</v>
      </c>
      <c r="R433" s="22" t="s">
        <v>88</v>
      </c>
      <c r="S433" s="18" t="s">
        <v>1417</v>
      </c>
      <c r="T433" s="21" t="s">
        <v>55</v>
      </c>
    </row>
    <row r="434" spans="1:20" ht="16.5">
      <c r="A434" s="14" t="s">
        <v>56</v>
      </c>
      <c r="B434" s="11" t="s">
        <v>578</v>
      </c>
      <c r="C434" s="11" t="s">
        <v>62</v>
      </c>
      <c r="D434" s="12" t="s">
        <v>1413</v>
      </c>
      <c r="E434" s="11" t="s">
        <v>612</v>
      </c>
      <c r="F434" s="11" t="s">
        <v>300</v>
      </c>
      <c r="G434" s="12" t="s">
        <v>1566</v>
      </c>
      <c r="H434" s="13" t="s">
        <v>1006</v>
      </c>
      <c r="I434" s="11" t="s">
        <v>614</v>
      </c>
      <c r="J434" s="14">
        <v>1</v>
      </c>
      <c r="K434" s="14" t="s">
        <v>1407</v>
      </c>
      <c r="L434" s="14" t="s">
        <v>1722</v>
      </c>
      <c r="M434" s="15" t="s">
        <v>1416</v>
      </c>
      <c r="N434" s="15" t="s">
        <v>616</v>
      </c>
      <c r="O434" s="15" t="s">
        <v>1569</v>
      </c>
      <c r="P434" s="15"/>
      <c r="Q434" s="12" t="s">
        <v>53</v>
      </c>
      <c r="R434" s="16" t="s">
        <v>54</v>
      </c>
      <c r="S434" s="12" t="s">
        <v>1417</v>
      </c>
      <c r="T434" s="14" t="s">
        <v>55</v>
      </c>
    </row>
    <row r="435" spans="1:20" ht="16.5">
      <c r="A435" s="21" t="s">
        <v>56</v>
      </c>
      <c r="B435" s="17" t="s">
        <v>578</v>
      </c>
      <c r="C435" s="17" t="s">
        <v>62</v>
      </c>
      <c r="D435" s="18" t="s">
        <v>1413</v>
      </c>
      <c r="E435" s="17" t="s">
        <v>612</v>
      </c>
      <c r="F435" s="17" t="s">
        <v>300</v>
      </c>
      <c r="G435" s="18" t="s">
        <v>642</v>
      </c>
      <c r="H435" s="20" t="s">
        <v>1723</v>
      </c>
      <c r="I435" s="17" t="s">
        <v>614</v>
      </c>
      <c r="J435" s="21">
        <v>1</v>
      </c>
      <c r="K435" s="21" t="s">
        <v>1407</v>
      </c>
      <c r="L435" s="21" t="s">
        <v>1724</v>
      </c>
      <c r="M435" s="19" t="s">
        <v>1416</v>
      </c>
      <c r="N435" s="19" t="s">
        <v>616</v>
      </c>
      <c r="O435" s="19" t="s">
        <v>647</v>
      </c>
      <c r="P435" s="19"/>
      <c r="Q435" s="18" t="s">
        <v>53</v>
      </c>
      <c r="R435" s="16" t="s">
        <v>54</v>
      </c>
      <c r="S435" s="18" t="s">
        <v>1417</v>
      </c>
      <c r="T435" s="21" t="s">
        <v>55</v>
      </c>
    </row>
    <row r="436" spans="1:20" ht="16.5">
      <c r="A436" s="14" t="s">
        <v>56</v>
      </c>
      <c r="B436" s="11" t="s">
        <v>578</v>
      </c>
      <c r="C436" s="11" t="s">
        <v>300</v>
      </c>
      <c r="D436" s="12" t="s">
        <v>1566</v>
      </c>
      <c r="E436" s="11" t="s">
        <v>579</v>
      </c>
      <c r="F436" s="11" t="s">
        <v>62</v>
      </c>
      <c r="G436" s="12" t="s">
        <v>1472</v>
      </c>
      <c r="H436" s="23" t="s">
        <v>584</v>
      </c>
      <c r="I436" s="11" t="s">
        <v>614</v>
      </c>
      <c r="J436" s="14">
        <v>1</v>
      </c>
      <c r="K436" s="14" t="s">
        <v>1407</v>
      </c>
      <c r="L436" s="14" t="s">
        <v>1725</v>
      </c>
      <c r="M436" s="15" t="s">
        <v>1569</v>
      </c>
      <c r="N436" s="15" t="s">
        <v>583</v>
      </c>
      <c r="O436" s="15" t="s">
        <v>1475</v>
      </c>
      <c r="P436" s="15"/>
      <c r="Q436" s="12" t="s">
        <v>53</v>
      </c>
      <c r="R436" s="16" t="s">
        <v>54</v>
      </c>
      <c r="S436" s="12" t="s">
        <v>1417</v>
      </c>
      <c r="T436" s="14" t="s">
        <v>55</v>
      </c>
    </row>
    <row r="437" spans="1:20" ht="16.5">
      <c r="A437" s="21" t="s">
        <v>56</v>
      </c>
      <c r="B437" s="17" t="s">
        <v>578</v>
      </c>
      <c r="C437" s="17" t="s">
        <v>300</v>
      </c>
      <c r="D437" s="18" t="s">
        <v>642</v>
      </c>
      <c r="E437" s="17" t="s">
        <v>579</v>
      </c>
      <c r="F437" s="17" t="s">
        <v>62</v>
      </c>
      <c r="G437" s="18" t="s">
        <v>1487</v>
      </c>
      <c r="H437" s="24" t="s">
        <v>584</v>
      </c>
      <c r="I437" s="17" t="s">
        <v>614</v>
      </c>
      <c r="J437" s="21">
        <v>1</v>
      </c>
      <c r="K437" s="21" t="s">
        <v>1407</v>
      </c>
      <c r="L437" s="21" t="s">
        <v>1726</v>
      </c>
      <c r="M437" s="19" t="s">
        <v>647</v>
      </c>
      <c r="N437" s="19" t="s">
        <v>583</v>
      </c>
      <c r="O437" s="19" t="s">
        <v>1490</v>
      </c>
      <c r="P437" s="19"/>
      <c r="Q437" s="18" t="s">
        <v>53</v>
      </c>
      <c r="R437" s="16" t="s">
        <v>54</v>
      </c>
      <c r="S437" s="18" t="s">
        <v>1417</v>
      </c>
      <c r="T437" s="21" t="s">
        <v>55</v>
      </c>
    </row>
    <row r="438" spans="1:20" ht="16.5">
      <c r="A438" s="14" t="s">
        <v>56</v>
      </c>
      <c r="B438" s="11" t="s">
        <v>578</v>
      </c>
      <c r="C438" s="11" t="s">
        <v>62</v>
      </c>
      <c r="D438" s="12" t="s">
        <v>1472</v>
      </c>
      <c r="E438" s="11" t="s">
        <v>45</v>
      </c>
      <c r="F438" s="11" t="s">
        <v>62</v>
      </c>
      <c r="G438" s="12" t="s">
        <v>1727</v>
      </c>
      <c r="H438" s="13" t="s">
        <v>1728</v>
      </c>
      <c r="I438" s="11" t="s">
        <v>43</v>
      </c>
      <c r="J438" s="14">
        <v>1</v>
      </c>
      <c r="K438" s="14" t="s">
        <v>1407</v>
      </c>
      <c r="L438" s="14" t="s">
        <v>1729</v>
      </c>
      <c r="M438" s="15" t="s">
        <v>1475</v>
      </c>
      <c r="N438" s="15" t="s">
        <v>51</v>
      </c>
      <c r="O438" s="15" t="s">
        <v>1730</v>
      </c>
      <c r="P438" s="15"/>
      <c r="Q438" s="12" t="s">
        <v>53</v>
      </c>
      <c r="R438" s="16" t="s">
        <v>54</v>
      </c>
      <c r="S438" s="12" t="s">
        <v>1417</v>
      </c>
      <c r="T438" s="14" t="s">
        <v>55</v>
      </c>
    </row>
    <row r="439" spans="1:20" ht="16.5">
      <c r="A439" s="21" t="s">
        <v>56</v>
      </c>
      <c r="B439" s="17" t="s">
        <v>650</v>
      </c>
      <c r="C439" s="17" t="s">
        <v>204</v>
      </c>
      <c r="D439" s="18" t="s">
        <v>1512</v>
      </c>
      <c r="E439" s="17" t="s">
        <v>654</v>
      </c>
      <c r="F439" s="17" t="s">
        <v>295</v>
      </c>
      <c r="G439" s="18" t="s">
        <v>1562</v>
      </c>
      <c r="H439" s="20" t="s">
        <v>1731</v>
      </c>
      <c r="I439" s="17" t="s">
        <v>652</v>
      </c>
      <c r="J439" s="21">
        <v>1</v>
      </c>
      <c r="K439" s="21" t="s">
        <v>1407</v>
      </c>
      <c r="L439" s="21" t="s">
        <v>1732</v>
      </c>
      <c r="M439" s="19" t="s">
        <v>1515</v>
      </c>
      <c r="N439" s="19" t="s">
        <v>657</v>
      </c>
      <c r="O439" s="19" t="s">
        <v>1565</v>
      </c>
      <c r="P439" s="19" t="s">
        <v>1733</v>
      </c>
      <c r="Q439" s="18" t="s">
        <v>286</v>
      </c>
      <c r="R439" s="22" t="s">
        <v>88</v>
      </c>
      <c r="S439" s="18" t="s">
        <v>1417</v>
      </c>
      <c r="T439" s="21" t="s">
        <v>55</v>
      </c>
    </row>
    <row r="440" spans="1:20" ht="16.5">
      <c r="A440" s="14" t="s">
        <v>56</v>
      </c>
      <c r="B440" s="11" t="s">
        <v>650</v>
      </c>
      <c r="C440" s="11" t="s">
        <v>204</v>
      </c>
      <c r="D440" s="12" t="s">
        <v>1512</v>
      </c>
      <c r="E440" s="11" t="s">
        <v>667</v>
      </c>
      <c r="F440" s="11" t="s">
        <v>204</v>
      </c>
      <c r="G440" s="12" t="s">
        <v>1522</v>
      </c>
      <c r="H440" s="23" t="s">
        <v>584</v>
      </c>
      <c r="I440" s="11" t="s">
        <v>680</v>
      </c>
      <c r="J440" s="14">
        <v>2</v>
      </c>
      <c r="K440" s="14" t="s">
        <v>1407</v>
      </c>
      <c r="L440" s="14" t="s">
        <v>1734</v>
      </c>
      <c r="M440" s="15" t="s">
        <v>1515</v>
      </c>
      <c r="N440" s="15" t="s">
        <v>670</v>
      </c>
      <c r="O440" s="15" t="s">
        <v>1525</v>
      </c>
      <c r="P440" s="15" t="s">
        <v>1733</v>
      </c>
      <c r="Q440" s="12" t="s">
        <v>286</v>
      </c>
      <c r="R440" s="25" t="s">
        <v>607</v>
      </c>
      <c r="S440" s="12" t="s">
        <v>1417</v>
      </c>
      <c r="T440" s="14" t="s">
        <v>55</v>
      </c>
    </row>
    <row r="441" spans="1:20" ht="16.5">
      <c r="A441" s="21" t="s">
        <v>56</v>
      </c>
      <c r="B441" s="17" t="s">
        <v>650</v>
      </c>
      <c r="C441" s="17" t="s">
        <v>204</v>
      </c>
      <c r="D441" s="18" t="s">
        <v>1522</v>
      </c>
      <c r="E441" s="17" t="s">
        <v>505</v>
      </c>
      <c r="F441" s="17" t="s">
        <v>204</v>
      </c>
      <c r="G441" s="18" t="s">
        <v>287</v>
      </c>
      <c r="H441" s="20" t="s">
        <v>1735</v>
      </c>
      <c r="I441" s="17" t="s">
        <v>652</v>
      </c>
      <c r="J441" s="21">
        <v>2</v>
      </c>
      <c r="K441" s="21" t="s">
        <v>1407</v>
      </c>
      <c r="L441" s="21" t="s">
        <v>1736</v>
      </c>
      <c r="M441" s="19" t="s">
        <v>1525</v>
      </c>
      <c r="N441" s="19" t="s">
        <v>509</v>
      </c>
      <c r="O441" s="19" t="s">
        <v>290</v>
      </c>
      <c r="P441" s="19" t="s">
        <v>1526</v>
      </c>
      <c r="Q441" s="18" t="s">
        <v>286</v>
      </c>
      <c r="R441" s="22" t="s">
        <v>88</v>
      </c>
      <c r="S441" s="18" t="s">
        <v>1417</v>
      </c>
      <c r="T441" s="21" t="s">
        <v>55</v>
      </c>
    </row>
    <row r="442" spans="1:20" ht="16.5">
      <c r="A442" s="14" t="s">
        <v>56</v>
      </c>
      <c r="B442" s="11" t="s">
        <v>695</v>
      </c>
      <c r="C442" s="11" t="s">
        <v>295</v>
      </c>
      <c r="D442" s="12" t="s">
        <v>1562</v>
      </c>
      <c r="E442" s="11" t="s">
        <v>654</v>
      </c>
      <c r="F442" s="11" t="s">
        <v>295</v>
      </c>
      <c r="G442" s="12" t="s">
        <v>1737</v>
      </c>
      <c r="H442" s="23" t="s">
        <v>584</v>
      </c>
      <c r="I442" s="11" t="s">
        <v>696</v>
      </c>
      <c r="J442" s="14">
        <v>2</v>
      </c>
      <c r="K442" s="14" t="s">
        <v>1407</v>
      </c>
      <c r="L442" s="14" t="s">
        <v>1738</v>
      </c>
      <c r="M442" s="15" t="s">
        <v>1565</v>
      </c>
      <c r="N442" s="15" t="s">
        <v>657</v>
      </c>
      <c r="O442" s="15" t="s">
        <v>1739</v>
      </c>
      <c r="P442" s="15"/>
      <c r="Q442" s="12" t="s">
        <v>286</v>
      </c>
      <c r="R442" s="22" t="s">
        <v>88</v>
      </c>
      <c r="S442" s="12" t="s">
        <v>1417</v>
      </c>
      <c r="T442" s="14" t="s">
        <v>55</v>
      </c>
    </row>
    <row r="443" spans="1:20" ht="16.5">
      <c r="A443" s="17" t="s">
        <v>1409</v>
      </c>
      <c r="B443" s="17" t="s">
        <v>43</v>
      </c>
      <c r="C443" s="17" t="s">
        <v>44</v>
      </c>
      <c r="D443" s="18" t="s">
        <v>1409</v>
      </c>
      <c r="E443" s="17" t="s">
        <v>45</v>
      </c>
      <c r="F443" s="17" t="s">
        <v>44</v>
      </c>
      <c r="G443" s="19" t="s">
        <v>1740</v>
      </c>
      <c r="H443" s="20" t="s">
        <v>1741</v>
      </c>
      <c r="I443" s="17" t="s">
        <v>43</v>
      </c>
      <c r="J443" s="21">
        <v>1</v>
      </c>
      <c r="K443" s="21" t="s">
        <v>1742</v>
      </c>
      <c r="L443" s="21" t="s">
        <v>1743</v>
      </c>
      <c r="M443" s="19" t="s">
        <v>1412</v>
      </c>
      <c r="N443" s="19" t="s">
        <v>51</v>
      </c>
      <c r="O443" s="19" t="s">
        <v>1744</v>
      </c>
      <c r="P443" s="19"/>
      <c r="Q443" s="18" t="s">
        <v>53</v>
      </c>
      <c r="R443" s="16" t="s">
        <v>54</v>
      </c>
      <c r="S443" s="19"/>
      <c r="T443" s="21" t="s">
        <v>55</v>
      </c>
    </row>
    <row r="444" spans="1:20" ht="16.5">
      <c r="A444" s="11" t="s">
        <v>1409</v>
      </c>
      <c r="B444" s="11" t="s">
        <v>43</v>
      </c>
      <c r="C444" s="11" t="s">
        <v>44</v>
      </c>
      <c r="D444" s="12" t="s">
        <v>1409</v>
      </c>
      <c r="E444" s="11" t="s">
        <v>45</v>
      </c>
      <c r="F444" s="11" t="s">
        <v>44</v>
      </c>
      <c r="G444" s="12" t="s">
        <v>1745</v>
      </c>
      <c r="H444" s="13" t="s">
        <v>1746</v>
      </c>
      <c r="I444" s="11" t="s">
        <v>43</v>
      </c>
      <c r="J444" s="14">
        <v>1</v>
      </c>
      <c r="K444" s="14" t="s">
        <v>1742</v>
      </c>
      <c r="L444" s="14" t="s">
        <v>1747</v>
      </c>
      <c r="M444" s="15" t="s">
        <v>1412</v>
      </c>
      <c r="N444" s="15" t="s">
        <v>51</v>
      </c>
      <c r="O444" s="15" t="s">
        <v>1748</v>
      </c>
      <c r="P444" s="15"/>
      <c r="Q444" s="12" t="s">
        <v>53</v>
      </c>
      <c r="R444" s="16" t="s">
        <v>54</v>
      </c>
      <c r="S444" s="15"/>
      <c r="T444" s="14" t="s">
        <v>55</v>
      </c>
    </row>
    <row r="445" spans="1:20" ht="16.5">
      <c r="A445" s="17" t="s">
        <v>1409</v>
      </c>
      <c r="B445" s="17" t="s">
        <v>60</v>
      </c>
      <c r="C445" s="17" t="s">
        <v>44</v>
      </c>
      <c r="D445" s="18" t="s">
        <v>1409</v>
      </c>
      <c r="E445" s="17" t="s">
        <v>61</v>
      </c>
      <c r="F445" s="17" t="s">
        <v>62</v>
      </c>
      <c r="G445" s="18" t="s">
        <v>1727</v>
      </c>
      <c r="H445" s="20" t="s">
        <v>1749</v>
      </c>
      <c r="I445" s="17" t="s">
        <v>65</v>
      </c>
      <c r="J445" s="21">
        <v>1</v>
      </c>
      <c r="K445" s="21" t="s">
        <v>1742</v>
      </c>
      <c r="L445" s="21" t="s">
        <v>1750</v>
      </c>
      <c r="M445" s="19" t="s">
        <v>1412</v>
      </c>
      <c r="N445" s="19" t="s">
        <v>67</v>
      </c>
      <c r="O445" s="19" t="s">
        <v>1730</v>
      </c>
      <c r="P445" s="19"/>
      <c r="Q445" s="18" t="s">
        <v>69</v>
      </c>
      <c r="R445" s="16" t="s">
        <v>54</v>
      </c>
      <c r="S445" s="18" t="s">
        <v>1751</v>
      </c>
      <c r="T445" s="21" t="s">
        <v>55</v>
      </c>
    </row>
    <row r="446" spans="1:20" ht="16.5">
      <c r="A446" s="11" t="s">
        <v>1409</v>
      </c>
      <c r="B446" s="11" t="s">
        <v>60</v>
      </c>
      <c r="C446" s="11" t="s">
        <v>62</v>
      </c>
      <c r="D446" s="12" t="s">
        <v>1727</v>
      </c>
      <c r="E446" s="11" t="s">
        <v>71</v>
      </c>
      <c r="F446" s="11" t="s">
        <v>72</v>
      </c>
      <c r="G446" s="12" t="s">
        <v>1752</v>
      </c>
      <c r="H446" s="13" t="s">
        <v>1753</v>
      </c>
      <c r="I446" s="11" t="s">
        <v>65</v>
      </c>
      <c r="J446" s="14">
        <v>1</v>
      </c>
      <c r="K446" s="14" t="s">
        <v>1742</v>
      </c>
      <c r="L446" s="14" t="s">
        <v>1754</v>
      </c>
      <c r="M446" s="15" t="s">
        <v>1730</v>
      </c>
      <c r="N446" s="15" t="s">
        <v>76</v>
      </c>
      <c r="O446" s="15" t="s">
        <v>1755</v>
      </c>
      <c r="P446" s="15"/>
      <c r="Q446" s="12" t="s">
        <v>69</v>
      </c>
      <c r="R446" s="16" t="s">
        <v>54</v>
      </c>
      <c r="S446" s="12" t="s">
        <v>1751</v>
      </c>
      <c r="T446" s="14" t="s">
        <v>55</v>
      </c>
    </row>
    <row r="447" spans="1:20" ht="16.5">
      <c r="A447" s="17" t="s">
        <v>1409</v>
      </c>
      <c r="B447" s="17" t="s">
        <v>60</v>
      </c>
      <c r="C447" s="17" t="s">
        <v>62</v>
      </c>
      <c r="D447" s="18" t="s">
        <v>1727</v>
      </c>
      <c r="E447" s="17" t="s">
        <v>71</v>
      </c>
      <c r="F447" s="17" t="s">
        <v>72</v>
      </c>
      <c r="G447" s="18" t="s">
        <v>1756</v>
      </c>
      <c r="H447" s="20" t="s">
        <v>1753</v>
      </c>
      <c r="I447" s="17" t="s">
        <v>65</v>
      </c>
      <c r="J447" s="21">
        <v>1</v>
      </c>
      <c r="K447" s="21" t="s">
        <v>1742</v>
      </c>
      <c r="L447" s="21" t="s">
        <v>1757</v>
      </c>
      <c r="M447" s="19" t="s">
        <v>1730</v>
      </c>
      <c r="N447" s="19" t="s">
        <v>76</v>
      </c>
      <c r="O447" s="19" t="s">
        <v>1758</v>
      </c>
      <c r="P447" s="19"/>
      <c r="Q447" s="18" t="s">
        <v>69</v>
      </c>
      <c r="R447" s="16" t="s">
        <v>54</v>
      </c>
      <c r="S447" s="18" t="s">
        <v>1751</v>
      </c>
      <c r="T447" s="21" t="s">
        <v>55</v>
      </c>
    </row>
    <row r="448" spans="1:20" ht="16.5">
      <c r="A448" s="11" t="s">
        <v>1409</v>
      </c>
      <c r="B448" s="11" t="s">
        <v>60</v>
      </c>
      <c r="C448" s="11" t="s">
        <v>62</v>
      </c>
      <c r="D448" s="12" t="s">
        <v>1727</v>
      </c>
      <c r="E448" s="11" t="s">
        <v>71</v>
      </c>
      <c r="F448" s="11" t="s">
        <v>72</v>
      </c>
      <c r="G448" s="12" t="s">
        <v>1759</v>
      </c>
      <c r="H448" s="13" t="s">
        <v>1753</v>
      </c>
      <c r="I448" s="11" t="s">
        <v>65</v>
      </c>
      <c r="J448" s="14">
        <v>1</v>
      </c>
      <c r="K448" s="14" t="s">
        <v>1742</v>
      </c>
      <c r="L448" s="14" t="s">
        <v>1760</v>
      </c>
      <c r="M448" s="15" t="s">
        <v>1730</v>
      </c>
      <c r="N448" s="15" t="s">
        <v>76</v>
      </c>
      <c r="O448" s="15" t="s">
        <v>1761</v>
      </c>
      <c r="P448" s="15"/>
      <c r="Q448" s="12" t="s">
        <v>69</v>
      </c>
      <c r="R448" s="16" t="s">
        <v>54</v>
      </c>
      <c r="S448" s="12" t="s">
        <v>1751</v>
      </c>
      <c r="T448" s="14" t="s">
        <v>55</v>
      </c>
    </row>
    <row r="449" spans="1:20" ht="16.5">
      <c r="A449" s="17" t="s">
        <v>1409</v>
      </c>
      <c r="B449" s="17" t="s">
        <v>60</v>
      </c>
      <c r="C449" s="17" t="s">
        <v>62</v>
      </c>
      <c r="D449" s="18" t="s">
        <v>1727</v>
      </c>
      <c r="E449" s="17" t="s">
        <v>71</v>
      </c>
      <c r="F449" s="17" t="s">
        <v>72</v>
      </c>
      <c r="G449" s="18" t="s">
        <v>1762</v>
      </c>
      <c r="H449" s="20" t="s">
        <v>1753</v>
      </c>
      <c r="I449" s="17" t="s">
        <v>65</v>
      </c>
      <c r="J449" s="21">
        <v>1</v>
      </c>
      <c r="K449" s="21" t="s">
        <v>1742</v>
      </c>
      <c r="L449" s="21" t="s">
        <v>1763</v>
      </c>
      <c r="M449" s="19" t="s">
        <v>1730</v>
      </c>
      <c r="N449" s="19" t="s">
        <v>76</v>
      </c>
      <c r="O449" s="19" t="s">
        <v>1764</v>
      </c>
      <c r="P449" s="19"/>
      <c r="Q449" s="18" t="s">
        <v>69</v>
      </c>
      <c r="R449" s="16" t="s">
        <v>54</v>
      </c>
      <c r="S449" s="18" t="s">
        <v>1751</v>
      </c>
      <c r="T449" s="21" t="s">
        <v>55</v>
      </c>
    </row>
    <row r="450" spans="1:20" ht="16.5">
      <c r="A450" s="11" t="s">
        <v>1409</v>
      </c>
      <c r="B450" s="11" t="s">
        <v>60</v>
      </c>
      <c r="C450" s="11" t="s">
        <v>62</v>
      </c>
      <c r="D450" s="12" t="s">
        <v>1727</v>
      </c>
      <c r="E450" s="11" t="s">
        <v>71</v>
      </c>
      <c r="F450" s="11" t="s">
        <v>72</v>
      </c>
      <c r="G450" s="12" t="s">
        <v>1765</v>
      </c>
      <c r="H450" s="13" t="s">
        <v>1753</v>
      </c>
      <c r="I450" s="11" t="s">
        <v>65</v>
      </c>
      <c r="J450" s="14">
        <v>1</v>
      </c>
      <c r="K450" s="14" t="s">
        <v>1742</v>
      </c>
      <c r="L450" s="14" t="s">
        <v>1766</v>
      </c>
      <c r="M450" s="15" t="s">
        <v>1730</v>
      </c>
      <c r="N450" s="15" t="s">
        <v>76</v>
      </c>
      <c r="O450" s="15" t="s">
        <v>1767</v>
      </c>
      <c r="P450" s="15"/>
      <c r="Q450" s="12" t="s">
        <v>69</v>
      </c>
      <c r="R450" s="16" t="s">
        <v>54</v>
      </c>
      <c r="S450" s="12" t="s">
        <v>1751</v>
      </c>
      <c r="T450" s="14" t="s">
        <v>55</v>
      </c>
    </row>
    <row r="451" spans="1:20" ht="16.5">
      <c r="A451" s="17" t="s">
        <v>1409</v>
      </c>
      <c r="B451" s="17" t="s">
        <v>60</v>
      </c>
      <c r="C451" s="17" t="s">
        <v>62</v>
      </c>
      <c r="D451" s="18" t="s">
        <v>1727</v>
      </c>
      <c r="E451" s="17" t="s">
        <v>71</v>
      </c>
      <c r="F451" s="17" t="s">
        <v>72</v>
      </c>
      <c r="G451" s="18" t="s">
        <v>1768</v>
      </c>
      <c r="H451" s="20" t="s">
        <v>1753</v>
      </c>
      <c r="I451" s="17" t="s">
        <v>65</v>
      </c>
      <c r="J451" s="21">
        <v>1</v>
      </c>
      <c r="K451" s="21" t="s">
        <v>1742</v>
      </c>
      <c r="L451" s="21" t="s">
        <v>1769</v>
      </c>
      <c r="M451" s="19" t="s">
        <v>1730</v>
      </c>
      <c r="N451" s="19" t="s">
        <v>76</v>
      </c>
      <c r="O451" s="19" t="s">
        <v>1770</v>
      </c>
      <c r="P451" s="19"/>
      <c r="Q451" s="18" t="s">
        <v>69</v>
      </c>
      <c r="R451" s="16" t="s">
        <v>54</v>
      </c>
      <c r="S451" s="18" t="s">
        <v>1751</v>
      </c>
      <c r="T451" s="21" t="s">
        <v>55</v>
      </c>
    </row>
    <row r="452" spans="1:20" ht="16.5">
      <c r="A452" s="11" t="s">
        <v>1409</v>
      </c>
      <c r="B452" s="11" t="s">
        <v>60</v>
      </c>
      <c r="C452" s="11" t="s">
        <v>62</v>
      </c>
      <c r="D452" s="12" t="s">
        <v>1727</v>
      </c>
      <c r="E452" s="11" t="s">
        <v>81</v>
      </c>
      <c r="F452" s="11" t="s">
        <v>82</v>
      </c>
      <c r="G452" s="12" t="s">
        <v>1771</v>
      </c>
      <c r="H452" s="13" t="s">
        <v>1772</v>
      </c>
      <c r="I452" s="11" t="s">
        <v>65</v>
      </c>
      <c r="J452" s="14">
        <v>1</v>
      </c>
      <c r="K452" s="14" t="s">
        <v>1742</v>
      </c>
      <c r="L452" s="14" t="s">
        <v>1773</v>
      </c>
      <c r="M452" s="15" t="s">
        <v>1730</v>
      </c>
      <c r="N452" s="15" t="s">
        <v>86</v>
      </c>
      <c r="O452" s="15" t="s">
        <v>1774</v>
      </c>
      <c r="P452" s="15"/>
      <c r="Q452" s="12" t="s">
        <v>53</v>
      </c>
      <c r="R452" s="22" t="s">
        <v>88</v>
      </c>
      <c r="S452" s="12" t="s">
        <v>1751</v>
      </c>
      <c r="T452" s="14" t="s">
        <v>55</v>
      </c>
    </row>
    <row r="453" spans="1:20" ht="16.5">
      <c r="A453" s="17" t="s">
        <v>1409</v>
      </c>
      <c r="B453" s="17" t="s">
        <v>60</v>
      </c>
      <c r="C453" s="17" t="s">
        <v>62</v>
      </c>
      <c r="D453" s="18" t="s">
        <v>1727</v>
      </c>
      <c r="E453" s="17" t="s">
        <v>81</v>
      </c>
      <c r="F453" s="17" t="s">
        <v>82</v>
      </c>
      <c r="G453" s="18" t="s">
        <v>1775</v>
      </c>
      <c r="H453" s="20" t="s">
        <v>1776</v>
      </c>
      <c r="I453" s="17" t="s">
        <v>65</v>
      </c>
      <c r="J453" s="21">
        <v>1</v>
      </c>
      <c r="K453" s="21" t="s">
        <v>1742</v>
      </c>
      <c r="L453" s="21" t="s">
        <v>1777</v>
      </c>
      <c r="M453" s="19" t="s">
        <v>1730</v>
      </c>
      <c r="N453" s="19" t="s">
        <v>86</v>
      </c>
      <c r="O453" s="19" t="s">
        <v>1778</v>
      </c>
      <c r="P453" s="19"/>
      <c r="Q453" s="18" t="s">
        <v>53</v>
      </c>
      <c r="R453" s="22" t="s">
        <v>88</v>
      </c>
      <c r="S453" s="18" t="s">
        <v>1751</v>
      </c>
      <c r="T453" s="21" t="s">
        <v>55</v>
      </c>
    </row>
    <row r="454" spans="1:20" ht="16.5">
      <c r="A454" s="11" t="s">
        <v>1409</v>
      </c>
      <c r="B454" s="11" t="s">
        <v>60</v>
      </c>
      <c r="C454" s="11" t="s">
        <v>62</v>
      </c>
      <c r="D454" s="12" t="s">
        <v>1727</v>
      </c>
      <c r="E454" s="11" t="s">
        <v>81</v>
      </c>
      <c r="F454" s="11" t="s">
        <v>82</v>
      </c>
      <c r="G454" s="12" t="s">
        <v>1779</v>
      </c>
      <c r="H454" s="13" t="s">
        <v>1780</v>
      </c>
      <c r="I454" s="11" t="s">
        <v>65</v>
      </c>
      <c r="J454" s="14">
        <v>1</v>
      </c>
      <c r="K454" s="14" t="s">
        <v>1742</v>
      </c>
      <c r="L454" s="14" t="s">
        <v>1781</v>
      </c>
      <c r="M454" s="15" t="s">
        <v>1730</v>
      </c>
      <c r="N454" s="15" t="s">
        <v>86</v>
      </c>
      <c r="O454" s="15" t="s">
        <v>1782</v>
      </c>
      <c r="P454" s="15"/>
      <c r="Q454" s="12" t="s">
        <v>53</v>
      </c>
      <c r="R454" s="22" t="s">
        <v>88</v>
      </c>
      <c r="S454" s="12" t="s">
        <v>1751</v>
      </c>
      <c r="T454" s="14" t="s">
        <v>55</v>
      </c>
    </row>
    <row r="455" spans="1:20" ht="16.5">
      <c r="A455" s="17" t="s">
        <v>1409</v>
      </c>
      <c r="B455" s="17" t="s">
        <v>60</v>
      </c>
      <c r="C455" s="17" t="s">
        <v>62</v>
      </c>
      <c r="D455" s="18" t="s">
        <v>1727</v>
      </c>
      <c r="E455" s="17" t="s">
        <v>81</v>
      </c>
      <c r="F455" s="17" t="s">
        <v>82</v>
      </c>
      <c r="G455" s="18" t="s">
        <v>1783</v>
      </c>
      <c r="H455" s="20" t="s">
        <v>1784</v>
      </c>
      <c r="I455" s="17" t="s">
        <v>65</v>
      </c>
      <c r="J455" s="21">
        <v>1</v>
      </c>
      <c r="K455" s="21" t="s">
        <v>1742</v>
      </c>
      <c r="L455" s="21" t="s">
        <v>1785</v>
      </c>
      <c r="M455" s="19" t="s">
        <v>1730</v>
      </c>
      <c r="N455" s="19" t="s">
        <v>86</v>
      </c>
      <c r="O455" s="19" t="s">
        <v>1786</v>
      </c>
      <c r="P455" s="19"/>
      <c r="Q455" s="18" t="s">
        <v>53</v>
      </c>
      <c r="R455" s="22" t="s">
        <v>88</v>
      </c>
      <c r="S455" s="18" t="s">
        <v>1751</v>
      </c>
      <c r="T455" s="21" t="s">
        <v>55</v>
      </c>
    </row>
    <row r="456" spans="1:20" ht="16.5">
      <c r="A456" s="11" t="s">
        <v>1409</v>
      </c>
      <c r="B456" s="11" t="s">
        <v>60</v>
      </c>
      <c r="C456" s="11" t="s">
        <v>62</v>
      </c>
      <c r="D456" s="12" t="s">
        <v>1727</v>
      </c>
      <c r="E456" s="11" t="s">
        <v>81</v>
      </c>
      <c r="F456" s="11" t="s">
        <v>82</v>
      </c>
      <c r="G456" s="12" t="s">
        <v>1787</v>
      </c>
      <c r="H456" s="13" t="s">
        <v>1788</v>
      </c>
      <c r="I456" s="11" t="s">
        <v>65</v>
      </c>
      <c r="J456" s="14">
        <v>1</v>
      </c>
      <c r="K456" s="14" t="s">
        <v>1742</v>
      </c>
      <c r="L456" s="14" t="s">
        <v>1789</v>
      </c>
      <c r="M456" s="15" t="s">
        <v>1730</v>
      </c>
      <c r="N456" s="15" t="s">
        <v>86</v>
      </c>
      <c r="O456" s="15" t="s">
        <v>1790</v>
      </c>
      <c r="P456" s="15"/>
      <c r="Q456" s="12" t="s">
        <v>53</v>
      </c>
      <c r="R456" s="22" t="s">
        <v>88</v>
      </c>
      <c r="S456" s="12" t="s">
        <v>1751</v>
      </c>
      <c r="T456" s="14" t="s">
        <v>55</v>
      </c>
    </row>
    <row r="457" spans="1:20" ht="16.5">
      <c r="A457" s="17" t="s">
        <v>1409</v>
      </c>
      <c r="B457" s="17" t="s">
        <v>60</v>
      </c>
      <c r="C457" s="17" t="s">
        <v>62</v>
      </c>
      <c r="D457" s="18" t="s">
        <v>1727</v>
      </c>
      <c r="E457" s="17" t="s">
        <v>81</v>
      </c>
      <c r="F457" s="17" t="s">
        <v>82</v>
      </c>
      <c r="G457" s="18" t="s">
        <v>1791</v>
      </c>
      <c r="H457" s="20" t="s">
        <v>1792</v>
      </c>
      <c r="I457" s="17" t="s">
        <v>65</v>
      </c>
      <c r="J457" s="21">
        <v>1</v>
      </c>
      <c r="K457" s="21" t="s">
        <v>1742</v>
      </c>
      <c r="L457" s="21" t="s">
        <v>1793</v>
      </c>
      <c r="M457" s="19" t="s">
        <v>1730</v>
      </c>
      <c r="N457" s="19" t="s">
        <v>86</v>
      </c>
      <c r="O457" s="19" t="s">
        <v>1794</v>
      </c>
      <c r="P457" s="19"/>
      <c r="Q457" s="18" t="s">
        <v>53</v>
      </c>
      <c r="R457" s="22" t="s">
        <v>88</v>
      </c>
      <c r="S457" s="18" t="s">
        <v>1751</v>
      </c>
      <c r="T457" s="21" t="s">
        <v>55</v>
      </c>
    </row>
    <row r="458" spans="1:20" ht="16.5">
      <c r="A458" s="11" t="s">
        <v>1409</v>
      </c>
      <c r="B458" s="11" t="s">
        <v>60</v>
      </c>
      <c r="C458" s="11" t="s">
        <v>44</v>
      </c>
      <c r="D458" s="12" t="s">
        <v>1409</v>
      </c>
      <c r="E458" s="11" t="s">
        <v>61</v>
      </c>
      <c r="F458" s="11" t="s">
        <v>62</v>
      </c>
      <c r="G458" s="12" t="s">
        <v>1795</v>
      </c>
      <c r="H458" s="13" t="s">
        <v>1796</v>
      </c>
      <c r="I458" s="11" t="s">
        <v>65</v>
      </c>
      <c r="J458" s="14">
        <v>1</v>
      </c>
      <c r="K458" s="14" t="s">
        <v>1742</v>
      </c>
      <c r="L458" s="14" t="s">
        <v>1797</v>
      </c>
      <c r="M458" s="15" t="s">
        <v>1412</v>
      </c>
      <c r="N458" s="15" t="s">
        <v>67</v>
      </c>
      <c r="O458" s="15" t="s">
        <v>1798</v>
      </c>
      <c r="P458" s="15"/>
      <c r="Q458" s="12" t="s">
        <v>69</v>
      </c>
      <c r="R458" s="16" t="s">
        <v>54</v>
      </c>
      <c r="S458" s="12" t="s">
        <v>1751</v>
      </c>
      <c r="T458" s="14" t="s">
        <v>55</v>
      </c>
    </row>
    <row r="459" spans="1:20" ht="16.5">
      <c r="A459" s="17" t="s">
        <v>1409</v>
      </c>
      <c r="B459" s="17" t="s">
        <v>60</v>
      </c>
      <c r="C459" s="17" t="s">
        <v>62</v>
      </c>
      <c r="D459" s="18" t="s">
        <v>1795</v>
      </c>
      <c r="E459" s="17" t="s">
        <v>81</v>
      </c>
      <c r="F459" s="17" t="s">
        <v>82</v>
      </c>
      <c r="G459" s="18" t="s">
        <v>1799</v>
      </c>
      <c r="H459" s="20" t="s">
        <v>1800</v>
      </c>
      <c r="I459" s="17" t="s">
        <v>65</v>
      </c>
      <c r="J459" s="21">
        <v>1</v>
      </c>
      <c r="K459" s="21" t="s">
        <v>1742</v>
      </c>
      <c r="L459" s="21" t="s">
        <v>1801</v>
      </c>
      <c r="M459" s="19" t="s">
        <v>1798</v>
      </c>
      <c r="N459" s="19" t="s">
        <v>86</v>
      </c>
      <c r="O459" s="19" t="s">
        <v>1802</v>
      </c>
      <c r="P459" s="19"/>
      <c r="Q459" s="18" t="s">
        <v>53</v>
      </c>
      <c r="R459" s="22" t="s">
        <v>88</v>
      </c>
      <c r="S459" s="18" t="s">
        <v>1751</v>
      </c>
      <c r="T459" s="21" t="s">
        <v>55</v>
      </c>
    </row>
    <row r="460" spans="1:20" ht="16.5">
      <c r="A460" s="11" t="s">
        <v>1409</v>
      </c>
      <c r="B460" s="11" t="s">
        <v>60</v>
      </c>
      <c r="C460" s="11" t="s">
        <v>62</v>
      </c>
      <c r="D460" s="12" t="s">
        <v>1795</v>
      </c>
      <c r="E460" s="11" t="s">
        <v>81</v>
      </c>
      <c r="F460" s="11" t="s">
        <v>82</v>
      </c>
      <c r="G460" s="12" t="s">
        <v>1803</v>
      </c>
      <c r="H460" s="13" t="s">
        <v>1804</v>
      </c>
      <c r="I460" s="11" t="s">
        <v>65</v>
      </c>
      <c r="J460" s="14">
        <v>1</v>
      </c>
      <c r="K460" s="14" t="s">
        <v>1742</v>
      </c>
      <c r="L460" s="14" t="s">
        <v>1805</v>
      </c>
      <c r="M460" s="15" t="s">
        <v>1798</v>
      </c>
      <c r="N460" s="15" t="s">
        <v>86</v>
      </c>
      <c r="O460" s="15" t="s">
        <v>1806</v>
      </c>
      <c r="P460" s="15"/>
      <c r="Q460" s="12" t="s">
        <v>53</v>
      </c>
      <c r="R460" s="22" t="s">
        <v>88</v>
      </c>
      <c r="S460" s="12" t="s">
        <v>1751</v>
      </c>
      <c r="T460" s="14" t="s">
        <v>55</v>
      </c>
    </row>
    <row r="461" spans="1:20" ht="16.5">
      <c r="A461" s="17" t="s">
        <v>1409</v>
      </c>
      <c r="B461" s="17" t="s">
        <v>60</v>
      </c>
      <c r="C461" s="17" t="s">
        <v>62</v>
      </c>
      <c r="D461" s="18" t="s">
        <v>1795</v>
      </c>
      <c r="E461" s="17" t="s">
        <v>81</v>
      </c>
      <c r="F461" s="17" t="s">
        <v>82</v>
      </c>
      <c r="G461" s="18" t="s">
        <v>1807</v>
      </c>
      <c r="H461" s="20" t="s">
        <v>1808</v>
      </c>
      <c r="I461" s="17" t="s">
        <v>65</v>
      </c>
      <c r="J461" s="21">
        <v>1</v>
      </c>
      <c r="K461" s="21" t="s">
        <v>1742</v>
      </c>
      <c r="L461" s="21" t="s">
        <v>1809</v>
      </c>
      <c r="M461" s="19" t="s">
        <v>1798</v>
      </c>
      <c r="N461" s="19" t="s">
        <v>86</v>
      </c>
      <c r="O461" s="19" t="s">
        <v>1810</v>
      </c>
      <c r="P461" s="19"/>
      <c r="Q461" s="18" t="s">
        <v>53</v>
      </c>
      <c r="R461" s="22" t="s">
        <v>88</v>
      </c>
      <c r="S461" s="18" t="s">
        <v>1751</v>
      </c>
      <c r="T461" s="21" t="s">
        <v>55</v>
      </c>
    </row>
    <row r="462" spans="1:20" ht="16.5">
      <c r="A462" s="11" t="s">
        <v>1409</v>
      </c>
      <c r="B462" s="11" t="s">
        <v>60</v>
      </c>
      <c r="C462" s="11" t="s">
        <v>62</v>
      </c>
      <c r="D462" s="12" t="s">
        <v>1795</v>
      </c>
      <c r="E462" s="11" t="s">
        <v>81</v>
      </c>
      <c r="F462" s="11" t="s">
        <v>82</v>
      </c>
      <c r="G462" s="12" t="s">
        <v>1811</v>
      </c>
      <c r="H462" s="13" t="s">
        <v>1812</v>
      </c>
      <c r="I462" s="11" t="s">
        <v>65</v>
      </c>
      <c r="J462" s="14">
        <v>1</v>
      </c>
      <c r="K462" s="14" t="s">
        <v>1742</v>
      </c>
      <c r="L462" s="14" t="s">
        <v>1813</v>
      </c>
      <c r="M462" s="15" t="s">
        <v>1798</v>
      </c>
      <c r="N462" s="15" t="s">
        <v>86</v>
      </c>
      <c r="O462" s="15" t="s">
        <v>1814</v>
      </c>
      <c r="P462" s="15"/>
      <c r="Q462" s="12" t="s">
        <v>53</v>
      </c>
      <c r="R462" s="22" t="s">
        <v>88</v>
      </c>
      <c r="S462" s="12" t="s">
        <v>1751</v>
      </c>
      <c r="T462" s="14" t="s">
        <v>55</v>
      </c>
    </row>
    <row r="463" spans="1:20" ht="16.5">
      <c r="A463" s="17" t="s">
        <v>1409</v>
      </c>
      <c r="B463" s="17" t="s">
        <v>60</v>
      </c>
      <c r="C463" s="17" t="s">
        <v>62</v>
      </c>
      <c r="D463" s="18" t="s">
        <v>1795</v>
      </c>
      <c r="E463" s="17" t="s">
        <v>81</v>
      </c>
      <c r="F463" s="17" t="s">
        <v>82</v>
      </c>
      <c r="G463" s="18" t="s">
        <v>1815</v>
      </c>
      <c r="H463" s="20" t="s">
        <v>1816</v>
      </c>
      <c r="I463" s="17" t="s">
        <v>65</v>
      </c>
      <c r="J463" s="21">
        <v>1</v>
      </c>
      <c r="K463" s="21" t="s">
        <v>1742</v>
      </c>
      <c r="L463" s="21" t="s">
        <v>1817</v>
      </c>
      <c r="M463" s="19" t="s">
        <v>1798</v>
      </c>
      <c r="N463" s="19" t="s">
        <v>86</v>
      </c>
      <c r="O463" s="19" t="s">
        <v>1818</v>
      </c>
      <c r="P463" s="19"/>
      <c r="Q463" s="18" t="s">
        <v>53</v>
      </c>
      <c r="R463" s="22" t="s">
        <v>88</v>
      </c>
      <c r="S463" s="18" t="s">
        <v>1751</v>
      </c>
      <c r="T463" s="21" t="s">
        <v>55</v>
      </c>
    </row>
    <row r="464" spans="1:20" ht="16.5">
      <c r="A464" s="11" t="s">
        <v>1409</v>
      </c>
      <c r="B464" s="11" t="s">
        <v>60</v>
      </c>
      <c r="C464" s="11" t="s">
        <v>44</v>
      </c>
      <c r="D464" s="12" t="s">
        <v>1409</v>
      </c>
      <c r="E464" s="11" t="s">
        <v>61</v>
      </c>
      <c r="F464" s="11" t="s">
        <v>62</v>
      </c>
      <c r="G464" s="12" t="s">
        <v>1819</v>
      </c>
      <c r="H464" s="13" t="s">
        <v>1820</v>
      </c>
      <c r="I464" s="11" t="s">
        <v>65</v>
      </c>
      <c r="J464" s="14">
        <v>1</v>
      </c>
      <c r="K464" s="14" t="s">
        <v>1742</v>
      </c>
      <c r="L464" s="14" t="s">
        <v>1821</v>
      </c>
      <c r="M464" s="15" t="s">
        <v>1412</v>
      </c>
      <c r="N464" s="15" t="s">
        <v>67</v>
      </c>
      <c r="O464" s="15" t="s">
        <v>1822</v>
      </c>
      <c r="P464" s="15"/>
      <c r="Q464" s="12" t="s">
        <v>69</v>
      </c>
      <c r="R464" s="16" t="s">
        <v>54</v>
      </c>
      <c r="S464" s="12" t="s">
        <v>1751</v>
      </c>
      <c r="T464" s="14" t="s">
        <v>55</v>
      </c>
    </row>
    <row r="465" spans="1:20" ht="16.5">
      <c r="A465" s="17" t="s">
        <v>1409</v>
      </c>
      <c r="B465" s="17" t="s">
        <v>60</v>
      </c>
      <c r="C465" s="17" t="s">
        <v>62</v>
      </c>
      <c r="D465" s="18" t="s">
        <v>1819</v>
      </c>
      <c r="E465" s="17" t="s">
        <v>71</v>
      </c>
      <c r="F465" s="17" t="s">
        <v>72</v>
      </c>
      <c r="G465" s="18" t="s">
        <v>1823</v>
      </c>
      <c r="H465" s="20" t="s">
        <v>1824</v>
      </c>
      <c r="I465" s="17" t="s">
        <v>65</v>
      </c>
      <c r="J465" s="21">
        <v>1</v>
      </c>
      <c r="K465" s="21" t="s">
        <v>1742</v>
      </c>
      <c r="L465" s="21" t="s">
        <v>1825</v>
      </c>
      <c r="M465" s="19" t="s">
        <v>1822</v>
      </c>
      <c r="N465" s="19" t="s">
        <v>76</v>
      </c>
      <c r="O465" s="19" t="s">
        <v>1826</v>
      </c>
      <c r="P465" s="19"/>
      <c r="Q465" s="18" t="s">
        <v>69</v>
      </c>
      <c r="R465" s="16" t="s">
        <v>54</v>
      </c>
      <c r="S465" s="18" t="s">
        <v>1751</v>
      </c>
      <c r="T465" s="21" t="s">
        <v>55</v>
      </c>
    </row>
    <row r="466" spans="1:20" ht="16.5">
      <c r="A466" s="11" t="s">
        <v>1409</v>
      </c>
      <c r="B466" s="11" t="s">
        <v>60</v>
      </c>
      <c r="C466" s="11" t="s">
        <v>62</v>
      </c>
      <c r="D466" s="12" t="s">
        <v>1819</v>
      </c>
      <c r="E466" s="11" t="s">
        <v>71</v>
      </c>
      <c r="F466" s="11" t="s">
        <v>72</v>
      </c>
      <c r="G466" s="12" t="s">
        <v>1827</v>
      </c>
      <c r="H466" s="13" t="s">
        <v>1824</v>
      </c>
      <c r="I466" s="11" t="s">
        <v>65</v>
      </c>
      <c r="J466" s="14">
        <v>1</v>
      </c>
      <c r="K466" s="14" t="s">
        <v>1742</v>
      </c>
      <c r="L466" s="14" t="s">
        <v>1828</v>
      </c>
      <c r="M466" s="15" t="s">
        <v>1822</v>
      </c>
      <c r="N466" s="15" t="s">
        <v>76</v>
      </c>
      <c r="O466" s="15" t="s">
        <v>1829</v>
      </c>
      <c r="P466" s="15"/>
      <c r="Q466" s="12" t="s">
        <v>69</v>
      </c>
      <c r="R466" s="16" t="s">
        <v>54</v>
      </c>
      <c r="S466" s="12" t="s">
        <v>1751</v>
      </c>
      <c r="T466" s="14" t="s">
        <v>55</v>
      </c>
    </row>
    <row r="467" spans="1:20" ht="16.5">
      <c r="A467" s="17" t="s">
        <v>1409</v>
      </c>
      <c r="B467" s="17" t="s">
        <v>60</v>
      </c>
      <c r="C467" s="17" t="s">
        <v>62</v>
      </c>
      <c r="D467" s="18" t="s">
        <v>1819</v>
      </c>
      <c r="E467" s="17" t="s">
        <v>71</v>
      </c>
      <c r="F467" s="17" t="s">
        <v>72</v>
      </c>
      <c r="G467" s="18" t="s">
        <v>1830</v>
      </c>
      <c r="H467" s="20" t="s">
        <v>1824</v>
      </c>
      <c r="I467" s="17" t="s">
        <v>65</v>
      </c>
      <c r="J467" s="21">
        <v>1</v>
      </c>
      <c r="K467" s="21" t="s">
        <v>1742</v>
      </c>
      <c r="L467" s="21" t="s">
        <v>1831</v>
      </c>
      <c r="M467" s="19" t="s">
        <v>1822</v>
      </c>
      <c r="N467" s="19" t="s">
        <v>76</v>
      </c>
      <c r="O467" s="19" t="s">
        <v>1832</v>
      </c>
      <c r="P467" s="19"/>
      <c r="Q467" s="18" t="s">
        <v>69</v>
      </c>
      <c r="R467" s="16" t="s">
        <v>54</v>
      </c>
      <c r="S467" s="18" t="s">
        <v>1751</v>
      </c>
      <c r="T467" s="21" t="s">
        <v>55</v>
      </c>
    </row>
    <row r="468" spans="1:20" ht="16.5">
      <c r="A468" s="11" t="s">
        <v>1409</v>
      </c>
      <c r="B468" s="11" t="s">
        <v>60</v>
      </c>
      <c r="C468" s="11" t="s">
        <v>62</v>
      </c>
      <c r="D468" s="12" t="s">
        <v>1819</v>
      </c>
      <c r="E468" s="11" t="s">
        <v>71</v>
      </c>
      <c r="F468" s="11" t="s">
        <v>72</v>
      </c>
      <c r="G468" s="12" t="s">
        <v>1833</v>
      </c>
      <c r="H468" s="13" t="s">
        <v>1824</v>
      </c>
      <c r="I468" s="11" t="s">
        <v>65</v>
      </c>
      <c r="J468" s="14">
        <v>1</v>
      </c>
      <c r="K468" s="14" t="s">
        <v>1742</v>
      </c>
      <c r="L468" s="14" t="s">
        <v>1834</v>
      </c>
      <c r="M468" s="15" t="s">
        <v>1822</v>
      </c>
      <c r="N468" s="15" t="s">
        <v>76</v>
      </c>
      <c r="O468" s="15" t="s">
        <v>1835</v>
      </c>
      <c r="P468" s="15"/>
      <c r="Q468" s="12" t="s">
        <v>69</v>
      </c>
      <c r="R468" s="16" t="s">
        <v>54</v>
      </c>
      <c r="S468" s="12" t="s">
        <v>1751</v>
      </c>
      <c r="T468" s="14" t="s">
        <v>55</v>
      </c>
    </row>
    <row r="469" spans="1:20" ht="16.5">
      <c r="A469" s="17" t="s">
        <v>1409</v>
      </c>
      <c r="B469" s="17" t="s">
        <v>60</v>
      </c>
      <c r="C469" s="17" t="s">
        <v>62</v>
      </c>
      <c r="D469" s="18" t="s">
        <v>1819</v>
      </c>
      <c r="E469" s="17" t="s">
        <v>81</v>
      </c>
      <c r="F469" s="17" t="s">
        <v>82</v>
      </c>
      <c r="G469" s="18" t="s">
        <v>1836</v>
      </c>
      <c r="H469" s="20" t="s">
        <v>1837</v>
      </c>
      <c r="I469" s="17" t="s">
        <v>65</v>
      </c>
      <c r="J469" s="21">
        <v>1</v>
      </c>
      <c r="K469" s="21" t="s">
        <v>1742</v>
      </c>
      <c r="L469" s="21" t="s">
        <v>1838</v>
      </c>
      <c r="M469" s="19" t="s">
        <v>1822</v>
      </c>
      <c r="N469" s="19" t="s">
        <v>86</v>
      </c>
      <c r="O469" s="19" t="s">
        <v>1839</v>
      </c>
      <c r="P469" s="19"/>
      <c r="Q469" s="18" t="s">
        <v>53</v>
      </c>
      <c r="R469" s="22" t="s">
        <v>88</v>
      </c>
      <c r="S469" s="18" t="s">
        <v>1751</v>
      </c>
      <c r="T469" s="21" t="s">
        <v>55</v>
      </c>
    </row>
    <row r="470" spans="1:20" ht="16.5">
      <c r="A470" s="11" t="s">
        <v>1409</v>
      </c>
      <c r="B470" s="11" t="s">
        <v>60</v>
      </c>
      <c r="C470" s="11" t="s">
        <v>62</v>
      </c>
      <c r="D470" s="12" t="s">
        <v>1819</v>
      </c>
      <c r="E470" s="11" t="s">
        <v>81</v>
      </c>
      <c r="F470" s="11" t="s">
        <v>82</v>
      </c>
      <c r="G470" s="12" t="s">
        <v>1840</v>
      </c>
      <c r="H470" s="13" t="s">
        <v>1841</v>
      </c>
      <c r="I470" s="11" t="s">
        <v>65</v>
      </c>
      <c r="J470" s="14">
        <v>1</v>
      </c>
      <c r="K470" s="14" t="s">
        <v>1742</v>
      </c>
      <c r="L470" s="14" t="s">
        <v>1842</v>
      </c>
      <c r="M470" s="15" t="s">
        <v>1822</v>
      </c>
      <c r="N470" s="15" t="s">
        <v>86</v>
      </c>
      <c r="O470" s="15" t="s">
        <v>1843</v>
      </c>
      <c r="P470" s="15"/>
      <c r="Q470" s="12" t="s">
        <v>53</v>
      </c>
      <c r="R470" s="22" t="s">
        <v>88</v>
      </c>
      <c r="S470" s="12" t="s">
        <v>1751</v>
      </c>
      <c r="T470" s="14" t="s">
        <v>55</v>
      </c>
    </row>
    <row r="471" spans="1:20" ht="16.5">
      <c r="A471" s="17" t="s">
        <v>1409</v>
      </c>
      <c r="B471" s="17" t="s">
        <v>60</v>
      </c>
      <c r="C471" s="17" t="s">
        <v>62</v>
      </c>
      <c r="D471" s="18" t="s">
        <v>1819</v>
      </c>
      <c r="E471" s="17" t="s">
        <v>81</v>
      </c>
      <c r="F471" s="17" t="s">
        <v>82</v>
      </c>
      <c r="G471" s="18" t="s">
        <v>1844</v>
      </c>
      <c r="H471" s="20" t="s">
        <v>1845</v>
      </c>
      <c r="I471" s="17" t="s">
        <v>65</v>
      </c>
      <c r="J471" s="21">
        <v>1</v>
      </c>
      <c r="K471" s="21" t="s">
        <v>1742</v>
      </c>
      <c r="L471" s="21" t="s">
        <v>1846</v>
      </c>
      <c r="M471" s="19" t="s">
        <v>1822</v>
      </c>
      <c r="N471" s="19" t="s">
        <v>86</v>
      </c>
      <c r="O471" s="19" t="s">
        <v>1847</v>
      </c>
      <c r="P471" s="19"/>
      <c r="Q471" s="18" t="s">
        <v>53</v>
      </c>
      <c r="R471" s="22" t="s">
        <v>88</v>
      </c>
      <c r="S471" s="18" t="s">
        <v>1751</v>
      </c>
      <c r="T471" s="21" t="s">
        <v>55</v>
      </c>
    </row>
    <row r="472" spans="1:20" ht="16.5">
      <c r="A472" s="11" t="s">
        <v>1409</v>
      </c>
      <c r="B472" s="11" t="s">
        <v>60</v>
      </c>
      <c r="C472" s="11" t="s">
        <v>44</v>
      </c>
      <c r="D472" s="12" t="s">
        <v>1409</v>
      </c>
      <c r="E472" s="11" t="s">
        <v>61</v>
      </c>
      <c r="F472" s="11" t="s">
        <v>62</v>
      </c>
      <c r="G472" s="12" t="s">
        <v>1848</v>
      </c>
      <c r="H472" s="13" t="s">
        <v>1849</v>
      </c>
      <c r="I472" s="11" t="s">
        <v>65</v>
      </c>
      <c r="J472" s="14">
        <v>1</v>
      </c>
      <c r="K472" s="14" t="s">
        <v>1742</v>
      </c>
      <c r="L472" s="14" t="s">
        <v>1850</v>
      </c>
      <c r="M472" s="15" t="s">
        <v>1412</v>
      </c>
      <c r="N472" s="15" t="s">
        <v>67</v>
      </c>
      <c r="O472" s="15" t="s">
        <v>1851</v>
      </c>
      <c r="P472" s="15"/>
      <c r="Q472" s="12" t="s">
        <v>69</v>
      </c>
      <c r="R472" s="16" t="s">
        <v>54</v>
      </c>
      <c r="S472" s="12" t="s">
        <v>1751</v>
      </c>
      <c r="T472" s="14" t="s">
        <v>55</v>
      </c>
    </row>
    <row r="473" spans="1:20" ht="16.5">
      <c r="A473" s="17" t="s">
        <v>1409</v>
      </c>
      <c r="B473" s="17" t="s">
        <v>60</v>
      </c>
      <c r="C473" s="17" t="s">
        <v>62</v>
      </c>
      <c r="D473" s="18" t="s">
        <v>1848</v>
      </c>
      <c r="E473" s="17" t="s">
        <v>81</v>
      </c>
      <c r="F473" s="17" t="s">
        <v>82</v>
      </c>
      <c r="G473" s="18" t="s">
        <v>1852</v>
      </c>
      <c r="H473" s="20" t="s">
        <v>1853</v>
      </c>
      <c r="I473" s="17" t="s">
        <v>65</v>
      </c>
      <c r="J473" s="21">
        <v>1</v>
      </c>
      <c r="K473" s="21" t="s">
        <v>1742</v>
      </c>
      <c r="L473" s="21" t="s">
        <v>1854</v>
      </c>
      <c r="M473" s="19" t="s">
        <v>1851</v>
      </c>
      <c r="N473" s="19" t="s">
        <v>86</v>
      </c>
      <c r="O473" s="19" t="s">
        <v>1855</v>
      </c>
      <c r="P473" s="19"/>
      <c r="Q473" s="18" t="s">
        <v>53</v>
      </c>
      <c r="R473" s="22" t="s">
        <v>88</v>
      </c>
      <c r="S473" s="18" t="s">
        <v>1751</v>
      </c>
      <c r="T473" s="21" t="s">
        <v>55</v>
      </c>
    </row>
    <row r="474" spans="1:20" ht="16.5">
      <c r="A474" s="11" t="s">
        <v>1409</v>
      </c>
      <c r="B474" s="11" t="s">
        <v>60</v>
      </c>
      <c r="C474" s="11" t="s">
        <v>44</v>
      </c>
      <c r="D474" s="12" t="s">
        <v>1409</v>
      </c>
      <c r="E474" s="11" t="s">
        <v>61</v>
      </c>
      <c r="F474" s="11" t="s">
        <v>62</v>
      </c>
      <c r="G474" s="12" t="s">
        <v>1856</v>
      </c>
      <c r="H474" s="13" t="s">
        <v>1857</v>
      </c>
      <c r="I474" s="11" t="s">
        <v>65</v>
      </c>
      <c r="J474" s="14">
        <v>1</v>
      </c>
      <c r="K474" s="14" t="s">
        <v>1742</v>
      </c>
      <c r="L474" s="14" t="s">
        <v>1858</v>
      </c>
      <c r="M474" s="15" t="s">
        <v>1412</v>
      </c>
      <c r="N474" s="15" t="s">
        <v>67</v>
      </c>
      <c r="O474" s="15" t="s">
        <v>1859</v>
      </c>
      <c r="P474" s="15"/>
      <c r="Q474" s="12" t="s">
        <v>69</v>
      </c>
      <c r="R474" s="16" t="s">
        <v>54</v>
      </c>
      <c r="S474" s="12" t="s">
        <v>1751</v>
      </c>
      <c r="T474" s="14" t="s">
        <v>55</v>
      </c>
    </row>
    <row r="475" spans="1:20" ht="16.5">
      <c r="A475" s="17" t="s">
        <v>1409</v>
      </c>
      <c r="B475" s="17" t="s">
        <v>60</v>
      </c>
      <c r="C475" s="17" t="s">
        <v>62</v>
      </c>
      <c r="D475" s="18" t="s">
        <v>1856</v>
      </c>
      <c r="E475" s="17" t="s">
        <v>71</v>
      </c>
      <c r="F475" s="17" t="s">
        <v>72</v>
      </c>
      <c r="G475" s="18" t="s">
        <v>1860</v>
      </c>
      <c r="H475" s="20" t="s">
        <v>1861</v>
      </c>
      <c r="I475" s="17" t="s">
        <v>65</v>
      </c>
      <c r="J475" s="21">
        <v>1</v>
      </c>
      <c r="K475" s="21" t="s">
        <v>1742</v>
      </c>
      <c r="L475" s="21" t="s">
        <v>1862</v>
      </c>
      <c r="M475" s="19" t="s">
        <v>1859</v>
      </c>
      <c r="N475" s="19" t="s">
        <v>76</v>
      </c>
      <c r="O475" s="19" t="s">
        <v>1863</v>
      </c>
      <c r="P475" s="19"/>
      <c r="Q475" s="18" t="s">
        <v>69</v>
      </c>
      <c r="R475" s="16" t="s">
        <v>54</v>
      </c>
      <c r="S475" s="18" t="s">
        <v>1751</v>
      </c>
      <c r="T475" s="21" t="s">
        <v>55</v>
      </c>
    </row>
    <row r="476" spans="1:20" ht="16.5">
      <c r="A476" s="11" t="s">
        <v>1409</v>
      </c>
      <c r="B476" s="11" t="s">
        <v>60</v>
      </c>
      <c r="C476" s="11" t="s">
        <v>62</v>
      </c>
      <c r="D476" s="12" t="s">
        <v>1856</v>
      </c>
      <c r="E476" s="11" t="s">
        <v>71</v>
      </c>
      <c r="F476" s="11" t="s">
        <v>72</v>
      </c>
      <c r="G476" s="12" t="s">
        <v>1864</v>
      </c>
      <c r="H476" s="13" t="s">
        <v>1861</v>
      </c>
      <c r="I476" s="11" t="s">
        <v>65</v>
      </c>
      <c r="J476" s="14">
        <v>1</v>
      </c>
      <c r="K476" s="14" t="s">
        <v>1742</v>
      </c>
      <c r="L476" s="14" t="s">
        <v>1865</v>
      </c>
      <c r="M476" s="15" t="s">
        <v>1859</v>
      </c>
      <c r="N476" s="15" t="s">
        <v>76</v>
      </c>
      <c r="O476" s="15" t="s">
        <v>1866</v>
      </c>
      <c r="P476" s="15"/>
      <c r="Q476" s="12" t="s">
        <v>69</v>
      </c>
      <c r="R476" s="16" t="s">
        <v>54</v>
      </c>
      <c r="S476" s="12" t="s">
        <v>1751</v>
      </c>
      <c r="T476" s="14" t="s">
        <v>55</v>
      </c>
    </row>
    <row r="477" spans="1:20" ht="16.5">
      <c r="A477" s="17" t="s">
        <v>1409</v>
      </c>
      <c r="B477" s="17" t="s">
        <v>60</v>
      </c>
      <c r="C477" s="17" t="s">
        <v>62</v>
      </c>
      <c r="D477" s="18" t="s">
        <v>1856</v>
      </c>
      <c r="E477" s="17" t="s">
        <v>71</v>
      </c>
      <c r="F477" s="17" t="s">
        <v>72</v>
      </c>
      <c r="G477" s="18" t="s">
        <v>1867</v>
      </c>
      <c r="H477" s="20" t="s">
        <v>1861</v>
      </c>
      <c r="I477" s="17" t="s">
        <v>65</v>
      </c>
      <c r="J477" s="21">
        <v>1</v>
      </c>
      <c r="K477" s="21" t="s">
        <v>1742</v>
      </c>
      <c r="L477" s="21" t="s">
        <v>1868</v>
      </c>
      <c r="M477" s="19" t="s">
        <v>1859</v>
      </c>
      <c r="N477" s="19" t="s">
        <v>76</v>
      </c>
      <c r="O477" s="19" t="s">
        <v>1869</v>
      </c>
      <c r="P477" s="19"/>
      <c r="Q477" s="18" t="s">
        <v>69</v>
      </c>
      <c r="R477" s="16" t="s">
        <v>54</v>
      </c>
      <c r="S477" s="18" t="s">
        <v>1751</v>
      </c>
      <c r="T477" s="21" t="s">
        <v>55</v>
      </c>
    </row>
    <row r="478" spans="1:20" ht="16.5">
      <c r="A478" s="11" t="s">
        <v>1409</v>
      </c>
      <c r="B478" s="11" t="s">
        <v>60</v>
      </c>
      <c r="C478" s="11" t="s">
        <v>62</v>
      </c>
      <c r="D478" s="12" t="s">
        <v>1856</v>
      </c>
      <c r="E478" s="11" t="s">
        <v>71</v>
      </c>
      <c r="F478" s="11" t="s">
        <v>72</v>
      </c>
      <c r="G478" s="12" t="s">
        <v>1870</v>
      </c>
      <c r="H478" s="13" t="s">
        <v>1861</v>
      </c>
      <c r="I478" s="11" t="s">
        <v>65</v>
      </c>
      <c r="J478" s="14">
        <v>1</v>
      </c>
      <c r="K478" s="14" t="s">
        <v>1742</v>
      </c>
      <c r="L478" s="14" t="s">
        <v>1871</v>
      </c>
      <c r="M478" s="15" t="s">
        <v>1859</v>
      </c>
      <c r="N478" s="15" t="s">
        <v>76</v>
      </c>
      <c r="O478" s="15" t="s">
        <v>1872</v>
      </c>
      <c r="P478" s="15"/>
      <c r="Q478" s="12" t="s">
        <v>69</v>
      </c>
      <c r="R478" s="16" t="s">
        <v>54</v>
      </c>
      <c r="S478" s="12" t="s">
        <v>1751</v>
      </c>
      <c r="T478" s="14" t="s">
        <v>55</v>
      </c>
    </row>
    <row r="479" spans="1:20" ht="16.5">
      <c r="A479" s="17" t="s">
        <v>1409</v>
      </c>
      <c r="B479" s="17" t="s">
        <v>60</v>
      </c>
      <c r="C479" s="17" t="s">
        <v>62</v>
      </c>
      <c r="D479" s="18" t="s">
        <v>1856</v>
      </c>
      <c r="E479" s="17" t="s">
        <v>81</v>
      </c>
      <c r="F479" s="17" t="s">
        <v>82</v>
      </c>
      <c r="G479" s="18" t="s">
        <v>1873</v>
      </c>
      <c r="H479" s="20" t="s">
        <v>1874</v>
      </c>
      <c r="I479" s="17" t="s">
        <v>65</v>
      </c>
      <c r="J479" s="21">
        <v>1</v>
      </c>
      <c r="K479" s="21" t="s">
        <v>1742</v>
      </c>
      <c r="L479" s="21" t="s">
        <v>1875</v>
      </c>
      <c r="M479" s="19" t="s">
        <v>1859</v>
      </c>
      <c r="N479" s="19" t="s">
        <v>86</v>
      </c>
      <c r="O479" s="19" t="s">
        <v>1876</v>
      </c>
      <c r="P479" s="19"/>
      <c r="Q479" s="18" t="s">
        <v>53</v>
      </c>
      <c r="R479" s="22" t="s">
        <v>88</v>
      </c>
      <c r="S479" s="18" t="s">
        <v>1751</v>
      </c>
      <c r="T479" s="21" t="s">
        <v>55</v>
      </c>
    </row>
    <row r="480" spans="1:20" ht="16.5">
      <c r="A480" s="11" t="s">
        <v>1409</v>
      </c>
      <c r="B480" s="11" t="s">
        <v>60</v>
      </c>
      <c r="C480" s="11" t="s">
        <v>44</v>
      </c>
      <c r="D480" s="12" t="s">
        <v>1409</v>
      </c>
      <c r="E480" s="11" t="s">
        <v>61</v>
      </c>
      <c r="F480" s="11" t="s">
        <v>62</v>
      </c>
      <c r="G480" s="12" t="s">
        <v>1877</v>
      </c>
      <c r="H480" s="13" t="s">
        <v>1878</v>
      </c>
      <c r="I480" s="11" t="s">
        <v>65</v>
      </c>
      <c r="J480" s="14">
        <v>1</v>
      </c>
      <c r="K480" s="14" t="s">
        <v>1742</v>
      </c>
      <c r="L480" s="14" t="s">
        <v>1879</v>
      </c>
      <c r="M480" s="15" t="s">
        <v>1412</v>
      </c>
      <c r="N480" s="15" t="s">
        <v>67</v>
      </c>
      <c r="O480" s="15" t="s">
        <v>1880</v>
      </c>
      <c r="P480" s="15"/>
      <c r="Q480" s="12" t="s">
        <v>69</v>
      </c>
      <c r="R480" s="16" t="s">
        <v>54</v>
      </c>
      <c r="S480" s="12" t="s">
        <v>1751</v>
      </c>
      <c r="T480" s="14" t="s">
        <v>55</v>
      </c>
    </row>
    <row r="481" spans="1:20" ht="16.5">
      <c r="A481" s="17" t="s">
        <v>1409</v>
      </c>
      <c r="B481" s="17" t="s">
        <v>60</v>
      </c>
      <c r="C481" s="17" t="s">
        <v>62</v>
      </c>
      <c r="D481" s="18" t="s">
        <v>1877</v>
      </c>
      <c r="E481" s="17" t="s">
        <v>81</v>
      </c>
      <c r="F481" s="17" t="s">
        <v>82</v>
      </c>
      <c r="G481" s="18" t="s">
        <v>1881</v>
      </c>
      <c r="H481" s="20" t="s">
        <v>1882</v>
      </c>
      <c r="I481" s="17" t="s">
        <v>65</v>
      </c>
      <c r="J481" s="21">
        <v>1</v>
      </c>
      <c r="K481" s="21" t="s">
        <v>1742</v>
      </c>
      <c r="L481" s="21" t="s">
        <v>1883</v>
      </c>
      <c r="M481" s="19" t="s">
        <v>1880</v>
      </c>
      <c r="N481" s="19" t="s">
        <v>86</v>
      </c>
      <c r="O481" s="19" t="s">
        <v>1884</v>
      </c>
      <c r="P481" s="19"/>
      <c r="Q481" s="18" t="s">
        <v>53</v>
      </c>
      <c r="R481" s="22" t="s">
        <v>88</v>
      </c>
      <c r="S481" s="18" t="s">
        <v>1751</v>
      </c>
      <c r="T481" s="21" t="s">
        <v>55</v>
      </c>
    </row>
    <row r="482" spans="1:20" ht="16.5">
      <c r="A482" s="11" t="s">
        <v>1409</v>
      </c>
      <c r="B482" s="11" t="s">
        <v>60</v>
      </c>
      <c r="C482" s="11" t="s">
        <v>62</v>
      </c>
      <c r="D482" s="12" t="s">
        <v>1877</v>
      </c>
      <c r="E482" s="11" t="s">
        <v>81</v>
      </c>
      <c r="F482" s="11" t="s">
        <v>82</v>
      </c>
      <c r="G482" s="12" t="s">
        <v>1885</v>
      </c>
      <c r="H482" s="13" t="s">
        <v>1886</v>
      </c>
      <c r="I482" s="11" t="s">
        <v>65</v>
      </c>
      <c r="J482" s="14">
        <v>1</v>
      </c>
      <c r="K482" s="14" t="s">
        <v>1742</v>
      </c>
      <c r="L482" s="14" t="s">
        <v>1887</v>
      </c>
      <c r="M482" s="15" t="s">
        <v>1880</v>
      </c>
      <c r="N482" s="15" t="s">
        <v>86</v>
      </c>
      <c r="O482" s="15" t="s">
        <v>1888</v>
      </c>
      <c r="P482" s="15"/>
      <c r="Q482" s="12" t="s">
        <v>53</v>
      </c>
      <c r="R482" s="22" t="s">
        <v>88</v>
      </c>
      <c r="S482" s="12" t="s">
        <v>1751</v>
      </c>
      <c r="T482" s="14" t="s">
        <v>55</v>
      </c>
    </row>
    <row r="483" spans="1:20" ht="16.5">
      <c r="A483" s="17" t="s">
        <v>1409</v>
      </c>
      <c r="B483" s="17" t="s">
        <v>60</v>
      </c>
      <c r="C483" s="17" t="s">
        <v>62</v>
      </c>
      <c r="D483" s="18" t="s">
        <v>1727</v>
      </c>
      <c r="E483" s="17" t="s">
        <v>203</v>
      </c>
      <c r="F483" s="17" t="s">
        <v>204</v>
      </c>
      <c r="G483" s="18" t="s">
        <v>1889</v>
      </c>
      <c r="H483" s="20" t="s">
        <v>1890</v>
      </c>
      <c r="I483" s="17" t="s">
        <v>65</v>
      </c>
      <c r="J483" s="21">
        <v>1</v>
      </c>
      <c r="K483" s="21" t="s">
        <v>1742</v>
      </c>
      <c r="L483" s="21" t="s">
        <v>1891</v>
      </c>
      <c r="M483" s="19" t="s">
        <v>1730</v>
      </c>
      <c r="N483" s="19" t="s">
        <v>208</v>
      </c>
      <c r="O483" s="19" t="s">
        <v>1892</v>
      </c>
      <c r="P483" s="19" t="s">
        <v>1893</v>
      </c>
      <c r="Q483" s="19" t="s">
        <v>211</v>
      </c>
      <c r="R483" s="16" t="s">
        <v>54</v>
      </c>
      <c r="S483" s="18" t="s">
        <v>1751</v>
      </c>
      <c r="T483" s="21" t="s">
        <v>55</v>
      </c>
    </row>
    <row r="484" spans="1:20" ht="16.5">
      <c r="A484" s="11" t="s">
        <v>1409</v>
      </c>
      <c r="B484" s="11" t="s">
        <v>60</v>
      </c>
      <c r="C484" s="11" t="s">
        <v>62</v>
      </c>
      <c r="D484" s="12" t="s">
        <v>1819</v>
      </c>
      <c r="E484" s="11" t="s">
        <v>203</v>
      </c>
      <c r="F484" s="11" t="s">
        <v>204</v>
      </c>
      <c r="G484" s="12" t="s">
        <v>1894</v>
      </c>
      <c r="H484" s="13" t="s">
        <v>1895</v>
      </c>
      <c r="I484" s="11" t="s">
        <v>65</v>
      </c>
      <c r="J484" s="14">
        <v>1</v>
      </c>
      <c r="K484" s="14" t="s">
        <v>1742</v>
      </c>
      <c r="L484" s="14" t="s">
        <v>1896</v>
      </c>
      <c r="M484" s="15" t="s">
        <v>1822</v>
      </c>
      <c r="N484" s="15" t="s">
        <v>208</v>
      </c>
      <c r="O484" s="15" t="s">
        <v>1897</v>
      </c>
      <c r="P484" s="15" t="s">
        <v>1898</v>
      </c>
      <c r="Q484" s="15" t="s">
        <v>211</v>
      </c>
      <c r="R484" s="16" t="s">
        <v>54</v>
      </c>
      <c r="S484" s="12" t="s">
        <v>1751</v>
      </c>
      <c r="T484" s="14" t="s">
        <v>55</v>
      </c>
    </row>
    <row r="485" spans="1:20" ht="16.5">
      <c r="A485" s="17" t="s">
        <v>1409</v>
      </c>
      <c r="B485" s="17" t="s">
        <v>60</v>
      </c>
      <c r="C485" s="17" t="s">
        <v>62</v>
      </c>
      <c r="D485" s="18" t="s">
        <v>1819</v>
      </c>
      <c r="E485" s="17" t="s">
        <v>203</v>
      </c>
      <c r="F485" s="17" t="s">
        <v>204</v>
      </c>
      <c r="G485" s="18" t="s">
        <v>1899</v>
      </c>
      <c r="H485" s="20" t="s">
        <v>1900</v>
      </c>
      <c r="I485" s="17" t="s">
        <v>65</v>
      </c>
      <c r="J485" s="21">
        <v>1</v>
      </c>
      <c r="K485" s="21" t="s">
        <v>1742</v>
      </c>
      <c r="L485" s="21" t="s">
        <v>1901</v>
      </c>
      <c r="M485" s="19" t="s">
        <v>1822</v>
      </c>
      <c r="N485" s="19" t="s">
        <v>208</v>
      </c>
      <c r="O485" s="19" t="s">
        <v>1902</v>
      </c>
      <c r="P485" s="19" t="s">
        <v>1903</v>
      </c>
      <c r="Q485" s="19" t="s">
        <v>211</v>
      </c>
      <c r="R485" s="16" t="s">
        <v>54</v>
      </c>
      <c r="S485" s="18" t="s">
        <v>1751</v>
      </c>
      <c r="T485" s="21" t="s">
        <v>55</v>
      </c>
    </row>
    <row r="486" spans="1:20" ht="16.5">
      <c r="A486" s="11" t="s">
        <v>1409</v>
      </c>
      <c r="B486" s="11" t="s">
        <v>60</v>
      </c>
      <c r="C486" s="11" t="s">
        <v>62</v>
      </c>
      <c r="D486" s="12" t="s">
        <v>1819</v>
      </c>
      <c r="E486" s="11" t="s">
        <v>203</v>
      </c>
      <c r="F486" s="11" t="s">
        <v>204</v>
      </c>
      <c r="G486" s="12" t="s">
        <v>1904</v>
      </c>
      <c r="H486" s="13" t="s">
        <v>1905</v>
      </c>
      <c r="I486" s="11" t="s">
        <v>65</v>
      </c>
      <c r="J486" s="14">
        <v>1</v>
      </c>
      <c r="K486" s="14" t="s">
        <v>1742</v>
      </c>
      <c r="L486" s="14" t="s">
        <v>1906</v>
      </c>
      <c r="M486" s="15" t="s">
        <v>1822</v>
      </c>
      <c r="N486" s="15" t="s">
        <v>208</v>
      </c>
      <c r="O486" s="15" t="s">
        <v>1907</v>
      </c>
      <c r="P486" s="15" t="s">
        <v>1908</v>
      </c>
      <c r="Q486" s="15" t="s">
        <v>211</v>
      </c>
      <c r="R486" s="16" t="s">
        <v>54</v>
      </c>
      <c r="S486" s="12" t="s">
        <v>1751</v>
      </c>
      <c r="T486" s="14" t="s">
        <v>55</v>
      </c>
    </row>
    <row r="487" spans="1:20" ht="16.5">
      <c r="A487" s="17" t="s">
        <v>1409</v>
      </c>
      <c r="B487" s="17" t="s">
        <v>60</v>
      </c>
      <c r="C487" s="17" t="s">
        <v>62</v>
      </c>
      <c r="D487" s="18" t="s">
        <v>1819</v>
      </c>
      <c r="E487" s="17" t="s">
        <v>203</v>
      </c>
      <c r="F487" s="17" t="s">
        <v>204</v>
      </c>
      <c r="G487" s="18" t="s">
        <v>1909</v>
      </c>
      <c r="H487" s="20" t="s">
        <v>1910</v>
      </c>
      <c r="I487" s="17" t="s">
        <v>65</v>
      </c>
      <c r="J487" s="21">
        <v>1</v>
      </c>
      <c r="K487" s="21" t="s">
        <v>1742</v>
      </c>
      <c r="L487" s="21" t="s">
        <v>1911</v>
      </c>
      <c r="M487" s="19" t="s">
        <v>1822</v>
      </c>
      <c r="N487" s="19" t="s">
        <v>208</v>
      </c>
      <c r="O487" s="19" t="s">
        <v>1912</v>
      </c>
      <c r="P487" s="19" t="s">
        <v>1913</v>
      </c>
      <c r="Q487" s="19" t="s">
        <v>211</v>
      </c>
      <c r="R487" s="16" t="s">
        <v>54</v>
      </c>
      <c r="S487" s="18" t="s">
        <v>1751</v>
      </c>
      <c r="T487" s="21" t="s">
        <v>55</v>
      </c>
    </row>
    <row r="488" spans="1:20" ht="16.5">
      <c r="A488" s="11" t="s">
        <v>1409</v>
      </c>
      <c r="B488" s="11" t="s">
        <v>60</v>
      </c>
      <c r="C488" s="11" t="s">
        <v>62</v>
      </c>
      <c r="D488" s="12" t="s">
        <v>1848</v>
      </c>
      <c r="E488" s="11" t="s">
        <v>203</v>
      </c>
      <c r="F488" s="11" t="s">
        <v>204</v>
      </c>
      <c r="G488" s="12" t="s">
        <v>1914</v>
      </c>
      <c r="H488" s="13" t="s">
        <v>1915</v>
      </c>
      <c r="I488" s="11" t="s">
        <v>65</v>
      </c>
      <c r="J488" s="14">
        <v>1</v>
      </c>
      <c r="K488" s="14" t="s">
        <v>1742</v>
      </c>
      <c r="L488" s="14" t="s">
        <v>1916</v>
      </c>
      <c r="M488" s="15" t="s">
        <v>1851</v>
      </c>
      <c r="N488" s="15" t="s">
        <v>208</v>
      </c>
      <c r="O488" s="15" t="s">
        <v>1917</v>
      </c>
      <c r="P488" s="15" t="s">
        <v>1918</v>
      </c>
      <c r="Q488" s="15" t="s">
        <v>211</v>
      </c>
      <c r="R488" s="16" t="s">
        <v>54</v>
      </c>
      <c r="S488" s="12" t="s">
        <v>1751</v>
      </c>
      <c r="T488" s="14" t="s">
        <v>55</v>
      </c>
    </row>
    <row r="489" spans="1:20" ht="16.5">
      <c r="A489" s="17" t="s">
        <v>1409</v>
      </c>
      <c r="B489" s="17" t="s">
        <v>60</v>
      </c>
      <c r="C489" s="17" t="s">
        <v>62</v>
      </c>
      <c r="D489" s="18" t="s">
        <v>1856</v>
      </c>
      <c r="E489" s="17" t="s">
        <v>203</v>
      </c>
      <c r="F489" s="17" t="s">
        <v>204</v>
      </c>
      <c r="G489" s="18" t="s">
        <v>1919</v>
      </c>
      <c r="H489" s="20" t="s">
        <v>1920</v>
      </c>
      <c r="I489" s="17" t="s">
        <v>65</v>
      </c>
      <c r="J489" s="21">
        <v>1</v>
      </c>
      <c r="K489" s="21" t="s">
        <v>1742</v>
      </c>
      <c r="L489" s="21" t="s">
        <v>1921</v>
      </c>
      <c r="M489" s="19" t="s">
        <v>1859</v>
      </c>
      <c r="N489" s="19" t="s">
        <v>208</v>
      </c>
      <c r="O489" s="19" t="s">
        <v>1922</v>
      </c>
      <c r="P489" s="19" t="s">
        <v>1923</v>
      </c>
      <c r="Q489" s="19" t="s">
        <v>211</v>
      </c>
      <c r="R489" s="16" t="s">
        <v>54</v>
      </c>
      <c r="S489" s="18" t="s">
        <v>1751</v>
      </c>
      <c r="T489" s="21" t="s">
        <v>55</v>
      </c>
    </row>
    <row r="490" spans="1:20" ht="16.5">
      <c r="A490" s="11" t="s">
        <v>1409</v>
      </c>
      <c r="B490" s="11" t="s">
        <v>60</v>
      </c>
      <c r="C490" s="11" t="s">
        <v>62</v>
      </c>
      <c r="D490" s="12" t="s">
        <v>1856</v>
      </c>
      <c r="E490" s="11" t="s">
        <v>203</v>
      </c>
      <c r="F490" s="11" t="s">
        <v>204</v>
      </c>
      <c r="G490" s="12" t="s">
        <v>1924</v>
      </c>
      <c r="H490" s="13" t="s">
        <v>1925</v>
      </c>
      <c r="I490" s="11" t="s">
        <v>65</v>
      </c>
      <c r="J490" s="14">
        <v>1</v>
      </c>
      <c r="K490" s="14" t="s">
        <v>1742</v>
      </c>
      <c r="L490" s="14" t="s">
        <v>1926</v>
      </c>
      <c r="M490" s="15" t="s">
        <v>1859</v>
      </c>
      <c r="N490" s="15" t="s">
        <v>208</v>
      </c>
      <c r="O490" s="15" t="s">
        <v>1927</v>
      </c>
      <c r="P490" s="15" t="s">
        <v>1928</v>
      </c>
      <c r="Q490" s="15" t="s">
        <v>211</v>
      </c>
      <c r="R490" s="16" t="s">
        <v>54</v>
      </c>
      <c r="S490" s="12" t="s">
        <v>1751</v>
      </c>
      <c r="T490" s="14" t="s">
        <v>55</v>
      </c>
    </row>
    <row r="491" spans="1:20" ht="16.5">
      <c r="A491" s="17" t="s">
        <v>1409</v>
      </c>
      <c r="B491" s="17" t="s">
        <v>60</v>
      </c>
      <c r="C491" s="17" t="s">
        <v>62</v>
      </c>
      <c r="D491" s="18" t="s">
        <v>1856</v>
      </c>
      <c r="E491" s="17" t="s">
        <v>203</v>
      </c>
      <c r="F491" s="17" t="s">
        <v>204</v>
      </c>
      <c r="G491" s="18" t="s">
        <v>1929</v>
      </c>
      <c r="H491" s="20" t="s">
        <v>1930</v>
      </c>
      <c r="I491" s="17" t="s">
        <v>65</v>
      </c>
      <c r="J491" s="21">
        <v>1</v>
      </c>
      <c r="K491" s="21" t="s">
        <v>1742</v>
      </c>
      <c r="L491" s="21" t="s">
        <v>1931</v>
      </c>
      <c r="M491" s="19" t="s">
        <v>1859</v>
      </c>
      <c r="N491" s="19" t="s">
        <v>208</v>
      </c>
      <c r="O491" s="19" t="s">
        <v>1932</v>
      </c>
      <c r="P491" s="19" t="s">
        <v>1933</v>
      </c>
      <c r="Q491" s="19" t="s">
        <v>211</v>
      </c>
      <c r="R491" s="16" t="s">
        <v>54</v>
      </c>
      <c r="S491" s="18" t="s">
        <v>1751</v>
      </c>
      <c r="T491" s="21" t="s">
        <v>55</v>
      </c>
    </row>
    <row r="492" spans="1:20" ht="16.5">
      <c r="A492" s="11" t="s">
        <v>1409</v>
      </c>
      <c r="B492" s="11" t="s">
        <v>60</v>
      </c>
      <c r="C492" s="11" t="s">
        <v>62</v>
      </c>
      <c r="D492" s="12" t="s">
        <v>1877</v>
      </c>
      <c r="E492" s="11" t="s">
        <v>203</v>
      </c>
      <c r="F492" s="11" t="s">
        <v>204</v>
      </c>
      <c r="G492" s="12" t="s">
        <v>1934</v>
      </c>
      <c r="H492" s="13" t="s">
        <v>1935</v>
      </c>
      <c r="I492" s="11" t="s">
        <v>65</v>
      </c>
      <c r="J492" s="14">
        <v>1</v>
      </c>
      <c r="K492" s="14" t="s">
        <v>1742</v>
      </c>
      <c r="L492" s="14" t="s">
        <v>1936</v>
      </c>
      <c r="M492" s="15" t="s">
        <v>1880</v>
      </c>
      <c r="N492" s="15" t="s">
        <v>208</v>
      </c>
      <c r="O492" s="15" t="s">
        <v>1937</v>
      </c>
      <c r="P492" s="15" t="s">
        <v>1938</v>
      </c>
      <c r="Q492" s="15" t="s">
        <v>211</v>
      </c>
      <c r="R492" s="16" t="s">
        <v>54</v>
      </c>
      <c r="S492" s="12" t="s">
        <v>1751</v>
      </c>
      <c r="T492" s="14" t="s">
        <v>55</v>
      </c>
    </row>
    <row r="493" spans="1:20" ht="16.5">
      <c r="A493" s="17" t="s">
        <v>1409</v>
      </c>
      <c r="B493" s="17" t="s">
        <v>60</v>
      </c>
      <c r="C493" s="17" t="s">
        <v>62</v>
      </c>
      <c r="D493" s="18" t="s">
        <v>1877</v>
      </c>
      <c r="E493" s="17" t="s">
        <v>203</v>
      </c>
      <c r="F493" s="17" t="s">
        <v>204</v>
      </c>
      <c r="G493" s="18" t="s">
        <v>1939</v>
      </c>
      <c r="H493" s="20" t="s">
        <v>1940</v>
      </c>
      <c r="I493" s="17" t="s">
        <v>65</v>
      </c>
      <c r="J493" s="21">
        <v>1</v>
      </c>
      <c r="K493" s="21" t="s">
        <v>1742</v>
      </c>
      <c r="L493" s="21" t="s">
        <v>1941</v>
      </c>
      <c r="M493" s="19" t="s">
        <v>1880</v>
      </c>
      <c r="N493" s="19" t="s">
        <v>208</v>
      </c>
      <c r="O493" s="19" t="s">
        <v>1942</v>
      </c>
      <c r="P493" s="19" t="s">
        <v>1943</v>
      </c>
      <c r="Q493" s="19" t="s">
        <v>211</v>
      </c>
      <c r="R493" s="16" t="s">
        <v>54</v>
      </c>
      <c r="S493" s="18" t="s">
        <v>1751</v>
      </c>
      <c r="T493" s="21" t="s">
        <v>55</v>
      </c>
    </row>
    <row r="494" spans="1:20" ht="16.5">
      <c r="A494" s="11" t="s">
        <v>1409</v>
      </c>
      <c r="B494" s="11" t="s">
        <v>60</v>
      </c>
      <c r="C494" s="11" t="s">
        <v>62</v>
      </c>
      <c r="D494" s="12" t="s">
        <v>1856</v>
      </c>
      <c r="E494" s="11" t="s">
        <v>203</v>
      </c>
      <c r="F494" s="11" t="s">
        <v>295</v>
      </c>
      <c r="G494" s="12" t="s">
        <v>1737</v>
      </c>
      <c r="H494" s="23" t="s">
        <v>1944</v>
      </c>
      <c r="I494" s="11" t="s">
        <v>65</v>
      </c>
      <c r="J494" s="14">
        <v>1</v>
      </c>
      <c r="K494" s="14" t="s">
        <v>1742</v>
      </c>
      <c r="L494" s="14" t="s">
        <v>1945</v>
      </c>
      <c r="M494" s="15" t="s">
        <v>1859</v>
      </c>
      <c r="N494" s="15" t="s">
        <v>208</v>
      </c>
      <c r="O494" s="15" t="s">
        <v>1739</v>
      </c>
      <c r="P494" s="15"/>
      <c r="Q494" s="12" t="s">
        <v>286</v>
      </c>
      <c r="R494" s="22" t="s">
        <v>88</v>
      </c>
      <c r="S494" s="12" t="s">
        <v>1751</v>
      </c>
      <c r="T494" s="14" t="s">
        <v>55</v>
      </c>
    </row>
    <row r="495" spans="1:20" ht="16.5">
      <c r="A495" s="17" t="s">
        <v>1409</v>
      </c>
      <c r="B495" s="17" t="s">
        <v>60</v>
      </c>
      <c r="C495" s="17" t="s">
        <v>62</v>
      </c>
      <c r="D495" s="18" t="s">
        <v>1856</v>
      </c>
      <c r="E495" s="17" t="s">
        <v>203</v>
      </c>
      <c r="F495" s="17" t="s">
        <v>295</v>
      </c>
      <c r="G495" s="18" t="s">
        <v>1946</v>
      </c>
      <c r="H495" s="24" t="s">
        <v>1947</v>
      </c>
      <c r="I495" s="17" t="s">
        <v>65</v>
      </c>
      <c r="J495" s="21">
        <v>1</v>
      </c>
      <c r="K495" s="21" t="s">
        <v>1742</v>
      </c>
      <c r="L495" s="21" t="s">
        <v>1948</v>
      </c>
      <c r="M495" s="19" t="s">
        <v>1859</v>
      </c>
      <c r="N495" s="19" t="s">
        <v>208</v>
      </c>
      <c r="O495" s="19" t="s">
        <v>1949</v>
      </c>
      <c r="P495" s="19"/>
      <c r="Q495" s="18" t="s">
        <v>286</v>
      </c>
      <c r="R495" s="22" t="s">
        <v>88</v>
      </c>
      <c r="S495" s="18" t="s">
        <v>1751</v>
      </c>
      <c r="T495" s="21" t="s">
        <v>55</v>
      </c>
    </row>
    <row r="496" spans="1:20" ht="16.5">
      <c r="A496" s="11" t="s">
        <v>1409</v>
      </c>
      <c r="B496" s="11" t="s">
        <v>60</v>
      </c>
      <c r="C496" s="11" t="s">
        <v>62</v>
      </c>
      <c r="D496" s="12" t="s">
        <v>1727</v>
      </c>
      <c r="E496" s="11" t="s">
        <v>203</v>
      </c>
      <c r="F496" s="11" t="s">
        <v>204</v>
      </c>
      <c r="G496" s="12" t="s">
        <v>1950</v>
      </c>
      <c r="H496" s="13" t="s">
        <v>1951</v>
      </c>
      <c r="I496" s="11" t="s">
        <v>65</v>
      </c>
      <c r="J496" s="14">
        <v>1</v>
      </c>
      <c r="K496" s="14" t="s">
        <v>1742</v>
      </c>
      <c r="L496" s="14" t="s">
        <v>1952</v>
      </c>
      <c r="M496" s="15" t="s">
        <v>1730</v>
      </c>
      <c r="N496" s="15" t="s">
        <v>208</v>
      </c>
      <c r="O496" s="15" t="s">
        <v>1953</v>
      </c>
      <c r="P496" s="15"/>
      <c r="Q496" s="12" t="s">
        <v>286</v>
      </c>
      <c r="R496" s="22" t="s">
        <v>88</v>
      </c>
      <c r="S496" s="12" t="s">
        <v>1751</v>
      </c>
      <c r="T496" s="14" t="s">
        <v>55</v>
      </c>
    </row>
    <row r="497" spans="1:20" ht="16.5">
      <c r="A497" s="17" t="s">
        <v>1409</v>
      </c>
      <c r="B497" s="17" t="s">
        <v>60</v>
      </c>
      <c r="C497" s="17" t="s">
        <v>62</v>
      </c>
      <c r="D497" s="18" t="s">
        <v>1727</v>
      </c>
      <c r="E497" s="17" t="s">
        <v>203</v>
      </c>
      <c r="F497" s="17" t="s">
        <v>204</v>
      </c>
      <c r="G497" s="18" t="s">
        <v>1954</v>
      </c>
      <c r="H497" s="20" t="s">
        <v>1955</v>
      </c>
      <c r="I497" s="17" t="s">
        <v>65</v>
      </c>
      <c r="J497" s="21">
        <v>1</v>
      </c>
      <c r="K497" s="21" t="s">
        <v>1742</v>
      </c>
      <c r="L497" s="21" t="s">
        <v>1956</v>
      </c>
      <c r="M497" s="19" t="s">
        <v>1730</v>
      </c>
      <c r="N497" s="19" t="s">
        <v>208</v>
      </c>
      <c r="O497" s="19" t="s">
        <v>1957</v>
      </c>
      <c r="P497" s="19"/>
      <c r="Q497" s="18" t="s">
        <v>286</v>
      </c>
      <c r="R497" s="22" t="s">
        <v>88</v>
      </c>
      <c r="S497" s="18" t="s">
        <v>1751</v>
      </c>
      <c r="T497" s="21" t="s">
        <v>55</v>
      </c>
    </row>
    <row r="498" spans="1:20" ht="16.5">
      <c r="A498" s="11" t="s">
        <v>1409</v>
      </c>
      <c r="B498" s="11" t="s">
        <v>60</v>
      </c>
      <c r="C498" s="11" t="s">
        <v>62</v>
      </c>
      <c r="D498" s="12" t="s">
        <v>1727</v>
      </c>
      <c r="E498" s="11" t="s">
        <v>203</v>
      </c>
      <c r="F498" s="11" t="s">
        <v>295</v>
      </c>
      <c r="G498" s="12" t="s">
        <v>1958</v>
      </c>
      <c r="H498" s="13" t="s">
        <v>1959</v>
      </c>
      <c r="I498" s="11" t="s">
        <v>65</v>
      </c>
      <c r="J498" s="14">
        <v>1</v>
      </c>
      <c r="K498" s="14" t="s">
        <v>1742</v>
      </c>
      <c r="L498" s="14" t="s">
        <v>1960</v>
      </c>
      <c r="M498" s="15" t="s">
        <v>1730</v>
      </c>
      <c r="N498" s="15" t="s">
        <v>208</v>
      </c>
      <c r="O498" s="15" t="s">
        <v>1961</v>
      </c>
      <c r="P498" s="15"/>
      <c r="Q498" s="12" t="s">
        <v>286</v>
      </c>
      <c r="R498" s="22" t="s">
        <v>88</v>
      </c>
      <c r="S498" s="12" t="s">
        <v>1751</v>
      </c>
      <c r="T498" s="14" t="s">
        <v>55</v>
      </c>
    </row>
    <row r="499" spans="1:20" ht="16.5">
      <c r="A499" s="17" t="s">
        <v>1409</v>
      </c>
      <c r="B499" s="17" t="s">
        <v>60</v>
      </c>
      <c r="C499" s="17" t="s">
        <v>300</v>
      </c>
      <c r="D499" s="18" t="s">
        <v>1962</v>
      </c>
      <c r="E499" s="17" t="s">
        <v>203</v>
      </c>
      <c r="F499" s="17" t="s">
        <v>295</v>
      </c>
      <c r="G499" s="18" t="s">
        <v>1737</v>
      </c>
      <c r="H499" s="20" t="s">
        <v>1963</v>
      </c>
      <c r="I499" s="17" t="s">
        <v>65</v>
      </c>
      <c r="J499" s="21">
        <v>1</v>
      </c>
      <c r="K499" s="21" t="s">
        <v>1742</v>
      </c>
      <c r="L499" s="21" t="s">
        <v>1964</v>
      </c>
      <c r="M499" s="19" t="s">
        <v>1965</v>
      </c>
      <c r="N499" s="19" t="s">
        <v>208</v>
      </c>
      <c r="O499" s="19" t="s">
        <v>1739</v>
      </c>
      <c r="P499" s="19"/>
      <c r="Q499" s="18" t="s">
        <v>286</v>
      </c>
      <c r="R499" s="22" t="s">
        <v>88</v>
      </c>
      <c r="S499" s="18" t="s">
        <v>1751</v>
      </c>
      <c r="T499" s="21" t="s">
        <v>55</v>
      </c>
    </row>
    <row r="500" spans="1:20" ht="16.5">
      <c r="A500" s="11" t="s">
        <v>1409</v>
      </c>
      <c r="B500" s="11" t="s">
        <v>311</v>
      </c>
      <c r="C500" s="11" t="s">
        <v>204</v>
      </c>
      <c r="D500" s="12" t="s">
        <v>1889</v>
      </c>
      <c r="E500" s="11" t="s">
        <v>312</v>
      </c>
      <c r="F500" s="14" t="s">
        <v>313</v>
      </c>
      <c r="G500" s="15" t="s">
        <v>1966</v>
      </c>
      <c r="H500" s="23" t="s">
        <v>1967</v>
      </c>
      <c r="I500" s="11" t="s">
        <v>65</v>
      </c>
      <c r="J500" s="14">
        <v>1</v>
      </c>
      <c r="K500" s="14" t="s">
        <v>1742</v>
      </c>
      <c r="L500" s="14" t="s">
        <v>1968</v>
      </c>
      <c r="M500" s="15" t="s">
        <v>1892</v>
      </c>
      <c r="N500" s="15" t="s">
        <v>316</v>
      </c>
      <c r="O500" s="15" t="s">
        <v>1969</v>
      </c>
      <c r="P500" s="15" t="s">
        <v>1966</v>
      </c>
      <c r="Q500" s="15" t="s">
        <v>211</v>
      </c>
      <c r="R500" s="16" t="s">
        <v>54</v>
      </c>
      <c r="S500" s="12" t="s">
        <v>1751</v>
      </c>
      <c r="T500" s="14" t="s">
        <v>55</v>
      </c>
    </row>
    <row r="501" spans="1:20" ht="16.5">
      <c r="A501" s="17" t="s">
        <v>1409</v>
      </c>
      <c r="B501" s="17" t="s">
        <v>311</v>
      </c>
      <c r="C501" s="17" t="s">
        <v>204</v>
      </c>
      <c r="D501" s="18" t="s">
        <v>1889</v>
      </c>
      <c r="E501" s="17" t="s">
        <v>312</v>
      </c>
      <c r="F501" s="21" t="s">
        <v>313</v>
      </c>
      <c r="G501" s="19" t="s">
        <v>1970</v>
      </c>
      <c r="H501" s="24" t="s">
        <v>1971</v>
      </c>
      <c r="I501" s="17" t="s">
        <v>65</v>
      </c>
      <c r="J501" s="21">
        <v>1</v>
      </c>
      <c r="K501" s="21" t="s">
        <v>1742</v>
      </c>
      <c r="L501" s="21" t="s">
        <v>1972</v>
      </c>
      <c r="M501" s="19" t="s">
        <v>1892</v>
      </c>
      <c r="N501" s="19" t="s">
        <v>316</v>
      </c>
      <c r="O501" s="19" t="s">
        <v>1973</v>
      </c>
      <c r="P501" s="19" t="s">
        <v>1970</v>
      </c>
      <c r="Q501" s="19" t="s">
        <v>211</v>
      </c>
      <c r="R501" s="16" t="s">
        <v>54</v>
      </c>
      <c r="S501" s="18" t="s">
        <v>1751</v>
      </c>
      <c r="T501" s="21" t="s">
        <v>55</v>
      </c>
    </row>
    <row r="502" spans="1:20" ht="16.5">
      <c r="A502" s="11" t="s">
        <v>1409</v>
      </c>
      <c r="B502" s="11" t="s">
        <v>311</v>
      </c>
      <c r="C502" s="11" t="s">
        <v>204</v>
      </c>
      <c r="D502" s="12" t="s">
        <v>1889</v>
      </c>
      <c r="E502" s="11" t="s">
        <v>312</v>
      </c>
      <c r="F502" s="14" t="s">
        <v>313</v>
      </c>
      <c r="G502" s="15" t="s">
        <v>1974</v>
      </c>
      <c r="H502" s="23" t="s">
        <v>1975</v>
      </c>
      <c r="I502" s="11" t="s">
        <v>65</v>
      </c>
      <c r="J502" s="14">
        <v>1</v>
      </c>
      <c r="K502" s="14" t="s">
        <v>1742</v>
      </c>
      <c r="L502" s="14" t="s">
        <v>1976</v>
      </c>
      <c r="M502" s="15" t="s">
        <v>1892</v>
      </c>
      <c r="N502" s="15" t="s">
        <v>316</v>
      </c>
      <c r="O502" s="15" t="s">
        <v>1977</v>
      </c>
      <c r="P502" s="15" t="s">
        <v>1974</v>
      </c>
      <c r="Q502" s="15" t="s">
        <v>211</v>
      </c>
      <c r="R502" s="16" t="s">
        <v>54</v>
      </c>
      <c r="S502" s="12" t="s">
        <v>1751</v>
      </c>
      <c r="T502" s="14" t="s">
        <v>55</v>
      </c>
    </row>
    <row r="503" spans="1:20" ht="16.5">
      <c r="A503" s="17" t="s">
        <v>1409</v>
      </c>
      <c r="B503" s="17" t="s">
        <v>311</v>
      </c>
      <c r="C503" s="17" t="s">
        <v>204</v>
      </c>
      <c r="D503" s="18" t="s">
        <v>1889</v>
      </c>
      <c r="E503" s="17" t="s">
        <v>312</v>
      </c>
      <c r="F503" s="21" t="s">
        <v>313</v>
      </c>
      <c r="G503" s="19" t="s">
        <v>1978</v>
      </c>
      <c r="H503" s="24" t="s">
        <v>1979</v>
      </c>
      <c r="I503" s="17" t="s">
        <v>65</v>
      </c>
      <c r="J503" s="21">
        <v>1</v>
      </c>
      <c r="K503" s="21" t="s">
        <v>1742</v>
      </c>
      <c r="L503" s="21" t="s">
        <v>1980</v>
      </c>
      <c r="M503" s="19" t="s">
        <v>1892</v>
      </c>
      <c r="N503" s="19" t="s">
        <v>316</v>
      </c>
      <c r="O503" s="19" t="s">
        <v>1981</v>
      </c>
      <c r="P503" s="19" t="s">
        <v>1978</v>
      </c>
      <c r="Q503" s="19" t="s">
        <v>211</v>
      </c>
      <c r="R503" s="16" t="s">
        <v>54</v>
      </c>
      <c r="S503" s="18" t="s">
        <v>1751</v>
      </c>
      <c r="T503" s="21" t="s">
        <v>55</v>
      </c>
    </row>
    <row r="504" spans="1:20" ht="16.5">
      <c r="A504" s="11" t="s">
        <v>1409</v>
      </c>
      <c r="B504" s="11" t="s">
        <v>311</v>
      </c>
      <c r="C504" s="11" t="s">
        <v>204</v>
      </c>
      <c r="D504" s="12" t="s">
        <v>1889</v>
      </c>
      <c r="E504" s="11" t="s">
        <v>312</v>
      </c>
      <c r="F504" s="14" t="s">
        <v>313</v>
      </c>
      <c r="G504" s="15" t="s">
        <v>1982</v>
      </c>
      <c r="H504" s="23" t="s">
        <v>1983</v>
      </c>
      <c r="I504" s="11" t="s">
        <v>65</v>
      </c>
      <c r="J504" s="14">
        <v>1</v>
      </c>
      <c r="K504" s="14" t="s">
        <v>1742</v>
      </c>
      <c r="L504" s="14" t="s">
        <v>1984</v>
      </c>
      <c r="M504" s="15" t="s">
        <v>1892</v>
      </c>
      <c r="N504" s="15" t="s">
        <v>316</v>
      </c>
      <c r="O504" s="15" t="s">
        <v>1985</v>
      </c>
      <c r="P504" s="15" t="s">
        <v>1982</v>
      </c>
      <c r="Q504" s="15" t="s">
        <v>211</v>
      </c>
      <c r="R504" s="16" t="s">
        <v>54</v>
      </c>
      <c r="S504" s="12" t="s">
        <v>1751</v>
      </c>
      <c r="T504" s="14" t="s">
        <v>55</v>
      </c>
    </row>
    <row r="505" spans="1:20" ht="16.5">
      <c r="A505" s="17" t="s">
        <v>1409</v>
      </c>
      <c r="B505" s="17" t="s">
        <v>311</v>
      </c>
      <c r="C505" s="17" t="s">
        <v>204</v>
      </c>
      <c r="D505" s="18" t="s">
        <v>1889</v>
      </c>
      <c r="E505" s="17" t="s">
        <v>312</v>
      </c>
      <c r="F505" s="21" t="s">
        <v>313</v>
      </c>
      <c r="G505" s="19" t="s">
        <v>1986</v>
      </c>
      <c r="H505" s="24" t="s">
        <v>1987</v>
      </c>
      <c r="I505" s="17" t="s">
        <v>65</v>
      </c>
      <c r="J505" s="21">
        <v>1</v>
      </c>
      <c r="K505" s="21" t="s">
        <v>1742</v>
      </c>
      <c r="L505" s="21" t="s">
        <v>1988</v>
      </c>
      <c r="M505" s="19" t="s">
        <v>1892</v>
      </c>
      <c r="N505" s="19" t="s">
        <v>316</v>
      </c>
      <c r="O505" s="19" t="s">
        <v>1989</v>
      </c>
      <c r="P505" s="19" t="s">
        <v>1986</v>
      </c>
      <c r="Q505" s="19" t="s">
        <v>211</v>
      </c>
      <c r="R505" s="16" t="s">
        <v>54</v>
      </c>
      <c r="S505" s="18" t="s">
        <v>1751</v>
      </c>
      <c r="T505" s="21" t="s">
        <v>55</v>
      </c>
    </row>
    <row r="506" spans="1:20" ht="16.5">
      <c r="A506" s="11" t="s">
        <v>1409</v>
      </c>
      <c r="B506" s="11" t="s">
        <v>311</v>
      </c>
      <c r="C506" s="11" t="s">
        <v>204</v>
      </c>
      <c r="D506" s="12" t="s">
        <v>1894</v>
      </c>
      <c r="E506" s="11" t="s">
        <v>312</v>
      </c>
      <c r="F506" s="14" t="s">
        <v>313</v>
      </c>
      <c r="G506" s="15" t="s">
        <v>1990</v>
      </c>
      <c r="H506" s="23" t="s">
        <v>1991</v>
      </c>
      <c r="I506" s="11" t="s">
        <v>65</v>
      </c>
      <c r="J506" s="14">
        <v>1</v>
      </c>
      <c r="K506" s="14" t="s">
        <v>1742</v>
      </c>
      <c r="L506" s="14" t="s">
        <v>1992</v>
      </c>
      <c r="M506" s="15" t="s">
        <v>1897</v>
      </c>
      <c r="N506" s="15" t="s">
        <v>316</v>
      </c>
      <c r="O506" s="15" t="s">
        <v>1993</v>
      </c>
      <c r="P506" s="15" t="s">
        <v>1990</v>
      </c>
      <c r="Q506" s="15" t="s">
        <v>211</v>
      </c>
      <c r="R506" s="16" t="s">
        <v>54</v>
      </c>
      <c r="S506" s="12" t="s">
        <v>1751</v>
      </c>
      <c r="T506" s="14" t="s">
        <v>55</v>
      </c>
    </row>
    <row r="507" spans="1:20" ht="16.5">
      <c r="A507" s="17" t="s">
        <v>1409</v>
      </c>
      <c r="B507" s="17" t="s">
        <v>311</v>
      </c>
      <c r="C507" s="17" t="s">
        <v>204</v>
      </c>
      <c r="D507" s="18" t="s">
        <v>1894</v>
      </c>
      <c r="E507" s="17" t="s">
        <v>312</v>
      </c>
      <c r="F507" s="21" t="s">
        <v>313</v>
      </c>
      <c r="G507" s="19" t="s">
        <v>1994</v>
      </c>
      <c r="H507" s="24" t="s">
        <v>1995</v>
      </c>
      <c r="I507" s="17" t="s">
        <v>65</v>
      </c>
      <c r="J507" s="21">
        <v>1</v>
      </c>
      <c r="K507" s="21" t="s">
        <v>1742</v>
      </c>
      <c r="L507" s="21" t="s">
        <v>1996</v>
      </c>
      <c r="M507" s="19" t="s">
        <v>1897</v>
      </c>
      <c r="N507" s="19" t="s">
        <v>316</v>
      </c>
      <c r="O507" s="19" t="s">
        <v>1997</v>
      </c>
      <c r="P507" s="19" t="s">
        <v>1994</v>
      </c>
      <c r="Q507" s="19" t="s">
        <v>211</v>
      </c>
      <c r="R507" s="16" t="s">
        <v>54</v>
      </c>
      <c r="S507" s="18" t="s">
        <v>1751</v>
      </c>
      <c r="T507" s="21" t="s">
        <v>55</v>
      </c>
    </row>
    <row r="508" spans="1:20" ht="16.5">
      <c r="A508" s="11" t="s">
        <v>1409</v>
      </c>
      <c r="B508" s="11" t="s">
        <v>311</v>
      </c>
      <c r="C508" s="11" t="s">
        <v>204</v>
      </c>
      <c r="D508" s="12" t="s">
        <v>1894</v>
      </c>
      <c r="E508" s="11" t="s">
        <v>312</v>
      </c>
      <c r="F508" s="14" t="s">
        <v>313</v>
      </c>
      <c r="G508" s="15" t="s">
        <v>1998</v>
      </c>
      <c r="H508" s="23" t="s">
        <v>1999</v>
      </c>
      <c r="I508" s="11" t="s">
        <v>65</v>
      </c>
      <c r="J508" s="14">
        <v>1</v>
      </c>
      <c r="K508" s="14" t="s">
        <v>1742</v>
      </c>
      <c r="L508" s="14" t="s">
        <v>2000</v>
      </c>
      <c r="M508" s="15" t="s">
        <v>1897</v>
      </c>
      <c r="N508" s="15" t="s">
        <v>316</v>
      </c>
      <c r="O508" s="15" t="s">
        <v>2001</v>
      </c>
      <c r="P508" s="15" t="s">
        <v>1998</v>
      </c>
      <c r="Q508" s="15" t="s">
        <v>211</v>
      </c>
      <c r="R508" s="16" t="s">
        <v>54</v>
      </c>
      <c r="S508" s="12" t="s">
        <v>1751</v>
      </c>
      <c r="T508" s="14" t="s">
        <v>55</v>
      </c>
    </row>
    <row r="509" spans="1:20" ht="16.5">
      <c r="A509" s="17" t="s">
        <v>1409</v>
      </c>
      <c r="B509" s="17" t="s">
        <v>311</v>
      </c>
      <c r="C509" s="17" t="s">
        <v>204</v>
      </c>
      <c r="D509" s="18" t="s">
        <v>1894</v>
      </c>
      <c r="E509" s="17" t="s">
        <v>312</v>
      </c>
      <c r="F509" s="21" t="s">
        <v>313</v>
      </c>
      <c r="G509" s="19" t="s">
        <v>2002</v>
      </c>
      <c r="H509" s="24" t="s">
        <v>2003</v>
      </c>
      <c r="I509" s="17" t="s">
        <v>65</v>
      </c>
      <c r="J509" s="21">
        <v>1</v>
      </c>
      <c r="K509" s="21" t="s">
        <v>1742</v>
      </c>
      <c r="L509" s="21" t="s">
        <v>2004</v>
      </c>
      <c r="M509" s="19" t="s">
        <v>1897</v>
      </c>
      <c r="N509" s="19" t="s">
        <v>316</v>
      </c>
      <c r="O509" s="19" t="s">
        <v>2005</v>
      </c>
      <c r="P509" s="19" t="s">
        <v>2002</v>
      </c>
      <c r="Q509" s="19" t="s">
        <v>211</v>
      </c>
      <c r="R509" s="16" t="s">
        <v>54</v>
      </c>
      <c r="S509" s="18" t="s">
        <v>1751</v>
      </c>
      <c r="T509" s="21" t="s">
        <v>55</v>
      </c>
    </row>
    <row r="510" spans="1:20" ht="16.5">
      <c r="A510" s="11" t="s">
        <v>1409</v>
      </c>
      <c r="B510" s="11" t="s">
        <v>311</v>
      </c>
      <c r="C510" s="11" t="s">
        <v>204</v>
      </c>
      <c r="D510" s="12" t="s">
        <v>1899</v>
      </c>
      <c r="E510" s="11" t="s">
        <v>312</v>
      </c>
      <c r="F510" s="14" t="s">
        <v>313</v>
      </c>
      <c r="G510" s="15" t="s">
        <v>2006</v>
      </c>
      <c r="H510" s="23" t="s">
        <v>2007</v>
      </c>
      <c r="I510" s="11" t="s">
        <v>65</v>
      </c>
      <c r="J510" s="14">
        <v>1</v>
      </c>
      <c r="K510" s="14" t="s">
        <v>1742</v>
      </c>
      <c r="L510" s="14" t="s">
        <v>2008</v>
      </c>
      <c r="M510" s="15" t="s">
        <v>1902</v>
      </c>
      <c r="N510" s="15" t="s">
        <v>316</v>
      </c>
      <c r="O510" s="15" t="s">
        <v>2009</v>
      </c>
      <c r="P510" s="15" t="s">
        <v>2006</v>
      </c>
      <c r="Q510" s="15" t="s">
        <v>211</v>
      </c>
      <c r="R510" s="16" t="s">
        <v>54</v>
      </c>
      <c r="S510" s="12" t="s">
        <v>1751</v>
      </c>
      <c r="T510" s="14" t="s">
        <v>55</v>
      </c>
    </row>
    <row r="511" spans="1:20" ht="16.5">
      <c r="A511" s="17" t="s">
        <v>1409</v>
      </c>
      <c r="B511" s="17" t="s">
        <v>311</v>
      </c>
      <c r="C511" s="17" t="s">
        <v>204</v>
      </c>
      <c r="D511" s="18" t="s">
        <v>1899</v>
      </c>
      <c r="E511" s="17" t="s">
        <v>312</v>
      </c>
      <c r="F511" s="21" t="s">
        <v>313</v>
      </c>
      <c r="G511" s="19" t="s">
        <v>2010</v>
      </c>
      <c r="H511" s="24" t="s">
        <v>2011</v>
      </c>
      <c r="I511" s="17" t="s">
        <v>65</v>
      </c>
      <c r="J511" s="21">
        <v>1</v>
      </c>
      <c r="K511" s="21" t="s">
        <v>1742</v>
      </c>
      <c r="L511" s="21" t="s">
        <v>2012</v>
      </c>
      <c r="M511" s="19" t="s">
        <v>1902</v>
      </c>
      <c r="N511" s="19" t="s">
        <v>316</v>
      </c>
      <c r="O511" s="19" t="s">
        <v>2013</v>
      </c>
      <c r="P511" s="19" t="s">
        <v>2010</v>
      </c>
      <c r="Q511" s="19" t="s">
        <v>211</v>
      </c>
      <c r="R511" s="16" t="s">
        <v>54</v>
      </c>
      <c r="S511" s="18" t="s">
        <v>1751</v>
      </c>
      <c r="T511" s="21" t="s">
        <v>55</v>
      </c>
    </row>
    <row r="512" spans="1:20" ht="16.5">
      <c r="A512" s="11" t="s">
        <v>1409</v>
      </c>
      <c r="B512" s="11" t="s">
        <v>311</v>
      </c>
      <c r="C512" s="11" t="s">
        <v>204</v>
      </c>
      <c r="D512" s="12" t="s">
        <v>1899</v>
      </c>
      <c r="E512" s="11" t="s">
        <v>312</v>
      </c>
      <c r="F512" s="14" t="s">
        <v>313</v>
      </c>
      <c r="G512" s="15" t="s">
        <v>2014</v>
      </c>
      <c r="H512" s="23" t="s">
        <v>2015</v>
      </c>
      <c r="I512" s="11" t="s">
        <v>65</v>
      </c>
      <c r="J512" s="14">
        <v>1</v>
      </c>
      <c r="K512" s="14" t="s">
        <v>1742</v>
      </c>
      <c r="L512" s="14" t="s">
        <v>2016</v>
      </c>
      <c r="M512" s="15" t="s">
        <v>1902</v>
      </c>
      <c r="N512" s="15" t="s">
        <v>316</v>
      </c>
      <c r="O512" s="15" t="s">
        <v>2017</v>
      </c>
      <c r="P512" s="15" t="s">
        <v>2014</v>
      </c>
      <c r="Q512" s="15" t="s">
        <v>211</v>
      </c>
      <c r="R512" s="16" t="s">
        <v>54</v>
      </c>
      <c r="S512" s="12" t="s">
        <v>1751</v>
      </c>
      <c r="T512" s="14" t="s">
        <v>55</v>
      </c>
    </row>
    <row r="513" spans="1:20" ht="16.5">
      <c r="A513" s="17" t="s">
        <v>1409</v>
      </c>
      <c r="B513" s="17" t="s">
        <v>311</v>
      </c>
      <c r="C513" s="17" t="s">
        <v>204</v>
      </c>
      <c r="D513" s="18" t="s">
        <v>1899</v>
      </c>
      <c r="E513" s="17" t="s">
        <v>312</v>
      </c>
      <c r="F513" s="21" t="s">
        <v>313</v>
      </c>
      <c r="G513" s="19" t="s">
        <v>2018</v>
      </c>
      <c r="H513" s="24" t="s">
        <v>2019</v>
      </c>
      <c r="I513" s="17" t="s">
        <v>65</v>
      </c>
      <c r="J513" s="21">
        <v>1</v>
      </c>
      <c r="K513" s="21" t="s">
        <v>1742</v>
      </c>
      <c r="L513" s="21" t="s">
        <v>2020</v>
      </c>
      <c r="M513" s="19" t="s">
        <v>1902</v>
      </c>
      <c r="N513" s="19" t="s">
        <v>316</v>
      </c>
      <c r="O513" s="19" t="s">
        <v>2021</v>
      </c>
      <c r="P513" s="19" t="s">
        <v>2018</v>
      </c>
      <c r="Q513" s="19" t="s">
        <v>211</v>
      </c>
      <c r="R513" s="16" t="s">
        <v>54</v>
      </c>
      <c r="S513" s="18" t="s">
        <v>1751</v>
      </c>
      <c r="T513" s="21" t="s">
        <v>55</v>
      </c>
    </row>
    <row r="514" spans="1:20" ht="16.5">
      <c r="A514" s="11" t="s">
        <v>1409</v>
      </c>
      <c r="B514" s="11" t="s">
        <v>311</v>
      </c>
      <c r="C514" s="11" t="s">
        <v>204</v>
      </c>
      <c r="D514" s="12" t="s">
        <v>1904</v>
      </c>
      <c r="E514" s="11" t="s">
        <v>312</v>
      </c>
      <c r="F514" s="14" t="s">
        <v>313</v>
      </c>
      <c r="G514" s="15" t="s">
        <v>2022</v>
      </c>
      <c r="H514" s="23" t="s">
        <v>2023</v>
      </c>
      <c r="I514" s="11" t="s">
        <v>65</v>
      </c>
      <c r="J514" s="14">
        <v>1</v>
      </c>
      <c r="K514" s="14" t="s">
        <v>1742</v>
      </c>
      <c r="L514" s="14" t="s">
        <v>2024</v>
      </c>
      <c r="M514" s="15" t="s">
        <v>1907</v>
      </c>
      <c r="N514" s="15" t="s">
        <v>316</v>
      </c>
      <c r="O514" s="15" t="s">
        <v>2025</v>
      </c>
      <c r="P514" s="15" t="s">
        <v>2022</v>
      </c>
      <c r="Q514" s="15" t="s">
        <v>211</v>
      </c>
      <c r="R514" s="16" t="s">
        <v>54</v>
      </c>
      <c r="S514" s="12" t="s">
        <v>1751</v>
      </c>
      <c r="T514" s="14" t="s">
        <v>55</v>
      </c>
    </row>
    <row r="515" spans="1:20" ht="16.5">
      <c r="A515" s="17" t="s">
        <v>1409</v>
      </c>
      <c r="B515" s="17" t="s">
        <v>311</v>
      </c>
      <c r="C515" s="17" t="s">
        <v>204</v>
      </c>
      <c r="D515" s="18" t="s">
        <v>1904</v>
      </c>
      <c r="E515" s="17" t="s">
        <v>312</v>
      </c>
      <c r="F515" s="21" t="s">
        <v>313</v>
      </c>
      <c r="G515" s="19" t="s">
        <v>2026</v>
      </c>
      <c r="H515" s="24" t="s">
        <v>2027</v>
      </c>
      <c r="I515" s="17" t="s">
        <v>65</v>
      </c>
      <c r="J515" s="21">
        <v>1</v>
      </c>
      <c r="K515" s="21" t="s">
        <v>1742</v>
      </c>
      <c r="L515" s="21" t="s">
        <v>2028</v>
      </c>
      <c r="M515" s="19" t="s">
        <v>1907</v>
      </c>
      <c r="N515" s="19" t="s">
        <v>316</v>
      </c>
      <c r="O515" s="19" t="s">
        <v>2029</v>
      </c>
      <c r="P515" s="19" t="s">
        <v>2026</v>
      </c>
      <c r="Q515" s="19" t="s">
        <v>211</v>
      </c>
      <c r="R515" s="16" t="s">
        <v>54</v>
      </c>
      <c r="S515" s="18" t="s">
        <v>1751</v>
      </c>
      <c r="T515" s="21" t="s">
        <v>55</v>
      </c>
    </row>
    <row r="516" spans="1:20" ht="16.5">
      <c r="A516" s="11" t="s">
        <v>1409</v>
      </c>
      <c r="B516" s="11" t="s">
        <v>311</v>
      </c>
      <c r="C516" s="11" t="s">
        <v>204</v>
      </c>
      <c r="D516" s="12" t="s">
        <v>1904</v>
      </c>
      <c r="E516" s="11" t="s">
        <v>312</v>
      </c>
      <c r="F516" s="14" t="s">
        <v>313</v>
      </c>
      <c r="G516" s="15" t="s">
        <v>2030</v>
      </c>
      <c r="H516" s="23" t="s">
        <v>2031</v>
      </c>
      <c r="I516" s="11" t="s">
        <v>65</v>
      </c>
      <c r="J516" s="14">
        <v>1</v>
      </c>
      <c r="K516" s="14" t="s">
        <v>1742</v>
      </c>
      <c r="L516" s="14" t="s">
        <v>2032</v>
      </c>
      <c r="M516" s="15" t="s">
        <v>1907</v>
      </c>
      <c r="N516" s="15" t="s">
        <v>316</v>
      </c>
      <c r="O516" s="15" t="s">
        <v>2033</v>
      </c>
      <c r="P516" s="15" t="s">
        <v>2030</v>
      </c>
      <c r="Q516" s="15" t="s">
        <v>211</v>
      </c>
      <c r="R516" s="16" t="s">
        <v>54</v>
      </c>
      <c r="S516" s="12" t="s">
        <v>1751</v>
      </c>
      <c r="T516" s="14" t="s">
        <v>55</v>
      </c>
    </row>
    <row r="517" spans="1:20" ht="16.5">
      <c r="A517" s="17" t="s">
        <v>1409</v>
      </c>
      <c r="B517" s="17" t="s">
        <v>311</v>
      </c>
      <c r="C517" s="17" t="s">
        <v>204</v>
      </c>
      <c r="D517" s="18" t="s">
        <v>1904</v>
      </c>
      <c r="E517" s="17" t="s">
        <v>312</v>
      </c>
      <c r="F517" s="21" t="s">
        <v>313</v>
      </c>
      <c r="G517" s="19" t="s">
        <v>2034</v>
      </c>
      <c r="H517" s="24" t="s">
        <v>2035</v>
      </c>
      <c r="I517" s="17" t="s">
        <v>65</v>
      </c>
      <c r="J517" s="21">
        <v>1</v>
      </c>
      <c r="K517" s="21" t="s">
        <v>1742</v>
      </c>
      <c r="L517" s="21" t="s">
        <v>2036</v>
      </c>
      <c r="M517" s="19" t="s">
        <v>1907</v>
      </c>
      <c r="N517" s="19" t="s">
        <v>316</v>
      </c>
      <c r="O517" s="19" t="s">
        <v>2037</v>
      </c>
      <c r="P517" s="19" t="s">
        <v>2034</v>
      </c>
      <c r="Q517" s="19" t="s">
        <v>211</v>
      </c>
      <c r="R517" s="16" t="s">
        <v>54</v>
      </c>
      <c r="S517" s="18" t="s">
        <v>1751</v>
      </c>
      <c r="T517" s="21" t="s">
        <v>55</v>
      </c>
    </row>
    <row r="518" spans="1:20" ht="16.5">
      <c r="A518" s="11" t="s">
        <v>1409</v>
      </c>
      <c r="B518" s="11" t="s">
        <v>311</v>
      </c>
      <c r="C518" s="11" t="s">
        <v>204</v>
      </c>
      <c r="D518" s="12" t="s">
        <v>1909</v>
      </c>
      <c r="E518" s="11" t="s">
        <v>312</v>
      </c>
      <c r="F518" s="14" t="s">
        <v>313</v>
      </c>
      <c r="G518" s="15" t="s">
        <v>1913</v>
      </c>
      <c r="H518" s="23" t="s">
        <v>2038</v>
      </c>
      <c r="I518" s="11" t="s">
        <v>65</v>
      </c>
      <c r="J518" s="14">
        <v>1</v>
      </c>
      <c r="K518" s="14" t="s">
        <v>1742</v>
      </c>
      <c r="L518" s="14" t="s">
        <v>2039</v>
      </c>
      <c r="M518" s="15" t="s">
        <v>1912</v>
      </c>
      <c r="N518" s="15" t="s">
        <v>316</v>
      </c>
      <c r="O518" s="15" t="s">
        <v>2040</v>
      </c>
      <c r="P518" s="15" t="s">
        <v>1913</v>
      </c>
      <c r="Q518" s="15" t="s">
        <v>211</v>
      </c>
      <c r="R518" s="16" t="s">
        <v>54</v>
      </c>
      <c r="S518" s="12" t="s">
        <v>1751</v>
      </c>
      <c r="T518" s="14" t="s">
        <v>55</v>
      </c>
    </row>
    <row r="519" spans="1:20" ht="16.5">
      <c r="A519" s="17" t="s">
        <v>1409</v>
      </c>
      <c r="B519" s="17" t="s">
        <v>311</v>
      </c>
      <c r="C519" s="17" t="s">
        <v>204</v>
      </c>
      <c r="D519" s="18" t="s">
        <v>1914</v>
      </c>
      <c r="E519" s="17" t="s">
        <v>312</v>
      </c>
      <c r="F519" s="21" t="s">
        <v>313</v>
      </c>
      <c r="G519" s="19" t="s">
        <v>1918</v>
      </c>
      <c r="H519" s="24" t="s">
        <v>2041</v>
      </c>
      <c r="I519" s="17" t="s">
        <v>65</v>
      </c>
      <c r="J519" s="21">
        <v>1</v>
      </c>
      <c r="K519" s="21" t="s">
        <v>1742</v>
      </c>
      <c r="L519" s="21" t="s">
        <v>2042</v>
      </c>
      <c r="M519" s="19" t="s">
        <v>1917</v>
      </c>
      <c r="N519" s="19" t="s">
        <v>316</v>
      </c>
      <c r="O519" s="19" t="s">
        <v>2043</v>
      </c>
      <c r="P519" s="19" t="s">
        <v>1918</v>
      </c>
      <c r="Q519" s="19" t="s">
        <v>211</v>
      </c>
      <c r="R519" s="16" t="s">
        <v>54</v>
      </c>
      <c r="S519" s="18" t="s">
        <v>1751</v>
      </c>
      <c r="T519" s="21" t="s">
        <v>55</v>
      </c>
    </row>
    <row r="520" spans="1:20" ht="16.5">
      <c r="A520" s="11" t="s">
        <v>1409</v>
      </c>
      <c r="B520" s="11" t="s">
        <v>311</v>
      </c>
      <c r="C520" s="11" t="s">
        <v>204</v>
      </c>
      <c r="D520" s="12" t="s">
        <v>1919</v>
      </c>
      <c r="E520" s="11" t="s">
        <v>312</v>
      </c>
      <c r="F520" s="14" t="s">
        <v>313</v>
      </c>
      <c r="G520" s="15" t="s">
        <v>2044</v>
      </c>
      <c r="H520" s="23" t="s">
        <v>2045</v>
      </c>
      <c r="I520" s="11" t="s">
        <v>65</v>
      </c>
      <c r="J520" s="14">
        <v>1</v>
      </c>
      <c r="K520" s="14" t="s">
        <v>1742</v>
      </c>
      <c r="L520" s="14" t="s">
        <v>2046</v>
      </c>
      <c r="M520" s="15" t="s">
        <v>1922</v>
      </c>
      <c r="N520" s="15" t="s">
        <v>316</v>
      </c>
      <c r="O520" s="15" t="s">
        <v>2047</v>
      </c>
      <c r="P520" s="15" t="s">
        <v>2044</v>
      </c>
      <c r="Q520" s="15" t="s">
        <v>211</v>
      </c>
      <c r="R520" s="16" t="s">
        <v>54</v>
      </c>
      <c r="S520" s="12" t="s">
        <v>1751</v>
      </c>
      <c r="T520" s="14" t="s">
        <v>55</v>
      </c>
    </row>
    <row r="521" spans="1:20" ht="16.5">
      <c r="A521" s="17" t="s">
        <v>1409</v>
      </c>
      <c r="B521" s="17" t="s">
        <v>311</v>
      </c>
      <c r="C521" s="17" t="s">
        <v>204</v>
      </c>
      <c r="D521" s="18" t="s">
        <v>1919</v>
      </c>
      <c r="E521" s="17" t="s">
        <v>312</v>
      </c>
      <c r="F521" s="21" t="s">
        <v>313</v>
      </c>
      <c r="G521" s="19" t="s">
        <v>2048</v>
      </c>
      <c r="H521" s="24" t="s">
        <v>2049</v>
      </c>
      <c r="I521" s="17" t="s">
        <v>65</v>
      </c>
      <c r="J521" s="21">
        <v>1</v>
      </c>
      <c r="K521" s="21" t="s">
        <v>1742</v>
      </c>
      <c r="L521" s="21" t="s">
        <v>2050</v>
      </c>
      <c r="M521" s="19" t="s">
        <v>1922</v>
      </c>
      <c r="N521" s="19" t="s">
        <v>316</v>
      </c>
      <c r="O521" s="19" t="s">
        <v>2051</v>
      </c>
      <c r="P521" s="19" t="s">
        <v>2048</v>
      </c>
      <c r="Q521" s="19" t="s">
        <v>211</v>
      </c>
      <c r="R521" s="16" t="s">
        <v>54</v>
      </c>
      <c r="S521" s="18" t="s">
        <v>1751</v>
      </c>
      <c r="T521" s="21" t="s">
        <v>55</v>
      </c>
    </row>
    <row r="522" spans="1:20" ht="16.5">
      <c r="A522" s="11" t="s">
        <v>1409</v>
      </c>
      <c r="B522" s="11" t="s">
        <v>311</v>
      </c>
      <c r="C522" s="11" t="s">
        <v>204</v>
      </c>
      <c r="D522" s="12" t="s">
        <v>1919</v>
      </c>
      <c r="E522" s="11" t="s">
        <v>312</v>
      </c>
      <c r="F522" s="14" t="s">
        <v>313</v>
      </c>
      <c r="G522" s="15" t="s">
        <v>2052</v>
      </c>
      <c r="H522" s="23" t="s">
        <v>2053</v>
      </c>
      <c r="I522" s="11" t="s">
        <v>65</v>
      </c>
      <c r="J522" s="14">
        <v>1</v>
      </c>
      <c r="K522" s="14" t="s">
        <v>1742</v>
      </c>
      <c r="L522" s="14" t="s">
        <v>2054</v>
      </c>
      <c r="M522" s="15" t="s">
        <v>1922</v>
      </c>
      <c r="N522" s="15" t="s">
        <v>316</v>
      </c>
      <c r="O522" s="15" t="s">
        <v>2055</v>
      </c>
      <c r="P522" s="15" t="s">
        <v>2052</v>
      </c>
      <c r="Q522" s="15" t="s">
        <v>211</v>
      </c>
      <c r="R522" s="16" t="s">
        <v>54</v>
      </c>
      <c r="S522" s="12" t="s">
        <v>1751</v>
      </c>
      <c r="T522" s="14" t="s">
        <v>55</v>
      </c>
    </row>
    <row r="523" spans="1:20" ht="16.5">
      <c r="A523" s="17" t="s">
        <v>1409</v>
      </c>
      <c r="B523" s="17" t="s">
        <v>311</v>
      </c>
      <c r="C523" s="17" t="s">
        <v>204</v>
      </c>
      <c r="D523" s="18" t="s">
        <v>1919</v>
      </c>
      <c r="E523" s="17" t="s">
        <v>312</v>
      </c>
      <c r="F523" s="21" t="s">
        <v>313</v>
      </c>
      <c r="G523" s="19" t="s">
        <v>2056</v>
      </c>
      <c r="H523" s="24" t="s">
        <v>2057</v>
      </c>
      <c r="I523" s="17" t="s">
        <v>65</v>
      </c>
      <c r="J523" s="21">
        <v>1</v>
      </c>
      <c r="K523" s="21" t="s">
        <v>1742</v>
      </c>
      <c r="L523" s="21" t="s">
        <v>2058</v>
      </c>
      <c r="M523" s="19" t="s">
        <v>1922</v>
      </c>
      <c r="N523" s="19" t="s">
        <v>316</v>
      </c>
      <c r="O523" s="19" t="s">
        <v>2059</v>
      </c>
      <c r="P523" s="19" t="s">
        <v>2056</v>
      </c>
      <c r="Q523" s="19" t="s">
        <v>211</v>
      </c>
      <c r="R523" s="16" t="s">
        <v>54</v>
      </c>
      <c r="S523" s="18" t="s">
        <v>1751</v>
      </c>
      <c r="T523" s="21" t="s">
        <v>55</v>
      </c>
    </row>
    <row r="524" spans="1:20" ht="16.5">
      <c r="A524" s="11" t="s">
        <v>1409</v>
      </c>
      <c r="B524" s="11" t="s">
        <v>311</v>
      </c>
      <c r="C524" s="11" t="s">
        <v>204</v>
      </c>
      <c r="D524" s="12" t="s">
        <v>1924</v>
      </c>
      <c r="E524" s="11" t="s">
        <v>312</v>
      </c>
      <c r="F524" s="14" t="s">
        <v>313</v>
      </c>
      <c r="G524" s="15" t="s">
        <v>1928</v>
      </c>
      <c r="H524" s="23" t="s">
        <v>2060</v>
      </c>
      <c r="I524" s="11" t="s">
        <v>65</v>
      </c>
      <c r="J524" s="14">
        <v>1</v>
      </c>
      <c r="K524" s="14" t="s">
        <v>1742</v>
      </c>
      <c r="L524" s="14" t="s">
        <v>2061</v>
      </c>
      <c r="M524" s="15" t="s">
        <v>1927</v>
      </c>
      <c r="N524" s="15" t="s">
        <v>316</v>
      </c>
      <c r="O524" s="15" t="s">
        <v>2062</v>
      </c>
      <c r="P524" s="15" t="s">
        <v>1928</v>
      </c>
      <c r="Q524" s="15" t="s">
        <v>211</v>
      </c>
      <c r="R524" s="16" t="s">
        <v>54</v>
      </c>
      <c r="S524" s="12" t="s">
        <v>1751</v>
      </c>
      <c r="T524" s="14" t="s">
        <v>55</v>
      </c>
    </row>
    <row r="525" spans="1:20" ht="16.5">
      <c r="A525" s="17" t="s">
        <v>1409</v>
      </c>
      <c r="B525" s="17" t="s">
        <v>311</v>
      </c>
      <c r="C525" s="17" t="s">
        <v>204</v>
      </c>
      <c r="D525" s="18" t="s">
        <v>1929</v>
      </c>
      <c r="E525" s="17" t="s">
        <v>312</v>
      </c>
      <c r="F525" s="21" t="s">
        <v>313</v>
      </c>
      <c r="G525" s="19" t="s">
        <v>1933</v>
      </c>
      <c r="H525" s="24" t="s">
        <v>2063</v>
      </c>
      <c r="I525" s="17" t="s">
        <v>65</v>
      </c>
      <c r="J525" s="21">
        <v>1</v>
      </c>
      <c r="K525" s="21" t="s">
        <v>1742</v>
      </c>
      <c r="L525" s="21" t="s">
        <v>2064</v>
      </c>
      <c r="M525" s="19" t="s">
        <v>1932</v>
      </c>
      <c r="N525" s="19" t="s">
        <v>316</v>
      </c>
      <c r="O525" s="19" t="s">
        <v>2065</v>
      </c>
      <c r="P525" s="19" t="s">
        <v>1933</v>
      </c>
      <c r="Q525" s="19" t="s">
        <v>211</v>
      </c>
      <c r="R525" s="16" t="s">
        <v>54</v>
      </c>
      <c r="S525" s="18" t="s">
        <v>1751</v>
      </c>
      <c r="T525" s="21" t="s">
        <v>55</v>
      </c>
    </row>
    <row r="526" spans="1:20" ht="16.5">
      <c r="A526" s="11" t="s">
        <v>1409</v>
      </c>
      <c r="B526" s="11" t="s">
        <v>311</v>
      </c>
      <c r="C526" s="11" t="s">
        <v>204</v>
      </c>
      <c r="D526" s="12" t="s">
        <v>1934</v>
      </c>
      <c r="E526" s="11" t="s">
        <v>312</v>
      </c>
      <c r="F526" s="14" t="s">
        <v>313</v>
      </c>
      <c r="G526" s="15" t="s">
        <v>2066</v>
      </c>
      <c r="H526" s="23" t="s">
        <v>2067</v>
      </c>
      <c r="I526" s="11" t="s">
        <v>65</v>
      </c>
      <c r="J526" s="14">
        <v>1</v>
      </c>
      <c r="K526" s="14" t="s">
        <v>1742</v>
      </c>
      <c r="L526" s="14" t="s">
        <v>2068</v>
      </c>
      <c r="M526" s="15" t="s">
        <v>1937</v>
      </c>
      <c r="N526" s="15" t="s">
        <v>316</v>
      </c>
      <c r="O526" s="15" t="s">
        <v>2069</v>
      </c>
      <c r="P526" s="15" t="s">
        <v>2066</v>
      </c>
      <c r="Q526" s="15" t="s">
        <v>211</v>
      </c>
      <c r="R526" s="16" t="s">
        <v>54</v>
      </c>
      <c r="S526" s="12" t="s">
        <v>1751</v>
      </c>
      <c r="T526" s="14" t="s">
        <v>55</v>
      </c>
    </row>
    <row r="527" spans="1:20" ht="16.5">
      <c r="A527" s="17" t="s">
        <v>1409</v>
      </c>
      <c r="B527" s="17" t="s">
        <v>311</v>
      </c>
      <c r="C527" s="17" t="s">
        <v>204</v>
      </c>
      <c r="D527" s="18" t="s">
        <v>1934</v>
      </c>
      <c r="E527" s="17" t="s">
        <v>312</v>
      </c>
      <c r="F527" s="21" t="s">
        <v>313</v>
      </c>
      <c r="G527" s="19" t="s">
        <v>2070</v>
      </c>
      <c r="H527" s="24" t="s">
        <v>2071</v>
      </c>
      <c r="I527" s="17" t="s">
        <v>65</v>
      </c>
      <c r="J527" s="21">
        <v>1</v>
      </c>
      <c r="K527" s="21" t="s">
        <v>1742</v>
      </c>
      <c r="L527" s="21" t="s">
        <v>2072</v>
      </c>
      <c r="M527" s="19" t="s">
        <v>1937</v>
      </c>
      <c r="N527" s="19" t="s">
        <v>316</v>
      </c>
      <c r="O527" s="19" t="s">
        <v>2073</v>
      </c>
      <c r="P527" s="19" t="s">
        <v>2070</v>
      </c>
      <c r="Q527" s="19" t="s">
        <v>211</v>
      </c>
      <c r="R527" s="16" t="s">
        <v>54</v>
      </c>
      <c r="S527" s="18" t="s">
        <v>1751</v>
      </c>
      <c r="T527" s="21" t="s">
        <v>55</v>
      </c>
    </row>
    <row r="528" spans="1:20" ht="16.5">
      <c r="A528" s="11" t="s">
        <v>1409</v>
      </c>
      <c r="B528" s="11" t="s">
        <v>311</v>
      </c>
      <c r="C528" s="11" t="s">
        <v>204</v>
      </c>
      <c r="D528" s="12" t="s">
        <v>1939</v>
      </c>
      <c r="E528" s="11" t="s">
        <v>312</v>
      </c>
      <c r="F528" s="14" t="s">
        <v>313</v>
      </c>
      <c r="G528" s="15" t="s">
        <v>1943</v>
      </c>
      <c r="H528" s="23" t="s">
        <v>2074</v>
      </c>
      <c r="I528" s="11" t="s">
        <v>65</v>
      </c>
      <c r="J528" s="14">
        <v>1</v>
      </c>
      <c r="K528" s="14" t="s">
        <v>1742</v>
      </c>
      <c r="L528" s="14" t="s">
        <v>2075</v>
      </c>
      <c r="M528" s="15" t="s">
        <v>1942</v>
      </c>
      <c r="N528" s="15" t="s">
        <v>316</v>
      </c>
      <c r="O528" s="15" t="s">
        <v>2076</v>
      </c>
      <c r="P528" s="15" t="s">
        <v>1943</v>
      </c>
      <c r="Q528" s="15" t="s">
        <v>211</v>
      </c>
      <c r="R528" s="16" t="s">
        <v>54</v>
      </c>
      <c r="S528" s="12" t="s">
        <v>1751</v>
      </c>
      <c r="T528" s="14" t="s">
        <v>55</v>
      </c>
    </row>
    <row r="529" spans="1:20" ht="16.5">
      <c r="A529" s="17" t="s">
        <v>1409</v>
      </c>
      <c r="B529" s="17" t="s">
        <v>487</v>
      </c>
      <c r="C529" s="17" t="s">
        <v>488</v>
      </c>
      <c r="D529" s="18" t="s">
        <v>2077</v>
      </c>
      <c r="E529" s="17" t="s">
        <v>490</v>
      </c>
      <c r="F529" s="17" t="s">
        <v>491</v>
      </c>
      <c r="G529" s="18" t="s">
        <v>2078</v>
      </c>
      <c r="H529" s="24" t="s">
        <v>584</v>
      </c>
      <c r="I529" s="17" t="s">
        <v>494</v>
      </c>
      <c r="J529" s="21">
        <v>1</v>
      </c>
      <c r="K529" s="21" t="s">
        <v>1742</v>
      </c>
      <c r="L529" s="21" t="s">
        <v>2079</v>
      </c>
      <c r="M529" s="19" t="s">
        <v>2080</v>
      </c>
      <c r="N529" s="19" t="s">
        <v>497</v>
      </c>
      <c r="O529" s="19" t="s">
        <v>2081</v>
      </c>
      <c r="P529" s="19" t="s">
        <v>2082</v>
      </c>
      <c r="Q529" s="19" t="s">
        <v>500</v>
      </c>
      <c r="R529" s="16" t="s">
        <v>54</v>
      </c>
      <c r="S529" s="18" t="s">
        <v>1751</v>
      </c>
      <c r="T529" s="21" t="s">
        <v>55</v>
      </c>
    </row>
    <row r="530" spans="1:20" ht="16.5">
      <c r="A530" s="11" t="s">
        <v>1409</v>
      </c>
      <c r="B530" s="11" t="s">
        <v>487</v>
      </c>
      <c r="C530" s="11" t="s">
        <v>204</v>
      </c>
      <c r="D530" s="12" t="s">
        <v>1914</v>
      </c>
      <c r="E530" s="11" t="s">
        <v>501</v>
      </c>
      <c r="F530" s="11" t="s">
        <v>488</v>
      </c>
      <c r="G530" s="12" t="s">
        <v>2077</v>
      </c>
      <c r="H530" s="13" t="s">
        <v>2083</v>
      </c>
      <c r="I530" s="11" t="s">
        <v>494</v>
      </c>
      <c r="J530" s="14">
        <v>1</v>
      </c>
      <c r="K530" s="14" t="s">
        <v>1742</v>
      </c>
      <c r="L530" s="14" t="s">
        <v>2084</v>
      </c>
      <c r="M530" s="15" t="s">
        <v>1917</v>
      </c>
      <c r="N530" s="15" t="s">
        <v>504</v>
      </c>
      <c r="O530" s="15" t="s">
        <v>2080</v>
      </c>
      <c r="P530" s="15"/>
      <c r="Q530" s="15" t="s">
        <v>211</v>
      </c>
      <c r="R530" s="16" t="s">
        <v>54</v>
      </c>
      <c r="S530" s="12" t="s">
        <v>1751</v>
      </c>
      <c r="T530" s="14" t="s">
        <v>55</v>
      </c>
    </row>
    <row r="531" spans="1:20" ht="16.5">
      <c r="A531" s="17" t="s">
        <v>1409</v>
      </c>
      <c r="B531" s="17" t="s">
        <v>487</v>
      </c>
      <c r="C531" s="17" t="s">
        <v>491</v>
      </c>
      <c r="D531" s="18" t="s">
        <v>2078</v>
      </c>
      <c r="E531" s="17" t="s">
        <v>505</v>
      </c>
      <c r="F531" s="17" t="s">
        <v>204</v>
      </c>
      <c r="G531" s="18" t="s">
        <v>1914</v>
      </c>
      <c r="H531" s="20" t="s">
        <v>2085</v>
      </c>
      <c r="I531" s="17" t="s">
        <v>507</v>
      </c>
      <c r="J531" s="21">
        <v>1</v>
      </c>
      <c r="K531" s="21" t="s">
        <v>1742</v>
      </c>
      <c r="L531" s="21" t="s">
        <v>2086</v>
      </c>
      <c r="M531" s="19" t="s">
        <v>2081</v>
      </c>
      <c r="N531" s="19" t="s">
        <v>509</v>
      </c>
      <c r="O531" s="19" t="s">
        <v>1917</v>
      </c>
      <c r="P531" s="19" t="s">
        <v>2082</v>
      </c>
      <c r="Q531" s="18" t="s">
        <v>286</v>
      </c>
      <c r="R531" s="22" t="s">
        <v>88</v>
      </c>
      <c r="S531" s="18" t="s">
        <v>1751</v>
      </c>
      <c r="T531" s="21" t="s">
        <v>55</v>
      </c>
    </row>
    <row r="532" spans="1:20" ht="16.5">
      <c r="A532" s="11" t="s">
        <v>1409</v>
      </c>
      <c r="B532" s="11" t="s">
        <v>487</v>
      </c>
      <c r="C532" s="11" t="s">
        <v>488</v>
      </c>
      <c r="D532" s="12" t="s">
        <v>2087</v>
      </c>
      <c r="E532" s="11" t="s">
        <v>490</v>
      </c>
      <c r="F532" s="11" t="s">
        <v>491</v>
      </c>
      <c r="G532" s="12" t="s">
        <v>2088</v>
      </c>
      <c r="H532" s="13" t="s">
        <v>2089</v>
      </c>
      <c r="I532" s="11" t="s">
        <v>494</v>
      </c>
      <c r="J532" s="14">
        <v>1</v>
      </c>
      <c r="K532" s="14" t="s">
        <v>1742</v>
      </c>
      <c r="L532" s="14" t="s">
        <v>2090</v>
      </c>
      <c r="M532" s="15" t="s">
        <v>2091</v>
      </c>
      <c r="N532" s="15" t="s">
        <v>497</v>
      </c>
      <c r="O532" s="15" t="s">
        <v>2092</v>
      </c>
      <c r="P532" s="15" t="s">
        <v>2093</v>
      </c>
      <c r="Q532" s="15" t="s">
        <v>500</v>
      </c>
      <c r="R532" s="16" t="s">
        <v>54</v>
      </c>
      <c r="S532" s="12" t="s">
        <v>1751</v>
      </c>
      <c r="T532" s="14" t="s">
        <v>55</v>
      </c>
    </row>
    <row r="533" spans="1:20" ht="16.5">
      <c r="A533" s="17" t="s">
        <v>1409</v>
      </c>
      <c r="B533" s="17" t="s">
        <v>487</v>
      </c>
      <c r="C533" s="17" t="s">
        <v>204</v>
      </c>
      <c r="D533" s="18" t="s">
        <v>1924</v>
      </c>
      <c r="E533" s="17" t="s">
        <v>501</v>
      </c>
      <c r="F533" s="17" t="s">
        <v>488</v>
      </c>
      <c r="G533" s="18" t="s">
        <v>2087</v>
      </c>
      <c r="H533" s="20" t="s">
        <v>2094</v>
      </c>
      <c r="I533" s="17" t="s">
        <v>494</v>
      </c>
      <c r="J533" s="21">
        <v>1</v>
      </c>
      <c r="K533" s="21" t="s">
        <v>1742</v>
      </c>
      <c r="L533" s="21" t="s">
        <v>2095</v>
      </c>
      <c r="M533" s="19" t="s">
        <v>1927</v>
      </c>
      <c r="N533" s="19" t="s">
        <v>504</v>
      </c>
      <c r="O533" s="19" t="s">
        <v>2091</v>
      </c>
      <c r="P533" s="19"/>
      <c r="Q533" s="19" t="s">
        <v>211</v>
      </c>
      <c r="R533" s="16" t="s">
        <v>54</v>
      </c>
      <c r="S533" s="18" t="s">
        <v>1751</v>
      </c>
      <c r="T533" s="21" t="s">
        <v>55</v>
      </c>
    </row>
    <row r="534" spans="1:20" ht="33">
      <c r="A534" s="11" t="s">
        <v>1409</v>
      </c>
      <c r="B534" s="11" t="s">
        <v>487</v>
      </c>
      <c r="C534" s="11" t="s">
        <v>491</v>
      </c>
      <c r="D534" s="12" t="s">
        <v>2088</v>
      </c>
      <c r="E534" s="11" t="s">
        <v>505</v>
      </c>
      <c r="F534" s="11" t="s">
        <v>204</v>
      </c>
      <c r="G534" s="12" t="s">
        <v>1924</v>
      </c>
      <c r="H534" s="13" t="s">
        <v>2096</v>
      </c>
      <c r="I534" s="11" t="s">
        <v>507</v>
      </c>
      <c r="J534" s="14">
        <v>1</v>
      </c>
      <c r="K534" s="14" t="s">
        <v>1742</v>
      </c>
      <c r="L534" s="14" t="s">
        <v>2097</v>
      </c>
      <c r="M534" s="15" t="s">
        <v>2092</v>
      </c>
      <c r="N534" s="15" t="s">
        <v>509</v>
      </c>
      <c r="O534" s="15" t="s">
        <v>1927</v>
      </c>
      <c r="P534" s="15" t="s">
        <v>2093</v>
      </c>
      <c r="Q534" s="12" t="s">
        <v>286</v>
      </c>
      <c r="R534" s="22" t="s">
        <v>88</v>
      </c>
      <c r="S534" s="12" t="s">
        <v>1751</v>
      </c>
      <c r="T534" s="14" t="s">
        <v>55</v>
      </c>
    </row>
    <row r="535" spans="1:20" ht="16.5">
      <c r="A535" s="17" t="s">
        <v>1409</v>
      </c>
      <c r="B535" s="17" t="s">
        <v>487</v>
      </c>
      <c r="C535" s="17" t="s">
        <v>62</v>
      </c>
      <c r="D535" s="18" t="s">
        <v>1727</v>
      </c>
      <c r="E535" s="17" t="s">
        <v>555</v>
      </c>
      <c r="F535" s="17" t="s">
        <v>556</v>
      </c>
      <c r="G535" s="18" t="s">
        <v>2098</v>
      </c>
      <c r="H535" s="20" t="s">
        <v>2099</v>
      </c>
      <c r="I535" s="17" t="s">
        <v>559</v>
      </c>
      <c r="J535" s="21">
        <v>1</v>
      </c>
      <c r="K535" s="21" t="s">
        <v>1742</v>
      </c>
      <c r="L535" s="21" t="s">
        <v>2100</v>
      </c>
      <c r="M535" s="19" t="s">
        <v>1730</v>
      </c>
      <c r="N535" s="19" t="s">
        <v>561</v>
      </c>
      <c r="O535" s="19" t="s">
        <v>2101</v>
      </c>
      <c r="P535" s="19"/>
      <c r="Q535" s="18" t="s">
        <v>53</v>
      </c>
      <c r="R535" s="16" t="s">
        <v>54</v>
      </c>
      <c r="S535" s="18" t="s">
        <v>1751</v>
      </c>
      <c r="T535" s="21" t="s">
        <v>55</v>
      </c>
    </row>
    <row r="536" spans="1:20" ht="16.5">
      <c r="A536" s="11" t="s">
        <v>1409</v>
      </c>
      <c r="B536" s="11" t="s">
        <v>487</v>
      </c>
      <c r="C536" s="11" t="s">
        <v>62</v>
      </c>
      <c r="D536" s="12" t="s">
        <v>1819</v>
      </c>
      <c r="E536" s="11" t="s">
        <v>555</v>
      </c>
      <c r="F536" s="11" t="s">
        <v>556</v>
      </c>
      <c r="G536" s="12" t="s">
        <v>2098</v>
      </c>
      <c r="H536" s="13" t="s">
        <v>2099</v>
      </c>
      <c r="I536" s="11" t="s">
        <v>559</v>
      </c>
      <c r="J536" s="14">
        <v>1</v>
      </c>
      <c r="K536" s="14" t="s">
        <v>1742</v>
      </c>
      <c r="L536" s="14" t="s">
        <v>2102</v>
      </c>
      <c r="M536" s="15" t="s">
        <v>1822</v>
      </c>
      <c r="N536" s="15" t="s">
        <v>561</v>
      </c>
      <c r="O536" s="15" t="s">
        <v>2101</v>
      </c>
      <c r="P536" s="15"/>
      <c r="Q536" s="12" t="s">
        <v>53</v>
      </c>
      <c r="R536" s="16" t="s">
        <v>54</v>
      </c>
      <c r="S536" s="12" t="s">
        <v>1751</v>
      </c>
      <c r="T536" s="14" t="s">
        <v>55</v>
      </c>
    </row>
    <row r="537" spans="1:20" ht="16.5">
      <c r="A537" s="17" t="s">
        <v>1409</v>
      </c>
      <c r="B537" s="17" t="s">
        <v>564</v>
      </c>
      <c r="C537" s="17" t="s">
        <v>204</v>
      </c>
      <c r="D537" s="18" t="s">
        <v>2103</v>
      </c>
      <c r="E537" s="17" t="s">
        <v>565</v>
      </c>
      <c r="F537" s="17" t="s">
        <v>566</v>
      </c>
      <c r="G537" s="18" t="s">
        <v>2104</v>
      </c>
      <c r="H537" s="20" t="s">
        <v>2105</v>
      </c>
      <c r="I537" s="17" t="s">
        <v>569</v>
      </c>
      <c r="J537" s="21">
        <v>1</v>
      </c>
      <c r="K537" s="21" t="s">
        <v>1742</v>
      </c>
      <c r="L537" s="21" t="s">
        <v>2106</v>
      </c>
      <c r="M537" s="19" t="s">
        <v>2107</v>
      </c>
      <c r="N537" s="19" t="s">
        <v>571</v>
      </c>
      <c r="O537" s="19" t="s">
        <v>2108</v>
      </c>
      <c r="P537" s="19" t="s">
        <v>2109</v>
      </c>
      <c r="Q537" s="18" t="s">
        <v>53</v>
      </c>
      <c r="R537" s="16" t="s">
        <v>54</v>
      </c>
      <c r="S537" s="18" t="s">
        <v>1751</v>
      </c>
      <c r="T537" s="21" t="s">
        <v>55</v>
      </c>
    </row>
    <row r="538" spans="1:20" ht="16.5">
      <c r="A538" s="11" t="s">
        <v>1409</v>
      </c>
      <c r="B538" s="11" t="s">
        <v>564</v>
      </c>
      <c r="C538" s="11" t="s">
        <v>204</v>
      </c>
      <c r="D538" s="12" t="s">
        <v>1894</v>
      </c>
      <c r="E538" s="11" t="s">
        <v>565</v>
      </c>
      <c r="F538" s="11" t="s">
        <v>566</v>
      </c>
      <c r="G538" s="12" t="s">
        <v>2110</v>
      </c>
      <c r="H538" s="13" t="s">
        <v>2111</v>
      </c>
      <c r="I538" s="11" t="s">
        <v>569</v>
      </c>
      <c r="J538" s="14">
        <v>1</v>
      </c>
      <c r="K538" s="14" t="s">
        <v>1742</v>
      </c>
      <c r="L538" s="14" t="s">
        <v>2112</v>
      </c>
      <c r="M538" s="15" t="s">
        <v>1897</v>
      </c>
      <c r="N538" s="15" t="s">
        <v>571</v>
      </c>
      <c r="O538" s="15" t="s">
        <v>2113</v>
      </c>
      <c r="P538" s="15" t="s">
        <v>1898</v>
      </c>
      <c r="Q538" s="12" t="s">
        <v>53</v>
      </c>
      <c r="R538" s="16" t="s">
        <v>54</v>
      </c>
      <c r="S538" s="12" t="s">
        <v>1751</v>
      </c>
      <c r="T538" s="14" t="s">
        <v>55</v>
      </c>
    </row>
    <row r="539" spans="1:20" ht="16.5">
      <c r="A539" s="17" t="s">
        <v>1409</v>
      </c>
      <c r="B539" s="17" t="s">
        <v>564</v>
      </c>
      <c r="C539" s="17" t="s">
        <v>204</v>
      </c>
      <c r="D539" s="18" t="s">
        <v>1899</v>
      </c>
      <c r="E539" s="17" t="s">
        <v>565</v>
      </c>
      <c r="F539" s="17" t="s">
        <v>566</v>
      </c>
      <c r="G539" s="18" t="s">
        <v>2114</v>
      </c>
      <c r="H539" s="20" t="s">
        <v>2115</v>
      </c>
      <c r="I539" s="17" t="s">
        <v>569</v>
      </c>
      <c r="J539" s="21">
        <v>1</v>
      </c>
      <c r="K539" s="21" t="s">
        <v>1742</v>
      </c>
      <c r="L539" s="21" t="s">
        <v>2116</v>
      </c>
      <c r="M539" s="19" t="s">
        <v>1902</v>
      </c>
      <c r="N539" s="19" t="s">
        <v>571</v>
      </c>
      <c r="O539" s="19" t="s">
        <v>2117</v>
      </c>
      <c r="P539" s="19" t="s">
        <v>1903</v>
      </c>
      <c r="Q539" s="18" t="s">
        <v>53</v>
      </c>
      <c r="R539" s="16" t="s">
        <v>54</v>
      </c>
      <c r="S539" s="18" t="s">
        <v>1751</v>
      </c>
      <c r="T539" s="21" t="s">
        <v>55</v>
      </c>
    </row>
    <row r="540" spans="1:20" ht="16.5">
      <c r="A540" s="11" t="s">
        <v>1409</v>
      </c>
      <c r="B540" s="11" t="s">
        <v>578</v>
      </c>
      <c r="C540" s="11" t="s">
        <v>300</v>
      </c>
      <c r="D540" s="12" t="s">
        <v>1566</v>
      </c>
      <c r="E540" s="11" t="s">
        <v>579</v>
      </c>
      <c r="F540" s="11" t="s">
        <v>62</v>
      </c>
      <c r="G540" s="12" t="s">
        <v>1727</v>
      </c>
      <c r="H540" s="23" t="s">
        <v>584</v>
      </c>
      <c r="I540" s="11" t="s">
        <v>581</v>
      </c>
      <c r="J540" s="14">
        <v>1</v>
      </c>
      <c r="K540" s="14" t="s">
        <v>1742</v>
      </c>
      <c r="L540" s="14" t="s">
        <v>2118</v>
      </c>
      <c r="M540" s="15" t="s">
        <v>1569</v>
      </c>
      <c r="N540" s="15" t="s">
        <v>583</v>
      </c>
      <c r="O540" s="15" t="s">
        <v>1730</v>
      </c>
      <c r="P540" s="15"/>
      <c r="Q540" s="12" t="s">
        <v>53</v>
      </c>
      <c r="R540" s="16" t="s">
        <v>54</v>
      </c>
      <c r="S540" s="12" t="s">
        <v>1751</v>
      </c>
      <c r="T540" s="14" t="s">
        <v>55</v>
      </c>
    </row>
    <row r="541" spans="1:20" ht="16.5">
      <c r="A541" s="17" t="s">
        <v>1409</v>
      </c>
      <c r="B541" s="17" t="s">
        <v>578</v>
      </c>
      <c r="C541" s="17" t="s">
        <v>300</v>
      </c>
      <c r="D541" s="18" t="s">
        <v>2119</v>
      </c>
      <c r="E541" s="17" t="s">
        <v>579</v>
      </c>
      <c r="F541" s="17" t="s">
        <v>62</v>
      </c>
      <c r="G541" s="18" t="s">
        <v>1795</v>
      </c>
      <c r="H541" s="24" t="s">
        <v>584</v>
      </c>
      <c r="I541" s="17" t="s">
        <v>2120</v>
      </c>
      <c r="J541" s="21">
        <v>1</v>
      </c>
      <c r="K541" s="21" t="s">
        <v>1742</v>
      </c>
      <c r="L541" s="21" t="s">
        <v>2121</v>
      </c>
      <c r="M541" s="19" t="s">
        <v>2122</v>
      </c>
      <c r="N541" s="19" t="s">
        <v>583</v>
      </c>
      <c r="O541" s="19" t="s">
        <v>1798</v>
      </c>
      <c r="P541" s="19"/>
      <c r="Q541" s="18" t="s">
        <v>53</v>
      </c>
      <c r="R541" s="16" t="s">
        <v>54</v>
      </c>
      <c r="S541" s="18" t="s">
        <v>1751</v>
      </c>
      <c r="T541" s="21" t="s">
        <v>55</v>
      </c>
    </row>
    <row r="542" spans="1:20" ht="16.5">
      <c r="A542" s="11" t="s">
        <v>1409</v>
      </c>
      <c r="B542" s="11" t="s">
        <v>578</v>
      </c>
      <c r="C542" s="11" t="s">
        <v>62</v>
      </c>
      <c r="D542" s="12" t="s">
        <v>1795</v>
      </c>
      <c r="E542" s="11" t="s">
        <v>45</v>
      </c>
      <c r="F542" s="11" t="s">
        <v>62</v>
      </c>
      <c r="G542" s="12" t="s">
        <v>1727</v>
      </c>
      <c r="H542" s="13" t="s">
        <v>2123</v>
      </c>
      <c r="I542" s="11" t="s">
        <v>2120</v>
      </c>
      <c r="J542" s="14">
        <v>1</v>
      </c>
      <c r="K542" s="14" t="s">
        <v>1742</v>
      </c>
      <c r="L542" s="14" t="s">
        <v>2124</v>
      </c>
      <c r="M542" s="15" t="s">
        <v>1798</v>
      </c>
      <c r="N542" s="15" t="s">
        <v>51</v>
      </c>
      <c r="O542" s="15" t="s">
        <v>1730</v>
      </c>
      <c r="P542" s="15"/>
      <c r="Q542" s="12" t="s">
        <v>53</v>
      </c>
      <c r="R542" s="16" t="s">
        <v>54</v>
      </c>
      <c r="S542" s="12" t="s">
        <v>1751</v>
      </c>
      <c r="T542" s="14" t="s">
        <v>55</v>
      </c>
    </row>
    <row r="543" spans="1:20" ht="16.5">
      <c r="A543" s="17" t="s">
        <v>1409</v>
      </c>
      <c r="B543" s="17" t="s">
        <v>578</v>
      </c>
      <c r="C543" s="17" t="s">
        <v>62</v>
      </c>
      <c r="D543" s="18" t="s">
        <v>1727</v>
      </c>
      <c r="E543" s="17" t="s">
        <v>635</v>
      </c>
      <c r="F543" s="17" t="s">
        <v>300</v>
      </c>
      <c r="G543" s="18" t="s">
        <v>2125</v>
      </c>
      <c r="H543" s="24" t="s">
        <v>584</v>
      </c>
      <c r="I543" s="17" t="s">
        <v>2126</v>
      </c>
      <c r="J543" s="21">
        <v>1</v>
      </c>
      <c r="K543" s="21" t="s">
        <v>1742</v>
      </c>
      <c r="L543" s="21" t="s">
        <v>2127</v>
      </c>
      <c r="M543" s="19" t="s">
        <v>1730</v>
      </c>
      <c r="N543" s="19" t="s">
        <v>640</v>
      </c>
      <c r="O543" s="19" t="s">
        <v>2128</v>
      </c>
      <c r="P543" s="19"/>
      <c r="Q543" s="18" t="s">
        <v>53</v>
      </c>
      <c r="R543" s="16" t="s">
        <v>54</v>
      </c>
      <c r="S543" s="18" t="s">
        <v>1751</v>
      </c>
      <c r="T543" s="21" t="s">
        <v>55</v>
      </c>
    </row>
    <row r="544" spans="1:20" ht="16.5">
      <c r="A544" s="11" t="s">
        <v>1409</v>
      </c>
      <c r="B544" s="11" t="s">
        <v>578</v>
      </c>
      <c r="C544" s="11" t="s">
        <v>300</v>
      </c>
      <c r="D544" s="12" t="s">
        <v>2125</v>
      </c>
      <c r="E544" s="11" t="s">
        <v>579</v>
      </c>
      <c r="F544" s="11" t="s">
        <v>62</v>
      </c>
      <c r="G544" s="12" t="s">
        <v>1819</v>
      </c>
      <c r="H544" s="13" t="s">
        <v>2129</v>
      </c>
      <c r="I544" s="11" t="s">
        <v>2130</v>
      </c>
      <c r="J544" s="14">
        <v>1</v>
      </c>
      <c r="K544" s="14" t="s">
        <v>1742</v>
      </c>
      <c r="L544" s="14" t="s">
        <v>2131</v>
      </c>
      <c r="M544" s="15" t="s">
        <v>2128</v>
      </c>
      <c r="N544" s="15" t="s">
        <v>583</v>
      </c>
      <c r="O544" s="15" t="s">
        <v>1822</v>
      </c>
      <c r="P544" s="15"/>
      <c r="Q544" s="12" t="s">
        <v>53</v>
      </c>
      <c r="R544" s="16" t="s">
        <v>54</v>
      </c>
      <c r="S544" s="12" t="s">
        <v>1751</v>
      </c>
      <c r="T544" s="14" t="s">
        <v>55</v>
      </c>
    </row>
    <row r="545" spans="1:20" ht="16.5">
      <c r="A545" s="17" t="s">
        <v>1409</v>
      </c>
      <c r="B545" s="17" t="s">
        <v>578</v>
      </c>
      <c r="C545" s="17" t="s">
        <v>62</v>
      </c>
      <c r="D545" s="18" t="s">
        <v>1819</v>
      </c>
      <c r="E545" s="17" t="s">
        <v>612</v>
      </c>
      <c r="F545" s="17" t="s">
        <v>300</v>
      </c>
      <c r="G545" s="18" t="s">
        <v>1962</v>
      </c>
      <c r="H545" s="20" t="s">
        <v>2132</v>
      </c>
      <c r="I545" s="17" t="s">
        <v>2130</v>
      </c>
      <c r="J545" s="21">
        <v>1</v>
      </c>
      <c r="K545" s="21" t="s">
        <v>1742</v>
      </c>
      <c r="L545" s="21" t="s">
        <v>2133</v>
      </c>
      <c r="M545" s="19" t="s">
        <v>1822</v>
      </c>
      <c r="N545" s="19" t="s">
        <v>616</v>
      </c>
      <c r="O545" s="19" t="s">
        <v>1965</v>
      </c>
      <c r="P545" s="19"/>
      <c r="Q545" s="18" t="s">
        <v>53</v>
      </c>
      <c r="R545" s="16" t="s">
        <v>54</v>
      </c>
      <c r="S545" s="18" t="s">
        <v>1751</v>
      </c>
      <c r="T545" s="21" t="s">
        <v>55</v>
      </c>
    </row>
    <row r="546" spans="1:20" ht="16.5">
      <c r="A546" s="11" t="s">
        <v>1409</v>
      </c>
      <c r="B546" s="11" t="s">
        <v>578</v>
      </c>
      <c r="C546" s="11" t="s">
        <v>62</v>
      </c>
      <c r="D546" s="12" t="s">
        <v>1819</v>
      </c>
      <c r="E546" s="11" t="s">
        <v>612</v>
      </c>
      <c r="F546" s="11" t="s">
        <v>300</v>
      </c>
      <c r="G546" s="12" t="s">
        <v>2134</v>
      </c>
      <c r="H546" s="13" t="s">
        <v>2135</v>
      </c>
      <c r="I546" s="11" t="s">
        <v>2136</v>
      </c>
      <c r="J546" s="14">
        <v>1</v>
      </c>
      <c r="K546" s="14" t="s">
        <v>1742</v>
      </c>
      <c r="L546" s="14" t="s">
        <v>2137</v>
      </c>
      <c r="M546" s="15" t="s">
        <v>1822</v>
      </c>
      <c r="N546" s="15" t="s">
        <v>616</v>
      </c>
      <c r="O546" s="15" t="s">
        <v>2138</v>
      </c>
      <c r="P546" s="15"/>
      <c r="Q546" s="12" t="s">
        <v>53</v>
      </c>
      <c r="R546" s="16" t="s">
        <v>54</v>
      </c>
      <c r="S546" s="12" t="s">
        <v>1751</v>
      </c>
      <c r="T546" s="14" t="s">
        <v>55</v>
      </c>
    </row>
    <row r="547" spans="1:20" ht="16.5">
      <c r="A547" s="17" t="s">
        <v>1409</v>
      </c>
      <c r="B547" s="17" t="s">
        <v>578</v>
      </c>
      <c r="C547" s="17" t="s">
        <v>300</v>
      </c>
      <c r="D547" s="18" t="s">
        <v>2134</v>
      </c>
      <c r="E547" s="17" t="s">
        <v>579</v>
      </c>
      <c r="F547" s="17" t="s">
        <v>62</v>
      </c>
      <c r="G547" s="18" t="s">
        <v>1877</v>
      </c>
      <c r="H547" s="24" t="s">
        <v>584</v>
      </c>
      <c r="I547" s="17" t="s">
        <v>2136</v>
      </c>
      <c r="J547" s="21">
        <v>1</v>
      </c>
      <c r="K547" s="21" t="s">
        <v>1742</v>
      </c>
      <c r="L547" s="21" t="s">
        <v>2139</v>
      </c>
      <c r="M547" s="19" t="s">
        <v>2138</v>
      </c>
      <c r="N547" s="19" t="s">
        <v>583</v>
      </c>
      <c r="O547" s="19" t="s">
        <v>1880</v>
      </c>
      <c r="P547" s="19"/>
      <c r="Q547" s="18" t="s">
        <v>53</v>
      </c>
      <c r="R547" s="16" t="s">
        <v>54</v>
      </c>
      <c r="S547" s="18" t="s">
        <v>1751</v>
      </c>
      <c r="T547" s="21" t="s">
        <v>55</v>
      </c>
    </row>
    <row r="548" spans="1:20" ht="16.5">
      <c r="A548" s="11" t="s">
        <v>1409</v>
      </c>
      <c r="B548" s="11" t="s">
        <v>578</v>
      </c>
      <c r="C548" s="11" t="s">
        <v>300</v>
      </c>
      <c r="D548" s="12" t="s">
        <v>1962</v>
      </c>
      <c r="E548" s="11" t="s">
        <v>579</v>
      </c>
      <c r="F548" s="11" t="s">
        <v>62</v>
      </c>
      <c r="G548" s="12" t="s">
        <v>1848</v>
      </c>
      <c r="H548" s="23" t="s">
        <v>584</v>
      </c>
      <c r="I548" s="11" t="s">
        <v>2130</v>
      </c>
      <c r="J548" s="14">
        <v>1</v>
      </c>
      <c r="K548" s="14" t="s">
        <v>1742</v>
      </c>
      <c r="L548" s="14" t="s">
        <v>2140</v>
      </c>
      <c r="M548" s="15" t="s">
        <v>1965</v>
      </c>
      <c r="N548" s="15" t="s">
        <v>583</v>
      </c>
      <c r="O548" s="15" t="s">
        <v>1851</v>
      </c>
      <c r="P548" s="15"/>
      <c r="Q548" s="12" t="s">
        <v>53</v>
      </c>
      <c r="R548" s="16" t="s">
        <v>54</v>
      </c>
      <c r="S548" s="12" t="s">
        <v>1751</v>
      </c>
      <c r="T548" s="14" t="s">
        <v>55</v>
      </c>
    </row>
    <row r="549" spans="1:20" ht="16.5">
      <c r="A549" s="17" t="s">
        <v>1409</v>
      </c>
      <c r="B549" s="17" t="s">
        <v>578</v>
      </c>
      <c r="C549" s="17" t="s">
        <v>62</v>
      </c>
      <c r="D549" s="18" t="s">
        <v>1848</v>
      </c>
      <c r="E549" s="17" t="s">
        <v>45</v>
      </c>
      <c r="F549" s="17" t="s">
        <v>62</v>
      </c>
      <c r="G549" s="18" t="s">
        <v>1856</v>
      </c>
      <c r="H549" s="24" t="s">
        <v>584</v>
      </c>
      <c r="I549" s="17" t="s">
        <v>2141</v>
      </c>
      <c r="J549" s="21">
        <v>1</v>
      </c>
      <c r="K549" s="21" t="s">
        <v>1742</v>
      </c>
      <c r="L549" s="21" t="s">
        <v>2142</v>
      </c>
      <c r="M549" s="19" t="s">
        <v>1851</v>
      </c>
      <c r="N549" s="19" t="s">
        <v>51</v>
      </c>
      <c r="O549" s="19" t="s">
        <v>1859</v>
      </c>
      <c r="P549" s="19"/>
      <c r="Q549" s="18" t="s">
        <v>53</v>
      </c>
      <c r="R549" s="16" t="s">
        <v>54</v>
      </c>
      <c r="S549" s="18" t="s">
        <v>1751</v>
      </c>
      <c r="T549" s="21" t="s">
        <v>55</v>
      </c>
    </row>
    <row r="550" spans="1:20" ht="16.5">
      <c r="A550" s="11" t="s">
        <v>1409</v>
      </c>
      <c r="B550" s="11" t="s">
        <v>578</v>
      </c>
      <c r="C550" s="11" t="s">
        <v>62</v>
      </c>
      <c r="D550" s="12" t="s">
        <v>1856</v>
      </c>
      <c r="E550" s="11" t="s">
        <v>45</v>
      </c>
      <c r="F550" s="11" t="s">
        <v>62</v>
      </c>
      <c r="G550" s="12" t="s">
        <v>2143</v>
      </c>
      <c r="H550" s="13" t="s">
        <v>2144</v>
      </c>
      <c r="I550" s="11" t="s">
        <v>43</v>
      </c>
      <c r="J550" s="14">
        <v>1</v>
      </c>
      <c r="K550" s="14" t="s">
        <v>1742</v>
      </c>
      <c r="L550" s="14" t="s">
        <v>2145</v>
      </c>
      <c r="M550" s="15" t="s">
        <v>1859</v>
      </c>
      <c r="N550" s="15" t="s">
        <v>51</v>
      </c>
      <c r="O550" s="15" t="s">
        <v>2146</v>
      </c>
      <c r="P550" s="15"/>
      <c r="Q550" s="12" t="s">
        <v>53</v>
      </c>
      <c r="R550" s="16" t="s">
        <v>54</v>
      </c>
      <c r="S550" s="12" t="s">
        <v>1751</v>
      </c>
      <c r="T550" s="14" t="s">
        <v>55</v>
      </c>
    </row>
    <row r="551" spans="1:20" ht="16.5">
      <c r="A551" s="17" t="s">
        <v>1409</v>
      </c>
      <c r="B551" s="17" t="s">
        <v>578</v>
      </c>
      <c r="C551" s="17" t="s">
        <v>62</v>
      </c>
      <c r="D551" s="18" t="s">
        <v>1856</v>
      </c>
      <c r="E551" s="17" t="s">
        <v>45</v>
      </c>
      <c r="F551" s="17" t="s">
        <v>62</v>
      </c>
      <c r="G551" s="18" t="s">
        <v>2147</v>
      </c>
      <c r="H551" s="20" t="s">
        <v>2148</v>
      </c>
      <c r="I551" s="17" t="s">
        <v>43</v>
      </c>
      <c r="J551" s="21">
        <v>1</v>
      </c>
      <c r="K551" s="21" t="s">
        <v>1742</v>
      </c>
      <c r="L551" s="21" t="s">
        <v>2149</v>
      </c>
      <c r="M551" s="19" t="s">
        <v>1859</v>
      </c>
      <c r="N551" s="19" t="s">
        <v>51</v>
      </c>
      <c r="O551" s="19" t="s">
        <v>2150</v>
      </c>
      <c r="P551" s="19"/>
      <c r="Q551" s="18" t="s">
        <v>53</v>
      </c>
      <c r="R551" s="16" t="s">
        <v>54</v>
      </c>
      <c r="S551" s="18" t="s">
        <v>1751</v>
      </c>
      <c r="T551" s="21" t="s">
        <v>55</v>
      </c>
    </row>
    <row r="552" spans="1:20" ht="16.5">
      <c r="A552" s="11" t="s">
        <v>1409</v>
      </c>
      <c r="B552" s="11" t="s">
        <v>578</v>
      </c>
      <c r="C552" s="11" t="s">
        <v>1250</v>
      </c>
      <c r="D552" s="12" t="s">
        <v>2151</v>
      </c>
      <c r="E552" s="11" t="s">
        <v>1386</v>
      </c>
      <c r="F552" s="11" t="s">
        <v>62</v>
      </c>
      <c r="G552" s="12" t="s">
        <v>1795</v>
      </c>
      <c r="H552" s="23" t="s">
        <v>584</v>
      </c>
      <c r="I552" s="11" t="s">
        <v>2120</v>
      </c>
      <c r="J552" s="14">
        <v>1</v>
      </c>
      <c r="K552" s="14" t="s">
        <v>1742</v>
      </c>
      <c r="L552" s="14" t="s">
        <v>2152</v>
      </c>
      <c r="M552" s="15" t="s">
        <v>2153</v>
      </c>
      <c r="N552" s="15" t="s">
        <v>1390</v>
      </c>
      <c r="O552" s="15" t="s">
        <v>1798</v>
      </c>
      <c r="P552" s="15"/>
      <c r="Q552" s="12" t="s">
        <v>53</v>
      </c>
      <c r="R552" s="16" t="s">
        <v>54</v>
      </c>
      <c r="S552" s="12" t="s">
        <v>1751</v>
      </c>
      <c r="T552" s="14" t="s">
        <v>55</v>
      </c>
    </row>
    <row r="553" spans="1:20" ht="16.5">
      <c r="A553" s="17" t="s">
        <v>1409</v>
      </c>
      <c r="B553" s="17" t="s">
        <v>578</v>
      </c>
      <c r="C553" s="17" t="s">
        <v>1250</v>
      </c>
      <c r="D553" s="18" t="s">
        <v>1251</v>
      </c>
      <c r="E553" s="17" t="s">
        <v>579</v>
      </c>
      <c r="F553" s="17" t="s">
        <v>62</v>
      </c>
      <c r="G553" s="18" t="s">
        <v>1819</v>
      </c>
      <c r="H553" s="20" t="s">
        <v>2154</v>
      </c>
      <c r="I553" s="17" t="s">
        <v>2155</v>
      </c>
      <c r="J553" s="21">
        <v>1</v>
      </c>
      <c r="K553" s="21" t="s">
        <v>1742</v>
      </c>
      <c r="L553" s="21" t="s">
        <v>2156</v>
      </c>
      <c r="M553" s="19" t="s">
        <v>1254</v>
      </c>
      <c r="N553" s="19" t="s">
        <v>583</v>
      </c>
      <c r="O553" s="19" t="s">
        <v>1822</v>
      </c>
      <c r="P553" s="19"/>
      <c r="Q553" s="18" t="s">
        <v>649</v>
      </c>
      <c r="R553" s="22" t="s">
        <v>88</v>
      </c>
      <c r="S553" s="18" t="s">
        <v>1751</v>
      </c>
      <c r="T553" s="21" t="s">
        <v>55</v>
      </c>
    </row>
    <row r="554" spans="1:20" ht="16.5">
      <c r="A554" s="11" t="s">
        <v>1409</v>
      </c>
      <c r="B554" s="11" t="s">
        <v>650</v>
      </c>
      <c r="C554" s="11" t="s">
        <v>204</v>
      </c>
      <c r="D554" s="12" t="s">
        <v>1950</v>
      </c>
      <c r="E554" s="11" t="s">
        <v>667</v>
      </c>
      <c r="F554" s="11" t="s">
        <v>295</v>
      </c>
      <c r="G554" s="12" t="s">
        <v>1737</v>
      </c>
      <c r="H554" s="13" t="s">
        <v>2157</v>
      </c>
      <c r="I554" s="11" t="s">
        <v>652</v>
      </c>
      <c r="J554" s="14">
        <v>1</v>
      </c>
      <c r="K554" s="14" t="s">
        <v>1742</v>
      </c>
      <c r="L554" s="14" t="s">
        <v>2158</v>
      </c>
      <c r="M554" s="15" t="s">
        <v>1953</v>
      </c>
      <c r="N554" s="15" t="s">
        <v>670</v>
      </c>
      <c r="O554" s="15" t="s">
        <v>1739</v>
      </c>
      <c r="P554" s="15"/>
      <c r="Q554" s="12" t="s">
        <v>286</v>
      </c>
      <c r="R554" s="22" t="s">
        <v>88</v>
      </c>
      <c r="S554" s="12" t="s">
        <v>1751</v>
      </c>
      <c r="T554" s="14" t="s">
        <v>55</v>
      </c>
    </row>
    <row r="555" spans="1:20" ht="16.5">
      <c r="A555" s="17" t="s">
        <v>1409</v>
      </c>
      <c r="B555" s="17" t="s">
        <v>650</v>
      </c>
      <c r="C555" s="17" t="s">
        <v>204</v>
      </c>
      <c r="D555" s="18" t="s">
        <v>1950</v>
      </c>
      <c r="E555" s="17" t="s">
        <v>667</v>
      </c>
      <c r="F555" s="17" t="s">
        <v>295</v>
      </c>
      <c r="G555" s="18" t="s">
        <v>1958</v>
      </c>
      <c r="H555" s="20" t="s">
        <v>2159</v>
      </c>
      <c r="I555" s="17" t="s">
        <v>652</v>
      </c>
      <c r="J555" s="21">
        <v>1</v>
      </c>
      <c r="K555" s="21" t="s">
        <v>1742</v>
      </c>
      <c r="L555" s="21" t="s">
        <v>2160</v>
      </c>
      <c r="M555" s="19" t="s">
        <v>1953</v>
      </c>
      <c r="N555" s="19" t="s">
        <v>670</v>
      </c>
      <c r="O555" s="19" t="s">
        <v>1961</v>
      </c>
      <c r="P555" s="19"/>
      <c r="Q555" s="18" t="s">
        <v>286</v>
      </c>
      <c r="R555" s="22" t="s">
        <v>88</v>
      </c>
      <c r="S555" s="18" t="s">
        <v>1751</v>
      </c>
      <c r="T555" s="21" t="s">
        <v>55</v>
      </c>
    </row>
    <row r="556" spans="1:20" ht="16.5">
      <c r="A556" s="11" t="s">
        <v>1409</v>
      </c>
      <c r="B556" s="11" t="s">
        <v>650</v>
      </c>
      <c r="C556" s="11" t="s">
        <v>204</v>
      </c>
      <c r="D556" s="12" t="s">
        <v>1954</v>
      </c>
      <c r="E556" s="11" t="s">
        <v>667</v>
      </c>
      <c r="F556" s="11" t="s">
        <v>295</v>
      </c>
      <c r="G556" s="12" t="s">
        <v>1737</v>
      </c>
      <c r="H556" s="23" t="s">
        <v>584</v>
      </c>
      <c r="I556" s="11" t="s">
        <v>652</v>
      </c>
      <c r="J556" s="14">
        <v>2</v>
      </c>
      <c r="K556" s="14" t="s">
        <v>1742</v>
      </c>
      <c r="L556" s="14" t="s">
        <v>2161</v>
      </c>
      <c r="M556" s="15" t="s">
        <v>1957</v>
      </c>
      <c r="N556" s="15" t="s">
        <v>670</v>
      </c>
      <c r="O556" s="15" t="s">
        <v>1739</v>
      </c>
      <c r="P556" s="15"/>
      <c r="Q556" s="12" t="s">
        <v>286</v>
      </c>
      <c r="R556" s="22" t="s">
        <v>88</v>
      </c>
      <c r="S556" s="12" t="s">
        <v>1751</v>
      </c>
      <c r="T556" s="14" t="s">
        <v>55</v>
      </c>
    </row>
    <row r="557" spans="1:20" ht="16.5">
      <c r="A557" s="17" t="s">
        <v>1409</v>
      </c>
      <c r="B557" s="17" t="s">
        <v>650</v>
      </c>
      <c r="C557" s="17" t="s">
        <v>204</v>
      </c>
      <c r="D557" s="18" t="s">
        <v>1894</v>
      </c>
      <c r="E557" s="17" t="s">
        <v>505</v>
      </c>
      <c r="F557" s="17" t="s">
        <v>204</v>
      </c>
      <c r="G557" s="18" t="s">
        <v>1904</v>
      </c>
      <c r="H557" s="20" t="s">
        <v>2162</v>
      </c>
      <c r="I557" s="17" t="s">
        <v>652</v>
      </c>
      <c r="J557" s="21">
        <v>1</v>
      </c>
      <c r="K557" s="21" t="s">
        <v>1742</v>
      </c>
      <c r="L557" s="21" t="s">
        <v>2163</v>
      </c>
      <c r="M557" s="19" t="s">
        <v>1897</v>
      </c>
      <c r="N557" s="19" t="s">
        <v>509</v>
      </c>
      <c r="O557" s="19" t="s">
        <v>1907</v>
      </c>
      <c r="P557" s="19" t="s">
        <v>2164</v>
      </c>
      <c r="Q557" s="19" t="s">
        <v>661</v>
      </c>
      <c r="R557" s="16" t="s">
        <v>54</v>
      </c>
      <c r="S557" s="18" t="s">
        <v>1751</v>
      </c>
      <c r="T557" s="21" t="s">
        <v>55</v>
      </c>
    </row>
    <row r="558" spans="1:20" ht="16.5">
      <c r="A558" s="11" t="s">
        <v>1409</v>
      </c>
      <c r="B558" s="11" t="s">
        <v>650</v>
      </c>
      <c r="C558" s="11" t="s">
        <v>204</v>
      </c>
      <c r="D558" s="12" t="s">
        <v>1899</v>
      </c>
      <c r="E558" s="11" t="s">
        <v>654</v>
      </c>
      <c r="F558" s="11" t="s">
        <v>295</v>
      </c>
      <c r="G558" s="12" t="s">
        <v>1737</v>
      </c>
      <c r="H558" s="13" t="s">
        <v>2165</v>
      </c>
      <c r="I558" s="11" t="s">
        <v>652</v>
      </c>
      <c r="J558" s="14">
        <v>1</v>
      </c>
      <c r="K558" s="14" t="s">
        <v>1742</v>
      </c>
      <c r="L558" s="14" t="s">
        <v>2166</v>
      </c>
      <c r="M558" s="15" t="s">
        <v>1902</v>
      </c>
      <c r="N558" s="15" t="s">
        <v>657</v>
      </c>
      <c r="O558" s="15" t="s">
        <v>1739</v>
      </c>
      <c r="P558" s="15" t="s">
        <v>1903</v>
      </c>
      <c r="Q558" s="15" t="s">
        <v>661</v>
      </c>
      <c r="R558" s="16" t="s">
        <v>54</v>
      </c>
      <c r="S558" s="12" t="s">
        <v>1751</v>
      </c>
      <c r="T558" s="14" t="s">
        <v>55</v>
      </c>
    </row>
    <row r="559" spans="1:20" ht="16.5">
      <c r="A559" s="17" t="s">
        <v>1409</v>
      </c>
      <c r="B559" s="17" t="s">
        <v>695</v>
      </c>
      <c r="C559" s="17" t="s">
        <v>295</v>
      </c>
      <c r="D559" s="18" t="s">
        <v>1958</v>
      </c>
      <c r="E559" s="17" t="s">
        <v>654</v>
      </c>
      <c r="F559" s="17" t="s">
        <v>698</v>
      </c>
      <c r="G559" s="18" t="s">
        <v>2167</v>
      </c>
      <c r="H559" s="24" t="s">
        <v>584</v>
      </c>
      <c r="I559" s="17" t="s">
        <v>701</v>
      </c>
      <c r="J559" s="21">
        <v>1</v>
      </c>
      <c r="K559" s="21" t="s">
        <v>1742</v>
      </c>
      <c r="L559" s="21" t="s">
        <v>2168</v>
      </c>
      <c r="M559" s="19" t="s">
        <v>1961</v>
      </c>
      <c r="N559" s="19" t="s">
        <v>657</v>
      </c>
      <c r="O559" s="19" t="s">
        <v>2169</v>
      </c>
      <c r="P559" s="19"/>
      <c r="Q559" s="18" t="s">
        <v>286</v>
      </c>
      <c r="R559" s="22" t="s">
        <v>88</v>
      </c>
      <c r="S559" s="18" t="s">
        <v>1751</v>
      </c>
      <c r="T559" s="21" t="s">
        <v>55</v>
      </c>
    </row>
    <row r="560" spans="1:20" ht="16.5">
      <c r="A560" s="11" t="s">
        <v>1409</v>
      </c>
      <c r="B560" s="11" t="s">
        <v>695</v>
      </c>
      <c r="C560" s="11" t="s">
        <v>295</v>
      </c>
      <c r="D560" s="12" t="s">
        <v>1737</v>
      </c>
      <c r="E560" s="11" t="s">
        <v>667</v>
      </c>
      <c r="F560" s="11" t="s">
        <v>295</v>
      </c>
      <c r="G560" s="15" t="s">
        <v>2170</v>
      </c>
      <c r="H560" s="13" t="s">
        <v>2171</v>
      </c>
      <c r="I560" s="11" t="s">
        <v>696</v>
      </c>
      <c r="J560" s="14">
        <v>1</v>
      </c>
      <c r="K560" s="14" t="s">
        <v>1742</v>
      </c>
      <c r="L560" s="14" t="s">
        <v>2172</v>
      </c>
      <c r="M560" s="15" t="s">
        <v>1739</v>
      </c>
      <c r="N560" s="15" t="s">
        <v>670</v>
      </c>
      <c r="O560" s="15" t="s">
        <v>2173</v>
      </c>
      <c r="P560" s="15"/>
      <c r="Q560" s="12" t="s">
        <v>286</v>
      </c>
      <c r="R560" s="22" t="s">
        <v>88</v>
      </c>
      <c r="S560" s="12" t="s">
        <v>1751</v>
      </c>
      <c r="T560" s="14" t="s">
        <v>55</v>
      </c>
    </row>
    <row r="561" spans="1:20" ht="29.25">
      <c r="A561" s="21" t="s">
        <v>1740</v>
      </c>
      <c r="B561" s="17" t="s">
        <v>43</v>
      </c>
      <c r="C561" s="17" t="s">
        <v>44</v>
      </c>
      <c r="D561" s="19" t="s">
        <v>1740</v>
      </c>
      <c r="E561" s="17" t="s">
        <v>45</v>
      </c>
      <c r="F561" s="17" t="s">
        <v>44</v>
      </c>
      <c r="G561" s="18" t="s">
        <v>46</v>
      </c>
      <c r="H561" s="20" t="s">
        <v>2174</v>
      </c>
      <c r="I561" s="17" t="s">
        <v>43</v>
      </c>
      <c r="J561" s="21">
        <v>1</v>
      </c>
      <c r="K561" s="21" t="s">
        <v>2175</v>
      </c>
      <c r="L561" s="21" t="s">
        <v>2176</v>
      </c>
      <c r="M561" s="19" t="s">
        <v>1744</v>
      </c>
      <c r="N561" s="19" t="s">
        <v>51</v>
      </c>
      <c r="O561" s="19" t="s">
        <v>52</v>
      </c>
      <c r="P561" s="19"/>
      <c r="Q561" s="18" t="s">
        <v>53</v>
      </c>
      <c r="R561" s="16" t="s">
        <v>54</v>
      </c>
      <c r="S561" s="19"/>
      <c r="T561" s="21" t="s">
        <v>55</v>
      </c>
    </row>
    <row r="562" spans="1:20" ht="16.5">
      <c r="A562" s="14" t="s">
        <v>1740</v>
      </c>
      <c r="B562" s="11" t="s">
        <v>43</v>
      </c>
      <c r="C562" s="11" t="s">
        <v>44</v>
      </c>
      <c r="D562" s="15" t="s">
        <v>1740</v>
      </c>
      <c r="E562" s="11" t="s">
        <v>45</v>
      </c>
      <c r="F562" s="11" t="s">
        <v>44</v>
      </c>
      <c r="G562" s="12" t="s">
        <v>2177</v>
      </c>
      <c r="H562" s="13" t="s">
        <v>2178</v>
      </c>
      <c r="I562" s="11" t="s">
        <v>43</v>
      </c>
      <c r="J562" s="14">
        <v>1</v>
      </c>
      <c r="K562" s="14" t="s">
        <v>2175</v>
      </c>
      <c r="L562" s="14" t="s">
        <v>2179</v>
      </c>
      <c r="M562" s="15" t="s">
        <v>1744</v>
      </c>
      <c r="N562" s="15" t="s">
        <v>51</v>
      </c>
      <c r="O562" s="15" t="s">
        <v>2180</v>
      </c>
      <c r="P562" s="15"/>
      <c r="Q562" s="12" t="s">
        <v>53</v>
      </c>
      <c r="R562" s="16" t="s">
        <v>54</v>
      </c>
      <c r="S562" s="15"/>
      <c r="T562" s="14" t="s">
        <v>55</v>
      </c>
    </row>
    <row r="563" spans="1:20" ht="16.5">
      <c r="A563" s="21" t="s">
        <v>1740</v>
      </c>
      <c r="B563" s="17" t="s">
        <v>60</v>
      </c>
      <c r="C563" s="17" t="s">
        <v>44</v>
      </c>
      <c r="D563" s="19" t="s">
        <v>1740</v>
      </c>
      <c r="E563" s="17" t="s">
        <v>61</v>
      </c>
      <c r="F563" s="17" t="s">
        <v>62</v>
      </c>
      <c r="G563" s="18" t="s">
        <v>2181</v>
      </c>
      <c r="H563" s="24" t="s">
        <v>2182</v>
      </c>
      <c r="I563" s="17" t="s">
        <v>65</v>
      </c>
      <c r="J563" s="21">
        <v>1</v>
      </c>
      <c r="K563" s="21" t="s">
        <v>2175</v>
      </c>
      <c r="L563" s="21" t="s">
        <v>2183</v>
      </c>
      <c r="M563" s="19" t="s">
        <v>1744</v>
      </c>
      <c r="N563" s="19" t="s">
        <v>67</v>
      </c>
      <c r="O563" s="19" t="s">
        <v>2184</v>
      </c>
      <c r="P563" s="19"/>
      <c r="Q563" s="18" t="s">
        <v>69</v>
      </c>
      <c r="R563" s="16" t="s">
        <v>54</v>
      </c>
      <c r="S563" s="19" t="s">
        <v>2185</v>
      </c>
      <c r="T563" s="21" t="s">
        <v>55</v>
      </c>
    </row>
    <row r="564" spans="1:20" ht="16.5">
      <c r="A564" s="14" t="s">
        <v>1740</v>
      </c>
      <c r="B564" s="11" t="s">
        <v>60</v>
      </c>
      <c r="C564" s="11" t="s">
        <v>62</v>
      </c>
      <c r="D564" s="12" t="s">
        <v>2181</v>
      </c>
      <c r="E564" s="11" t="s">
        <v>71</v>
      </c>
      <c r="F564" s="11" t="s">
        <v>72</v>
      </c>
      <c r="G564" s="15" t="s">
        <v>2186</v>
      </c>
      <c r="H564" s="13" t="s">
        <v>2187</v>
      </c>
      <c r="I564" s="11" t="s">
        <v>65</v>
      </c>
      <c r="J564" s="14">
        <v>1</v>
      </c>
      <c r="K564" s="14" t="s">
        <v>2175</v>
      </c>
      <c r="L564" s="14" t="s">
        <v>2188</v>
      </c>
      <c r="M564" s="15" t="s">
        <v>2184</v>
      </c>
      <c r="N564" s="15" t="s">
        <v>76</v>
      </c>
      <c r="O564" s="15" t="s">
        <v>2189</v>
      </c>
      <c r="P564" s="15"/>
      <c r="Q564" s="12" t="s">
        <v>69</v>
      </c>
      <c r="R564" s="16" t="s">
        <v>54</v>
      </c>
      <c r="S564" s="15" t="s">
        <v>2185</v>
      </c>
      <c r="T564" s="14" t="s">
        <v>55</v>
      </c>
    </row>
    <row r="565" spans="1:20" ht="16.5">
      <c r="A565" s="21" t="s">
        <v>1740</v>
      </c>
      <c r="B565" s="17" t="s">
        <v>60</v>
      </c>
      <c r="C565" s="17" t="s">
        <v>62</v>
      </c>
      <c r="D565" s="18" t="s">
        <v>2181</v>
      </c>
      <c r="E565" s="17" t="s">
        <v>71</v>
      </c>
      <c r="F565" s="17" t="s">
        <v>72</v>
      </c>
      <c r="G565" s="19" t="s">
        <v>2190</v>
      </c>
      <c r="H565" s="20" t="s">
        <v>2187</v>
      </c>
      <c r="I565" s="17" t="s">
        <v>65</v>
      </c>
      <c r="J565" s="21">
        <v>1</v>
      </c>
      <c r="K565" s="21" t="s">
        <v>2175</v>
      </c>
      <c r="L565" s="21" t="s">
        <v>2191</v>
      </c>
      <c r="M565" s="19" t="s">
        <v>2184</v>
      </c>
      <c r="N565" s="19" t="s">
        <v>76</v>
      </c>
      <c r="O565" s="19" t="s">
        <v>2192</v>
      </c>
      <c r="P565" s="19"/>
      <c r="Q565" s="18" t="s">
        <v>69</v>
      </c>
      <c r="R565" s="16" t="s">
        <v>54</v>
      </c>
      <c r="S565" s="19" t="s">
        <v>2185</v>
      </c>
      <c r="T565" s="21" t="s">
        <v>55</v>
      </c>
    </row>
    <row r="566" spans="1:20" ht="16.5">
      <c r="A566" s="14" t="s">
        <v>1740</v>
      </c>
      <c r="B566" s="11" t="s">
        <v>60</v>
      </c>
      <c r="C566" s="11" t="s">
        <v>62</v>
      </c>
      <c r="D566" s="12" t="s">
        <v>2181</v>
      </c>
      <c r="E566" s="11" t="s">
        <v>71</v>
      </c>
      <c r="F566" s="11" t="s">
        <v>72</v>
      </c>
      <c r="G566" s="15" t="s">
        <v>2193</v>
      </c>
      <c r="H566" s="13" t="s">
        <v>2187</v>
      </c>
      <c r="I566" s="11" t="s">
        <v>65</v>
      </c>
      <c r="J566" s="14">
        <v>1</v>
      </c>
      <c r="K566" s="14" t="s">
        <v>2175</v>
      </c>
      <c r="L566" s="14" t="s">
        <v>2194</v>
      </c>
      <c r="M566" s="15" t="s">
        <v>2184</v>
      </c>
      <c r="N566" s="15" t="s">
        <v>76</v>
      </c>
      <c r="O566" s="15" t="s">
        <v>2195</v>
      </c>
      <c r="P566" s="15"/>
      <c r="Q566" s="12" t="s">
        <v>69</v>
      </c>
      <c r="R566" s="16" t="s">
        <v>54</v>
      </c>
      <c r="S566" s="15" t="s">
        <v>2185</v>
      </c>
      <c r="T566" s="14" t="s">
        <v>55</v>
      </c>
    </row>
    <row r="567" spans="1:20" ht="16.5">
      <c r="A567" s="21" t="s">
        <v>1740</v>
      </c>
      <c r="B567" s="17" t="s">
        <v>60</v>
      </c>
      <c r="C567" s="17" t="s">
        <v>62</v>
      </c>
      <c r="D567" s="18" t="s">
        <v>2181</v>
      </c>
      <c r="E567" s="17" t="s">
        <v>81</v>
      </c>
      <c r="F567" s="17" t="s">
        <v>82</v>
      </c>
      <c r="G567" s="18" t="s">
        <v>2196</v>
      </c>
      <c r="H567" s="20" t="s">
        <v>2197</v>
      </c>
      <c r="I567" s="17" t="s">
        <v>65</v>
      </c>
      <c r="J567" s="21">
        <v>1</v>
      </c>
      <c r="K567" s="21" t="s">
        <v>2175</v>
      </c>
      <c r="L567" s="21" t="s">
        <v>2198</v>
      </c>
      <c r="M567" s="19" t="s">
        <v>2184</v>
      </c>
      <c r="N567" s="19" t="s">
        <v>86</v>
      </c>
      <c r="O567" s="19" t="s">
        <v>2199</v>
      </c>
      <c r="P567" s="19"/>
      <c r="Q567" s="18" t="s">
        <v>53</v>
      </c>
      <c r="R567" s="22" t="s">
        <v>88</v>
      </c>
      <c r="S567" s="19" t="s">
        <v>2185</v>
      </c>
      <c r="T567" s="21" t="s">
        <v>55</v>
      </c>
    </row>
    <row r="568" spans="1:20" ht="16.5">
      <c r="A568" s="14" t="s">
        <v>1740</v>
      </c>
      <c r="B568" s="11" t="s">
        <v>60</v>
      </c>
      <c r="C568" s="11" t="s">
        <v>62</v>
      </c>
      <c r="D568" s="12" t="s">
        <v>2181</v>
      </c>
      <c r="E568" s="11" t="s">
        <v>81</v>
      </c>
      <c r="F568" s="11" t="s">
        <v>82</v>
      </c>
      <c r="G568" s="12" t="s">
        <v>2200</v>
      </c>
      <c r="H568" s="13" t="s">
        <v>2201</v>
      </c>
      <c r="I568" s="11" t="s">
        <v>65</v>
      </c>
      <c r="J568" s="14">
        <v>1</v>
      </c>
      <c r="K568" s="14" t="s">
        <v>2175</v>
      </c>
      <c r="L568" s="14" t="s">
        <v>2202</v>
      </c>
      <c r="M568" s="15" t="s">
        <v>2184</v>
      </c>
      <c r="N568" s="15" t="s">
        <v>86</v>
      </c>
      <c r="O568" s="15" t="s">
        <v>2203</v>
      </c>
      <c r="P568" s="15"/>
      <c r="Q568" s="12" t="s">
        <v>53</v>
      </c>
      <c r="R568" s="22" t="s">
        <v>88</v>
      </c>
      <c r="S568" s="15" t="s">
        <v>2185</v>
      </c>
      <c r="T568" s="14" t="s">
        <v>55</v>
      </c>
    </row>
    <row r="569" spans="1:20" ht="16.5">
      <c r="A569" s="21" t="s">
        <v>1740</v>
      </c>
      <c r="B569" s="17" t="s">
        <v>60</v>
      </c>
      <c r="C569" s="17" t="s">
        <v>62</v>
      </c>
      <c r="D569" s="18" t="s">
        <v>2181</v>
      </c>
      <c r="E569" s="17" t="s">
        <v>81</v>
      </c>
      <c r="F569" s="17" t="s">
        <v>82</v>
      </c>
      <c r="G569" s="18" t="s">
        <v>2204</v>
      </c>
      <c r="H569" s="20" t="s">
        <v>2205</v>
      </c>
      <c r="I569" s="17" t="s">
        <v>65</v>
      </c>
      <c r="J569" s="21">
        <v>1</v>
      </c>
      <c r="K569" s="21" t="s">
        <v>2175</v>
      </c>
      <c r="L569" s="21" t="s">
        <v>2206</v>
      </c>
      <c r="M569" s="19" t="s">
        <v>2184</v>
      </c>
      <c r="N569" s="19" t="s">
        <v>86</v>
      </c>
      <c r="O569" s="19" t="s">
        <v>2207</v>
      </c>
      <c r="P569" s="19"/>
      <c r="Q569" s="18" t="s">
        <v>53</v>
      </c>
      <c r="R569" s="22" t="s">
        <v>88</v>
      </c>
      <c r="S569" s="19" t="s">
        <v>2185</v>
      </c>
      <c r="T569" s="21" t="s">
        <v>55</v>
      </c>
    </row>
    <row r="570" spans="1:20" ht="16.5">
      <c r="A570" s="14" t="s">
        <v>1740</v>
      </c>
      <c r="B570" s="11" t="s">
        <v>60</v>
      </c>
      <c r="C570" s="11" t="s">
        <v>44</v>
      </c>
      <c r="D570" s="15" t="s">
        <v>1740</v>
      </c>
      <c r="E570" s="11" t="s">
        <v>61</v>
      </c>
      <c r="F570" s="11" t="s">
        <v>62</v>
      </c>
      <c r="G570" s="12" t="s">
        <v>2208</v>
      </c>
      <c r="H570" s="23" t="s">
        <v>2209</v>
      </c>
      <c r="I570" s="11" t="s">
        <v>65</v>
      </c>
      <c r="J570" s="14">
        <v>1</v>
      </c>
      <c r="K570" s="14" t="s">
        <v>2175</v>
      </c>
      <c r="L570" s="14" t="s">
        <v>2210</v>
      </c>
      <c r="M570" s="15" t="s">
        <v>1744</v>
      </c>
      <c r="N570" s="15" t="s">
        <v>67</v>
      </c>
      <c r="O570" s="15" t="s">
        <v>2211</v>
      </c>
      <c r="P570" s="15"/>
      <c r="Q570" s="12" t="s">
        <v>69</v>
      </c>
      <c r="R570" s="16" t="s">
        <v>54</v>
      </c>
      <c r="S570" s="15" t="s">
        <v>2185</v>
      </c>
      <c r="T570" s="14" t="s">
        <v>55</v>
      </c>
    </row>
    <row r="571" spans="1:20" ht="16.5">
      <c r="A571" s="21" t="s">
        <v>1740</v>
      </c>
      <c r="B571" s="17" t="s">
        <v>60</v>
      </c>
      <c r="C571" s="17" t="s">
        <v>62</v>
      </c>
      <c r="D571" s="18" t="s">
        <v>2208</v>
      </c>
      <c r="E571" s="17" t="s">
        <v>71</v>
      </c>
      <c r="F571" s="17" t="s">
        <v>72</v>
      </c>
      <c r="G571" s="18" t="s">
        <v>2212</v>
      </c>
      <c r="H571" s="20" t="s">
        <v>2213</v>
      </c>
      <c r="I571" s="17" t="s">
        <v>65</v>
      </c>
      <c r="J571" s="21">
        <v>1</v>
      </c>
      <c r="K571" s="21" t="s">
        <v>2175</v>
      </c>
      <c r="L571" s="21" t="s">
        <v>2214</v>
      </c>
      <c r="M571" s="19" t="s">
        <v>2211</v>
      </c>
      <c r="N571" s="19" t="s">
        <v>76</v>
      </c>
      <c r="O571" s="19" t="s">
        <v>2215</v>
      </c>
      <c r="P571" s="19"/>
      <c r="Q571" s="18" t="s">
        <v>69</v>
      </c>
      <c r="R571" s="16" t="s">
        <v>54</v>
      </c>
      <c r="S571" s="19" t="s">
        <v>2185</v>
      </c>
      <c r="T571" s="21" t="s">
        <v>55</v>
      </c>
    </row>
    <row r="572" spans="1:20" ht="16.5">
      <c r="A572" s="14" t="s">
        <v>1740</v>
      </c>
      <c r="B572" s="11" t="s">
        <v>60</v>
      </c>
      <c r="C572" s="11" t="s">
        <v>62</v>
      </c>
      <c r="D572" s="12" t="s">
        <v>2208</v>
      </c>
      <c r="E572" s="11" t="s">
        <v>71</v>
      </c>
      <c r="F572" s="11" t="s">
        <v>72</v>
      </c>
      <c r="G572" s="12" t="s">
        <v>2216</v>
      </c>
      <c r="H572" s="13" t="s">
        <v>2213</v>
      </c>
      <c r="I572" s="11" t="s">
        <v>65</v>
      </c>
      <c r="J572" s="14">
        <v>1</v>
      </c>
      <c r="K572" s="14" t="s">
        <v>2175</v>
      </c>
      <c r="L572" s="14" t="s">
        <v>2217</v>
      </c>
      <c r="M572" s="15" t="s">
        <v>2211</v>
      </c>
      <c r="N572" s="15" t="s">
        <v>76</v>
      </c>
      <c r="O572" s="15" t="s">
        <v>2218</v>
      </c>
      <c r="P572" s="15"/>
      <c r="Q572" s="12" t="s">
        <v>69</v>
      </c>
      <c r="R572" s="16" t="s">
        <v>54</v>
      </c>
      <c r="S572" s="15" t="s">
        <v>2185</v>
      </c>
      <c r="T572" s="14" t="s">
        <v>55</v>
      </c>
    </row>
    <row r="573" spans="1:20" ht="16.5">
      <c r="A573" s="21" t="s">
        <v>1740</v>
      </c>
      <c r="B573" s="17" t="s">
        <v>60</v>
      </c>
      <c r="C573" s="17" t="s">
        <v>62</v>
      </c>
      <c r="D573" s="18" t="s">
        <v>2208</v>
      </c>
      <c r="E573" s="17" t="s">
        <v>71</v>
      </c>
      <c r="F573" s="17" t="s">
        <v>72</v>
      </c>
      <c r="G573" s="18" t="s">
        <v>2219</v>
      </c>
      <c r="H573" s="20" t="s">
        <v>2213</v>
      </c>
      <c r="I573" s="17" t="s">
        <v>65</v>
      </c>
      <c r="J573" s="21">
        <v>1</v>
      </c>
      <c r="K573" s="21" t="s">
        <v>2175</v>
      </c>
      <c r="L573" s="21" t="s">
        <v>2220</v>
      </c>
      <c r="M573" s="19" t="s">
        <v>2211</v>
      </c>
      <c r="N573" s="19" t="s">
        <v>76</v>
      </c>
      <c r="O573" s="19" t="s">
        <v>2221</v>
      </c>
      <c r="P573" s="19"/>
      <c r="Q573" s="18" t="s">
        <v>69</v>
      </c>
      <c r="R573" s="16" t="s">
        <v>54</v>
      </c>
      <c r="S573" s="19" t="s">
        <v>2185</v>
      </c>
      <c r="T573" s="21" t="s">
        <v>55</v>
      </c>
    </row>
    <row r="574" spans="1:20" ht="16.5">
      <c r="A574" s="14" t="s">
        <v>1740</v>
      </c>
      <c r="B574" s="11" t="s">
        <v>60</v>
      </c>
      <c r="C574" s="11" t="s">
        <v>62</v>
      </c>
      <c r="D574" s="12" t="s">
        <v>2208</v>
      </c>
      <c r="E574" s="11" t="s">
        <v>71</v>
      </c>
      <c r="F574" s="11" t="s">
        <v>72</v>
      </c>
      <c r="G574" s="12" t="s">
        <v>2222</v>
      </c>
      <c r="H574" s="13" t="s">
        <v>2213</v>
      </c>
      <c r="I574" s="11" t="s">
        <v>65</v>
      </c>
      <c r="J574" s="14">
        <v>1</v>
      </c>
      <c r="K574" s="14" t="s">
        <v>2175</v>
      </c>
      <c r="L574" s="14" t="s">
        <v>2223</v>
      </c>
      <c r="M574" s="15" t="s">
        <v>2211</v>
      </c>
      <c r="N574" s="15" t="s">
        <v>76</v>
      </c>
      <c r="O574" s="15" t="s">
        <v>2224</v>
      </c>
      <c r="P574" s="15"/>
      <c r="Q574" s="12" t="s">
        <v>69</v>
      </c>
      <c r="R574" s="16" t="s">
        <v>54</v>
      </c>
      <c r="S574" s="15" t="s">
        <v>2185</v>
      </c>
      <c r="T574" s="14" t="s">
        <v>55</v>
      </c>
    </row>
    <row r="575" spans="1:20" ht="16.5">
      <c r="A575" s="21" t="s">
        <v>1740</v>
      </c>
      <c r="B575" s="17" t="s">
        <v>60</v>
      </c>
      <c r="C575" s="17" t="s">
        <v>62</v>
      </c>
      <c r="D575" s="18" t="s">
        <v>2208</v>
      </c>
      <c r="E575" s="17" t="s">
        <v>81</v>
      </c>
      <c r="F575" s="17" t="s">
        <v>82</v>
      </c>
      <c r="G575" s="18" t="s">
        <v>2225</v>
      </c>
      <c r="H575" s="20" t="s">
        <v>2226</v>
      </c>
      <c r="I575" s="17" t="s">
        <v>65</v>
      </c>
      <c r="J575" s="21">
        <v>1</v>
      </c>
      <c r="K575" s="21" t="s">
        <v>2175</v>
      </c>
      <c r="L575" s="21" t="s">
        <v>2227</v>
      </c>
      <c r="M575" s="19" t="s">
        <v>2211</v>
      </c>
      <c r="N575" s="19" t="s">
        <v>86</v>
      </c>
      <c r="O575" s="19" t="s">
        <v>2228</v>
      </c>
      <c r="P575" s="19"/>
      <c r="Q575" s="18" t="s">
        <v>53</v>
      </c>
      <c r="R575" s="22" t="s">
        <v>88</v>
      </c>
      <c r="S575" s="19" t="s">
        <v>2185</v>
      </c>
      <c r="T575" s="21" t="s">
        <v>55</v>
      </c>
    </row>
    <row r="576" spans="1:20" ht="16.5">
      <c r="A576" s="14" t="s">
        <v>1740</v>
      </c>
      <c r="B576" s="11" t="s">
        <v>60</v>
      </c>
      <c r="C576" s="11" t="s">
        <v>62</v>
      </c>
      <c r="D576" s="12" t="s">
        <v>2208</v>
      </c>
      <c r="E576" s="11" t="s">
        <v>81</v>
      </c>
      <c r="F576" s="11" t="s">
        <v>82</v>
      </c>
      <c r="G576" s="12" t="s">
        <v>2229</v>
      </c>
      <c r="H576" s="13" t="s">
        <v>2230</v>
      </c>
      <c r="I576" s="11" t="s">
        <v>65</v>
      </c>
      <c r="J576" s="14">
        <v>1</v>
      </c>
      <c r="K576" s="14" t="s">
        <v>2175</v>
      </c>
      <c r="L576" s="14" t="s">
        <v>2231</v>
      </c>
      <c r="M576" s="15" t="s">
        <v>2211</v>
      </c>
      <c r="N576" s="15" t="s">
        <v>86</v>
      </c>
      <c r="O576" s="15" t="s">
        <v>2232</v>
      </c>
      <c r="P576" s="15"/>
      <c r="Q576" s="12" t="s">
        <v>53</v>
      </c>
      <c r="R576" s="22" t="s">
        <v>88</v>
      </c>
      <c r="S576" s="15" t="s">
        <v>2185</v>
      </c>
      <c r="T576" s="14" t="s">
        <v>55</v>
      </c>
    </row>
    <row r="577" spans="1:20" ht="16.5">
      <c r="A577" s="21" t="s">
        <v>1740</v>
      </c>
      <c r="B577" s="17" t="s">
        <v>60</v>
      </c>
      <c r="C577" s="17" t="s">
        <v>62</v>
      </c>
      <c r="D577" s="18" t="s">
        <v>2208</v>
      </c>
      <c r="E577" s="17" t="s">
        <v>81</v>
      </c>
      <c r="F577" s="17" t="s">
        <v>82</v>
      </c>
      <c r="G577" s="18" t="s">
        <v>2233</v>
      </c>
      <c r="H577" s="20" t="s">
        <v>2234</v>
      </c>
      <c r="I577" s="17" t="s">
        <v>65</v>
      </c>
      <c r="J577" s="21">
        <v>1</v>
      </c>
      <c r="K577" s="21" t="s">
        <v>2175</v>
      </c>
      <c r="L577" s="21" t="s">
        <v>2235</v>
      </c>
      <c r="M577" s="19" t="s">
        <v>2211</v>
      </c>
      <c r="N577" s="19" t="s">
        <v>86</v>
      </c>
      <c r="O577" s="19" t="s">
        <v>2236</v>
      </c>
      <c r="P577" s="19"/>
      <c r="Q577" s="18" t="s">
        <v>53</v>
      </c>
      <c r="R577" s="22" t="s">
        <v>88</v>
      </c>
      <c r="S577" s="19" t="s">
        <v>2185</v>
      </c>
      <c r="T577" s="21" t="s">
        <v>55</v>
      </c>
    </row>
    <row r="578" spans="1:20" ht="16.5">
      <c r="A578" s="14" t="s">
        <v>1740</v>
      </c>
      <c r="B578" s="11" t="s">
        <v>60</v>
      </c>
      <c r="C578" s="11" t="s">
        <v>44</v>
      </c>
      <c r="D578" s="15" t="s">
        <v>1740</v>
      </c>
      <c r="E578" s="11" t="s">
        <v>61</v>
      </c>
      <c r="F578" s="11" t="s">
        <v>62</v>
      </c>
      <c r="G578" s="12" t="s">
        <v>2237</v>
      </c>
      <c r="H578" s="23" t="s">
        <v>2238</v>
      </c>
      <c r="I578" s="11" t="s">
        <v>65</v>
      </c>
      <c r="J578" s="14">
        <v>1</v>
      </c>
      <c r="K578" s="14" t="s">
        <v>2175</v>
      </c>
      <c r="L578" s="14" t="s">
        <v>2239</v>
      </c>
      <c r="M578" s="15" t="s">
        <v>1744</v>
      </c>
      <c r="N578" s="15" t="s">
        <v>67</v>
      </c>
      <c r="O578" s="15" t="s">
        <v>2240</v>
      </c>
      <c r="P578" s="15"/>
      <c r="Q578" s="12" t="s">
        <v>69</v>
      </c>
      <c r="R578" s="16" t="s">
        <v>54</v>
      </c>
      <c r="S578" s="15" t="s">
        <v>2185</v>
      </c>
      <c r="T578" s="14" t="s">
        <v>55</v>
      </c>
    </row>
    <row r="579" spans="1:20" ht="16.5">
      <c r="A579" s="21" t="s">
        <v>1740</v>
      </c>
      <c r="B579" s="17" t="s">
        <v>60</v>
      </c>
      <c r="C579" s="17" t="s">
        <v>62</v>
      </c>
      <c r="D579" s="18" t="s">
        <v>2237</v>
      </c>
      <c r="E579" s="17" t="s">
        <v>71</v>
      </c>
      <c r="F579" s="17" t="s">
        <v>72</v>
      </c>
      <c r="G579" s="19" t="s">
        <v>2241</v>
      </c>
      <c r="H579" s="20" t="s">
        <v>2242</v>
      </c>
      <c r="I579" s="17" t="s">
        <v>65</v>
      </c>
      <c r="J579" s="21">
        <v>1</v>
      </c>
      <c r="K579" s="21" t="s">
        <v>2175</v>
      </c>
      <c r="L579" s="21" t="s">
        <v>2243</v>
      </c>
      <c r="M579" s="19" t="s">
        <v>2240</v>
      </c>
      <c r="N579" s="19" t="s">
        <v>76</v>
      </c>
      <c r="O579" s="19" t="s">
        <v>2244</v>
      </c>
      <c r="P579" s="19"/>
      <c r="Q579" s="18" t="s">
        <v>69</v>
      </c>
      <c r="R579" s="16" t="s">
        <v>54</v>
      </c>
      <c r="S579" s="19" t="s">
        <v>2185</v>
      </c>
      <c r="T579" s="21" t="s">
        <v>55</v>
      </c>
    </row>
    <row r="580" spans="1:20" ht="16.5">
      <c r="A580" s="14" t="s">
        <v>1740</v>
      </c>
      <c r="B580" s="11" t="s">
        <v>60</v>
      </c>
      <c r="C580" s="11" t="s">
        <v>62</v>
      </c>
      <c r="D580" s="12" t="s">
        <v>2237</v>
      </c>
      <c r="E580" s="11" t="s">
        <v>71</v>
      </c>
      <c r="F580" s="11" t="s">
        <v>72</v>
      </c>
      <c r="G580" s="15" t="s">
        <v>2245</v>
      </c>
      <c r="H580" s="13" t="s">
        <v>2242</v>
      </c>
      <c r="I580" s="11" t="s">
        <v>65</v>
      </c>
      <c r="J580" s="14">
        <v>1</v>
      </c>
      <c r="K580" s="14" t="s">
        <v>2175</v>
      </c>
      <c r="L580" s="14" t="s">
        <v>2246</v>
      </c>
      <c r="M580" s="15" t="s">
        <v>2240</v>
      </c>
      <c r="N580" s="15" t="s">
        <v>76</v>
      </c>
      <c r="O580" s="15" t="s">
        <v>2247</v>
      </c>
      <c r="P580" s="15"/>
      <c r="Q580" s="12" t="s">
        <v>69</v>
      </c>
      <c r="R580" s="16" t="s">
        <v>54</v>
      </c>
      <c r="S580" s="15" t="s">
        <v>2185</v>
      </c>
      <c r="T580" s="14" t="s">
        <v>55</v>
      </c>
    </row>
    <row r="581" spans="1:20" ht="16.5">
      <c r="A581" s="21" t="s">
        <v>1740</v>
      </c>
      <c r="B581" s="17" t="s">
        <v>60</v>
      </c>
      <c r="C581" s="17" t="s">
        <v>62</v>
      </c>
      <c r="D581" s="18" t="s">
        <v>2237</v>
      </c>
      <c r="E581" s="17" t="s">
        <v>71</v>
      </c>
      <c r="F581" s="17" t="s">
        <v>72</v>
      </c>
      <c r="G581" s="18" t="s">
        <v>2248</v>
      </c>
      <c r="H581" s="20" t="s">
        <v>2242</v>
      </c>
      <c r="I581" s="17" t="s">
        <v>65</v>
      </c>
      <c r="J581" s="21">
        <v>1</v>
      </c>
      <c r="K581" s="21" t="s">
        <v>2175</v>
      </c>
      <c r="L581" s="21" t="s">
        <v>2249</v>
      </c>
      <c r="M581" s="19" t="s">
        <v>2240</v>
      </c>
      <c r="N581" s="19" t="s">
        <v>76</v>
      </c>
      <c r="O581" s="19" t="s">
        <v>2250</v>
      </c>
      <c r="P581" s="19"/>
      <c r="Q581" s="18" t="s">
        <v>69</v>
      </c>
      <c r="R581" s="16" t="s">
        <v>54</v>
      </c>
      <c r="S581" s="19" t="s">
        <v>2185</v>
      </c>
      <c r="T581" s="21" t="s">
        <v>55</v>
      </c>
    </row>
    <row r="582" spans="1:20" ht="16.5">
      <c r="A582" s="14" t="s">
        <v>1740</v>
      </c>
      <c r="B582" s="11" t="s">
        <v>60</v>
      </c>
      <c r="C582" s="11" t="s">
        <v>62</v>
      </c>
      <c r="D582" s="12" t="s">
        <v>2237</v>
      </c>
      <c r="E582" s="11" t="s">
        <v>71</v>
      </c>
      <c r="F582" s="11" t="s">
        <v>72</v>
      </c>
      <c r="G582" s="12" t="s">
        <v>2251</v>
      </c>
      <c r="H582" s="13" t="s">
        <v>2242</v>
      </c>
      <c r="I582" s="11" t="s">
        <v>65</v>
      </c>
      <c r="J582" s="14">
        <v>1</v>
      </c>
      <c r="K582" s="14" t="s">
        <v>2175</v>
      </c>
      <c r="L582" s="14" t="s">
        <v>2252</v>
      </c>
      <c r="M582" s="15" t="s">
        <v>2240</v>
      </c>
      <c r="N582" s="15" t="s">
        <v>76</v>
      </c>
      <c r="O582" s="15" t="s">
        <v>2253</v>
      </c>
      <c r="P582" s="15"/>
      <c r="Q582" s="12" t="s">
        <v>69</v>
      </c>
      <c r="R582" s="16" t="s">
        <v>54</v>
      </c>
      <c r="S582" s="15" t="s">
        <v>2185</v>
      </c>
      <c r="T582" s="14" t="s">
        <v>55</v>
      </c>
    </row>
    <row r="583" spans="1:20" ht="16.5">
      <c r="A583" s="21" t="s">
        <v>1740</v>
      </c>
      <c r="B583" s="17" t="s">
        <v>60</v>
      </c>
      <c r="C583" s="17" t="s">
        <v>62</v>
      </c>
      <c r="D583" s="18" t="s">
        <v>2237</v>
      </c>
      <c r="E583" s="17" t="s">
        <v>71</v>
      </c>
      <c r="F583" s="17" t="s">
        <v>72</v>
      </c>
      <c r="G583" s="18" t="s">
        <v>2254</v>
      </c>
      <c r="H583" s="20" t="s">
        <v>2242</v>
      </c>
      <c r="I583" s="17" t="s">
        <v>65</v>
      </c>
      <c r="J583" s="21">
        <v>1</v>
      </c>
      <c r="K583" s="21" t="s">
        <v>2175</v>
      </c>
      <c r="L583" s="21" t="s">
        <v>2255</v>
      </c>
      <c r="M583" s="19" t="s">
        <v>2240</v>
      </c>
      <c r="N583" s="19" t="s">
        <v>76</v>
      </c>
      <c r="O583" s="19" t="s">
        <v>2256</v>
      </c>
      <c r="P583" s="19"/>
      <c r="Q583" s="18" t="s">
        <v>69</v>
      </c>
      <c r="R583" s="16" t="s">
        <v>54</v>
      </c>
      <c r="S583" s="19" t="s">
        <v>2185</v>
      </c>
      <c r="T583" s="21" t="s">
        <v>55</v>
      </c>
    </row>
    <row r="584" spans="1:20" ht="16.5">
      <c r="A584" s="14" t="s">
        <v>1740</v>
      </c>
      <c r="B584" s="11" t="s">
        <v>60</v>
      </c>
      <c r="C584" s="11" t="s">
        <v>62</v>
      </c>
      <c r="D584" s="12" t="s">
        <v>2237</v>
      </c>
      <c r="E584" s="11" t="s">
        <v>81</v>
      </c>
      <c r="F584" s="11" t="s">
        <v>82</v>
      </c>
      <c r="G584" s="12" t="s">
        <v>2257</v>
      </c>
      <c r="H584" s="13" t="s">
        <v>2258</v>
      </c>
      <c r="I584" s="11" t="s">
        <v>65</v>
      </c>
      <c r="J584" s="14">
        <v>1</v>
      </c>
      <c r="K584" s="14" t="s">
        <v>2175</v>
      </c>
      <c r="L584" s="14" t="s">
        <v>2259</v>
      </c>
      <c r="M584" s="15" t="s">
        <v>2240</v>
      </c>
      <c r="N584" s="15" t="s">
        <v>86</v>
      </c>
      <c r="O584" s="15" t="s">
        <v>2260</v>
      </c>
      <c r="P584" s="15"/>
      <c r="Q584" s="12" t="s">
        <v>53</v>
      </c>
      <c r="R584" s="22" t="s">
        <v>88</v>
      </c>
      <c r="S584" s="15" t="s">
        <v>2185</v>
      </c>
      <c r="T584" s="14" t="s">
        <v>55</v>
      </c>
    </row>
    <row r="585" spans="1:20" ht="16.5">
      <c r="A585" s="21" t="s">
        <v>1740</v>
      </c>
      <c r="B585" s="17" t="s">
        <v>60</v>
      </c>
      <c r="C585" s="17" t="s">
        <v>62</v>
      </c>
      <c r="D585" s="18" t="s">
        <v>2237</v>
      </c>
      <c r="E585" s="17" t="s">
        <v>81</v>
      </c>
      <c r="F585" s="17" t="s">
        <v>82</v>
      </c>
      <c r="G585" s="18" t="s">
        <v>2261</v>
      </c>
      <c r="H585" s="20" t="s">
        <v>2262</v>
      </c>
      <c r="I585" s="17" t="s">
        <v>65</v>
      </c>
      <c r="J585" s="21">
        <v>1</v>
      </c>
      <c r="K585" s="21" t="s">
        <v>2175</v>
      </c>
      <c r="L585" s="21" t="s">
        <v>2263</v>
      </c>
      <c r="M585" s="19" t="s">
        <v>2240</v>
      </c>
      <c r="N585" s="19" t="s">
        <v>86</v>
      </c>
      <c r="O585" s="19" t="s">
        <v>2264</v>
      </c>
      <c r="P585" s="19"/>
      <c r="Q585" s="18" t="s">
        <v>53</v>
      </c>
      <c r="R585" s="22" t="s">
        <v>88</v>
      </c>
      <c r="S585" s="19" t="s">
        <v>2185</v>
      </c>
      <c r="T585" s="21" t="s">
        <v>55</v>
      </c>
    </row>
    <row r="586" spans="1:20" ht="33">
      <c r="A586" s="14" t="s">
        <v>1740</v>
      </c>
      <c r="B586" s="11" t="s">
        <v>60</v>
      </c>
      <c r="C586" s="11" t="s">
        <v>44</v>
      </c>
      <c r="D586" s="15" t="s">
        <v>1740</v>
      </c>
      <c r="E586" s="11" t="s">
        <v>61</v>
      </c>
      <c r="F586" s="11" t="s">
        <v>62</v>
      </c>
      <c r="G586" s="12" t="s">
        <v>2143</v>
      </c>
      <c r="H586" s="23" t="s">
        <v>2265</v>
      </c>
      <c r="I586" s="11" t="s">
        <v>65</v>
      </c>
      <c r="J586" s="14">
        <v>1</v>
      </c>
      <c r="K586" s="14" t="s">
        <v>2175</v>
      </c>
      <c r="L586" s="14" t="s">
        <v>2266</v>
      </c>
      <c r="M586" s="15" t="s">
        <v>1744</v>
      </c>
      <c r="N586" s="15" t="s">
        <v>67</v>
      </c>
      <c r="O586" s="15" t="s">
        <v>2146</v>
      </c>
      <c r="P586" s="15"/>
      <c r="Q586" s="12" t="s">
        <v>69</v>
      </c>
      <c r="R586" s="16" t="s">
        <v>54</v>
      </c>
      <c r="S586" s="15" t="s">
        <v>2185</v>
      </c>
      <c r="T586" s="14" t="s">
        <v>55</v>
      </c>
    </row>
    <row r="587" spans="1:20" ht="16.5">
      <c r="A587" s="21" t="s">
        <v>1740</v>
      </c>
      <c r="B587" s="17" t="s">
        <v>60</v>
      </c>
      <c r="C587" s="17" t="s">
        <v>62</v>
      </c>
      <c r="D587" s="18" t="s">
        <v>2143</v>
      </c>
      <c r="E587" s="17" t="s">
        <v>81</v>
      </c>
      <c r="F587" s="17" t="s">
        <v>82</v>
      </c>
      <c r="G587" s="18" t="s">
        <v>2267</v>
      </c>
      <c r="H587" s="20" t="s">
        <v>2268</v>
      </c>
      <c r="I587" s="17" t="s">
        <v>65</v>
      </c>
      <c r="J587" s="21">
        <v>1</v>
      </c>
      <c r="K587" s="21" t="s">
        <v>2175</v>
      </c>
      <c r="L587" s="21" t="s">
        <v>2269</v>
      </c>
      <c r="M587" s="19" t="s">
        <v>2146</v>
      </c>
      <c r="N587" s="19" t="s">
        <v>86</v>
      </c>
      <c r="O587" s="19" t="s">
        <v>2270</v>
      </c>
      <c r="P587" s="19"/>
      <c r="Q587" s="18" t="s">
        <v>53</v>
      </c>
      <c r="R587" s="22" t="s">
        <v>88</v>
      </c>
      <c r="S587" s="19" t="s">
        <v>2185</v>
      </c>
      <c r="T587" s="21" t="s">
        <v>55</v>
      </c>
    </row>
    <row r="588" spans="1:20" ht="16.5">
      <c r="A588" s="14" t="s">
        <v>1740</v>
      </c>
      <c r="B588" s="11" t="s">
        <v>60</v>
      </c>
      <c r="C588" s="11" t="s">
        <v>62</v>
      </c>
      <c r="D588" s="12" t="s">
        <v>2143</v>
      </c>
      <c r="E588" s="11" t="s">
        <v>81</v>
      </c>
      <c r="F588" s="11" t="s">
        <v>82</v>
      </c>
      <c r="G588" s="12" t="s">
        <v>2271</v>
      </c>
      <c r="H588" s="13" t="s">
        <v>2272</v>
      </c>
      <c r="I588" s="11" t="s">
        <v>65</v>
      </c>
      <c r="J588" s="14">
        <v>1</v>
      </c>
      <c r="K588" s="14" t="s">
        <v>2175</v>
      </c>
      <c r="L588" s="14" t="s">
        <v>2273</v>
      </c>
      <c r="M588" s="15" t="s">
        <v>2146</v>
      </c>
      <c r="N588" s="15" t="s">
        <v>86</v>
      </c>
      <c r="O588" s="15" t="s">
        <v>2274</v>
      </c>
      <c r="P588" s="15"/>
      <c r="Q588" s="12" t="s">
        <v>53</v>
      </c>
      <c r="R588" s="22" t="s">
        <v>88</v>
      </c>
      <c r="S588" s="15" t="s">
        <v>2185</v>
      </c>
      <c r="T588" s="14" t="s">
        <v>55</v>
      </c>
    </row>
    <row r="589" spans="1:20" ht="16.5">
      <c r="A589" s="21" t="s">
        <v>1740</v>
      </c>
      <c r="B589" s="17" t="s">
        <v>60</v>
      </c>
      <c r="C589" s="17" t="s">
        <v>62</v>
      </c>
      <c r="D589" s="18" t="s">
        <v>2143</v>
      </c>
      <c r="E589" s="17" t="s">
        <v>81</v>
      </c>
      <c r="F589" s="17" t="s">
        <v>82</v>
      </c>
      <c r="G589" s="18" t="s">
        <v>2275</v>
      </c>
      <c r="H589" s="20" t="s">
        <v>2276</v>
      </c>
      <c r="I589" s="17" t="s">
        <v>65</v>
      </c>
      <c r="J589" s="21">
        <v>1</v>
      </c>
      <c r="K589" s="21" t="s">
        <v>2175</v>
      </c>
      <c r="L589" s="21" t="s">
        <v>2277</v>
      </c>
      <c r="M589" s="19" t="s">
        <v>2146</v>
      </c>
      <c r="N589" s="19" t="s">
        <v>86</v>
      </c>
      <c r="O589" s="19" t="s">
        <v>2278</v>
      </c>
      <c r="P589" s="19"/>
      <c r="Q589" s="18" t="s">
        <v>53</v>
      </c>
      <c r="R589" s="22" t="s">
        <v>88</v>
      </c>
      <c r="S589" s="19" t="s">
        <v>2185</v>
      </c>
      <c r="T589" s="21" t="s">
        <v>55</v>
      </c>
    </row>
    <row r="590" spans="1:20" ht="33">
      <c r="A590" s="14" t="s">
        <v>1740</v>
      </c>
      <c r="B590" s="11" t="s">
        <v>60</v>
      </c>
      <c r="C590" s="11" t="s">
        <v>44</v>
      </c>
      <c r="D590" s="15" t="s">
        <v>1740</v>
      </c>
      <c r="E590" s="11" t="s">
        <v>61</v>
      </c>
      <c r="F590" s="11" t="s">
        <v>62</v>
      </c>
      <c r="G590" s="12" t="s">
        <v>2279</v>
      </c>
      <c r="H590" s="23" t="s">
        <v>2280</v>
      </c>
      <c r="I590" s="11" t="s">
        <v>65</v>
      </c>
      <c r="J590" s="14">
        <v>1</v>
      </c>
      <c r="K590" s="14" t="s">
        <v>2175</v>
      </c>
      <c r="L590" s="14" t="s">
        <v>2281</v>
      </c>
      <c r="M590" s="15" t="s">
        <v>1744</v>
      </c>
      <c r="N590" s="15" t="s">
        <v>67</v>
      </c>
      <c r="O590" s="15" t="s">
        <v>2282</v>
      </c>
      <c r="P590" s="15"/>
      <c r="Q590" s="12" t="s">
        <v>69</v>
      </c>
      <c r="R590" s="16" t="s">
        <v>54</v>
      </c>
      <c r="S590" s="15" t="s">
        <v>2185</v>
      </c>
      <c r="T590" s="14" t="s">
        <v>55</v>
      </c>
    </row>
    <row r="591" spans="1:20" ht="16.5">
      <c r="A591" s="21" t="s">
        <v>1740</v>
      </c>
      <c r="B591" s="17" t="s">
        <v>60</v>
      </c>
      <c r="C591" s="17" t="s">
        <v>62</v>
      </c>
      <c r="D591" s="18" t="s">
        <v>2279</v>
      </c>
      <c r="E591" s="17" t="s">
        <v>81</v>
      </c>
      <c r="F591" s="17" t="s">
        <v>82</v>
      </c>
      <c r="G591" s="18" t="s">
        <v>2283</v>
      </c>
      <c r="H591" s="20" t="s">
        <v>2284</v>
      </c>
      <c r="I591" s="17" t="s">
        <v>65</v>
      </c>
      <c r="J591" s="21">
        <v>1</v>
      </c>
      <c r="K591" s="21" t="s">
        <v>2175</v>
      </c>
      <c r="L591" s="21" t="s">
        <v>2285</v>
      </c>
      <c r="M591" s="19" t="s">
        <v>2282</v>
      </c>
      <c r="N591" s="19" t="s">
        <v>86</v>
      </c>
      <c r="O591" s="19" t="s">
        <v>2286</v>
      </c>
      <c r="P591" s="19"/>
      <c r="Q591" s="18" t="s">
        <v>53</v>
      </c>
      <c r="R591" s="22" t="s">
        <v>88</v>
      </c>
      <c r="S591" s="19" t="s">
        <v>2185</v>
      </c>
      <c r="T591" s="21" t="s">
        <v>55</v>
      </c>
    </row>
    <row r="592" spans="1:20" ht="16.5">
      <c r="A592" s="14" t="s">
        <v>1740</v>
      </c>
      <c r="B592" s="11" t="s">
        <v>60</v>
      </c>
      <c r="C592" s="11" t="s">
        <v>62</v>
      </c>
      <c r="D592" s="12" t="s">
        <v>2279</v>
      </c>
      <c r="E592" s="11" t="s">
        <v>81</v>
      </c>
      <c r="F592" s="11" t="s">
        <v>82</v>
      </c>
      <c r="G592" s="12" t="s">
        <v>2287</v>
      </c>
      <c r="H592" s="13" t="s">
        <v>2288</v>
      </c>
      <c r="I592" s="11" t="s">
        <v>65</v>
      </c>
      <c r="J592" s="14">
        <v>1</v>
      </c>
      <c r="K592" s="14" t="s">
        <v>2175</v>
      </c>
      <c r="L592" s="14" t="s">
        <v>2289</v>
      </c>
      <c r="M592" s="15" t="s">
        <v>2282</v>
      </c>
      <c r="N592" s="15" t="s">
        <v>86</v>
      </c>
      <c r="O592" s="15" t="s">
        <v>2290</v>
      </c>
      <c r="P592" s="15"/>
      <c r="Q592" s="12" t="s">
        <v>53</v>
      </c>
      <c r="R592" s="22" t="s">
        <v>88</v>
      </c>
      <c r="S592" s="15" t="s">
        <v>2185</v>
      </c>
      <c r="T592" s="14" t="s">
        <v>55</v>
      </c>
    </row>
    <row r="593" spans="1:20" ht="16.5">
      <c r="A593" s="21" t="s">
        <v>1740</v>
      </c>
      <c r="B593" s="17" t="s">
        <v>60</v>
      </c>
      <c r="C593" s="17" t="s">
        <v>62</v>
      </c>
      <c r="D593" s="18" t="s">
        <v>2279</v>
      </c>
      <c r="E593" s="17" t="s">
        <v>81</v>
      </c>
      <c r="F593" s="17" t="s">
        <v>82</v>
      </c>
      <c r="G593" s="18" t="s">
        <v>2291</v>
      </c>
      <c r="H593" s="20" t="s">
        <v>2292</v>
      </c>
      <c r="I593" s="17" t="s">
        <v>65</v>
      </c>
      <c r="J593" s="21">
        <v>1</v>
      </c>
      <c r="K593" s="21" t="s">
        <v>2175</v>
      </c>
      <c r="L593" s="21" t="s">
        <v>2293</v>
      </c>
      <c r="M593" s="19" t="s">
        <v>2282</v>
      </c>
      <c r="N593" s="19" t="s">
        <v>86</v>
      </c>
      <c r="O593" s="19" t="s">
        <v>2294</v>
      </c>
      <c r="P593" s="19"/>
      <c r="Q593" s="18" t="s">
        <v>53</v>
      </c>
      <c r="R593" s="22" t="s">
        <v>88</v>
      </c>
      <c r="S593" s="19" t="s">
        <v>2185</v>
      </c>
      <c r="T593" s="21" t="s">
        <v>55</v>
      </c>
    </row>
    <row r="594" spans="1:20" ht="16.5">
      <c r="A594" s="14" t="s">
        <v>1740</v>
      </c>
      <c r="B594" s="11" t="s">
        <v>60</v>
      </c>
      <c r="C594" s="11" t="s">
        <v>44</v>
      </c>
      <c r="D594" s="15" t="s">
        <v>1740</v>
      </c>
      <c r="E594" s="11" t="s">
        <v>61</v>
      </c>
      <c r="F594" s="11" t="s">
        <v>62</v>
      </c>
      <c r="G594" s="12" t="s">
        <v>2295</v>
      </c>
      <c r="H594" s="23" t="s">
        <v>2296</v>
      </c>
      <c r="I594" s="11" t="s">
        <v>65</v>
      </c>
      <c r="J594" s="14">
        <v>1</v>
      </c>
      <c r="K594" s="14" t="s">
        <v>2175</v>
      </c>
      <c r="L594" s="14" t="s">
        <v>2297</v>
      </c>
      <c r="M594" s="15" t="s">
        <v>1744</v>
      </c>
      <c r="N594" s="15" t="s">
        <v>67</v>
      </c>
      <c r="O594" s="15" t="s">
        <v>2298</v>
      </c>
      <c r="P594" s="15"/>
      <c r="Q594" s="12" t="s">
        <v>69</v>
      </c>
      <c r="R594" s="16" t="s">
        <v>54</v>
      </c>
      <c r="S594" s="15" t="s">
        <v>2185</v>
      </c>
      <c r="T594" s="14" t="s">
        <v>55</v>
      </c>
    </row>
    <row r="595" spans="1:20" ht="16.5">
      <c r="A595" s="21" t="s">
        <v>1740</v>
      </c>
      <c r="B595" s="17" t="s">
        <v>60</v>
      </c>
      <c r="C595" s="17" t="s">
        <v>62</v>
      </c>
      <c r="D595" s="18" t="s">
        <v>2295</v>
      </c>
      <c r="E595" s="17" t="s">
        <v>71</v>
      </c>
      <c r="F595" s="17" t="s">
        <v>72</v>
      </c>
      <c r="G595" s="18" t="s">
        <v>2299</v>
      </c>
      <c r="H595" s="20" t="s">
        <v>2300</v>
      </c>
      <c r="I595" s="17" t="s">
        <v>65</v>
      </c>
      <c r="J595" s="21">
        <v>1</v>
      </c>
      <c r="K595" s="21" t="s">
        <v>2175</v>
      </c>
      <c r="L595" s="21" t="s">
        <v>2301</v>
      </c>
      <c r="M595" s="19" t="s">
        <v>2298</v>
      </c>
      <c r="N595" s="19" t="s">
        <v>76</v>
      </c>
      <c r="O595" s="19" t="s">
        <v>2302</v>
      </c>
      <c r="P595" s="19"/>
      <c r="Q595" s="18" t="s">
        <v>69</v>
      </c>
      <c r="R595" s="16" t="s">
        <v>54</v>
      </c>
      <c r="S595" s="19" t="s">
        <v>2185</v>
      </c>
      <c r="T595" s="21" t="s">
        <v>55</v>
      </c>
    </row>
    <row r="596" spans="1:20" ht="16.5">
      <c r="A596" s="14" t="s">
        <v>1740</v>
      </c>
      <c r="B596" s="11" t="s">
        <v>60</v>
      </c>
      <c r="C596" s="11" t="s">
        <v>62</v>
      </c>
      <c r="D596" s="12" t="s">
        <v>2295</v>
      </c>
      <c r="E596" s="11" t="s">
        <v>71</v>
      </c>
      <c r="F596" s="11" t="s">
        <v>72</v>
      </c>
      <c r="G596" s="12" t="s">
        <v>2303</v>
      </c>
      <c r="H596" s="13" t="s">
        <v>2300</v>
      </c>
      <c r="I596" s="11" t="s">
        <v>65</v>
      </c>
      <c r="J596" s="14">
        <v>1</v>
      </c>
      <c r="K596" s="14" t="s">
        <v>2175</v>
      </c>
      <c r="L596" s="14" t="s">
        <v>2304</v>
      </c>
      <c r="M596" s="15" t="s">
        <v>2298</v>
      </c>
      <c r="N596" s="15" t="s">
        <v>76</v>
      </c>
      <c r="O596" s="15" t="s">
        <v>2305</v>
      </c>
      <c r="P596" s="15"/>
      <c r="Q596" s="12" t="s">
        <v>69</v>
      </c>
      <c r="R596" s="16" t="s">
        <v>54</v>
      </c>
      <c r="S596" s="15" t="s">
        <v>2185</v>
      </c>
      <c r="T596" s="14" t="s">
        <v>55</v>
      </c>
    </row>
    <row r="597" spans="1:20" ht="16.5">
      <c r="A597" s="21" t="s">
        <v>1740</v>
      </c>
      <c r="B597" s="17" t="s">
        <v>60</v>
      </c>
      <c r="C597" s="17" t="s">
        <v>62</v>
      </c>
      <c r="D597" s="18" t="s">
        <v>2295</v>
      </c>
      <c r="E597" s="17" t="s">
        <v>71</v>
      </c>
      <c r="F597" s="17" t="s">
        <v>72</v>
      </c>
      <c r="G597" s="18" t="s">
        <v>2306</v>
      </c>
      <c r="H597" s="20" t="s">
        <v>2300</v>
      </c>
      <c r="I597" s="17" t="s">
        <v>65</v>
      </c>
      <c r="J597" s="21">
        <v>1</v>
      </c>
      <c r="K597" s="21" t="s">
        <v>2175</v>
      </c>
      <c r="L597" s="21" t="s">
        <v>2307</v>
      </c>
      <c r="M597" s="19" t="s">
        <v>2298</v>
      </c>
      <c r="N597" s="19" t="s">
        <v>76</v>
      </c>
      <c r="O597" s="19" t="s">
        <v>2308</v>
      </c>
      <c r="P597" s="19"/>
      <c r="Q597" s="18" t="s">
        <v>69</v>
      </c>
      <c r="R597" s="16" t="s">
        <v>54</v>
      </c>
      <c r="S597" s="19" t="s">
        <v>2185</v>
      </c>
      <c r="T597" s="21" t="s">
        <v>55</v>
      </c>
    </row>
    <row r="598" spans="1:20" ht="16.5">
      <c r="A598" s="14" t="s">
        <v>1740</v>
      </c>
      <c r="B598" s="11" t="s">
        <v>60</v>
      </c>
      <c r="C598" s="11" t="s">
        <v>62</v>
      </c>
      <c r="D598" s="12" t="s">
        <v>2295</v>
      </c>
      <c r="E598" s="11" t="s">
        <v>71</v>
      </c>
      <c r="F598" s="11" t="s">
        <v>72</v>
      </c>
      <c r="G598" s="12" t="s">
        <v>2309</v>
      </c>
      <c r="H598" s="13" t="s">
        <v>2300</v>
      </c>
      <c r="I598" s="11" t="s">
        <v>65</v>
      </c>
      <c r="J598" s="14">
        <v>1</v>
      </c>
      <c r="K598" s="14" t="s">
        <v>2175</v>
      </c>
      <c r="L598" s="14" t="s">
        <v>2310</v>
      </c>
      <c r="M598" s="15" t="s">
        <v>2298</v>
      </c>
      <c r="N598" s="15" t="s">
        <v>76</v>
      </c>
      <c r="O598" s="15" t="s">
        <v>2311</v>
      </c>
      <c r="P598" s="15"/>
      <c r="Q598" s="12" t="s">
        <v>69</v>
      </c>
      <c r="R598" s="16" t="s">
        <v>54</v>
      </c>
      <c r="S598" s="15" t="s">
        <v>2185</v>
      </c>
      <c r="T598" s="14" t="s">
        <v>55</v>
      </c>
    </row>
    <row r="599" spans="1:20" ht="16.5">
      <c r="A599" s="21" t="s">
        <v>1740</v>
      </c>
      <c r="B599" s="17" t="s">
        <v>60</v>
      </c>
      <c r="C599" s="17" t="s">
        <v>62</v>
      </c>
      <c r="D599" s="18" t="s">
        <v>2295</v>
      </c>
      <c r="E599" s="17" t="s">
        <v>71</v>
      </c>
      <c r="F599" s="17" t="s">
        <v>72</v>
      </c>
      <c r="G599" s="18" t="s">
        <v>2312</v>
      </c>
      <c r="H599" s="20" t="s">
        <v>2300</v>
      </c>
      <c r="I599" s="17" t="s">
        <v>65</v>
      </c>
      <c r="J599" s="21">
        <v>1</v>
      </c>
      <c r="K599" s="21" t="s">
        <v>2175</v>
      </c>
      <c r="L599" s="21" t="s">
        <v>2313</v>
      </c>
      <c r="M599" s="19" t="s">
        <v>2298</v>
      </c>
      <c r="N599" s="19" t="s">
        <v>76</v>
      </c>
      <c r="O599" s="19" t="s">
        <v>2314</v>
      </c>
      <c r="P599" s="19"/>
      <c r="Q599" s="18" t="s">
        <v>69</v>
      </c>
      <c r="R599" s="16" t="s">
        <v>54</v>
      </c>
      <c r="S599" s="19" t="s">
        <v>2185</v>
      </c>
      <c r="T599" s="21" t="s">
        <v>55</v>
      </c>
    </row>
    <row r="600" spans="1:20" ht="16.5">
      <c r="A600" s="14" t="s">
        <v>1740</v>
      </c>
      <c r="B600" s="11" t="s">
        <v>60</v>
      </c>
      <c r="C600" s="11" t="s">
        <v>62</v>
      </c>
      <c r="D600" s="12" t="s">
        <v>2295</v>
      </c>
      <c r="E600" s="11" t="s">
        <v>71</v>
      </c>
      <c r="F600" s="11" t="s">
        <v>72</v>
      </c>
      <c r="G600" s="12" t="s">
        <v>2315</v>
      </c>
      <c r="H600" s="13" t="s">
        <v>2300</v>
      </c>
      <c r="I600" s="11" t="s">
        <v>65</v>
      </c>
      <c r="J600" s="14">
        <v>1</v>
      </c>
      <c r="K600" s="14" t="s">
        <v>2175</v>
      </c>
      <c r="L600" s="14" t="s">
        <v>2316</v>
      </c>
      <c r="M600" s="15" t="s">
        <v>2298</v>
      </c>
      <c r="N600" s="15" t="s">
        <v>76</v>
      </c>
      <c r="O600" s="15" t="s">
        <v>2317</v>
      </c>
      <c r="P600" s="15"/>
      <c r="Q600" s="12" t="s">
        <v>69</v>
      </c>
      <c r="R600" s="16" t="s">
        <v>54</v>
      </c>
      <c r="S600" s="15" t="s">
        <v>2185</v>
      </c>
      <c r="T600" s="14" t="s">
        <v>55</v>
      </c>
    </row>
    <row r="601" spans="1:20" ht="16.5">
      <c r="A601" s="21" t="s">
        <v>1740</v>
      </c>
      <c r="B601" s="17" t="s">
        <v>60</v>
      </c>
      <c r="C601" s="17" t="s">
        <v>62</v>
      </c>
      <c r="D601" s="18" t="s">
        <v>2295</v>
      </c>
      <c r="E601" s="17" t="s">
        <v>81</v>
      </c>
      <c r="F601" s="17" t="s">
        <v>82</v>
      </c>
      <c r="G601" s="18" t="s">
        <v>2318</v>
      </c>
      <c r="H601" s="20" t="s">
        <v>2319</v>
      </c>
      <c r="I601" s="17" t="s">
        <v>65</v>
      </c>
      <c r="J601" s="21">
        <v>1</v>
      </c>
      <c r="K601" s="21" t="s">
        <v>2175</v>
      </c>
      <c r="L601" s="21" t="s">
        <v>2320</v>
      </c>
      <c r="M601" s="19" t="s">
        <v>2298</v>
      </c>
      <c r="N601" s="19" t="s">
        <v>86</v>
      </c>
      <c r="O601" s="19" t="s">
        <v>2321</v>
      </c>
      <c r="P601" s="19"/>
      <c r="Q601" s="18" t="s">
        <v>53</v>
      </c>
      <c r="R601" s="22" t="s">
        <v>88</v>
      </c>
      <c r="S601" s="19" t="s">
        <v>2185</v>
      </c>
      <c r="T601" s="21" t="s">
        <v>55</v>
      </c>
    </row>
    <row r="602" spans="1:20" ht="16.5">
      <c r="A602" s="14" t="s">
        <v>1740</v>
      </c>
      <c r="B602" s="11" t="s">
        <v>60</v>
      </c>
      <c r="C602" s="11" t="s">
        <v>62</v>
      </c>
      <c r="D602" s="12" t="s">
        <v>2295</v>
      </c>
      <c r="E602" s="11" t="s">
        <v>81</v>
      </c>
      <c r="F602" s="11" t="s">
        <v>82</v>
      </c>
      <c r="G602" s="12" t="s">
        <v>2322</v>
      </c>
      <c r="H602" s="13" t="s">
        <v>2323</v>
      </c>
      <c r="I602" s="11" t="s">
        <v>65</v>
      </c>
      <c r="J602" s="14">
        <v>1</v>
      </c>
      <c r="K602" s="14" t="s">
        <v>2175</v>
      </c>
      <c r="L602" s="14" t="s">
        <v>2324</v>
      </c>
      <c r="M602" s="15" t="s">
        <v>2298</v>
      </c>
      <c r="N602" s="15" t="s">
        <v>86</v>
      </c>
      <c r="O602" s="15" t="s">
        <v>2325</v>
      </c>
      <c r="P602" s="15"/>
      <c r="Q602" s="12" t="s">
        <v>53</v>
      </c>
      <c r="R602" s="22" t="s">
        <v>88</v>
      </c>
      <c r="S602" s="15" t="s">
        <v>2185</v>
      </c>
      <c r="T602" s="14" t="s">
        <v>55</v>
      </c>
    </row>
    <row r="603" spans="1:20" ht="16.5">
      <c r="A603" s="21" t="s">
        <v>1740</v>
      </c>
      <c r="B603" s="17" t="s">
        <v>60</v>
      </c>
      <c r="C603" s="17" t="s">
        <v>62</v>
      </c>
      <c r="D603" s="18" t="s">
        <v>2295</v>
      </c>
      <c r="E603" s="17" t="s">
        <v>81</v>
      </c>
      <c r="F603" s="17" t="s">
        <v>82</v>
      </c>
      <c r="G603" s="18" t="s">
        <v>2326</v>
      </c>
      <c r="H603" s="20" t="s">
        <v>2327</v>
      </c>
      <c r="I603" s="17" t="s">
        <v>65</v>
      </c>
      <c r="J603" s="21">
        <v>1</v>
      </c>
      <c r="K603" s="21" t="s">
        <v>2175</v>
      </c>
      <c r="L603" s="21" t="s">
        <v>2328</v>
      </c>
      <c r="M603" s="19" t="s">
        <v>2298</v>
      </c>
      <c r="N603" s="19" t="s">
        <v>86</v>
      </c>
      <c r="O603" s="19" t="s">
        <v>2329</v>
      </c>
      <c r="P603" s="19"/>
      <c r="Q603" s="18" t="s">
        <v>53</v>
      </c>
      <c r="R603" s="22" t="s">
        <v>88</v>
      </c>
      <c r="S603" s="19" t="s">
        <v>2185</v>
      </c>
      <c r="T603" s="21" t="s">
        <v>55</v>
      </c>
    </row>
    <row r="604" spans="1:20" ht="16.5">
      <c r="A604" s="14" t="s">
        <v>1740</v>
      </c>
      <c r="B604" s="11" t="s">
        <v>60</v>
      </c>
      <c r="C604" s="11" t="s">
        <v>44</v>
      </c>
      <c r="D604" s="15" t="s">
        <v>1740</v>
      </c>
      <c r="E604" s="11" t="s">
        <v>61</v>
      </c>
      <c r="F604" s="11" t="s">
        <v>62</v>
      </c>
      <c r="G604" s="12" t="s">
        <v>2330</v>
      </c>
      <c r="H604" s="23" t="s">
        <v>2331</v>
      </c>
      <c r="I604" s="11" t="s">
        <v>65</v>
      </c>
      <c r="J604" s="14">
        <v>1</v>
      </c>
      <c r="K604" s="14" t="s">
        <v>2175</v>
      </c>
      <c r="L604" s="14" t="s">
        <v>2332</v>
      </c>
      <c r="M604" s="15" t="s">
        <v>1744</v>
      </c>
      <c r="N604" s="15" t="s">
        <v>67</v>
      </c>
      <c r="O604" s="15" t="s">
        <v>2333</v>
      </c>
      <c r="P604" s="15"/>
      <c r="Q604" s="12" t="s">
        <v>69</v>
      </c>
      <c r="R604" s="16" t="s">
        <v>54</v>
      </c>
      <c r="S604" s="15" t="s">
        <v>2185</v>
      </c>
      <c r="T604" s="14" t="s">
        <v>55</v>
      </c>
    </row>
    <row r="605" spans="1:20" ht="16.5">
      <c r="A605" s="21" t="s">
        <v>1740</v>
      </c>
      <c r="B605" s="17" t="s">
        <v>60</v>
      </c>
      <c r="C605" s="17" t="s">
        <v>62</v>
      </c>
      <c r="D605" s="18" t="s">
        <v>2330</v>
      </c>
      <c r="E605" s="17" t="s">
        <v>71</v>
      </c>
      <c r="F605" s="17" t="s">
        <v>72</v>
      </c>
      <c r="G605" s="18" t="s">
        <v>2334</v>
      </c>
      <c r="H605" s="20" t="s">
        <v>2335</v>
      </c>
      <c r="I605" s="17" t="s">
        <v>65</v>
      </c>
      <c r="J605" s="21">
        <v>1</v>
      </c>
      <c r="K605" s="21" t="s">
        <v>2175</v>
      </c>
      <c r="L605" s="21" t="s">
        <v>2336</v>
      </c>
      <c r="M605" s="19" t="s">
        <v>2333</v>
      </c>
      <c r="N605" s="19" t="s">
        <v>76</v>
      </c>
      <c r="O605" s="19" t="s">
        <v>2337</v>
      </c>
      <c r="P605" s="19"/>
      <c r="Q605" s="18" t="s">
        <v>69</v>
      </c>
      <c r="R605" s="16" t="s">
        <v>54</v>
      </c>
      <c r="S605" s="19" t="s">
        <v>2185</v>
      </c>
      <c r="T605" s="21" t="s">
        <v>55</v>
      </c>
    </row>
    <row r="606" spans="1:20" ht="16.5">
      <c r="A606" s="14" t="s">
        <v>1740</v>
      </c>
      <c r="B606" s="11" t="s">
        <v>60</v>
      </c>
      <c r="C606" s="11" t="s">
        <v>62</v>
      </c>
      <c r="D606" s="12" t="s">
        <v>2330</v>
      </c>
      <c r="E606" s="11" t="s">
        <v>71</v>
      </c>
      <c r="F606" s="11" t="s">
        <v>72</v>
      </c>
      <c r="G606" s="12" t="s">
        <v>2338</v>
      </c>
      <c r="H606" s="13" t="s">
        <v>2335</v>
      </c>
      <c r="I606" s="11" t="s">
        <v>65</v>
      </c>
      <c r="J606" s="14">
        <v>1</v>
      </c>
      <c r="K606" s="14" t="s">
        <v>2175</v>
      </c>
      <c r="L606" s="14" t="s">
        <v>2339</v>
      </c>
      <c r="M606" s="15" t="s">
        <v>2333</v>
      </c>
      <c r="N606" s="15" t="s">
        <v>76</v>
      </c>
      <c r="O606" s="15" t="s">
        <v>2340</v>
      </c>
      <c r="P606" s="15"/>
      <c r="Q606" s="12" t="s">
        <v>69</v>
      </c>
      <c r="R606" s="16" t="s">
        <v>54</v>
      </c>
      <c r="S606" s="15" t="s">
        <v>2185</v>
      </c>
      <c r="T606" s="14" t="s">
        <v>55</v>
      </c>
    </row>
    <row r="607" spans="1:20" ht="16.5">
      <c r="A607" s="21" t="s">
        <v>1740</v>
      </c>
      <c r="B607" s="17" t="s">
        <v>60</v>
      </c>
      <c r="C607" s="17" t="s">
        <v>62</v>
      </c>
      <c r="D607" s="18" t="s">
        <v>2330</v>
      </c>
      <c r="E607" s="17" t="s">
        <v>71</v>
      </c>
      <c r="F607" s="17" t="s">
        <v>72</v>
      </c>
      <c r="G607" s="18" t="s">
        <v>2341</v>
      </c>
      <c r="H607" s="20" t="s">
        <v>2335</v>
      </c>
      <c r="I607" s="17" t="s">
        <v>65</v>
      </c>
      <c r="J607" s="21">
        <v>1</v>
      </c>
      <c r="K607" s="21" t="s">
        <v>2175</v>
      </c>
      <c r="L607" s="21" t="s">
        <v>2342</v>
      </c>
      <c r="M607" s="19" t="s">
        <v>2333</v>
      </c>
      <c r="N607" s="19" t="s">
        <v>76</v>
      </c>
      <c r="O607" s="19" t="s">
        <v>2343</v>
      </c>
      <c r="P607" s="19"/>
      <c r="Q607" s="18" t="s">
        <v>69</v>
      </c>
      <c r="R607" s="16" t="s">
        <v>54</v>
      </c>
      <c r="S607" s="19" t="s">
        <v>2185</v>
      </c>
      <c r="T607" s="21" t="s">
        <v>55</v>
      </c>
    </row>
    <row r="608" spans="1:20" ht="16.5">
      <c r="A608" s="14" t="s">
        <v>1740</v>
      </c>
      <c r="B608" s="11" t="s">
        <v>60</v>
      </c>
      <c r="C608" s="11" t="s">
        <v>62</v>
      </c>
      <c r="D608" s="12" t="s">
        <v>2330</v>
      </c>
      <c r="E608" s="11" t="s">
        <v>71</v>
      </c>
      <c r="F608" s="11" t="s">
        <v>72</v>
      </c>
      <c r="G608" s="12" t="s">
        <v>2344</v>
      </c>
      <c r="H608" s="13" t="s">
        <v>2335</v>
      </c>
      <c r="I608" s="11" t="s">
        <v>65</v>
      </c>
      <c r="J608" s="14">
        <v>1</v>
      </c>
      <c r="K608" s="14" t="s">
        <v>2175</v>
      </c>
      <c r="L608" s="14" t="s">
        <v>2345</v>
      </c>
      <c r="M608" s="15" t="s">
        <v>2333</v>
      </c>
      <c r="N608" s="15" t="s">
        <v>76</v>
      </c>
      <c r="O608" s="15" t="s">
        <v>2346</v>
      </c>
      <c r="P608" s="15"/>
      <c r="Q608" s="12" t="s">
        <v>69</v>
      </c>
      <c r="R608" s="16" t="s">
        <v>54</v>
      </c>
      <c r="S608" s="15" t="s">
        <v>2185</v>
      </c>
      <c r="T608" s="14" t="s">
        <v>55</v>
      </c>
    </row>
    <row r="609" spans="1:20" ht="16.5">
      <c r="A609" s="21" t="s">
        <v>1740</v>
      </c>
      <c r="B609" s="17" t="s">
        <v>60</v>
      </c>
      <c r="C609" s="17" t="s">
        <v>62</v>
      </c>
      <c r="D609" s="18" t="s">
        <v>2330</v>
      </c>
      <c r="E609" s="17" t="s">
        <v>81</v>
      </c>
      <c r="F609" s="17" t="s">
        <v>82</v>
      </c>
      <c r="G609" s="18" t="s">
        <v>2347</v>
      </c>
      <c r="H609" s="20" t="s">
        <v>2348</v>
      </c>
      <c r="I609" s="17" t="s">
        <v>65</v>
      </c>
      <c r="J609" s="21">
        <v>1</v>
      </c>
      <c r="K609" s="21" t="s">
        <v>2175</v>
      </c>
      <c r="L609" s="21" t="s">
        <v>2349</v>
      </c>
      <c r="M609" s="19" t="s">
        <v>2333</v>
      </c>
      <c r="N609" s="19" t="s">
        <v>86</v>
      </c>
      <c r="O609" s="19" t="s">
        <v>2350</v>
      </c>
      <c r="P609" s="19"/>
      <c r="Q609" s="18" t="s">
        <v>53</v>
      </c>
      <c r="R609" s="22" t="s">
        <v>88</v>
      </c>
      <c r="S609" s="19" t="s">
        <v>2185</v>
      </c>
      <c r="T609" s="21" t="s">
        <v>55</v>
      </c>
    </row>
    <row r="610" spans="1:20" ht="16.5">
      <c r="A610" s="14" t="s">
        <v>1740</v>
      </c>
      <c r="B610" s="11" t="s">
        <v>60</v>
      </c>
      <c r="C610" s="11" t="s">
        <v>62</v>
      </c>
      <c r="D610" s="12" t="s">
        <v>2330</v>
      </c>
      <c r="E610" s="11" t="s">
        <v>81</v>
      </c>
      <c r="F610" s="11" t="s">
        <v>82</v>
      </c>
      <c r="G610" s="12" t="s">
        <v>2351</v>
      </c>
      <c r="H610" s="13" t="s">
        <v>2352</v>
      </c>
      <c r="I610" s="11" t="s">
        <v>65</v>
      </c>
      <c r="J610" s="14">
        <v>1</v>
      </c>
      <c r="K610" s="14" t="s">
        <v>2175</v>
      </c>
      <c r="L610" s="14" t="s">
        <v>2353</v>
      </c>
      <c r="M610" s="15" t="s">
        <v>2333</v>
      </c>
      <c r="N610" s="15" t="s">
        <v>86</v>
      </c>
      <c r="O610" s="15" t="s">
        <v>2354</v>
      </c>
      <c r="P610" s="15"/>
      <c r="Q610" s="12" t="s">
        <v>53</v>
      </c>
      <c r="R610" s="22" t="s">
        <v>88</v>
      </c>
      <c r="S610" s="15" t="s">
        <v>2185</v>
      </c>
      <c r="T610" s="14" t="s">
        <v>55</v>
      </c>
    </row>
    <row r="611" spans="1:20" ht="16.5">
      <c r="A611" s="21" t="s">
        <v>1740</v>
      </c>
      <c r="B611" s="17" t="s">
        <v>60</v>
      </c>
      <c r="C611" s="17" t="s">
        <v>62</v>
      </c>
      <c r="D611" s="18" t="s">
        <v>2330</v>
      </c>
      <c r="E611" s="17" t="s">
        <v>81</v>
      </c>
      <c r="F611" s="17" t="s">
        <v>82</v>
      </c>
      <c r="G611" s="18" t="s">
        <v>2355</v>
      </c>
      <c r="H611" s="20" t="s">
        <v>2356</v>
      </c>
      <c r="I611" s="17" t="s">
        <v>65</v>
      </c>
      <c r="J611" s="21">
        <v>1</v>
      </c>
      <c r="K611" s="21" t="s">
        <v>2175</v>
      </c>
      <c r="L611" s="21" t="s">
        <v>2357</v>
      </c>
      <c r="M611" s="19" t="s">
        <v>2333</v>
      </c>
      <c r="N611" s="19" t="s">
        <v>86</v>
      </c>
      <c r="O611" s="19" t="s">
        <v>2358</v>
      </c>
      <c r="P611" s="19"/>
      <c r="Q611" s="18" t="s">
        <v>53</v>
      </c>
      <c r="R611" s="22" t="s">
        <v>88</v>
      </c>
      <c r="S611" s="19" t="s">
        <v>2185</v>
      </c>
      <c r="T611" s="21" t="s">
        <v>55</v>
      </c>
    </row>
    <row r="612" spans="1:20" ht="16.5">
      <c r="A612" s="14" t="s">
        <v>1740</v>
      </c>
      <c r="B612" s="11" t="s">
        <v>60</v>
      </c>
      <c r="C612" s="11" t="s">
        <v>62</v>
      </c>
      <c r="D612" s="12" t="s">
        <v>2208</v>
      </c>
      <c r="E612" s="11" t="s">
        <v>203</v>
      </c>
      <c r="F612" s="11" t="s">
        <v>204</v>
      </c>
      <c r="G612" s="12" t="s">
        <v>2359</v>
      </c>
      <c r="H612" s="13" t="s">
        <v>2360</v>
      </c>
      <c r="I612" s="11" t="s">
        <v>65</v>
      </c>
      <c r="J612" s="14">
        <v>1</v>
      </c>
      <c r="K612" s="14" t="s">
        <v>2175</v>
      </c>
      <c r="L612" s="14" t="s">
        <v>2361</v>
      </c>
      <c r="M612" s="15" t="s">
        <v>2211</v>
      </c>
      <c r="N612" s="15" t="s">
        <v>208</v>
      </c>
      <c r="O612" s="15" t="s">
        <v>2362</v>
      </c>
      <c r="P612" s="15" t="s">
        <v>2363</v>
      </c>
      <c r="Q612" s="15" t="s">
        <v>211</v>
      </c>
      <c r="R612" s="16" t="s">
        <v>54</v>
      </c>
      <c r="S612" s="15" t="s">
        <v>2185</v>
      </c>
      <c r="T612" s="14" t="s">
        <v>55</v>
      </c>
    </row>
    <row r="613" spans="1:20" ht="16.5">
      <c r="A613" s="21" t="s">
        <v>1740</v>
      </c>
      <c r="B613" s="17" t="s">
        <v>60</v>
      </c>
      <c r="C613" s="17" t="s">
        <v>62</v>
      </c>
      <c r="D613" s="18" t="s">
        <v>2208</v>
      </c>
      <c r="E613" s="17" t="s">
        <v>203</v>
      </c>
      <c r="F613" s="17" t="s">
        <v>204</v>
      </c>
      <c r="G613" s="18" t="s">
        <v>2364</v>
      </c>
      <c r="H613" s="20" t="s">
        <v>2365</v>
      </c>
      <c r="I613" s="17" t="s">
        <v>65</v>
      </c>
      <c r="J613" s="21">
        <v>1</v>
      </c>
      <c r="K613" s="21" t="s">
        <v>2175</v>
      </c>
      <c r="L613" s="21" t="s">
        <v>2366</v>
      </c>
      <c r="M613" s="19" t="s">
        <v>2211</v>
      </c>
      <c r="N613" s="19" t="s">
        <v>208</v>
      </c>
      <c r="O613" s="19" t="s">
        <v>2367</v>
      </c>
      <c r="P613" s="19" t="s">
        <v>2368</v>
      </c>
      <c r="Q613" s="19" t="s">
        <v>211</v>
      </c>
      <c r="R613" s="16" t="s">
        <v>54</v>
      </c>
      <c r="S613" s="19" t="s">
        <v>2185</v>
      </c>
      <c r="T613" s="21" t="s">
        <v>55</v>
      </c>
    </row>
    <row r="614" spans="1:20" ht="16.5">
      <c r="A614" s="14" t="s">
        <v>1740</v>
      </c>
      <c r="B614" s="11" t="s">
        <v>60</v>
      </c>
      <c r="C614" s="11" t="s">
        <v>62</v>
      </c>
      <c r="D614" s="12" t="s">
        <v>2237</v>
      </c>
      <c r="E614" s="11" t="s">
        <v>203</v>
      </c>
      <c r="F614" s="11" t="s">
        <v>204</v>
      </c>
      <c r="G614" s="12" t="s">
        <v>2369</v>
      </c>
      <c r="H614" s="23" t="s">
        <v>2370</v>
      </c>
      <c r="I614" s="11" t="s">
        <v>65</v>
      </c>
      <c r="J614" s="14">
        <v>1</v>
      </c>
      <c r="K614" s="14" t="s">
        <v>2175</v>
      </c>
      <c r="L614" s="14" t="s">
        <v>2371</v>
      </c>
      <c r="M614" s="15" t="s">
        <v>2240</v>
      </c>
      <c r="N614" s="15" t="s">
        <v>208</v>
      </c>
      <c r="O614" s="15" t="s">
        <v>2372</v>
      </c>
      <c r="P614" s="15" t="s">
        <v>2373</v>
      </c>
      <c r="Q614" s="15" t="s">
        <v>211</v>
      </c>
      <c r="R614" s="16" t="s">
        <v>54</v>
      </c>
      <c r="S614" s="15" t="s">
        <v>2185</v>
      </c>
      <c r="T614" s="14" t="s">
        <v>55</v>
      </c>
    </row>
    <row r="615" spans="1:20" ht="16.5">
      <c r="A615" s="21" t="s">
        <v>1740</v>
      </c>
      <c r="B615" s="17" t="s">
        <v>60</v>
      </c>
      <c r="C615" s="17" t="s">
        <v>62</v>
      </c>
      <c r="D615" s="18" t="s">
        <v>2237</v>
      </c>
      <c r="E615" s="17" t="s">
        <v>203</v>
      </c>
      <c r="F615" s="17" t="s">
        <v>204</v>
      </c>
      <c r="G615" s="18" t="s">
        <v>2374</v>
      </c>
      <c r="H615" s="20" t="s">
        <v>2375</v>
      </c>
      <c r="I615" s="17" t="s">
        <v>65</v>
      </c>
      <c r="J615" s="21">
        <v>1</v>
      </c>
      <c r="K615" s="21" t="s">
        <v>2175</v>
      </c>
      <c r="L615" s="21" t="s">
        <v>2376</v>
      </c>
      <c r="M615" s="19" t="s">
        <v>2240</v>
      </c>
      <c r="N615" s="19" t="s">
        <v>208</v>
      </c>
      <c r="O615" s="19" t="s">
        <v>2377</v>
      </c>
      <c r="P615" s="19" t="s">
        <v>2378</v>
      </c>
      <c r="Q615" s="19" t="s">
        <v>211</v>
      </c>
      <c r="R615" s="16" t="s">
        <v>54</v>
      </c>
      <c r="S615" s="19" t="s">
        <v>2185</v>
      </c>
      <c r="T615" s="21" t="s">
        <v>55</v>
      </c>
    </row>
    <row r="616" spans="1:20" ht="16.5">
      <c r="A616" s="14" t="s">
        <v>1740</v>
      </c>
      <c r="B616" s="11" t="s">
        <v>60</v>
      </c>
      <c r="C616" s="11" t="s">
        <v>62</v>
      </c>
      <c r="D616" s="12" t="s">
        <v>2143</v>
      </c>
      <c r="E616" s="11" t="s">
        <v>203</v>
      </c>
      <c r="F616" s="11" t="s">
        <v>204</v>
      </c>
      <c r="G616" s="12" t="s">
        <v>2379</v>
      </c>
      <c r="H616" s="13" t="s">
        <v>2380</v>
      </c>
      <c r="I616" s="11" t="s">
        <v>65</v>
      </c>
      <c r="J616" s="14">
        <v>1</v>
      </c>
      <c r="K616" s="14" t="s">
        <v>2175</v>
      </c>
      <c r="L616" s="14" t="s">
        <v>2381</v>
      </c>
      <c r="M616" s="15" t="s">
        <v>2146</v>
      </c>
      <c r="N616" s="15" t="s">
        <v>208</v>
      </c>
      <c r="O616" s="15" t="s">
        <v>2382</v>
      </c>
      <c r="P616" s="15" t="s">
        <v>2383</v>
      </c>
      <c r="Q616" s="15" t="s">
        <v>211</v>
      </c>
      <c r="R616" s="16" t="s">
        <v>54</v>
      </c>
      <c r="S616" s="15" t="s">
        <v>2185</v>
      </c>
      <c r="T616" s="14" t="s">
        <v>55</v>
      </c>
    </row>
    <row r="617" spans="1:20" ht="16.5">
      <c r="A617" s="21" t="s">
        <v>1740</v>
      </c>
      <c r="B617" s="17" t="s">
        <v>60</v>
      </c>
      <c r="C617" s="17" t="s">
        <v>62</v>
      </c>
      <c r="D617" s="18" t="s">
        <v>2143</v>
      </c>
      <c r="E617" s="17" t="s">
        <v>203</v>
      </c>
      <c r="F617" s="17" t="s">
        <v>204</v>
      </c>
      <c r="G617" s="18" t="s">
        <v>2384</v>
      </c>
      <c r="H617" s="20" t="s">
        <v>2385</v>
      </c>
      <c r="I617" s="17" t="s">
        <v>65</v>
      </c>
      <c r="J617" s="21">
        <v>1</v>
      </c>
      <c r="K617" s="21" t="s">
        <v>2175</v>
      </c>
      <c r="L617" s="21" t="s">
        <v>2386</v>
      </c>
      <c r="M617" s="19" t="s">
        <v>2146</v>
      </c>
      <c r="N617" s="19" t="s">
        <v>208</v>
      </c>
      <c r="O617" s="19" t="s">
        <v>2387</v>
      </c>
      <c r="P617" s="19" t="s">
        <v>2388</v>
      </c>
      <c r="Q617" s="19" t="s">
        <v>211</v>
      </c>
      <c r="R617" s="16" t="s">
        <v>54</v>
      </c>
      <c r="S617" s="19" t="s">
        <v>2185</v>
      </c>
      <c r="T617" s="21" t="s">
        <v>55</v>
      </c>
    </row>
    <row r="618" spans="1:20" ht="16.5">
      <c r="A618" s="14" t="s">
        <v>1740</v>
      </c>
      <c r="B618" s="11" t="s">
        <v>60</v>
      </c>
      <c r="C618" s="11" t="s">
        <v>62</v>
      </c>
      <c r="D618" s="12" t="s">
        <v>2143</v>
      </c>
      <c r="E618" s="11" t="s">
        <v>203</v>
      </c>
      <c r="F618" s="11" t="s">
        <v>204</v>
      </c>
      <c r="G618" s="12" t="s">
        <v>2389</v>
      </c>
      <c r="H618" s="13" t="s">
        <v>2390</v>
      </c>
      <c r="I618" s="11" t="s">
        <v>65</v>
      </c>
      <c r="J618" s="14">
        <v>1</v>
      </c>
      <c r="K618" s="14" t="s">
        <v>2175</v>
      </c>
      <c r="L618" s="14" t="s">
        <v>2391</v>
      </c>
      <c r="M618" s="15" t="s">
        <v>2146</v>
      </c>
      <c r="N618" s="15" t="s">
        <v>208</v>
      </c>
      <c r="O618" s="15" t="s">
        <v>2392</v>
      </c>
      <c r="P618" s="15" t="s">
        <v>2393</v>
      </c>
      <c r="Q618" s="15" t="s">
        <v>211</v>
      </c>
      <c r="R618" s="16" t="s">
        <v>54</v>
      </c>
      <c r="S618" s="15" t="s">
        <v>2185</v>
      </c>
      <c r="T618" s="14" t="s">
        <v>55</v>
      </c>
    </row>
    <row r="619" spans="1:20" ht="16.5">
      <c r="A619" s="21" t="s">
        <v>1740</v>
      </c>
      <c r="B619" s="17" t="s">
        <v>60</v>
      </c>
      <c r="C619" s="17" t="s">
        <v>62</v>
      </c>
      <c r="D619" s="18" t="s">
        <v>2143</v>
      </c>
      <c r="E619" s="17" t="s">
        <v>203</v>
      </c>
      <c r="F619" s="17" t="s">
        <v>204</v>
      </c>
      <c r="G619" s="18" t="s">
        <v>2394</v>
      </c>
      <c r="H619" s="20" t="s">
        <v>2395</v>
      </c>
      <c r="I619" s="17" t="s">
        <v>65</v>
      </c>
      <c r="J619" s="21">
        <v>1</v>
      </c>
      <c r="K619" s="21" t="s">
        <v>2175</v>
      </c>
      <c r="L619" s="21" t="s">
        <v>2396</v>
      </c>
      <c r="M619" s="19" t="s">
        <v>2146</v>
      </c>
      <c r="N619" s="19" t="s">
        <v>208</v>
      </c>
      <c r="O619" s="19" t="s">
        <v>2397</v>
      </c>
      <c r="P619" s="19" t="s">
        <v>2398</v>
      </c>
      <c r="Q619" s="19" t="s">
        <v>211</v>
      </c>
      <c r="R619" s="16" t="s">
        <v>54</v>
      </c>
      <c r="S619" s="19" t="s">
        <v>2185</v>
      </c>
      <c r="T619" s="21" t="s">
        <v>55</v>
      </c>
    </row>
    <row r="620" spans="1:20" ht="16.5">
      <c r="A620" s="14" t="s">
        <v>1740</v>
      </c>
      <c r="B620" s="11" t="s">
        <v>60</v>
      </c>
      <c r="C620" s="11" t="s">
        <v>62</v>
      </c>
      <c r="D620" s="12" t="s">
        <v>2143</v>
      </c>
      <c r="E620" s="11" t="s">
        <v>203</v>
      </c>
      <c r="F620" s="11" t="s">
        <v>204</v>
      </c>
      <c r="G620" s="12" t="s">
        <v>2399</v>
      </c>
      <c r="H620" s="13" t="s">
        <v>2400</v>
      </c>
      <c r="I620" s="11" t="s">
        <v>65</v>
      </c>
      <c r="J620" s="14">
        <v>1</v>
      </c>
      <c r="K620" s="14" t="s">
        <v>2175</v>
      </c>
      <c r="L620" s="14" t="s">
        <v>2401</v>
      </c>
      <c r="M620" s="15" t="s">
        <v>2146</v>
      </c>
      <c r="N620" s="15" t="s">
        <v>208</v>
      </c>
      <c r="O620" s="15" t="s">
        <v>2402</v>
      </c>
      <c r="P620" s="15" t="s">
        <v>2403</v>
      </c>
      <c r="Q620" s="15" t="s">
        <v>211</v>
      </c>
      <c r="R620" s="16" t="s">
        <v>54</v>
      </c>
      <c r="S620" s="15" t="s">
        <v>2185</v>
      </c>
      <c r="T620" s="14" t="s">
        <v>55</v>
      </c>
    </row>
    <row r="621" spans="1:20" ht="16.5">
      <c r="A621" s="21" t="s">
        <v>1740</v>
      </c>
      <c r="B621" s="17" t="s">
        <v>60</v>
      </c>
      <c r="C621" s="17" t="s">
        <v>62</v>
      </c>
      <c r="D621" s="18" t="s">
        <v>2279</v>
      </c>
      <c r="E621" s="17" t="s">
        <v>203</v>
      </c>
      <c r="F621" s="17" t="s">
        <v>204</v>
      </c>
      <c r="G621" s="18" t="s">
        <v>2404</v>
      </c>
      <c r="H621" s="20" t="s">
        <v>2405</v>
      </c>
      <c r="I621" s="17" t="s">
        <v>65</v>
      </c>
      <c r="J621" s="21">
        <v>1</v>
      </c>
      <c r="K621" s="21" t="s">
        <v>2175</v>
      </c>
      <c r="L621" s="21" t="s">
        <v>2406</v>
      </c>
      <c r="M621" s="19" t="s">
        <v>2282</v>
      </c>
      <c r="N621" s="19" t="s">
        <v>208</v>
      </c>
      <c r="O621" s="19" t="s">
        <v>2407</v>
      </c>
      <c r="P621" s="19" t="s">
        <v>2408</v>
      </c>
      <c r="Q621" s="19" t="s">
        <v>211</v>
      </c>
      <c r="R621" s="16" t="s">
        <v>54</v>
      </c>
      <c r="S621" s="19" t="s">
        <v>2185</v>
      </c>
      <c r="T621" s="21" t="s">
        <v>55</v>
      </c>
    </row>
    <row r="622" spans="1:20" ht="16.5">
      <c r="A622" s="14" t="s">
        <v>1740</v>
      </c>
      <c r="B622" s="11" t="s">
        <v>60</v>
      </c>
      <c r="C622" s="11" t="s">
        <v>62</v>
      </c>
      <c r="D622" s="12" t="s">
        <v>2279</v>
      </c>
      <c r="E622" s="11" t="s">
        <v>203</v>
      </c>
      <c r="F622" s="11" t="s">
        <v>204</v>
      </c>
      <c r="G622" s="12" t="s">
        <v>2409</v>
      </c>
      <c r="H622" s="13" t="s">
        <v>2410</v>
      </c>
      <c r="I622" s="11" t="s">
        <v>65</v>
      </c>
      <c r="J622" s="14">
        <v>1</v>
      </c>
      <c r="K622" s="14" t="s">
        <v>2175</v>
      </c>
      <c r="L622" s="14" t="s">
        <v>2411</v>
      </c>
      <c r="M622" s="15" t="s">
        <v>2282</v>
      </c>
      <c r="N622" s="15" t="s">
        <v>208</v>
      </c>
      <c r="O622" s="15" t="s">
        <v>2412</v>
      </c>
      <c r="P622" s="15" t="s">
        <v>2413</v>
      </c>
      <c r="Q622" s="15" t="s">
        <v>211</v>
      </c>
      <c r="R622" s="16" t="s">
        <v>54</v>
      </c>
      <c r="S622" s="15" t="s">
        <v>2185</v>
      </c>
      <c r="T622" s="14" t="s">
        <v>55</v>
      </c>
    </row>
    <row r="623" spans="1:20" ht="16.5">
      <c r="A623" s="21" t="s">
        <v>1740</v>
      </c>
      <c r="B623" s="17" t="s">
        <v>60</v>
      </c>
      <c r="C623" s="17" t="s">
        <v>62</v>
      </c>
      <c r="D623" s="18" t="s">
        <v>2279</v>
      </c>
      <c r="E623" s="17" t="s">
        <v>203</v>
      </c>
      <c r="F623" s="17" t="s">
        <v>204</v>
      </c>
      <c r="G623" s="18" t="s">
        <v>2414</v>
      </c>
      <c r="H623" s="20" t="s">
        <v>2415</v>
      </c>
      <c r="I623" s="17" t="s">
        <v>65</v>
      </c>
      <c r="J623" s="21">
        <v>1</v>
      </c>
      <c r="K623" s="21" t="s">
        <v>2175</v>
      </c>
      <c r="L623" s="21" t="s">
        <v>2416</v>
      </c>
      <c r="M623" s="19" t="s">
        <v>2282</v>
      </c>
      <c r="N623" s="19" t="s">
        <v>208</v>
      </c>
      <c r="O623" s="19" t="s">
        <v>2417</v>
      </c>
      <c r="P623" s="19" t="s">
        <v>2418</v>
      </c>
      <c r="Q623" s="19" t="s">
        <v>211</v>
      </c>
      <c r="R623" s="16" t="s">
        <v>54</v>
      </c>
      <c r="S623" s="19" t="s">
        <v>2185</v>
      </c>
      <c r="T623" s="21" t="s">
        <v>55</v>
      </c>
    </row>
    <row r="624" spans="1:20" ht="16.5">
      <c r="A624" s="14" t="s">
        <v>1740</v>
      </c>
      <c r="B624" s="11" t="s">
        <v>60</v>
      </c>
      <c r="C624" s="11" t="s">
        <v>62</v>
      </c>
      <c r="D624" s="12" t="s">
        <v>2279</v>
      </c>
      <c r="E624" s="11" t="s">
        <v>203</v>
      </c>
      <c r="F624" s="11" t="s">
        <v>204</v>
      </c>
      <c r="G624" s="12" t="s">
        <v>2419</v>
      </c>
      <c r="H624" s="13" t="s">
        <v>2420</v>
      </c>
      <c r="I624" s="11" t="s">
        <v>65</v>
      </c>
      <c r="J624" s="14">
        <v>1</v>
      </c>
      <c r="K624" s="14" t="s">
        <v>2175</v>
      </c>
      <c r="L624" s="14" t="s">
        <v>2421</v>
      </c>
      <c r="M624" s="15" t="s">
        <v>2282</v>
      </c>
      <c r="N624" s="15" t="s">
        <v>208</v>
      </c>
      <c r="O624" s="15" t="s">
        <v>2422</v>
      </c>
      <c r="P624" s="15" t="s">
        <v>2423</v>
      </c>
      <c r="Q624" s="15" t="s">
        <v>211</v>
      </c>
      <c r="R624" s="16" t="s">
        <v>54</v>
      </c>
      <c r="S624" s="15" t="s">
        <v>2185</v>
      </c>
      <c r="T624" s="14" t="s">
        <v>55</v>
      </c>
    </row>
    <row r="625" spans="1:20" ht="16.5">
      <c r="A625" s="21" t="s">
        <v>1740</v>
      </c>
      <c r="B625" s="17" t="s">
        <v>60</v>
      </c>
      <c r="C625" s="17" t="s">
        <v>62</v>
      </c>
      <c r="D625" s="18" t="s">
        <v>2279</v>
      </c>
      <c r="E625" s="17" t="s">
        <v>203</v>
      </c>
      <c r="F625" s="17" t="s">
        <v>204</v>
      </c>
      <c r="G625" s="18" t="s">
        <v>2424</v>
      </c>
      <c r="H625" s="20" t="s">
        <v>2425</v>
      </c>
      <c r="I625" s="17" t="s">
        <v>65</v>
      </c>
      <c r="J625" s="21">
        <v>1</v>
      </c>
      <c r="K625" s="21" t="s">
        <v>2175</v>
      </c>
      <c r="L625" s="21" t="s">
        <v>2426</v>
      </c>
      <c r="M625" s="19" t="s">
        <v>2282</v>
      </c>
      <c r="N625" s="19" t="s">
        <v>208</v>
      </c>
      <c r="O625" s="19" t="s">
        <v>2427</v>
      </c>
      <c r="P625" s="19" t="s">
        <v>2428</v>
      </c>
      <c r="Q625" s="19" t="s">
        <v>211</v>
      </c>
      <c r="R625" s="16" t="s">
        <v>54</v>
      </c>
      <c r="S625" s="19" t="s">
        <v>2185</v>
      </c>
      <c r="T625" s="21" t="s">
        <v>55</v>
      </c>
    </row>
    <row r="626" spans="1:20" ht="16.5">
      <c r="A626" s="14" t="s">
        <v>1740</v>
      </c>
      <c r="B626" s="11" t="s">
        <v>60</v>
      </c>
      <c r="C626" s="11" t="s">
        <v>62</v>
      </c>
      <c r="D626" s="12" t="s">
        <v>2295</v>
      </c>
      <c r="E626" s="11" t="s">
        <v>203</v>
      </c>
      <c r="F626" s="11" t="s">
        <v>204</v>
      </c>
      <c r="G626" s="12" t="s">
        <v>2429</v>
      </c>
      <c r="H626" s="13" t="s">
        <v>2430</v>
      </c>
      <c r="I626" s="11" t="s">
        <v>65</v>
      </c>
      <c r="J626" s="14">
        <v>1</v>
      </c>
      <c r="K626" s="14" t="s">
        <v>2175</v>
      </c>
      <c r="L626" s="14" t="s">
        <v>2431</v>
      </c>
      <c r="M626" s="15" t="s">
        <v>2298</v>
      </c>
      <c r="N626" s="15" t="s">
        <v>208</v>
      </c>
      <c r="O626" s="15" t="s">
        <v>2432</v>
      </c>
      <c r="P626" s="15" t="s">
        <v>2433</v>
      </c>
      <c r="Q626" s="15" t="s">
        <v>211</v>
      </c>
      <c r="R626" s="16" t="s">
        <v>54</v>
      </c>
      <c r="S626" s="15" t="s">
        <v>2185</v>
      </c>
      <c r="T626" s="14" t="s">
        <v>55</v>
      </c>
    </row>
    <row r="627" spans="1:20" ht="16.5">
      <c r="A627" s="21" t="s">
        <v>1740</v>
      </c>
      <c r="B627" s="17" t="s">
        <v>60</v>
      </c>
      <c r="C627" s="17" t="s">
        <v>62</v>
      </c>
      <c r="D627" s="18" t="s">
        <v>2295</v>
      </c>
      <c r="E627" s="17" t="s">
        <v>203</v>
      </c>
      <c r="F627" s="17" t="s">
        <v>204</v>
      </c>
      <c r="G627" s="18" t="s">
        <v>2434</v>
      </c>
      <c r="H627" s="20" t="s">
        <v>2435</v>
      </c>
      <c r="I627" s="17" t="s">
        <v>65</v>
      </c>
      <c r="J627" s="21">
        <v>1</v>
      </c>
      <c r="K627" s="21" t="s">
        <v>2175</v>
      </c>
      <c r="L627" s="21" t="s">
        <v>2436</v>
      </c>
      <c r="M627" s="19" t="s">
        <v>2298</v>
      </c>
      <c r="N627" s="19" t="s">
        <v>208</v>
      </c>
      <c r="O627" s="19" t="s">
        <v>2437</v>
      </c>
      <c r="P627" s="19" t="s">
        <v>2438</v>
      </c>
      <c r="Q627" s="19" t="s">
        <v>211</v>
      </c>
      <c r="R627" s="16" t="s">
        <v>54</v>
      </c>
      <c r="S627" s="19" t="s">
        <v>2185</v>
      </c>
      <c r="T627" s="21" t="s">
        <v>55</v>
      </c>
    </row>
    <row r="628" spans="1:20" ht="16.5">
      <c r="A628" s="14" t="s">
        <v>1740</v>
      </c>
      <c r="B628" s="11" t="s">
        <v>60</v>
      </c>
      <c r="C628" s="11" t="s">
        <v>62</v>
      </c>
      <c r="D628" s="12" t="s">
        <v>2295</v>
      </c>
      <c r="E628" s="11" t="s">
        <v>203</v>
      </c>
      <c r="F628" s="11" t="s">
        <v>204</v>
      </c>
      <c r="G628" s="15" t="s">
        <v>2439</v>
      </c>
      <c r="H628" s="13" t="s">
        <v>2440</v>
      </c>
      <c r="I628" s="11" t="s">
        <v>65</v>
      </c>
      <c r="J628" s="14">
        <v>1</v>
      </c>
      <c r="K628" s="14" t="s">
        <v>2175</v>
      </c>
      <c r="L628" s="14" t="s">
        <v>2441</v>
      </c>
      <c r="M628" s="15" t="s">
        <v>2298</v>
      </c>
      <c r="N628" s="15" t="s">
        <v>208</v>
      </c>
      <c r="O628" s="15" t="s">
        <v>2442</v>
      </c>
      <c r="P628" s="15" t="s">
        <v>2443</v>
      </c>
      <c r="Q628" s="15" t="s">
        <v>211</v>
      </c>
      <c r="R628" s="16" t="s">
        <v>54</v>
      </c>
      <c r="S628" s="15" t="s">
        <v>2185</v>
      </c>
      <c r="T628" s="14" t="s">
        <v>55</v>
      </c>
    </row>
    <row r="629" spans="1:20" ht="16.5">
      <c r="A629" s="21" t="s">
        <v>1740</v>
      </c>
      <c r="B629" s="17" t="s">
        <v>60</v>
      </c>
      <c r="C629" s="17" t="s">
        <v>62</v>
      </c>
      <c r="D629" s="18" t="s">
        <v>2295</v>
      </c>
      <c r="E629" s="17" t="s">
        <v>203</v>
      </c>
      <c r="F629" s="17" t="s">
        <v>204</v>
      </c>
      <c r="G629" s="18" t="s">
        <v>2444</v>
      </c>
      <c r="H629" s="20" t="s">
        <v>2445</v>
      </c>
      <c r="I629" s="17" t="s">
        <v>65</v>
      </c>
      <c r="J629" s="21">
        <v>1</v>
      </c>
      <c r="K629" s="21" t="s">
        <v>2175</v>
      </c>
      <c r="L629" s="21" t="s">
        <v>2446</v>
      </c>
      <c r="M629" s="19" t="s">
        <v>2298</v>
      </c>
      <c r="N629" s="19" t="s">
        <v>208</v>
      </c>
      <c r="O629" s="19" t="s">
        <v>2447</v>
      </c>
      <c r="P629" s="19" t="s">
        <v>2448</v>
      </c>
      <c r="Q629" s="19" t="s">
        <v>211</v>
      </c>
      <c r="R629" s="16" t="s">
        <v>54</v>
      </c>
      <c r="S629" s="19" t="s">
        <v>2185</v>
      </c>
      <c r="T629" s="21" t="s">
        <v>55</v>
      </c>
    </row>
    <row r="630" spans="1:20" ht="16.5">
      <c r="A630" s="14" t="s">
        <v>1740</v>
      </c>
      <c r="B630" s="11" t="s">
        <v>60</v>
      </c>
      <c r="C630" s="11" t="s">
        <v>62</v>
      </c>
      <c r="D630" s="12" t="s">
        <v>2295</v>
      </c>
      <c r="E630" s="11" t="s">
        <v>203</v>
      </c>
      <c r="F630" s="11" t="s">
        <v>204</v>
      </c>
      <c r="G630" s="12" t="s">
        <v>2449</v>
      </c>
      <c r="H630" s="13" t="s">
        <v>2450</v>
      </c>
      <c r="I630" s="11" t="s">
        <v>65</v>
      </c>
      <c r="J630" s="14">
        <v>1</v>
      </c>
      <c r="K630" s="14" t="s">
        <v>2175</v>
      </c>
      <c r="L630" s="14" t="s">
        <v>2451</v>
      </c>
      <c r="M630" s="15" t="s">
        <v>2298</v>
      </c>
      <c r="N630" s="15" t="s">
        <v>208</v>
      </c>
      <c r="O630" s="15" t="s">
        <v>2452</v>
      </c>
      <c r="P630" s="15" t="s">
        <v>2453</v>
      </c>
      <c r="Q630" s="15" t="s">
        <v>211</v>
      </c>
      <c r="R630" s="16" t="s">
        <v>54</v>
      </c>
      <c r="S630" s="15" t="s">
        <v>2185</v>
      </c>
      <c r="T630" s="14" t="s">
        <v>55</v>
      </c>
    </row>
    <row r="631" spans="1:20" ht="16.5">
      <c r="A631" s="21" t="s">
        <v>1740</v>
      </c>
      <c r="B631" s="17" t="s">
        <v>60</v>
      </c>
      <c r="C631" s="17" t="s">
        <v>62</v>
      </c>
      <c r="D631" s="18" t="s">
        <v>2330</v>
      </c>
      <c r="E631" s="17" t="s">
        <v>203</v>
      </c>
      <c r="F631" s="17" t="s">
        <v>204</v>
      </c>
      <c r="G631" s="18" t="s">
        <v>2454</v>
      </c>
      <c r="H631" s="20" t="s">
        <v>2455</v>
      </c>
      <c r="I631" s="17" t="s">
        <v>65</v>
      </c>
      <c r="J631" s="21">
        <v>1</v>
      </c>
      <c r="K631" s="21" t="s">
        <v>2175</v>
      </c>
      <c r="L631" s="21" t="s">
        <v>2456</v>
      </c>
      <c r="M631" s="19" t="s">
        <v>2333</v>
      </c>
      <c r="N631" s="19" t="s">
        <v>208</v>
      </c>
      <c r="O631" s="19" t="s">
        <v>2457</v>
      </c>
      <c r="P631" s="19" t="s">
        <v>2458</v>
      </c>
      <c r="Q631" s="19" t="s">
        <v>211</v>
      </c>
      <c r="R631" s="16" t="s">
        <v>54</v>
      </c>
      <c r="S631" s="19" t="s">
        <v>2185</v>
      </c>
      <c r="T631" s="21" t="s">
        <v>55</v>
      </c>
    </row>
    <row r="632" spans="1:20" ht="16.5">
      <c r="A632" s="14" t="s">
        <v>1740</v>
      </c>
      <c r="B632" s="11" t="s">
        <v>60</v>
      </c>
      <c r="C632" s="11" t="s">
        <v>62</v>
      </c>
      <c r="D632" s="12" t="s">
        <v>2330</v>
      </c>
      <c r="E632" s="11" t="s">
        <v>203</v>
      </c>
      <c r="F632" s="11" t="s">
        <v>204</v>
      </c>
      <c r="G632" s="12" t="s">
        <v>2459</v>
      </c>
      <c r="H632" s="13" t="s">
        <v>2460</v>
      </c>
      <c r="I632" s="11" t="s">
        <v>65</v>
      </c>
      <c r="J632" s="14">
        <v>1</v>
      </c>
      <c r="K632" s="14" t="s">
        <v>2175</v>
      </c>
      <c r="L632" s="14" t="s">
        <v>2461</v>
      </c>
      <c r="M632" s="15" t="s">
        <v>2333</v>
      </c>
      <c r="N632" s="15" t="s">
        <v>208</v>
      </c>
      <c r="O632" s="15" t="s">
        <v>2462</v>
      </c>
      <c r="P632" s="15" t="s">
        <v>2463</v>
      </c>
      <c r="Q632" s="15" t="s">
        <v>211</v>
      </c>
      <c r="R632" s="16" t="s">
        <v>54</v>
      </c>
      <c r="S632" s="15" t="s">
        <v>2185</v>
      </c>
      <c r="T632" s="14" t="s">
        <v>55</v>
      </c>
    </row>
    <row r="633" spans="1:20" ht="16.5">
      <c r="A633" s="21" t="s">
        <v>1740</v>
      </c>
      <c r="B633" s="17" t="s">
        <v>60</v>
      </c>
      <c r="C633" s="17" t="s">
        <v>62</v>
      </c>
      <c r="D633" s="18" t="s">
        <v>2330</v>
      </c>
      <c r="E633" s="17" t="s">
        <v>203</v>
      </c>
      <c r="F633" s="17" t="s">
        <v>204</v>
      </c>
      <c r="G633" s="18" t="s">
        <v>2464</v>
      </c>
      <c r="H633" s="20" t="s">
        <v>2465</v>
      </c>
      <c r="I633" s="17" t="s">
        <v>65</v>
      </c>
      <c r="J633" s="21">
        <v>1</v>
      </c>
      <c r="K633" s="21" t="s">
        <v>2175</v>
      </c>
      <c r="L633" s="21" t="s">
        <v>2466</v>
      </c>
      <c r="M633" s="19" t="s">
        <v>2333</v>
      </c>
      <c r="N633" s="19" t="s">
        <v>208</v>
      </c>
      <c r="O633" s="19" t="s">
        <v>2467</v>
      </c>
      <c r="P633" s="19" t="s">
        <v>2468</v>
      </c>
      <c r="Q633" s="19" t="s">
        <v>211</v>
      </c>
      <c r="R633" s="16" t="s">
        <v>54</v>
      </c>
      <c r="S633" s="19" t="s">
        <v>2185</v>
      </c>
      <c r="T633" s="21" t="s">
        <v>55</v>
      </c>
    </row>
    <row r="634" spans="1:20" ht="16.5">
      <c r="A634" s="14" t="s">
        <v>1740</v>
      </c>
      <c r="B634" s="11" t="s">
        <v>60</v>
      </c>
      <c r="C634" s="11" t="s">
        <v>62</v>
      </c>
      <c r="D634" s="12" t="s">
        <v>2330</v>
      </c>
      <c r="E634" s="11" t="s">
        <v>203</v>
      </c>
      <c r="F634" s="11" t="s">
        <v>204</v>
      </c>
      <c r="G634" s="12" t="s">
        <v>2469</v>
      </c>
      <c r="H634" s="13" t="s">
        <v>2470</v>
      </c>
      <c r="I634" s="11" t="s">
        <v>65</v>
      </c>
      <c r="J634" s="14">
        <v>1</v>
      </c>
      <c r="K634" s="14" t="s">
        <v>2175</v>
      </c>
      <c r="L634" s="14" t="s">
        <v>2471</v>
      </c>
      <c r="M634" s="15" t="s">
        <v>2333</v>
      </c>
      <c r="N634" s="15" t="s">
        <v>208</v>
      </c>
      <c r="O634" s="15" t="s">
        <v>2472</v>
      </c>
      <c r="P634" s="15" t="s">
        <v>2473</v>
      </c>
      <c r="Q634" s="15" t="s">
        <v>211</v>
      </c>
      <c r="R634" s="16" t="s">
        <v>54</v>
      </c>
      <c r="S634" s="15" t="s">
        <v>2185</v>
      </c>
      <c r="T634" s="14" t="s">
        <v>55</v>
      </c>
    </row>
    <row r="635" spans="1:20" ht="16.5">
      <c r="A635" s="21" t="s">
        <v>1740</v>
      </c>
      <c r="B635" s="17" t="s">
        <v>60</v>
      </c>
      <c r="C635" s="17" t="s">
        <v>62</v>
      </c>
      <c r="D635" s="18" t="s">
        <v>2143</v>
      </c>
      <c r="E635" s="17" t="s">
        <v>203</v>
      </c>
      <c r="F635" s="17" t="s">
        <v>204</v>
      </c>
      <c r="G635" s="19" t="s">
        <v>2474</v>
      </c>
      <c r="H635" s="20" t="s">
        <v>2475</v>
      </c>
      <c r="I635" s="17" t="s">
        <v>65</v>
      </c>
      <c r="J635" s="21">
        <v>1</v>
      </c>
      <c r="K635" s="21" t="s">
        <v>2175</v>
      </c>
      <c r="L635" s="21" t="s">
        <v>2476</v>
      </c>
      <c r="M635" s="19" t="s">
        <v>2146</v>
      </c>
      <c r="N635" s="19" t="s">
        <v>208</v>
      </c>
      <c r="O635" s="19" t="s">
        <v>2477</v>
      </c>
      <c r="P635" s="19"/>
      <c r="Q635" s="18" t="s">
        <v>286</v>
      </c>
      <c r="R635" s="22" t="s">
        <v>88</v>
      </c>
      <c r="S635" s="19" t="s">
        <v>2185</v>
      </c>
      <c r="T635" s="21" t="s">
        <v>55</v>
      </c>
    </row>
    <row r="636" spans="1:20" ht="29.25">
      <c r="A636" s="14" t="s">
        <v>1740</v>
      </c>
      <c r="B636" s="11" t="s">
        <v>60</v>
      </c>
      <c r="C636" s="11" t="s">
        <v>62</v>
      </c>
      <c r="D636" s="12" t="s">
        <v>2295</v>
      </c>
      <c r="E636" s="11" t="s">
        <v>203</v>
      </c>
      <c r="F636" s="11" t="s">
        <v>204</v>
      </c>
      <c r="G636" s="12" t="s">
        <v>2478</v>
      </c>
      <c r="H636" s="13" t="s">
        <v>2479</v>
      </c>
      <c r="I636" s="11" t="s">
        <v>65</v>
      </c>
      <c r="J636" s="14">
        <v>1</v>
      </c>
      <c r="K636" s="14" t="s">
        <v>2175</v>
      </c>
      <c r="L636" s="14" t="s">
        <v>2480</v>
      </c>
      <c r="M636" s="15" t="s">
        <v>2298</v>
      </c>
      <c r="N636" s="15" t="s">
        <v>208</v>
      </c>
      <c r="O636" s="15" t="s">
        <v>2481</v>
      </c>
      <c r="P636" s="15"/>
      <c r="Q636" s="12" t="s">
        <v>286</v>
      </c>
      <c r="R636" s="22" t="s">
        <v>88</v>
      </c>
      <c r="S636" s="15" t="s">
        <v>2185</v>
      </c>
      <c r="T636" s="14" t="s">
        <v>55</v>
      </c>
    </row>
    <row r="637" spans="1:20" ht="16.5">
      <c r="A637" s="21" t="s">
        <v>1740</v>
      </c>
      <c r="B637" s="17" t="s">
        <v>60</v>
      </c>
      <c r="C637" s="17" t="s">
        <v>62</v>
      </c>
      <c r="D637" s="18" t="s">
        <v>2330</v>
      </c>
      <c r="E637" s="17" t="s">
        <v>203</v>
      </c>
      <c r="F637" s="17" t="s">
        <v>295</v>
      </c>
      <c r="G637" s="18" t="s">
        <v>2482</v>
      </c>
      <c r="H637" s="20" t="s">
        <v>2483</v>
      </c>
      <c r="I637" s="17" t="s">
        <v>65</v>
      </c>
      <c r="J637" s="21">
        <v>1</v>
      </c>
      <c r="K637" s="21" t="s">
        <v>2175</v>
      </c>
      <c r="L637" s="21" t="s">
        <v>2484</v>
      </c>
      <c r="M637" s="19" t="s">
        <v>2333</v>
      </c>
      <c r="N637" s="19" t="s">
        <v>208</v>
      </c>
      <c r="O637" s="19" t="s">
        <v>2485</v>
      </c>
      <c r="P637" s="19"/>
      <c r="Q637" s="18" t="s">
        <v>286</v>
      </c>
      <c r="R637" s="22" t="s">
        <v>88</v>
      </c>
      <c r="S637" s="19" t="s">
        <v>2185</v>
      </c>
      <c r="T637" s="21" t="s">
        <v>55</v>
      </c>
    </row>
    <row r="638" spans="1:20" ht="33">
      <c r="A638" s="14" t="s">
        <v>1740</v>
      </c>
      <c r="B638" s="11" t="s">
        <v>60</v>
      </c>
      <c r="C638" s="11" t="s">
        <v>300</v>
      </c>
      <c r="D638" s="15" t="s">
        <v>2486</v>
      </c>
      <c r="E638" s="11" t="s">
        <v>203</v>
      </c>
      <c r="F638" s="11" t="s">
        <v>204</v>
      </c>
      <c r="G638" s="12" t="s">
        <v>2434</v>
      </c>
      <c r="H638" s="23" t="s">
        <v>2487</v>
      </c>
      <c r="I638" s="11" t="s">
        <v>65</v>
      </c>
      <c r="J638" s="14">
        <v>1</v>
      </c>
      <c r="K638" s="14" t="s">
        <v>2175</v>
      </c>
      <c r="L638" s="14" t="s">
        <v>2488</v>
      </c>
      <c r="M638" s="15" t="s">
        <v>2489</v>
      </c>
      <c r="N638" s="15" t="s">
        <v>208</v>
      </c>
      <c r="O638" s="15" t="s">
        <v>2437</v>
      </c>
      <c r="P638" s="15" t="s">
        <v>2438</v>
      </c>
      <c r="Q638" s="15" t="s">
        <v>211</v>
      </c>
      <c r="R638" s="16" t="s">
        <v>54</v>
      </c>
      <c r="S638" s="15" t="s">
        <v>2185</v>
      </c>
      <c r="T638" s="14" t="s">
        <v>55</v>
      </c>
    </row>
    <row r="639" spans="1:20" ht="29.25">
      <c r="A639" s="21" t="s">
        <v>1740</v>
      </c>
      <c r="B639" s="17" t="s">
        <v>60</v>
      </c>
      <c r="C639" s="17" t="s">
        <v>300</v>
      </c>
      <c r="D639" s="19" t="s">
        <v>2486</v>
      </c>
      <c r="E639" s="17" t="s">
        <v>203</v>
      </c>
      <c r="F639" s="17" t="s">
        <v>204</v>
      </c>
      <c r="G639" s="19" t="s">
        <v>2439</v>
      </c>
      <c r="H639" s="24" t="s">
        <v>2490</v>
      </c>
      <c r="I639" s="17" t="s">
        <v>65</v>
      </c>
      <c r="J639" s="21">
        <v>1</v>
      </c>
      <c r="K639" s="21" t="s">
        <v>2175</v>
      </c>
      <c r="L639" s="21" t="s">
        <v>2491</v>
      </c>
      <c r="M639" s="19" t="s">
        <v>2489</v>
      </c>
      <c r="N639" s="19" t="s">
        <v>208</v>
      </c>
      <c r="O639" s="19" t="s">
        <v>2442</v>
      </c>
      <c r="P639" s="19" t="s">
        <v>2443</v>
      </c>
      <c r="Q639" s="19" t="s">
        <v>211</v>
      </c>
      <c r="R639" s="16" t="s">
        <v>54</v>
      </c>
      <c r="S639" s="19" t="s">
        <v>2185</v>
      </c>
      <c r="T639" s="21" t="s">
        <v>55</v>
      </c>
    </row>
    <row r="640" spans="1:20" ht="16.5">
      <c r="A640" s="14" t="s">
        <v>1740</v>
      </c>
      <c r="B640" s="11" t="s">
        <v>60</v>
      </c>
      <c r="C640" s="11" t="s">
        <v>300</v>
      </c>
      <c r="D640" s="12" t="s">
        <v>1013</v>
      </c>
      <c r="E640" s="11" t="s">
        <v>203</v>
      </c>
      <c r="F640" s="11" t="s">
        <v>295</v>
      </c>
      <c r="G640" s="12" t="s">
        <v>2482</v>
      </c>
      <c r="H640" s="13" t="s">
        <v>2492</v>
      </c>
      <c r="I640" s="11" t="s">
        <v>65</v>
      </c>
      <c r="J640" s="14">
        <v>1</v>
      </c>
      <c r="K640" s="14" t="s">
        <v>2175</v>
      </c>
      <c r="L640" s="14" t="s">
        <v>2493</v>
      </c>
      <c r="M640" s="15" t="s">
        <v>1017</v>
      </c>
      <c r="N640" s="15" t="s">
        <v>208</v>
      </c>
      <c r="O640" s="15" t="s">
        <v>2485</v>
      </c>
      <c r="P640" s="15"/>
      <c r="Q640" s="12" t="s">
        <v>286</v>
      </c>
      <c r="R640" s="22" t="s">
        <v>88</v>
      </c>
      <c r="S640" s="15" t="s">
        <v>2185</v>
      </c>
      <c r="T640" s="14" t="s">
        <v>55</v>
      </c>
    </row>
    <row r="641" spans="1:20" ht="16.5">
      <c r="A641" s="21" t="s">
        <v>1740</v>
      </c>
      <c r="B641" s="17" t="s">
        <v>311</v>
      </c>
      <c r="C641" s="17" t="s">
        <v>204</v>
      </c>
      <c r="D641" s="18" t="s">
        <v>2359</v>
      </c>
      <c r="E641" s="17" t="s">
        <v>312</v>
      </c>
      <c r="F641" s="21" t="s">
        <v>313</v>
      </c>
      <c r="G641" s="19" t="s">
        <v>2494</v>
      </c>
      <c r="H641" s="24" t="s">
        <v>2495</v>
      </c>
      <c r="I641" s="17" t="s">
        <v>65</v>
      </c>
      <c r="J641" s="21">
        <v>1</v>
      </c>
      <c r="K641" s="21" t="s">
        <v>2175</v>
      </c>
      <c r="L641" s="21" t="s">
        <v>2496</v>
      </c>
      <c r="M641" s="19" t="s">
        <v>2362</v>
      </c>
      <c r="N641" s="19" t="s">
        <v>316</v>
      </c>
      <c r="O641" s="19" t="s">
        <v>2497</v>
      </c>
      <c r="P641" s="19" t="s">
        <v>2494</v>
      </c>
      <c r="Q641" s="19" t="s">
        <v>211</v>
      </c>
      <c r="R641" s="16" t="s">
        <v>54</v>
      </c>
      <c r="S641" s="19" t="s">
        <v>2185</v>
      </c>
      <c r="T641" s="21" t="s">
        <v>55</v>
      </c>
    </row>
    <row r="642" spans="1:20" ht="16.5">
      <c r="A642" s="14" t="s">
        <v>1740</v>
      </c>
      <c r="B642" s="11" t="s">
        <v>311</v>
      </c>
      <c r="C642" s="11" t="s">
        <v>204</v>
      </c>
      <c r="D642" s="12" t="s">
        <v>2359</v>
      </c>
      <c r="E642" s="11" t="s">
        <v>312</v>
      </c>
      <c r="F642" s="14" t="s">
        <v>313</v>
      </c>
      <c r="G642" s="15" t="s">
        <v>2498</v>
      </c>
      <c r="H642" s="23" t="s">
        <v>2499</v>
      </c>
      <c r="I642" s="11" t="s">
        <v>65</v>
      </c>
      <c r="J642" s="14">
        <v>1</v>
      </c>
      <c r="K642" s="14" t="s">
        <v>2175</v>
      </c>
      <c r="L642" s="14" t="s">
        <v>2500</v>
      </c>
      <c r="M642" s="15" t="s">
        <v>2362</v>
      </c>
      <c r="N642" s="15" t="s">
        <v>316</v>
      </c>
      <c r="O642" s="15" t="s">
        <v>2501</v>
      </c>
      <c r="P642" s="15" t="s">
        <v>2498</v>
      </c>
      <c r="Q642" s="15" t="s">
        <v>211</v>
      </c>
      <c r="R642" s="16" t="s">
        <v>54</v>
      </c>
      <c r="S642" s="15" t="s">
        <v>2185</v>
      </c>
      <c r="T642" s="14" t="s">
        <v>55</v>
      </c>
    </row>
    <row r="643" spans="1:20" ht="16.5">
      <c r="A643" s="21" t="s">
        <v>1740</v>
      </c>
      <c r="B643" s="17" t="s">
        <v>311</v>
      </c>
      <c r="C643" s="17" t="s">
        <v>204</v>
      </c>
      <c r="D643" s="18" t="s">
        <v>2359</v>
      </c>
      <c r="E643" s="17" t="s">
        <v>312</v>
      </c>
      <c r="F643" s="21" t="s">
        <v>313</v>
      </c>
      <c r="G643" s="19" t="s">
        <v>2502</v>
      </c>
      <c r="H643" s="24" t="s">
        <v>2503</v>
      </c>
      <c r="I643" s="17" t="s">
        <v>65</v>
      </c>
      <c r="J643" s="21">
        <v>1</v>
      </c>
      <c r="K643" s="21" t="s">
        <v>2175</v>
      </c>
      <c r="L643" s="21" t="s">
        <v>2504</v>
      </c>
      <c r="M643" s="19" t="s">
        <v>2362</v>
      </c>
      <c r="N643" s="19" t="s">
        <v>316</v>
      </c>
      <c r="O643" s="19" t="s">
        <v>2505</v>
      </c>
      <c r="P643" s="19" t="s">
        <v>2502</v>
      </c>
      <c r="Q643" s="19" t="s">
        <v>211</v>
      </c>
      <c r="R643" s="16" t="s">
        <v>54</v>
      </c>
      <c r="S643" s="19" t="s">
        <v>2185</v>
      </c>
      <c r="T643" s="21" t="s">
        <v>55</v>
      </c>
    </row>
    <row r="644" spans="1:20" ht="16.5">
      <c r="A644" s="14" t="s">
        <v>1740</v>
      </c>
      <c r="B644" s="11" t="s">
        <v>311</v>
      </c>
      <c r="C644" s="11" t="s">
        <v>204</v>
      </c>
      <c r="D644" s="12" t="s">
        <v>2364</v>
      </c>
      <c r="E644" s="11" t="s">
        <v>312</v>
      </c>
      <c r="F644" s="14" t="s">
        <v>313</v>
      </c>
      <c r="G644" s="15" t="s">
        <v>2368</v>
      </c>
      <c r="H644" s="23" t="s">
        <v>2506</v>
      </c>
      <c r="I644" s="11" t="s">
        <v>65</v>
      </c>
      <c r="J644" s="14">
        <v>1</v>
      </c>
      <c r="K644" s="14" t="s">
        <v>2175</v>
      </c>
      <c r="L644" s="14" t="s">
        <v>2507</v>
      </c>
      <c r="M644" s="15" t="s">
        <v>2367</v>
      </c>
      <c r="N644" s="15" t="s">
        <v>316</v>
      </c>
      <c r="O644" s="15" t="s">
        <v>2508</v>
      </c>
      <c r="P644" s="15" t="s">
        <v>2368</v>
      </c>
      <c r="Q644" s="15" t="s">
        <v>211</v>
      </c>
      <c r="R644" s="16" t="s">
        <v>54</v>
      </c>
      <c r="S644" s="15" t="s">
        <v>2185</v>
      </c>
      <c r="T644" s="14" t="s">
        <v>55</v>
      </c>
    </row>
    <row r="645" spans="1:20" ht="16.5">
      <c r="A645" s="21" t="s">
        <v>1740</v>
      </c>
      <c r="B645" s="17" t="s">
        <v>311</v>
      </c>
      <c r="C645" s="17" t="s">
        <v>204</v>
      </c>
      <c r="D645" s="18" t="s">
        <v>2369</v>
      </c>
      <c r="E645" s="17" t="s">
        <v>312</v>
      </c>
      <c r="F645" s="21" t="s">
        <v>313</v>
      </c>
      <c r="G645" s="19" t="s">
        <v>2509</v>
      </c>
      <c r="H645" s="24" t="s">
        <v>2510</v>
      </c>
      <c r="I645" s="17" t="s">
        <v>65</v>
      </c>
      <c r="J645" s="21">
        <v>1</v>
      </c>
      <c r="K645" s="21" t="s">
        <v>2175</v>
      </c>
      <c r="L645" s="21" t="s">
        <v>2511</v>
      </c>
      <c r="M645" s="19" t="s">
        <v>2372</v>
      </c>
      <c r="N645" s="19" t="s">
        <v>316</v>
      </c>
      <c r="O645" s="19" t="s">
        <v>2512</v>
      </c>
      <c r="P645" s="19" t="s">
        <v>2509</v>
      </c>
      <c r="Q645" s="19" t="s">
        <v>211</v>
      </c>
      <c r="R645" s="16" t="s">
        <v>54</v>
      </c>
      <c r="S645" s="19" t="s">
        <v>2185</v>
      </c>
      <c r="T645" s="21" t="s">
        <v>55</v>
      </c>
    </row>
    <row r="646" spans="1:20" ht="16.5">
      <c r="A646" s="14" t="s">
        <v>1740</v>
      </c>
      <c r="B646" s="11" t="s">
        <v>311</v>
      </c>
      <c r="C646" s="11" t="s">
        <v>204</v>
      </c>
      <c r="D646" s="12" t="s">
        <v>2369</v>
      </c>
      <c r="E646" s="11" t="s">
        <v>312</v>
      </c>
      <c r="F646" s="14" t="s">
        <v>313</v>
      </c>
      <c r="G646" s="15" t="s">
        <v>2513</v>
      </c>
      <c r="H646" s="23" t="s">
        <v>2510</v>
      </c>
      <c r="I646" s="11" t="s">
        <v>65</v>
      </c>
      <c r="J646" s="14">
        <v>1</v>
      </c>
      <c r="K646" s="14" t="s">
        <v>2175</v>
      </c>
      <c r="L646" s="14" t="s">
        <v>2514</v>
      </c>
      <c r="M646" s="15" t="s">
        <v>2372</v>
      </c>
      <c r="N646" s="15" t="s">
        <v>316</v>
      </c>
      <c r="O646" s="15" t="s">
        <v>2515</v>
      </c>
      <c r="P646" s="15" t="s">
        <v>2513</v>
      </c>
      <c r="Q646" s="15" t="s">
        <v>211</v>
      </c>
      <c r="R646" s="16" t="s">
        <v>54</v>
      </c>
      <c r="S646" s="15" t="s">
        <v>2185</v>
      </c>
      <c r="T646" s="14" t="s">
        <v>55</v>
      </c>
    </row>
    <row r="647" spans="1:20" ht="16.5">
      <c r="A647" s="21" t="s">
        <v>1740</v>
      </c>
      <c r="B647" s="17" t="s">
        <v>311</v>
      </c>
      <c r="C647" s="17" t="s">
        <v>204</v>
      </c>
      <c r="D647" s="18" t="s">
        <v>2369</v>
      </c>
      <c r="E647" s="17" t="s">
        <v>312</v>
      </c>
      <c r="F647" s="21" t="s">
        <v>313</v>
      </c>
      <c r="G647" s="19" t="s">
        <v>2516</v>
      </c>
      <c r="H647" s="24" t="s">
        <v>2517</v>
      </c>
      <c r="I647" s="17" t="s">
        <v>65</v>
      </c>
      <c r="J647" s="21">
        <v>1</v>
      </c>
      <c r="K647" s="21" t="s">
        <v>2175</v>
      </c>
      <c r="L647" s="21" t="s">
        <v>2518</v>
      </c>
      <c r="M647" s="19" t="s">
        <v>2372</v>
      </c>
      <c r="N647" s="19" t="s">
        <v>316</v>
      </c>
      <c r="O647" s="19" t="s">
        <v>2519</v>
      </c>
      <c r="P647" s="19" t="s">
        <v>2516</v>
      </c>
      <c r="Q647" s="19" t="s">
        <v>211</v>
      </c>
      <c r="R647" s="16" t="s">
        <v>54</v>
      </c>
      <c r="S647" s="19" t="s">
        <v>2185</v>
      </c>
      <c r="T647" s="21" t="s">
        <v>55</v>
      </c>
    </row>
    <row r="648" spans="1:20" ht="16.5">
      <c r="A648" s="14" t="s">
        <v>1740</v>
      </c>
      <c r="B648" s="11" t="s">
        <v>311</v>
      </c>
      <c r="C648" s="11" t="s">
        <v>204</v>
      </c>
      <c r="D648" s="12" t="s">
        <v>2374</v>
      </c>
      <c r="E648" s="11" t="s">
        <v>312</v>
      </c>
      <c r="F648" s="14" t="s">
        <v>313</v>
      </c>
      <c r="G648" s="15" t="s">
        <v>2520</v>
      </c>
      <c r="H648" s="23" t="s">
        <v>2521</v>
      </c>
      <c r="I648" s="11" t="s">
        <v>65</v>
      </c>
      <c r="J648" s="14">
        <v>1</v>
      </c>
      <c r="K648" s="14" t="s">
        <v>2175</v>
      </c>
      <c r="L648" s="14" t="s">
        <v>2522</v>
      </c>
      <c r="M648" s="15" t="s">
        <v>2377</v>
      </c>
      <c r="N648" s="15" t="s">
        <v>316</v>
      </c>
      <c r="O648" s="15" t="s">
        <v>2523</v>
      </c>
      <c r="P648" s="15" t="s">
        <v>2520</v>
      </c>
      <c r="Q648" s="15" t="s">
        <v>211</v>
      </c>
      <c r="R648" s="16" t="s">
        <v>54</v>
      </c>
      <c r="S648" s="15" t="s">
        <v>2185</v>
      </c>
      <c r="T648" s="14" t="s">
        <v>55</v>
      </c>
    </row>
    <row r="649" spans="1:20" ht="16.5">
      <c r="A649" s="21" t="s">
        <v>1740</v>
      </c>
      <c r="B649" s="17" t="s">
        <v>311</v>
      </c>
      <c r="C649" s="17" t="s">
        <v>204</v>
      </c>
      <c r="D649" s="18" t="s">
        <v>2374</v>
      </c>
      <c r="E649" s="17" t="s">
        <v>312</v>
      </c>
      <c r="F649" s="21" t="s">
        <v>313</v>
      </c>
      <c r="G649" s="19" t="s">
        <v>2524</v>
      </c>
      <c r="H649" s="24" t="s">
        <v>2525</v>
      </c>
      <c r="I649" s="17" t="s">
        <v>65</v>
      </c>
      <c r="J649" s="21">
        <v>1</v>
      </c>
      <c r="K649" s="21" t="s">
        <v>2175</v>
      </c>
      <c r="L649" s="21" t="s">
        <v>2526</v>
      </c>
      <c r="M649" s="19" t="s">
        <v>2377</v>
      </c>
      <c r="N649" s="19" t="s">
        <v>316</v>
      </c>
      <c r="O649" s="19" t="s">
        <v>2527</v>
      </c>
      <c r="P649" s="19" t="s">
        <v>2524</v>
      </c>
      <c r="Q649" s="19" t="s">
        <v>211</v>
      </c>
      <c r="R649" s="16" t="s">
        <v>54</v>
      </c>
      <c r="S649" s="19" t="s">
        <v>2185</v>
      </c>
      <c r="T649" s="21" t="s">
        <v>55</v>
      </c>
    </row>
    <row r="650" spans="1:20" ht="16.5">
      <c r="A650" s="14" t="s">
        <v>1740</v>
      </c>
      <c r="B650" s="11" t="s">
        <v>311</v>
      </c>
      <c r="C650" s="11" t="s">
        <v>204</v>
      </c>
      <c r="D650" s="12" t="s">
        <v>2379</v>
      </c>
      <c r="E650" s="11" t="s">
        <v>312</v>
      </c>
      <c r="F650" s="14" t="s">
        <v>313</v>
      </c>
      <c r="G650" s="15" t="s">
        <v>2528</v>
      </c>
      <c r="H650" s="23" t="s">
        <v>2529</v>
      </c>
      <c r="I650" s="11" t="s">
        <v>65</v>
      </c>
      <c r="J650" s="14">
        <v>1</v>
      </c>
      <c r="K650" s="14" t="s">
        <v>2175</v>
      </c>
      <c r="L650" s="14" t="s">
        <v>2530</v>
      </c>
      <c r="M650" s="15" t="s">
        <v>2382</v>
      </c>
      <c r="N650" s="15" t="s">
        <v>316</v>
      </c>
      <c r="O650" s="15" t="s">
        <v>2531</v>
      </c>
      <c r="P650" s="15" t="s">
        <v>2528</v>
      </c>
      <c r="Q650" s="15" t="s">
        <v>211</v>
      </c>
      <c r="R650" s="16" t="s">
        <v>54</v>
      </c>
      <c r="S650" s="15" t="s">
        <v>2185</v>
      </c>
      <c r="T650" s="14" t="s">
        <v>55</v>
      </c>
    </row>
    <row r="651" spans="1:20" ht="16.5">
      <c r="A651" s="21" t="s">
        <v>1740</v>
      </c>
      <c r="B651" s="17" t="s">
        <v>311</v>
      </c>
      <c r="C651" s="17" t="s">
        <v>204</v>
      </c>
      <c r="D651" s="18" t="s">
        <v>2379</v>
      </c>
      <c r="E651" s="17" t="s">
        <v>312</v>
      </c>
      <c r="F651" s="21" t="s">
        <v>313</v>
      </c>
      <c r="G651" s="19" t="s">
        <v>2532</v>
      </c>
      <c r="H651" s="24" t="s">
        <v>2533</v>
      </c>
      <c r="I651" s="17" t="s">
        <v>65</v>
      </c>
      <c r="J651" s="21">
        <v>1</v>
      </c>
      <c r="K651" s="21" t="s">
        <v>2175</v>
      </c>
      <c r="L651" s="21" t="s">
        <v>2534</v>
      </c>
      <c r="M651" s="19" t="s">
        <v>2382</v>
      </c>
      <c r="N651" s="19" t="s">
        <v>316</v>
      </c>
      <c r="O651" s="19" t="s">
        <v>2535</v>
      </c>
      <c r="P651" s="19" t="s">
        <v>2532</v>
      </c>
      <c r="Q651" s="19" t="s">
        <v>211</v>
      </c>
      <c r="R651" s="16" t="s">
        <v>54</v>
      </c>
      <c r="S651" s="19" t="s">
        <v>2185</v>
      </c>
      <c r="T651" s="21" t="s">
        <v>55</v>
      </c>
    </row>
    <row r="652" spans="1:20" ht="16.5">
      <c r="A652" s="14" t="s">
        <v>1740</v>
      </c>
      <c r="B652" s="11" t="s">
        <v>311</v>
      </c>
      <c r="C652" s="11" t="s">
        <v>204</v>
      </c>
      <c r="D652" s="12" t="s">
        <v>2384</v>
      </c>
      <c r="E652" s="11" t="s">
        <v>312</v>
      </c>
      <c r="F652" s="14" t="s">
        <v>313</v>
      </c>
      <c r="G652" s="15" t="s">
        <v>2388</v>
      </c>
      <c r="H652" s="23" t="s">
        <v>2536</v>
      </c>
      <c r="I652" s="11" t="s">
        <v>65</v>
      </c>
      <c r="J652" s="14">
        <v>1</v>
      </c>
      <c r="K652" s="14" t="s">
        <v>2175</v>
      </c>
      <c r="L652" s="14" t="s">
        <v>2537</v>
      </c>
      <c r="M652" s="15" t="s">
        <v>2387</v>
      </c>
      <c r="N652" s="15" t="s">
        <v>316</v>
      </c>
      <c r="O652" s="15" t="s">
        <v>2538</v>
      </c>
      <c r="P652" s="15" t="s">
        <v>2388</v>
      </c>
      <c r="Q652" s="15" t="s">
        <v>211</v>
      </c>
      <c r="R652" s="16" t="s">
        <v>54</v>
      </c>
      <c r="S652" s="15" t="s">
        <v>2185</v>
      </c>
      <c r="T652" s="14" t="s">
        <v>55</v>
      </c>
    </row>
    <row r="653" spans="1:20" ht="16.5">
      <c r="A653" s="21" t="s">
        <v>1740</v>
      </c>
      <c r="B653" s="17" t="s">
        <v>311</v>
      </c>
      <c r="C653" s="17" t="s">
        <v>204</v>
      </c>
      <c r="D653" s="18" t="s">
        <v>2389</v>
      </c>
      <c r="E653" s="17" t="s">
        <v>312</v>
      </c>
      <c r="F653" s="21" t="s">
        <v>313</v>
      </c>
      <c r="G653" s="19" t="s">
        <v>2393</v>
      </c>
      <c r="H653" s="24" t="s">
        <v>2539</v>
      </c>
      <c r="I653" s="17" t="s">
        <v>65</v>
      </c>
      <c r="J653" s="21">
        <v>1</v>
      </c>
      <c r="K653" s="21" t="s">
        <v>2175</v>
      </c>
      <c r="L653" s="21" t="s">
        <v>2540</v>
      </c>
      <c r="M653" s="19" t="s">
        <v>2392</v>
      </c>
      <c r="N653" s="19" t="s">
        <v>316</v>
      </c>
      <c r="O653" s="19" t="s">
        <v>2541</v>
      </c>
      <c r="P653" s="19" t="s">
        <v>2393</v>
      </c>
      <c r="Q653" s="19" t="s">
        <v>211</v>
      </c>
      <c r="R653" s="16" t="s">
        <v>54</v>
      </c>
      <c r="S653" s="19" t="s">
        <v>2185</v>
      </c>
      <c r="T653" s="21" t="s">
        <v>55</v>
      </c>
    </row>
    <row r="654" spans="1:20" ht="16.5">
      <c r="A654" s="14" t="s">
        <v>1740</v>
      </c>
      <c r="B654" s="11" t="s">
        <v>311</v>
      </c>
      <c r="C654" s="11" t="s">
        <v>204</v>
      </c>
      <c r="D654" s="12" t="s">
        <v>2394</v>
      </c>
      <c r="E654" s="11" t="s">
        <v>312</v>
      </c>
      <c r="F654" s="14" t="s">
        <v>313</v>
      </c>
      <c r="G654" s="15" t="s">
        <v>2398</v>
      </c>
      <c r="H654" s="23" t="s">
        <v>2542</v>
      </c>
      <c r="I654" s="11" t="s">
        <v>65</v>
      </c>
      <c r="J654" s="14">
        <v>1</v>
      </c>
      <c r="K654" s="14" t="s">
        <v>2175</v>
      </c>
      <c r="L654" s="14" t="s">
        <v>2543</v>
      </c>
      <c r="M654" s="15" t="s">
        <v>2397</v>
      </c>
      <c r="N654" s="15" t="s">
        <v>316</v>
      </c>
      <c r="O654" s="15" t="s">
        <v>2544</v>
      </c>
      <c r="P654" s="15" t="s">
        <v>2398</v>
      </c>
      <c r="Q654" s="15" t="s">
        <v>211</v>
      </c>
      <c r="R654" s="16" t="s">
        <v>54</v>
      </c>
      <c r="S654" s="15" t="s">
        <v>2185</v>
      </c>
      <c r="T654" s="14" t="s">
        <v>55</v>
      </c>
    </row>
    <row r="655" spans="1:20" ht="16.5">
      <c r="A655" s="21" t="s">
        <v>1740</v>
      </c>
      <c r="B655" s="17" t="s">
        <v>311</v>
      </c>
      <c r="C655" s="17" t="s">
        <v>204</v>
      </c>
      <c r="D655" s="18" t="s">
        <v>2399</v>
      </c>
      <c r="E655" s="17" t="s">
        <v>312</v>
      </c>
      <c r="F655" s="21" t="s">
        <v>313</v>
      </c>
      <c r="G655" s="19" t="s">
        <v>2403</v>
      </c>
      <c r="H655" s="24" t="s">
        <v>2545</v>
      </c>
      <c r="I655" s="17" t="s">
        <v>65</v>
      </c>
      <c r="J655" s="21">
        <v>1</v>
      </c>
      <c r="K655" s="21" t="s">
        <v>2175</v>
      </c>
      <c r="L655" s="21" t="s">
        <v>2546</v>
      </c>
      <c r="M655" s="19" t="s">
        <v>2402</v>
      </c>
      <c r="N655" s="19" t="s">
        <v>316</v>
      </c>
      <c r="O655" s="19" t="s">
        <v>2547</v>
      </c>
      <c r="P655" s="19" t="s">
        <v>2403</v>
      </c>
      <c r="Q655" s="19" t="s">
        <v>211</v>
      </c>
      <c r="R655" s="16" t="s">
        <v>54</v>
      </c>
      <c r="S655" s="19" t="s">
        <v>2185</v>
      </c>
      <c r="T655" s="21" t="s">
        <v>55</v>
      </c>
    </row>
    <row r="656" spans="1:20" ht="16.5">
      <c r="A656" s="14" t="s">
        <v>1740</v>
      </c>
      <c r="B656" s="11" t="s">
        <v>311</v>
      </c>
      <c r="C656" s="11" t="s">
        <v>204</v>
      </c>
      <c r="D656" s="12" t="s">
        <v>2404</v>
      </c>
      <c r="E656" s="11" t="s">
        <v>312</v>
      </c>
      <c r="F656" s="14" t="s">
        <v>313</v>
      </c>
      <c r="G656" s="15" t="s">
        <v>2548</v>
      </c>
      <c r="H656" s="23" t="s">
        <v>2549</v>
      </c>
      <c r="I656" s="11" t="s">
        <v>65</v>
      </c>
      <c r="J656" s="14">
        <v>1</v>
      </c>
      <c r="K656" s="14" t="s">
        <v>2175</v>
      </c>
      <c r="L656" s="14" t="s">
        <v>2550</v>
      </c>
      <c r="M656" s="15" t="s">
        <v>2407</v>
      </c>
      <c r="N656" s="15" t="s">
        <v>316</v>
      </c>
      <c r="O656" s="15" t="s">
        <v>2551</v>
      </c>
      <c r="P656" s="15" t="s">
        <v>2548</v>
      </c>
      <c r="Q656" s="15" t="s">
        <v>211</v>
      </c>
      <c r="R656" s="16" t="s">
        <v>54</v>
      </c>
      <c r="S656" s="15" t="s">
        <v>2185</v>
      </c>
      <c r="T656" s="14" t="s">
        <v>55</v>
      </c>
    </row>
    <row r="657" spans="1:20" ht="16.5">
      <c r="A657" s="21" t="s">
        <v>1740</v>
      </c>
      <c r="B657" s="17" t="s">
        <v>311</v>
      </c>
      <c r="C657" s="17" t="s">
        <v>204</v>
      </c>
      <c r="D657" s="18" t="s">
        <v>2404</v>
      </c>
      <c r="E657" s="17" t="s">
        <v>312</v>
      </c>
      <c r="F657" s="21" t="s">
        <v>313</v>
      </c>
      <c r="G657" s="19" t="s">
        <v>2552</v>
      </c>
      <c r="H657" s="24" t="s">
        <v>2553</v>
      </c>
      <c r="I657" s="17" t="s">
        <v>65</v>
      </c>
      <c r="J657" s="21">
        <v>1</v>
      </c>
      <c r="K657" s="21" t="s">
        <v>2175</v>
      </c>
      <c r="L657" s="21" t="s">
        <v>2554</v>
      </c>
      <c r="M657" s="19" t="s">
        <v>2407</v>
      </c>
      <c r="N657" s="19" t="s">
        <v>316</v>
      </c>
      <c r="O657" s="19" t="s">
        <v>2555</v>
      </c>
      <c r="P657" s="19" t="s">
        <v>2552</v>
      </c>
      <c r="Q657" s="19" t="s">
        <v>211</v>
      </c>
      <c r="R657" s="16" t="s">
        <v>54</v>
      </c>
      <c r="S657" s="19" t="s">
        <v>2185</v>
      </c>
      <c r="T657" s="21" t="s">
        <v>55</v>
      </c>
    </row>
    <row r="658" spans="1:20" ht="16.5">
      <c r="A658" s="14" t="s">
        <v>1740</v>
      </c>
      <c r="B658" s="11" t="s">
        <v>311</v>
      </c>
      <c r="C658" s="11" t="s">
        <v>204</v>
      </c>
      <c r="D658" s="12" t="s">
        <v>2409</v>
      </c>
      <c r="E658" s="11" t="s">
        <v>312</v>
      </c>
      <c r="F658" s="14" t="s">
        <v>313</v>
      </c>
      <c r="G658" s="15" t="s">
        <v>2413</v>
      </c>
      <c r="H658" s="23" t="s">
        <v>2556</v>
      </c>
      <c r="I658" s="11" t="s">
        <v>65</v>
      </c>
      <c r="J658" s="14">
        <v>1</v>
      </c>
      <c r="K658" s="14" t="s">
        <v>2175</v>
      </c>
      <c r="L658" s="14" t="s">
        <v>2557</v>
      </c>
      <c r="M658" s="15" t="s">
        <v>2412</v>
      </c>
      <c r="N658" s="15" t="s">
        <v>316</v>
      </c>
      <c r="O658" s="15" t="s">
        <v>2558</v>
      </c>
      <c r="P658" s="15" t="s">
        <v>2413</v>
      </c>
      <c r="Q658" s="15" t="s">
        <v>211</v>
      </c>
      <c r="R658" s="16" t="s">
        <v>54</v>
      </c>
      <c r="S658" s="15" t="s">
        <v>2185</v>
      </c>
      <c r="T658" s="14" t="s">
        <v>55</v>
      </c>
    </row>
    <row r="659" spans="1:20" ht="16.5">
      <c r="A659" s="21" t="s">
        <v>1740</v>
      </c>
      <c r="B659" s="17" t="s">
        <v>311</v>
      </c>
      <c r="C659" s="17" t="s">
        <v>204</v>
      </c>
      <c r="D659" s="18" t="s">
        <v>2414</v>
      </c>
      <c r="E659" s="17" t="s">
        <v>312</v>
      </c>
      <c r="F659" s="21" t="s">
        <v>313</v>
      </c>
      <c r="G659" s="19" t="s">
        <v>2418</v>
      </c>
      <c r="H659" s="24" t="s">
        <v>2559</v>
      </c>
      <c r="I659" s="17" t="s">
        <v>65</v>
      </c>
      <c r="J659" s="21">
        <v>1</v>
      </c>
      <c r="K659" s="21" t="s">
        <v>2175</v>
      </c>
      <c r="L659" s="21" t="s">
        <v>2560</v>
      </c>
      <c r="M659" s="19" t="s">
        <v>2417</v>
      </c>
      <c r="N659" s="19" t="s">
        <v>316</v>
      </c>
      <c r="O659" s="19" t="s">
        <v>2561</v>
      </c>
      <c r="P659" s="19" t="s">
        <v>2418</v>
      </c>
      <c r="Q659" s="19" t="s">
        <v>211</v>
      </c>
      <c r="R659" s="16" t="s">
        <v>54</v>
      </c>
      <c r="S659" s="19" t="s">
        <v>2185</v>
      </c>
      <c r="T659" s="21" t="s">
        <v>55</v>
      </c>
    </row>
    <row r="660" spans="1:20" ht="16.5">
      <c r="A660" s="14" t="s">
        <v>1740</v>
      </c>
      <c r="B660" s="11" t="s">
        <v>311</v>
      </c>
      <c r="C660" s="11" t="s">
        <v>204</v>
      </c>
      <c r="D660" s="12" t="s">
        <v>2419</v>
      </c>
      <c r="E660" s="11" t="s">
        <v>312</v>
      </c>
      <c r="F660" s="14" t="s">
        <v>313</v>
      </c>
      <c r="G660" s="15" t="s">
        <v>2423</v>
      </c>
      <c r="H660" s="23" t="s">
        <v>2562</v>
      </c>
      <c r="I660" s="11" t="s">
        <v>65</v>
      </c>
      <c r="J660" s="14">
        <v>1</v>
      </c>
      <c r="K660" s="14" t="s">
        <v>2175</v>
      </c>
      <c r="L660" s="14" t="s">
        <v>2563</v>
      </c>
      <c r="M660" s="15" t="s">
        <v>2422</v>
      </c>
      <c r="N660" s="15" t="s">
        <v>316</v>
      </c>
      <c r="O660" s="15" t="s">
        <v>2564</v>
      </c>
      <c r="P660" s="15" t="s">
        <v>2423</v>
      </c>
      <c r="Q660" s="15" t="s">
        <v>211</v>
      </c>
      <c r="R660" s="16" t="s">
        <v>54</v>
      </c>
      <c r="S660" s="15" t="s">
        <v>2185</v>
      </c>
      <c r="T660" s="14" t="s">
        <v>55</v>
      </c>
    </row>
    <row r="661" spans="1:20" ht="16.5">
      <c r="A661" s="21" t="s">
        <v>1740</v>
      </c>
      <c r="B661" s="17" t="s">
        <v>311</v>
      </c>
      <c r="C661" s="17" t="s">
        <v>204</v>
      </c>
      <c r="D661" s="18" t="s">
        <v>2424</v>
      </c>
      <c r="E661" s="17" t="s">
        <v>312</v>
      </c>
      <c r="F661" s="21" t="s">
        <v>313</v>
      </c>
      <c r="G661" s="19" t="s">
        <v>2428</v>
      </c>
      <c r="H661" s="24" t="s">
        <v>2565</v>
      </c>
      <c r="I661" s="17" t="s">
        <v>65</v>
      </c>
      <c r="J661" s="21">
        <v>1</v>
      </c>
      <c r="K661" s="21" t="s">
        <v>2175</v>
      </c>
      <c r="L661" s="21" t="s">
        <v>2566</v>
      </c>
      <c r="M661" s="19" t="s">
        <v>2427</v>
      </c>
      <c r="N661" s="19" t="s">
        <v>316</v>
      </c>
      <c r="O661" s="19" t="s">
        <v>2567</v>
      </c>
      <c r="P661" s="19" t="s">
        <v>2428</v>
      </c>
      <c r="Q661" s="19" t="s">
        <v>211</v>
      </c>
      <c r="R661" s="16" t="s">
        <v>54</v>
      </c>
      <c r="S661" s="19" t="s">
        <v>2185</v>
      </c>
      <c r="T661" s="21" t="s">
        <v>55</v>
      </c>
    </row>
    <row r="662" spans="1:20" ht="16.5">
      <c r="A662" s="14" t="s">
        <v>1740</v>
      </c>
      <c r="B662" s="11" t="s">
        <v>311</v>
      </c>
      <c r="C662" s="11" t="s">
        <v>204</v>
      </c>
      <c r="D662" s="12" t="s">
        <v>2429</v>
      </c>
      <c r="E662" s="11" t="s">
        <v>312</v>
      </c>
      <c r="F662" s="14" t="s">
        <v>313</v>
      </c>
      <c r="G662" s="15" t="s">
        <v>2568</v>
      </c>
      <c r="H662" s="23" t="s">
        <v>2569</v>
      </c>
      <c r="I662" s="11" t="s">
        <v>65</v>
      </c>
      <c r="J662" s="14">
        <v>1</v>
      </c>
      <c r="K662" s="14" t="s">
        <v>2175</v>
      </c>
      <c r="L662" s="14" t="s">
        <v>2570</v>
      </c>
      <c r="M662" s="15" t="s">
        <v>2432</v>
      </c>
      <c r="N662" s="15" t="s">
        <v>316</v>
      </c>
      <c r="O662" s="15" t="s">
        <v>2571</v>
      </c>
      <c r="P662" s="15" t="s">
        <v>2568</v>
      </c>
      <c r="Q662" s="15" t="s">
        <v>211</v>
      </c>
      <c r="R662" s="16" t="s">
        <v>54</v>
      </c>
      <c r="S662" s="15" t="s">
        <v>2185</v>
      </c>
      <c r="T662" s="14" t="s">
        <v>55</v>
      </c>
    </row>
    <row r="663" spans="1:20" ht="16.5">
      <c r="A663" s="21" t="s">
        <v>1740</v>
      </c>
      <c r="B663" s="17" t="s">
        <v>311</v>
      </c>
      <c r="C663" s="17" t="s">
        <v>204</v>
      </c>
      <c r="D663" s="18" t="s">
        <v>2429</v>
      </c>
      <c r="E663" s="17" t="s">
        <v>312</v>
      </c>
      <c r="F663" s="21" t="s">
        <v>313</v>
      </c>
      <c r="G663" s="19" t="s">
        <v>2572</v>
      </c>
      <c r="H663" s="24" t="s">
        <v>2573</v>
      </c>
      <c r="I663" s="17" t="s">
        <v>65</v>
      </c>
      <c r="J663" s="21">
        <v>1</v>
      </c>
      <c r="K663" s="21" t="s">
        <v>2175</v>
      </c>
      <c r="L663" s="21" t="s">
        <v>2574</v>
      </c>
      <c r="M663" s="19" t="s">
        <v>2432</v>
      </c>
      <c r="N663" s="19" t="s">
        <v>316</v>
      </c>
      <c r="O663" s="19" t="s">
        <v>2575</v>
      </c>
      <c r="P663" s="19" t="s">
        <v>2572</v>
      </c>
      <c r="Q663" s="19" t="s">
        <v>211</v>
      </c>
      <c r="R663" s="16" t="s">
        <v>54</v>
      </c>
      <c r="S663" s="19" t="s">
        <v>2185</v>
      </c>
      <c r="T663" s="21" t="s">
        <v>55</v>
      </c>
    </row>
    <row r="664" spans="1:20" ht="16.5">
      <c r="A664" s="14" t="s">
        <v>1740</v>
      </c>
      <c r="B664" s="11" t="s">
        <v>311</v>
      </c>
      <c r="C664" s="11" t="s">
        <v>204</v>
      </c>
      <c r="D664" s="12" t="s">
        <v>2429</v>
      </c>
      <c r="E664" s="11" t="s">
        <v>312</v>
      </c>
      <c r="F664" s="14" t="s">
        <v>313</v>
      </c>
      <c r="G664" s="15" t="s">
        <v>2576</v>
      </c>
      <c r="H664" s="23" t="s">
        <v>2577</v>
      </c>
      <c r="I664" s="11" t="s">
        <v>65</v>
      </c>
      <c r="J664" s="14">
        <v>1</v>
      </c>
      <c r="K664" s="14" t="s">
        <v>2175</v>
      </c>
      <c r="L664" s="14" t="s">
        <v>2578</v>
      </c>
      <c r="M664" s="15" t="s">
        <v>2432</v>
      </c>
      <c r="N664" s="15" t="s">
        <v>316</v>
      </c>
      <c r="O664" s="15" t="s">
        <v>2579</v>
      </c>
      <c r="P664" s="15" t="s">
        <v>2576</v>
      </c>
      <c r="Q664" s="15" t="s">
        <v>211</v>
      </c>
      <c r="R664" s="16" t="s">
        <v>54</v>
      </c>
      <c r="S664" s="15" t="s">
        <v>2185</v>
      </c>
      <c r="T664" s="14" t="s">
        <v>55</v>
      </c>
    </row>
    <row r="665" spans="1:20" ht="16.5">
      <c r="A665" s="21" t="s">
        <v>1740</v>
      </c>
      <c r="B665" s="17" t="s">
        <v>311</v>
      </c>
      <c r="C665" s="17" t="s">
        <v>204</v>
      </c>
      <c r="D665" s="18" t="s">
        <v>2429</v>
      </c>
      <c r="E665" s="17" t="s">
        <v>312</v>
      </c>
      <c r="F665" s="21" t="s">
        <v>313</v>
      </c>
      <c r="G665" s="19" t="s">
        <v>2580</v>
      </c>
      <c r="H665" s="24" t="s">
        <v>2581</v>
      </c>
      <c r="I665" s="17" t="s">
        <v>65</v>
      </c>
      <c r="J665" s="21">
        <v>1</v>
      </c>
      <c r="K665" s="21" t="s">
        <v>2175</v>
      </c>
      <c r="L665" s="21" t="s">
        <v>2582</v>
      </c>
      <c r="M665" s="19" t="s">
        <v>2432</v>
      </c>
      <c r="N665" s="19" t="s">
        <v>316</v>
      </c>
      <c r="O665" s="19" t="s">
        <v>2583</v>
      </c>
      <c r="P665" s="19" t="s">
        <v>2580</v>
      </c>
      <c r="Q665" s="19" t="s">
        <v>211</v>
      </c>
      <c r="R665" s="16" t="s">
        <v>54</v>
      </c>
      <c r="S665" s="19" t="s">
        <v>2185</v>
      </c>
      <c r="T665" s="21" t="s">
        <v>55</v>
      </c>
    </row>
    <row r="666" spans="1:20" ht="16.5">
      <c r="A666" s="14" t="s">
        <v>1740</v>
      </c>
      <c r="B666" s="11" t="s">
        <v>311</v>
      </c>
      <c r="C666" s="11" t="s">
        <v>204</v>
      </c>
      <c r="D666" s="12" t="s">
        <v>2429</v>
      </c>
      <c r="E666" s="11" t="s">
        <v>312</v>
      </c>
      <c r="F666" s="14" t="s">
        <v>313</v>
      </c>
      <c r="G666" s="15" t="s">
        <v>2584</v>
      </c>
      <c r="H666" s="23" t="s">
        <v>2585</v>
      </c>
      <c r="I666" s="11" t="s">
        <v>65</v>
      </c>
      <c r="J666" s="14">
        <v>1</v>
      </c>
      <c r="K666" s="14" t="s">
        <v>2175</v>
      </c>
      <c r="L666" s="14" t="s">
        <v>2586</v>
      </c>
      <c r="M666" s="15" t="s">
        <v>2432</v>
      </c>
      <c r="N666" s="15" t="s">
        <v>316</v>
      </c>
      <c r="O666" s="15" t="s">
        <v>2587</v>
      </c>
      <c r="P666" s="15" t="s">
        <v>2584</v>
      </c>
      <c r="Q666" s="15" t="s">
        <v>211</v>
      </c>
      <c r="R666" s="16" t="s">
        <v>54</v>
      </c>
      <c r="S666" s="15" t="s">
        <v>2185</v>
      </c>
      <c r="T666" s="14" t="s">
        <v>55</v>
      </c>
    </row>
    <row r="667" spans="1:20" ht="16.5">
      <c r="A667" s="21" t="s">
        <v>1740</v>
      </c>
      <c r="B667" s="17" t="s">
        <v>311</v>
      </c>
      <c r="C667" s="17" t="s">
        <v>204</v>
      </c>
      <c r="D667" s="18" t="s">
        <v>2429</v>
      </c>
      <c r="E667" s="17" t="s">
        <v>312</v>
      </c>
      <c r="F667" s="21" t="s">
        <v>313</v>
      </c>
      <c r="G667" s="19" t="s">
        <v>2588</v>
      </c>
      <c r="H667" s="24" t="s">
        <v>2589</v>
      </c>
      <c r="I667" s="17" t="s">
        <v>65</v>
      </c>
      <c r="J667" s="21">
        <v>1</v>
      </c>
      <c r="K667" s="21" t="s">
        <v>2175</v>
      </c>
      <c r="L667" s="21" t="s">
        <v>2590</v>
      </c>
      <c r="M667" s="19" t="s">
        <v>2432</v>
      </c>
      <c r="N667" s="19" t="s">
        <v>316</v>
      </c>
      <c r="O667" s="19" t="s">
        <v>2591</v>
      </c>
      <c r="P667" s="19" t="s">
        <v>2588</v>
      </c>
      <c r="Q667" s="19" t="s">
        <v>211</v>
      </c>
      <c r="R667" s="16" t="s">
        <v>54</v>
      </c>
      <c r="S667" s="19" t="s">
        <v>2185</v>
      </c>
      <c r="T667" s="21" t="s">
        <v>55</v>
      </c>
    </row>
    <row r="668" spans="1:20" ht="16.5">
      <c r="A668" s="14" t="s">
        <v>1740</v>
      </c>
      <c r="B668" s="11" t="s">
        <v>311</v>
      </c>
      <c r="C668" s="11" t="s">
        <v>204</v>
      </c>
      <c r="D668" s="12" t="s">
        <v>2434</v>
      </c>
      <c r="E668" s="11" t="s">
        <v>312</v>
      </c>
      <c r="F668" s="14" t="s">
        <v>313</v>
      </c>
      <c r="G668" s="15" t="s">
        <v>2438</v>
      </c>
      <c r="H668" s="23" t="s">
        <v>2592</v>
      </c>
      <c r="I668" s="11" t="s">
        <v>65</v>
      </c>
      <c r="J668" s="14">
        <v>1</v>
      </c>
      <c r="K668" s="14" t="s">
        <v>2175</v>
      </c>
      <c r="L668" s="14" t="s">
        <v>2593</v>
      </c>
      <c r="M668" s="15" t="s">
        <v>2437</v>
      </c>
      <c r="N668" s="15" t="s">
        <v>316</v>
      </c>
      <c r="O668" s="15" t="s">
        <v>2594</v>
      </c>
      <c r="P668" s="15" t="s">
        <v>2438</v>
      </c>
      <c r="Q668" s="15" t="s">
        <v>211</v>
      </c>
      <c r="R668" s="16" t="s">
        <v>54</v>
      </c>
      <c r="S668" s="15" t="s">
        <v>2185</v>
      </c>
      <c r="T668" s="14" t="s">
        <v>55</v>
      </c>
    </row>
    <row r="669" spans="1:20" ht="16.5">
      <c r="A669" s="21" t="s">
        <v>1740</v>
      </c>
      <c r="B669" s="17" t="s">
        <v>311</v>
      </c>
      <c r="C669" s="17" t="s">
        <v>204</v>
      </c>
      <c r="D669" s="19" t="s">
        <v>2439</v>
      </c>
      <c r="E669" s="17" t="s">
        <v>312</v>
      </c>
      <c r="F669" s="21" t="s">
        <v>313</v>
      </c>
      <c r="G669" s="19" t="s">
        <v>2443</v>
      </c>
      <c r="H669" s="24" t="s">
        <v>2595</v>
      </c>
      <c r="I669" s="17" t="s">
        <v>65</v>
      </c>
      <c r="J669" s="21">
        <v>1</v>
      </c>
      <c r="K669" s="21" t="s">
        <v>2175</v>
      </c>
      <c r="L669" s="21" t="s">
        <v>2596</v>
      </c>
      <c r="M669" s="19" t="s">
        <v>2442</v>
      </c>
      <c r="N669" s="19" t="s">
        <v>316</v>
      </c>
      <c r="O669" s="19" t="s">
        <v>2597</v>
      </c>
      <c r="P669" s="19" t="s">
        <v>2443</v>
      </c>
      <c r="Q669" s="19" t="s">
        <v>211</v>
      </c>
      <c r="R669" s="16" t="s">
        <v>54</v>
      </c>
      <c r="S669" s="19" t="s">
        <v>2185</v>
      </c>
      <c r="T669" s="21" t="s">
        <v>55</v>
      </c>
    </row>
    <row r="670" spans="1:20" ht="16.5">
      <c r="A670" s="14" t="s">
        <v>1740</v>
      </c>
      <c r="B670" s="11" t="s">
        <v>311</v>
      </c>
      <c r="C670" s="11" t="s">
        <v>204</v>
      </c>
      <c r="D670" s="12" t="s">
        <v>2444</v>
      </c>
      <c r="E670" s="11" t="s">
        <v>312</v>
      </c>
      <c r="F670" s="14" t="s">
        <v>313</v>
      </c>
      <c r="G670" s="15" t="s">
        <v>2598</v>
      </c>
      <c r="H670" s="23" t="s">
        <v>2599</v>
      </c>
      <c r="I670" s="11" t="s">
        <v>65</v>
      </c>
      <c r="J670" s="14">
        <v>1</v>
      </c>
      <c r="K670" s="14" t="s">
        <v>2175</v>
      </c>
      <c r="L670" s="14" t="s">
        <v>2600</v>
      </c>
      <c r="M670" s="15" t="s">
        <v>2447</v>
      </c>
      <c r="N670" s="15" t="s">
        <v>316</v>
      </c>
      <c r="O670" s="15" t="s">
        <v>2601</v>
      </c>
      <c r="P670" s="15" t="s">
        <v>2598</v>
      </c>
      <c r="Q670" s="15" t="s">
        <v>211</v>
      </c>
      <c r="R670" s="16" t="s">
        <v>54</v>
      </c>
      <c r="S670" s="15" t="s">
        <v>2185</v>
      </c>
      <c r="T670" s="14" t="s">
        <v>55</v>
      </c>
    </row>
    <row r="671" spans="1:20" ht="16.5">
      <c r="A671" s="21" t="s">
        <v>1740</v>
      </c>
      <c r="B671" s="17" t="s">
        <v>311</v>
      </c>
      <c r="C671" s="17" t="s">
        <v>204</v>
      </c>
      <c r="D671" s="18" t="s">
        <v>2444</v>
      </c>
      <c r="E671" s="17" t="s">
        <v>312</v>
      </c>
      <c r="F671" s="21" t="s">
        <v>313</v>
      </c>
      <c r="G671" s="19" t="s">
        <v>2602</v>
      </c>
      <c r="H671" s="24" t="s">
        <v>2603</v>
      </c>
      <c r="I671" s="17" t="s">
        <v>65</v>
      </c>
      <c r="J671" s="21">
        <v>1</v>
      </c>
      <c r="K671" s="21" t="s">
        <v>2175</v>
      </c>
      <c r="L671" s="21" t="s">
        <v>2604</v>
      </c>
      <c r="M671" s="19" t="s">
        <v>2447</v>
      </c>
      <c r="N671" s="19" t="s">
        <v>316</v>
      </c>
      <c r="O671" s="19" t="s">
        <v>2605</v>
      </c>
      <c r="P671" s="19" t="s">
        <v>2602</v>
      </c>
      <c r="Q671" s="19" t="s">
        <v>211</v>
      </c>
      <c r="R671" s="16" t="s">
        <v>54</v>
      </c>
      <c r="S671" s="19" t="s">
        <v>2185</v>
      </c>
      <c r="T671" s="21" t="s">
        <v>55</v>
      </c>
    </row>
    <row r="672" spans="1:20" ht="16.5">
      <c r="A672" s="14" t="s">
        <v>1740</v>
      </c>
      <c r="B672" s="11" t="s">
        <v>311</v>
      </c>
      <c r="C672" s="11" t="s">
        <v>204</v>
      </c>
      <c r="D672" s="12" t="s">
        <v>2444</v>
      </c>
      <c r="E672" s="11" t="s">
        <v>312</v>
      </c>
      <c r="F672" s="14" t="s">
        <v>313</v>
      </c>
      <c r="G672" s="15" t="s">
        <v>2606</v>
      </c>
      <c r="H672" s="23" t="s">
        <v>2607</v>
      </c>
      <c r="I672" s="11" t="s">
        <v>65</v>
      </c>
      <c r="J672" s="14">
        <v>1</v>
      </c>
      <c r="K672" s="14" t="s">
        <v>2175</v>
      </c>
      <c r="L672" s="14" t="s">
        <v>2608</v>
      </c>
      <c r="M672" s="15" t="s">
        <v>2447</v>
      </c>
      <c r="N672" s="15" t="s">
        <v>316</v>
      </c>
      <c r="O672" s="15" t="s">
        <v>2609</v>
      </c>
      <c r="P672" s="15" t="s">
        <v>2606</v>
      </c>
      <c r="Q672" s="15" t="s">
        <v>211</v>
      </c>
      <c r="R672" s="16" t="s">
        <v>54</v>
      </c>
      <c r="S672" s="15" t="s">
        <v>2185</v>
      </c>
      <c r="T672" s="14" t="s">
        <v>55</v>
      </c>
    </row>
    <row r="673" spans="1:20" ht="16.5">
      <c r="A673" s="21" t="s">
        <v>1740</v>
      </c>
      <c r="B673" s="17" t="s">
        <v>311</v>
      </c>
      <c r="C673" s="17" t="s">
        <v>204</v>
      </c>
      <c r="D673" s="18" t="s">
        <v>2449</v>
      </c>
      <c r="E673" s="17" t="s">
        <v>312</v>
      </c>
      <c r="F673" s="21" t="s">
        <v>313</v>
      </c>
      <c r="G673" s="19" t="s">
        <v>2610</v>
      </c>
      <c r="H673" s="24" t="s">
        <v>2611</v>
      </c>
      <c r="I673" s="17" t="s">
        <v>65</v>
      </c>
      <c r="J673" s="21">
        <v>1</v>
      </c>
      <c r="K673" s="21" t="s">
        <v>2175</v>
      </c>
      <c r="L673" s="21" t="s">
        <v>2612</v>
      </c>
      <c r="M673" s="19" t="s">
        <v>2452</v>
      </c>
      <c r="N673" s="19" t="s">
        <v>316</v>
      </c>
      <c r="O673" s="19" t="s">
        <v>2613</v>
      </c>
      <c r="P673" s="19" t="s">
        <v>2610</v>
      </c>
      <c r="Q673" s="19" t="s">
        <v>211</v>
      </c>
      <c r="R673" s="16" t="s">
        <v>54</v>
      </c>
      <c r="S673" s="19" t="s">
        <v>2185</v>
      </c>
      <c r="T673" s="21" t="s">
        <v>55</v>
      </c>
    </row>
    <row r="674" spans="1:20" ht="16.5">
      <c r="A674" s="14" t="s">
        <v>1740</v>
      </c>
      <c r="B674" s="11" t="s">
        <v>311</v>
      </c>
      <c r="C674" s="11" t="s">
        <v>204</v>
      </c>
      <c r="D674" s="12" t="s">
        <v>2449</v>
      </c>
      <c r="E674" s="11" t="s">
        <v>312</v>
      </c>
      <c r="F674" s="14" t="s">
        <v>313</v>
      </c>
      <c r="G674" s="15" t="s">
        <v>2614</v>
      </c>
      <c r="H674" s="23" t="s">
        <v>2615</v>
      </c>
      <c r="I674" s="11" t="s">
        <v>65</v>
      </c>
      <c r="J674" s="14">
        <v>1</v>
      </c>
      <c r="K674" s="14" t="s">
        <v>2175</v>
      </c>
      <c r="L674" s="14" t="s">
        <v>2616</v>
      </c>
      <c r="M674" s="15" t="s">
        <v>2452</v>
      </c>
      <c r="N674" s="15" t="s">
        <v>316</v>
      </c>
      <c r="O674" s="15" t="s">
        <v>2617</v>
      </c>
      <c r="P674" s="15" t="s">
        <v>2614</v>
      </c>
      <c r="Q674" s="15" t="s">
        <v>211</v>
      </c>
      <c r="R674" s="16" t="s">
        <v>54</v>
      </c>
      <c r="S674" s="15" t="s">
        <v>2185</v>
      </c>
      <c r="T674" s="14" t="s">
        <v>55</v>
      </c>
    </row>
    <row r="675" spans="1:20" ht="16.5">
      <c r="A675" s="21" t="s">
        <v>1740</v>
      </c>
      <c r="B675" s="17" t="s">
        <v>311</v>
      </c>
      <c r="C675" s="17" t="s">
        <v>204</v>
      </c>
      <c r="D675" s="18" t="s">
        <v>2449</v>
      </c>
      <c r="E675" s="17" t="s">
        <v>312</v>
      </c>
      <c r="F675" s="21" t="s">
        <v>313</v>
      </c>
      <c r="G675" s="19" t="s">
        <v>2618</v>
      </c>
      <c r="H675" s="24" t="s">
        <v>2619</v>
      </c>
      <c r="I675" s="17" t="s">
        <v>65</v>
      </c>
      <c r="J675" s="21">
        <v>1</v>
      </c>
      <c r="K675" s="21" t="s">
        <v>2175</v>
      </c>
      <c r="L675" s="21" t="s">
        <v>2620</v>
      </c>
      <c r="M675" s="19" t="s">
        <v>2452</v>
      </c>
      <c r="N675" s="19" t="s">
        <v>316</v>
      </c>
      <c r="O675" s="19" t="s">
        <v>2621</v>
      </c>
      <c r="P675" s="19" t="s">
        <v>2618</v>
      </c>
      <c r="Q675" s="19" t="s">
        <v>211</v>
      </c>
      <c r="R675" s="16" t="s">
        <v>54</v>
      </c>
      <c r="S675" s="19" t="s">
        <v>2185</v>
      </c>
      <c r="T675" s="21" t="s">
        <v>55</v>
      </c>
    </row>
    <row r="676" spans="1:20" ht="16.5">
      <c r="A676" s="14" t="s">
        <v>1740</v>
      </c>
      <c r="B676" s="11" t="s">
        <v>311</v>
      </c>
      <c r="C676" s="11" t="s">
        <v>204</v>
      </c>
      <c r="D676" s="12" t="s">
        <v>2449</v>
      </c>
      <c r="E676" s="11" t="s">
        <v>312</v>
      </c>
      <c r="F676" s="14" t="s">
        <v>313</v>
      </c>
      <c r="G676" s="15" t="s">
        <v>2622</v>
      </c>
      <c r="H676" s="23" t="s">
        <v>2623</v>
      </c>
      <c r="I676" s="11" t="s">
        <v>65</v>
      </c>
      <c r="J676" s="14">
        <v>1</v>
      </c>
      <c r="K676" s="14" t="s">
        <v>2175</v>
      </c>
      <c r="L676" s="14" t="s">
        <v>2624</v>
      </c>
      <c r="M676" s="15" t="s">
        <v>2452</v>
      </c>
      <c r="N676" s="15" t="s">
        <v>316</v>
      </c>
      <c r="O676" s="15" t="s">
        <v>2625</v>
      </c>
      <c r="P676" s="15" t="s">
        <v>2622</v>
      </c>
      <c r="Q676" s="15" t="s">
        <v>211</v>
      </c>
      <c r="R676" s="16" t="s">
        <v>54</v>
      </c>
      <c r="S676" s="15" t="s">
        <v>2185</v>
      </c>
      <c r="T676" s="14" t="s">
        <v>55</v>
      </c>
    </row>
    <row r="677" spans="1:20" ht="16.5">
      <c r="A677" s="21" t="s">
        <v>1740</v>
      </c>
      <c r="B677" s="17" t="s">
        <v>311</v>
      </c>
      <c r="C677" s="17" t="s">
        <v>204</v>
      </c>
      <c r="D677" s="18" t="s">
        <v>2449</v>
      </c>
      <c r="E677" s="17" t="s">
        <v>312</v>
      </c>
      <c r="F677" s="21" t="s">
        <v>313</v>
      </c>
      <c r="G677" s="19" t="s">
        <v>2626</v>
      </c>
      <c r="H677" s="24" t="s">
        <v>2627</v>
      </c>
      <c r="I677" s="17" t="s">
        <v>65</v>
      </c>
      <c r="J677" s="21">
        <v>1</v>
      </c>
      <c r="K677" s="21" t="s">
        <v>2175</v>
      </c>
      <c r="L677" s="21" t="s">
        <v>2628</v>
      </c>
      <c r="M677" s="19" t="s">
        <v>2452</v>
      </c>
      <c r="N677" s="19" t="s">
        <v>316</v>
      </c>
      <c r="O677" s="19" t="s">
        <v>2629</v>
      </c>
      <c r="P677" s="19" t="s">
        <v>2626</v>
      </c>
      <c r="Q677" s="19" t="s">
        <v>211</v>
      </c>
      <c r="R677" s="16" t="s">
        <v>54</v>
      </c>
      <c r="S677" s="19" t="s">
        <v>2185</v>
      </c>
      <c r="T677" s="21" t="s">
        <v>55</v>
      </c>
    </row>
    <row r="678" spans="1:20" ht="16.5">
      <c r="A678" s="14" t="s">
        <v>1740</v>
      </c>
      <c r="B678" s="11" t="s">
        <v>311</v>
      </c>
      <c r="C678" s="11" t="s">
        <v>204</v>
      </c>
      <c r="D678" s="12" t="s">
        <v>2449</v>
      </c>
      <c r="E678" s="11" t="s">
        <v>312</v>
      </c>
      <c r="F678" s="14" t="s">
        <v>313</v>
      </c>
      <c r="G678" s="15" t="s">
        <v>2630</v>
      </c>
      <c r="H678" s="23" t="s">
        <v>2631</v>
      </c>
      <c r="I678" s="11" t="s">
        <v>65</v>
      </c>
      <c r="J678" s="14">
        <v>1</v>
      </c>
      <c r="K678" s="14" t="s">
        <v>2175</v>
      </c>
      <c r="L678" s="14" t="s">
        <v>2632</v>
      </c>
      <c r="M678" s="15" t="s">
        <v>2452</v>
      </c>
      <c r="N678" s="15" t="s">
        <v>316</v>
      </c>
      <c r="O678" s="15" t="s">
        <v>2633</v>
      </c>
      <c r="P678" s="15" t="s">
        <v>2630</v>
      </c>
      <c r="Q678" s="15" t="s">
        <v>211</v>
      </c>
      <c r="R678" s="16" t="s">
        <v>54</v>
      </c>
      <c r="S678" s="15" t="s">
        <v>2185</v>
      </c>
      <c r="T678" s="14" t="s">
        <v>55</v>
      </c>
    </row>
    <row r="679" spans="1:20" ht="16.5">
      <c r="A679" s="21" t="s">
        <v>1740</v>
      </c>
      <c r="B679" s="17" t="s">
        <v>311</v>
      </c>
      <c r="C679" s="17" t="s">
        <v>204</v>
      </c>
      <c r="D679" s="18" t="s">
        <v>2454</v>
      </c>
      <c r="E679" s="17" t="s">
        <v>312</v>
      </c>
      <c r="F679" s="21" t="s">
        <v>313</v>
      </c>
      <c r="G679" s="19" t="s">
        <v>2634</v>
      </c>
      <c r="H679" s="24" t="s">
        <v>2635</v>
      </c>
      <c r="I679" s="17" t="s">
        <v>65</v>
      </c>
      <c r="J679" s="21">
        <v>1</v>
      </c>
      <c r="K679" s="21" t="s">
        <v>2175</v>
      </c>
      <c r="L679" s="21" t="s">
        <v>2636</v>
      </c>
      <c r="M679" s="19" t="s">
        <v>2457</v>
      </c>
      <c r="N679" s="19" t="s">
        <v>316</v>
      </c>
      <c r="O679" s="19" t="s">
        <v>2637</v>
      </c>
      <c r="P679" s="19" t="s">
        <v>2634</v>
      </c>
      <c r="Q679" s="19" t="s">
        <v>211</v>
      </c>
      <c r="R679" s="16" t="s">
        <v>54</v>
      </c>
      <c r="S679" s="19" t="s">
        <v>2185</v>
      </c>
      <c r="T679" s="21" t="s">
        <v>55</v>
      </c>
    </row>
    <row r="680" spans="1:20" ht="16.5">
      <c r="A680" s="14" t="s">
        <v>1740</v>
      </c>
      <c r="B680" s="11" t="s">
        <v>311</v>
      </c>
      <c r="C680" s="11" t="s">
        <v>204</v>
      </c>
      <c r="D680" s="12" t="s">
        <v>2454</v>
      </c>
      <c r="E680" s="11" t="s">
        <v>312</v>
      </c>
      <c r="F680" s="14" t="s">
        <v>313</v>
      </c>
      <c r="G680" s="15" t="s">
        <v>2638</v>
      </c>
      <c r="H680" s="23" t="s">
        <v>2639</v>
      </c>
      <c r="I680" s="11" t="s">
        <v>65</v>
      </c>
      <c r="J680" s="14">
        <v>1</v>
      </c>
      <c r="K680" s="14" t="s">
        <v>2175</v>
      </c>
      <c r="L680" s="14" t="s">
        <v>2640</v>
      </c>
      <c r="M680" s="15" t="s">
        <v>2457</v>
      </c>
      <c r="N680" s="15" t="s">
        <v>316</v>
      </c>
      <c r="O680" s="15" t="s">
        <v>2641</v>
      </c>
      <c r="P680" s="15" t="s">
        <v>2638</v>
      </c>
      <c r="Q680" s="15" t="s">
        <v>211</v>
      </c>
      <c r="R680" s="16" t="s">
        <v>54</v>
      </c>
      <c r="S680" s="15" t="s">
        <v>2185</v>
      </c>
      <c r="T680" s="14" t="s">
        <v>55</v>
      </c>
    </row>
    <row r="681" spans="1:20" ht="16.5">
      <c r="A681" s="21" t="s">
        <v>1740</v>
      </c>
      <c r="B681" s="17" t="s">
        <v>311</v>
      </c>
      <c r="C681" s="17" t="s">
        <v>204</v>
      </c>
      <c r="D681" s="18" t="s">
        <v>2454</v>
      </c>
      <c r="E681" s="17" t="s">
        <v>312</v>
      </c>
      <c r="F681" s="21" t="s">
        <v>313</v>
      </c>
      <c r="G681" s="19" t="s">
        <v>2642</v>
      </c>
      <c r="H681" s="24" t="s">
        <v>2643</v>
      </c>
      <c r="I681" s="17" t="s">
        <v>65</v>
      </c>
      <c r="J681" s="21">
        <v>1</v>
      </c>
      <c r="K681" s="21" t="s">
        <v>2175</v>
      </c>
      <c r="L681" s="21" t="s">
        <v>2644</v>
      </c>
      <c r="M681" s="19" t="s">
        <v>2457</v>
      </c>
      <c r="N681" s="19" t="s">
        <v>316</v>
      </c>
      <c r="O681" s="19" t="s">
        <v>2645</v>
      </c>
      <c r="P681" s="19" t="s">
        <v>2642</v>
      </c>
      <c r="Q681" s="19" t="s">
        <v>211</v>
      </c>
      <c r="R681" s="16" t="s">
        <v>54</v>
      </c>
      <c r="S681" s="19" t="s">
        <v>2185</v>
      </c>
      <c r="T681" s="21" t="s">
        <v>55</v>
      </c>
    </row>
    <row r="682" spans="1:20" ht="16.5">
      <c r="A682" s="14" t="s">
        <v>1740</v>
      </c>
      <c r="B682" s="11" t="s">
        <v>311</v>
      </c>
      <c r="C682" s="11" t="s">
        <v>204</v>
      </c>
      <c r="D682" s="12" t="s">
        <v>2454</v>
      </c>
      <c r="E682" s="11" t="s">
        <v>312</v>
      </c>
      <c r="F682" s="14" t="s">
        <v>313</v>
      </c>
      <c r="G682" s="15" t="s">
        <v>2646</v>
      </c>
      <c r="H682" s="23" t="s">
        <v>2647</v>
      </c>
      <c r="I682" s="11" t="s">
        <v>65</v>
      </c>
      <c r="J682" s="14">
        <v>1</v>
      </c>
      <c r="K682" s="14" t="s">
        <v>2175</v>
      </c>
      <c r="L682" s="14" t="s">
        <v>2648</v>
      </c>
      <c r="M682" s="15" t="s">
        <v>2457</v>
      </c>
      <c r="N682" s="15" t="s">
        <v>316</v>
      </c>
      <c r="O682" s="15" t="s">
        <v>2649</v>
      </c>
      <c r="P682" s="15" t="s">
        <v>2646</v>
      </c>
      <c r="Q682" s="15" t="s">
        <v>211</v>
      </c>
      <c r="R682" s="16" t="s">
        <v>54</v>
      </c>
      <c r="S682" s="15" t="s">
        <v>2185</v>
      </c>
      <c r="T682" s="14" t="s">
        <v>55</v>
      </c>
    </row>
    <row r="683" spans="1:20" ht="16.5">
      <c r="A683" s="21" t="s">
        <v>1740</v>
      </c>
      <c r="B683" s="17" t="s">
        <v>311</v>
      </c>
      <c r="C683" s="17" t="s">
        <v>204</v>
      </c>
      <c r="D683" s="18" t="s">
        <v>2459</v>
      </c>
      <c r="E683" s="17" t="s">
        <v>312</v>
      </c>
      <c r="F683" s="21" t="s">
        <v>313</v>
      </c>
      <c r="G683" s="19" t="s">
        <v>2463</v>
      </c>
      <c r="H683" s="24" t="s">
        <v>2650</v>
      </c>
      <c r="I683" s="17" t="s">
        <v>65</v>
      </c>
      <c r="J683" s="21">
        <v>1</v>
      </c>
      <c r="K683" s="21" t="s">
        <v>2175</v>
      </c>
      <c r="L683" s="21" t="s">
        <v>2651</v>
      </c>
      <c r="M683" s="19" t="s">
        <v>2462</v>
      </c>
      <c r="N683" s="19" t="s">
        <v>316</v>
      </c>
      <c r="O683" s="19" t="s">
        <v>2652</v>
      </c>
      <c r="P683" s="19" t="s">
        <v>2463</v>
      </c>
      <c r="Q683" s="19" t="s">
        <v>211</v>
      </c>
      <c r="R683" s="16" t="s">
        <v>54</v>
      </c>
      <c r="S683" s="19" t="s">
        <v>2185</v>
      </c>
      <c r="T683" s="21" t="s">
        <v>55</v>
      </c>
    </row>
    <row r="684" spans="1:20" ht="16.5">
      <c r="A684" s="14" t="s">
        <v>1740</v>
      </c>
      <c r="B684" s="11" t="s">
        <v>311</v>
      </c>
      <c r="C684" s="11" t="s">
        <v>204</v>
      </c>
      <c r="D684" s="12" t="s">
        <v>2464</v>
      </c>
      <c r="E684" s="11" t="s">
        <v>312</v>
      </c>
      <c r="F684" s="14" t="s">
        <v>313</v>
      </c>
      <c r="G684" s="15" t="s">
        <v>2653</v>
      </c>
      <c r="H684" s="23" t="s">
        <v>2654</v>
      </c>
      <c r="I684" s="11" t="s">
        <v>65</v>
      </c>
      <c r="J684" s="14">
        <v>1</v>
      </c>
      <c r="K684" s="14" t="s">
        <v>2175</v>
      </c>
      <c r="L684" s="14" t="s">
        <v>2655</v>
      </c>
      <c r="M684" s="15" t="s">
        <v>2467</v>
      </c>
      <c r="N684" s="15" t="s">
        <v>316</v>
      </c>
      <c r="O684" s="15" t="s">
        <v>2656</v>
      </c>
      <c r="P684" s="15" t="s">
        <v>2653</v>
      </c>
      <c r="Q684" s="15" t="s">
        <v>211</v>
      </c>
      <c r="R684" s="16" t="s">
        <v>54</v>
      </c>
      <c r="S684" s="15" t="s">
        <v>2185</v>
      </c>
      <c r="T684" s="14" t="s">
        <v>55</v>
      </c>
    </row>
    <row r="685" spans="1:20" ht="16.5">
      <c r="A685" s="21" t="s">
        <v>1740</v>
      </c>
      <c r="B685" s="17" t="s">
        <v>311</v>
      </c>
      <c r="C685" s="17" t="s">
        <v>204</v>
      </c>
      <c r="D685" s="18" t="s">
        <v>2464</v>
      </c>
      <c r="E685" s="17" t="s">
        <v>312</v>
      </c>
      <c r="F685" s="21" t="s">
        <v>313</v>
      </c>
      <c r="G685" s="19" t="s">
        <v>2657</v>
      </c>
      <c r="H685" s="24" t="s">
        <v>2658</v>
      </c>
      <c r="I685" s="17" t="s">
        <v>65</v>
      </c>
      <c r="J685" s="21">
        <v>1</v>
      </c>
      <c r="K685" s="21" t="s">
        <v>2175</v>
      </c>
      <c r="L685" s="21" t="s">
        <v>2659</v>
      </c>
      <c r="M685" s="19" t="s">
        <v>2467</v>
      </c>
      <c r="N685" s="19" t="s">
        <v>316</v>
      </c>
      <c r="O685" s="19" t="s">
        <v>2660</v>
      </c>
      <c r="P685" s="19" t="s">
        <v>2657</v>
      </c>
      <c r="Q685" s="19" t="s">
        <v>211</v>
      </c>
      <c r="R685" s="16" t="s">
        <v>54</v>
      </c>
      <c r="S685" s="19" t="s">
        <v>2185</v>
      </c>
      <c r="T685" s="21" t="s">
        <v>55</v>
      </c>
    </row>
    <row r="686" spans="1:20" ht="16.5">
      <c r="A686" s="14" t="s">
        <v>1740</v>
      </c>
      <c r="B686" s="11" t="s">
        <v>311</v>
      </c>
      <c r="C686" s="11" t="s">
        <v>204</v>
      </c>
      <c r="D686" s="12" t="s">
        <v>2469</v>
      </c>
      <c r="E686" s="11" t="s">
        <v>312</v>
      </c>
      <c r="F686" s="14" t="s">
        <v>313</v>
      </c>
      <c r="G686" s="15" t="s">
        <v>2661</v>
      </c>
      <c r="H686" s="23" t="s">
        <v>2662</v>
      </c>
      <c r="I686" s="11" t="s">
        <v>65</v>
      </c>
      <c r="J686" s="14">
        <v>1</v>
      </c>
      <c r="K686" s="14" t="s">
        <v>2175</v>
      </c>
      <c r="L686" s="14" t="s">
        <v>2663</v>
      </c>
      <c r="M686" s="15" t="s">
        <v>2472</v>
      </c>
      <c r="N686" s="15" t="s">
        <v>316</v>
      </c>
      <c r="O686" s="15" t="s">
        <v>2664</v>
      </c>
      <c r="P686" s="15" t="s">
        <v>2661</v>
      </c>
      <c r="Q686" s="15" t="s">
        <v>211</v>
      </c>
      <c r="R686" s="16" t="s">
        <v>54</v>
      </c>
      <c r="S686" s="15" t="s">
        <v>2185</v>
      </c>
      <c r="T686" s="14" t="s">
        <v>55</v>
      </c>
    </row>
    <row r="687" spans="1:20" ht="16.5">
      <c r="A687" s="21" t="s">
        <v>1740</v>
      </c>
      <c r="B687" s="17" t="s">
        <v>311</v>
      </c>
      <c r="C687" s="17" t="s">
        <v>204</v>
      </c>
      <c r="D687" s="18" t="s">
        <v>2469</v>
      </c>
      <c r="E687" s="17" t="s">
        <v>312</v>
      </c>
      <c r="F687" s="21" t="s">
        <v>313</v>
      </c>
      <c r="G687" s="19" t="s">
        <v>2665</v>
      </c>
      <c r="H687" s="24" t="s">
        <v>2666</v>
      </c>
      <c r="I687" s="17" t="s">
        <v>65</v>
      </c>
      <c r="J687" s="21">
        <v>1</v>
      </c>
      <c r="K687" s="21" t="s">
        <v>2175</v>
      </c>
      <c r="L687" s="21" t="s">
        <v>2667</v>
      </c>
      <c r="M687" s="19" t="s">
        <v>2472</v>
      </c>
      <c r="N687" s="19" t="s">
        <v>316</v>
      </c>
      <c r="O687" s="19" t="s">
        <v>2668</v>
      </c>
      <c r="P687" s="19" t="s">
        <v>2665</v>
      </c>
      <c r="Q687" s="19" t="s">
        <v>211</v>
      </c>
      <c r="R687" s="16" t="s">
        <v>54</v>
      </c>
      <c r="S687" s="19" t="s">
        <v>2185</v>
      </c>
      <c r="T687" s="21" t="s">
        <v>55</v>
      </c>
    </row>
    <row r="688" spans="1:20" ht="16.5">
      <c r="A688" s="14" t="s">
        <v>1740</v>
      </c>
      <c r="B688" s="11" t="s">
        <v>311</v>
      </c>
      <c r="C688" s="11" t="s">
        <v>204</v>
      </c>
      <c r="D688" s="12" t="s">
        <v>2469</v>
      </c>
      <c r="E688" s="11" t="s">
        <v>312</v>
      </c>
      <c r="F688" s="14" t="s">
        <v>313</v>
      </c>
      <c r="G688" s="15" t="s">
        <v>2669</v>
      </c>
      <c r="H688" s="23" t="s">
        <v>2670</v>
      </c>
      <c r="I688" s="11" t="s">
        <v>65</v>
      </c>
      <c r="J688" s="14">
        <v>1</v>
      </c>
      <c r="K688" s="14" t="s">
        <v>2175</v>
      </c>
      <c r="L688" s="14" t="s">
        <v>2671</v>
      </c>
      <c r="M688" s="15" t="s">
        <v>2472</v>
      </c>
      <c r="N688" s="15" t="s">
        <v>316</v>
      </c>
      <c r="O688" s="15" t="s">
        <v>2672</v>
      </c>
      <c r="P688" s="15" t="s">
        <v>2669</v>
      </c>
      <c r="Q688" s="15" t="s">
        <v>211</v>
      </c>
      <c r="R688" s="16" t="s">
        <v>54</v>
      </c>
      <c r="S688" s="15" t="s">
        <v>2185</v>
      </c>
      <c r="T688" s="14" t="s">
        <v>55</v>
      </c>
    </row>
    <row r="689" spans="1:20" ht="16.5">
      <c r="A689" s="21" t="s">
        <v>1740</v>
      </c>
      <c r="B689" s="17" t="s">
        <v>311</v>
      </c>
      <c r="C689" s="17" t="s">
        <v>204</v>
      </c>
      <c r="D689" s="18" t="s">
        <v>2469</v>
      </c>
      <c r="E689" s="17" t="s">
        <v>312</v>
      </c>
      <c r="F689" s="21" t="s">
        <v>313</v>
      </c>
      <c r="G689" s="19" t="s">
        <v>2673</v>
      </c>
      <c r="H689" s="24" t="s">
        <v>2674</v>
      </c>
      <c r="I689" s="17" t="s">
        <v>65</v>
      </c>
      <c r="J689" s="21">
        <v>1</v>
      </c>
      <c r="K689" s="21" t="s">
        <v>2175</v>
      </c>
      <c r="L689" s="21" t="s">
        <v>2675</v>
      </c>
      <c r="M689" s="19" t="s">
        <v>2472</v>
      </c>
      <c r="N689" s="19" t="s">
        <v>316</v>
      </c>
      <c r="O689" s="19" t="s">
        <v>2676</v>
      </c>
      <c r="P689" s="19" t="s">
        <v>2673</v>
      </c>
      <c r="Q689" s="19" t="s">
        <v>211</v>
      </c>
      <c r="R689" s="16" t="s">
        <v>54</v>
      </c>
      <c r="S689" s="19" t="s">
        <v>2185</v>
      </c>
      <c r="T689" s="21" t="s">
        <v>55</v>
      </c>
    </row>
    <row r="690" spans="1:20" ht="16.5">
      <c r="A690" s="14" t="s">
        <v>1740</v>
      </c>
      <c r="B690" s="11" t="s">
        <v>487</v>
      </c>
      <c r="C690" s="11" t="s">
        <v>488</v>
      </c>
      <c r="D690" s="12" t="s">
        <v>2677</v>
      </c>
      <c r="E690" s="11" t="s">
        <v>490</v>
      </c>
      <c r="F690" s="11" t="s">
        <v>491</v>
      </c>
      <c r="G690" s="12" t="s">
        <v>2678</v>
      </c>
      <c r="H690" s="13" t="s">
        <v>2679</v>
      </c>
      <c r="I690" s="11" t="s">
        <v>513</v>
      </c>
      <c r="J690" s="14">
        <v>1</v>
      </c>
      <c r="K690" s="14" t="s">
        <v>2175</v>
      </c>
      <c r="L690" s="14" t="s">
        <v>2680</v>
      </c>
      <c r="M690" s="15" t="s">
        <v>2681</v>
      </c>
      <c r="N690" s="15" t="s">
        <v>497</v>
      </c>
      <c r="O690" s="15" t="s">
        <v>2682</v>
      </c>
      <c r="P690" s="15" t="s">
        <v>2683</v>
      </c>
      <c r="Q690" s="15" t="s">
        <v>500</v>
      </c>
      <c r="R690" s="16" t="s">
        <v>54</v>
      </c>
      <c r="S690" s="15" t="s">
        <v>2185</v>
      </c>
      <c r="T690" s="14" t="s">
        <v>55</v>
      </c>
    </row>
    <row r="691" spans="1:20" ht="33">
      <c r="A691" s="21" t="s">
        <v>1740</v>
      </c>
      <c r="B691" s="17" t="s">
        <v>487</v>
      </c>
      <c r="C691" s="17" t="s">
        <v>204</v>
      </c>
      <c r="D691" s="18" t="s">
        <v>2399</v>
      </c>
      <c r="E691" s="17" t="s">
        <v>501</v>
      </c>
      <c r="F691" s="17" t="s">
        <v>488</v>
      </c>
      <c r="G691" s="18" t="s">
        <v>2677</v>
      </c>
      <c r="H691" s="20" t="s">
        <v>2684</v>
      </c>
      <c r="I691" s="17" t="s">
        <v>513</v>
      </c>
      <c r="J691" s="21">
        <v>1</v>
      </c>
      <c r="K691" s="21" t="s">
        <v>2175</v>
      </c>
      <c r="L691" s="21" t="s">
        <v>2685</v>
      </c>
      <c r="M691" s="19" t="s">
        <v>2402</v>
      </c>
      <c r="N691" s="19" t="s">
        <v>504</v>
      </c>
      <c r="O691" s="19" t="s">
        <v>2681</v>
      </c>
      <c r="P691" s="19"/>
      <c r="Q691" s="19" t="s">
        <v>211</v>
      </c>
      <c r="R691" s="16" t="s">
        <v>54</v>
      </c>
      <c r="S691" s="19" t="s">
        <v>2185</v>
      </c>
      <c r="T691" s="21" t="s">
        <v>55</v>
      </c>
    </row>
    <row r="692" spans="1:20" ht="29.25">
      <c r="A692" s="14" t="s">
        <v>1740</v>
      </c>
      <c r="B692" s="11" t="s">
        <v>487</v>
      </c>
      <c r="C692" s="11" t="s">
        <v>491</v>
      </c>
      <c r="D692" s="12" t="s">
        <v>2678</v>
      </c>
      <c r="E692" s="11" t="s">
        <v>505</v>
      </c>
      <c r="F692" s="11" t="s">
        <v>204</v>
      </c>
      <c r="G692" s="12" t="s">
        <v>2399</v>
      </c>
      <c r="H692" s="13" t="s">
        <v>2686</v>
      </c>
      <c r="I692" s="11" t="s">
        <v>507</v>
      </c>
      <c r="J692" s="14">
        <v>1</v>
      </c>
      <c r="K692" s="14" t="s">
        <v>2175</v>
      </c>
      <c r="L692" s="14" t="s">
        <v>2687</v>
      </c>
      <c r="M692" s="15" t="s">
        <v>2682</v>
      </c>
      <c r="N692" s="15" t="s">
        <v>509</v>
      </c>
      <c r="O692" s="15" t="s">
        <v>2402</v>
      </c>
      <c r="P692" s="15" t="s">
        <v>2683</v>
      </c>
      <c r="Q692" s="12" t="s">
        <v>286</v>
      </c>
      <c r="R692" s="22" t="s">
        <v>88</v>
      </c>
      <c r="S692" s="15" t="s">
        <v>2185</v>
      </c>
      <c r="T692" s="14" t="s">
        <v>55</v>
      </c>
    </row>
    <row r="693" spans="1:20" ht="16.5">
      <c r="A693" s="21" t="s">
        <v>1740</v>
      </c>
      <c r="B693" s="17" t="s">
        <v>487</v>
      </c>
      <c r="C693" s="17" t="s">
        <v>488</v>
      </c>
      <c r="D693" s="18" t="s">
        <v>2688</v>
      </c>
      <c r="E693" s="17" t="s">
        <v>490</v>
      </c>
      <c r="F693" s="17" t="s">
        <v>491</v>
      </c>
      <c r="G693" s="18" t="s">
        <v>2689</v>
      </c>
      <c r="H693" s="24" t="s">
        <v>584</v>
      </c>
      <c r="I693" s="17" t="s">
        <v>513</v>
      </c>
      <c r="J693" s="21">
        <v>1</v>
      </c>
      <c r="K693" s="21" t="s">
        <v>2175</v>
      </c>
      <c r="L693" s="21" t="s">
        <v>2690</v>
      </c>
      <c r="M693" s="19" t="s">
        <v>2691</v>
      </c>
      <c r="N693" s="19" t="s">
        <v>497</v>
      </c>
      <c r="O693" s="19" t="s">
        <v>2692</v>
      </c>
      <c r="P693" s="19" t="s">
        <v>2693</v>
      </c>
      <c r="Q693" s="19" t="s">
        <v>500</v>
      </c>
      <c r="R693" s="16" t="s">
        <v>54</v>
      </c>
      <c r="S693" s="19" t="s">
        <v>2185</v>
      </c>
      <c r="T693" s="21" t="s">
        <v>55</v>
      </c>
    </row>
    <row r="694" spans="1:20" ht="33">
      <c r="A694" s="14" t="s">
        <v>1740</v>
      </c>
      <c r="B694" s="11" t="s">
        <v>487</v>
      </c>
      <c r="C694" s="11" t="s">
        <v>204</v>
      </c>
      <c r="D694" s="12" t="s">
        <v>2424</v>
      </c>
      <c r="E694" s="11" t="s">
        <v>501</v>
      </c>
      <c r="F694" s="11" t="s">
        <v>488</v>
      </c>
      <c r="G694" s="12" t="s">
        <v>2688</v>
      </c>
      <c r="H694" s="13" t="s">
        <v>2694</v>
      </c>
      <c r="I694" s="11" t="s">
        <v>513</v>
      </c>
      <c r="J694" s="14">
        <v>1</v>
      </c>
      <c r="K694" s="14" t="s">
        <v>2175</v>
      </c>
      <c r="L694" s="14" t="s">
        <v>2695</v>
      </c>
      <c r="M694" s="15" t="s">
        <v>2427</v>
      </c>
      <c r="N694" s="15" t="s">
        <v>504</v>
      </c>
      <c r="O694" s="15" t="s">
        <v>2691</v>
      </c>
      <c r="P694" s="15"/>
      <c r="Q694" s="15" t="s">
        <v>211</v>
      </c>
      <c r="R694" s="16" t="s">
        <v>54</v>
      </c>
      <c r="S694" s="15" t="s">
        <v>2185</v>
      </c>
      <c r="T694" s="14" t="s">
        <v>55</v>
      </c>
    </row>
    <row r="695" spans="1:20" ht="29.25">
      <c r="A695" s="21" t="s">
        <v>1740</v>
      </c>
      <c r="B695" s="17" t="s">
        <v>487</v>
      </c>
      <c r="C695" s="17" t="s">
        <v>491</v>
      </c>
      <c r="D695" s="18" t="s">
        <v>2689</v>
      </c>
      <c r="E695" s="17" t="s">
        <v>505</v>
      </c>
      <c r="F695" s="17" t="s">
        <v>204</v>
      </c>
      <c r="G695" s="18" t="s">
        <v>2424</v>
      </c>
      <c r="H695" s="20" t="s">
        <v>2696</v>
      </c>
      <c r="I695" s="17" t="s">
        <v>507</v>
      </c>
      <c r="J695" s="21">
        <v>1</v>
      </c>
      <c r="K695" s="21" t="s">
        <v>2175</v>
      </c>
      <c r="L695" s="21" t="s">
        <v>2697</v>
      </c>
      <c r="M695" s="19" t="s">
        <v>2692</v>
      </c>
      <c r="N695" s="19" t="s">
        <v>509</v>
      </c>
      <c r="O695" s="19" t="s">
        <v>2427</v>
      </c>
      <c r="P695" s="19" t="s">
        <v>2693</v>
      </c>
      <c r="Q695" s="18" t="s">
        <v>286</v>
      </c>
      <c r="R695" s="22" t="s">
        <v>88</v>
      </c>
      <c r="S695" s="19" t="s">
        <v>2185</v>
      </c>
      <c r="T695" s="21" t="s">
        <v>55</v>
      </c>
    </row>
    <row r="696" spans="1:20" ht="16.5">
      <c r="A696" s="14" t="s">
        <v>1740</v>
      </c>
      <c r="B696" s="11" t="s">
        <v>487</v>
      </c>
      <c r="C696" s="11" t="s">
        <v>488</v>
      </c>
      <c r="D696" s="12" t="s">
        <v>2698</v>
      </c>
      <c r="E696" s="11" t="s">
        <v>490</v>
      </c>
      <c r="F696" s="11" t="s">
        <v>491</v>
      </c>
      <c r="G696" s="12" t="s">
        <v>2699</v>
      </c>
      <c r="H696" s="13" t="s">
        <v>2700</v>
      </c>
      <c r="I696" s="11" t="s">
        <v>494</v>
      </c>
      <c r="J696" s="14">
        <v>1</v>
      </c>
      <c r="K696" s="14" t="s">
        <v>2175</v>
      </c>
      <c r="L696" s="14" t="s">
        <v>2701</v>
      </c>
      <c r="M696" s="15" t="s">
        <v>2702</v>
      </c>
      <c r="N696" s="15" t="s">
        <v>497</v>
      </c>
      <c r="O696" s="15" t="s">
        <v>2703</v>
      </c>
      <c r="P696" s="15" t="s">
        <v>2704</v>
      </c>
      <c r="Q696" s="15" t="s">
        <v>500</v>
      </c>
      <c r="R696" s="16" t="s">
        <v>54</v>
      </c>
      <c r="S696" s="15" t="s">
        <v>2185</v>
      </c>
      <c r="T696" s="14" t="s">
        <v>55</v>
      </c>
    </row>
    <row r="697" spans="1:20" ht="33">
      <c r="A697" s="21" t="s">
        <v>1740</v>
      </c>
      <c r="B697" s="17" t="s">
        <v>487</v>
      </c>
      <c r="C697" s="17" t="s">
        <v>204</v>
      </c>
      <c r="D697" s="18" t="s">
        <v>2434</v>
      </c>
      <c r="E697" s="17" t="s">
        <v>501</v>
      </c>
      <c r="F697" s="17" t="s">
        <v>488</v>
      </c>
      <c r="G697" s="18" t="s">
        <v>2698</v>
      </c>
      <c r="H697" s="20" t="s">
        <v>2705</v>
      </c>
      <c r="I697" s="17" t="s">
        <v>494</v>
      </c>
      <c r="J697" s="21">
        <v>1</v>
      </c>
      <c r="K697" s="21" t="s">
        <v>2175</v>
      </c>
      <c r="L697" s="21" t="s">
        <v>2706</v>
      </c>
      <c r="M697" s="19" t="s">
        <v>2437</v>
      </c>
      <c r="N697" s="19" t="s">
        <v>504</v>
      </c>
      <c r="O697" s="19" t="s">
        <v>2702</v>
      </c>
      <c r="P697" s="19"/>
      <c r="Q697" s="19" t="s">
        <v>211</v>
      </c>
      <c r="R697" s="16" t="s">
        <v>54</v>
      </c>
      <c r="S697" s="19" t="s">
        <v>2185</v>
      </c>
      <c r="T697" s="21" t="s">
        <v>55</v>
      </c>
    </row>
    <row r="698" spans="1:20" ht="33">
      <c r="A698" s="14" t="s">
        <v>1740</v>
      </c>
      <c r="B698" s="11" t="s">
        <v>487</v>
      </c>
      <c r="C698" s="11" t="s">
        <v>491</v>
      </c>
      <c r="D698" s="12" t="s">
        <v>2699</v>
      </c>
      <c r="E698" s="11" t="s">
        <v>505</v>
      </c>
      <c r="F698" s="11" t="s">
        <v>204</v>
      </c>
      <c r="G698" s="12" t="s">
        <v>2434</v>
      </c>
      <c r="H698" s="13" t="s">
        <v>2707</v>
      </c>
      <c r="I698" s="11" t="s">
        <v>507</v>
      </c>
      <c r="J698" s="14">
        <v>1</v>
      </c>
      <c r="K698" s="14" t="s">
        <v>2175</v>
      </c>
      <c r="L698" s="14" t="s">
        <v>2708</v>
      </c>
      <c r="M698" s="15" t="s">
        <v>2703</v>
      </c>
      <c r="N698" s="15" t="s">
        <v>509</v>
      </c>
      <c r="O698" s="15" t="s">
        <v>2437</v>
      </c>
      <c r="P698" s="15" t="s">
        <v>2704</v>
      </c>
      <c r="Q698" s="12" t="s">
        <v>286</v>
      </c>
      <c r="R698" s="22" t="s">
        <v>88</v>
      </c>
      <c r="S698" s="15" t="s">
        <v>2185</v>
      </c>
      <c r="T698" s="14" t="s">
        <v>55</v>
      </c>
    </row>
    <row r="699" spans="1:20" ht="16.5">
      <c r="A699" s="21" t="s">
        <v>1740</v>
      </c>
      <c r="B699" s="17" t="s">
        <v>487</v>
      </c>
      <c r="C699" s="17" t="s">
        <v>488</v>
      </c>
      <c r="D699" s="18" t="s">
        <v>2709</v>
      </c>
      <c r="E699" s="17" t="s">
        <v>490</v>
      </c>
      <c r="F699" s="17" t="s">
        <v>491</v>
      </c>
      <c r="G699" s="18" t="s">
        <v>2710</v>
      </c>
      <c r="H699" s="24" t="s">
        <v>584</v>
      </c>
      <c r="I699" s="17" t="s">
        <v>494</v>
      </c>
      <c r="J699" s="21">
        <v>1</v>
      </c>
      <c r="K699" s="21" t="s">
        <v>2175</v>
      </c>
      <c r="L699" s="21" t="s">
        <v>2711</v>
      </c>
      <c r="M699" s="19" t="s">
        <v>2712</v>
      </c>
      <c r="N699" s="19" t="s">
        <v>497</v>
      </c>
      <c r="O699" s="19" t="s">
        <v>2713</v>
      </c>
      <c r="P699" s="19" t="s">
        <v>2714</v>
      </c>
      <c r="Q699" s="19" t="s">
        <v>500</v>
      </c>
      <c r="R699" s="16" t="s">
        <v>54</v>
      </c>
      <c r="S699" s="19" t="s">
        <v>2185</v>
      </c>
      <c r="T699" s="21" t="s">
        <v>55</v>
      </c>
    </row>
    <row r="700" spans="1:20" ht="16.5">
      <c r="A700" s="14" t="s">
        <v>1740</v>
      </c>
      <c r="B700" s="11" t="s">
        <v>487</v>
      </c>
      <c r="C700" s="11" t="s">
        <v>204</v>
      </c>
      <c r="D700" s="12" t="s">
        <v>2459</v>
      </c>
      <c r="E700" s="11" t="s">
        <v>501</v>
      </c>
      <c r="F700" s="11" t="s">
        <v>488</v>
      </c>
      <c r="G700" s="12" t="s">
        <v>2709</v>
      </c>
      <c r="H700" s="13" t="s">
        <v>2715</v>
      </c>
      <c r="I700" s="11" t="s">
        <v>494</v>
      </c>
      <c r="J700" s="14">
        <v>1</v>
      </c>
      <c r="K700" s="14" t="s">
        <v>2175</v>
      </c>
      <c r="L700" s="14" t="s">
        <v>2716</v>
      </c>
      <c r="M700" s="15" t="s">
        <v>2462</v>
      </c>
      <c r="N700" s="15" t="s">
        <v>504</v>
      </c>
      <c r="O700" s="15" t="s">
        <v>2712</v>
      </c>
      <c r="P700" s="15"/>
      <c r="Q700" s="15" t="s">
        <v>211</v>
      </c>
      <c r="R700" s="16" t="s">
        <v>54</v>
      </c>
      <c r="S700" s="15" t="s">
        <v>2185</v>
      </c>
      <c r="T700" s="14" t="s">
        <v>55</v>
      </c>
    </row>
    <row r="701" spans="1:20" ht="16.5">
      <c r="A701" s="21" t="s">
        <v>1740</v>
      </c>
      <c r="B701" s="17" t="s">
        <v>487</v>
      </c>
      <c r="C701" s="17" t="s">
        <v>491</v>
      </c>
      <c r="D701" s="18" t="s">
        <v>2710</v>
      </c>
      <c r="E701" s="17" t="s">
        <v>505</v>
      </c>
      <c r="F701" s="17" t="s">
        <v>204</v>
      </c>
      <c r="G701" s="18" t="s">
        <v>2459</v>
      </c>
      <c r="H701" s="20" t="s">
        <v>2717</v>
      </c>
      <c r="I701" s="17" t="s">
        <v>507</v>
      </c>
      <c r="J701" s="21">
        <v>1</v>
      </c>
      <c r="K701" s="21" t="s">
        <v>2175</v>
      </c>
      <c r="L701" s="21" t="s">
        <v>2718</v>
      </c>
      <c r="M701" s="19" t="s">
        <v>2713</v>
      </c>
      <c r="N701" s="19" t="s">
        <v>509</v>
      </c>
      <c r="O701" s="19" t="s">
        <v>2462</v>
      </c>
      <c r="P701" s="19" t="s">
        <v>2714</v>
      </c>
      <c r="Q701" s="18" t="s">
        <v>286</v>
      </c>
      <c r="R701" s="22" t="s">
        <v>88</v>
      </c>
      <c r="S701" s="19" t="s">
        <v>2185</v>
      </c>
      <c r="T701" s="21" t="s">
        <v>55</v>
      </c>
    </row>
    <row r="702" spans="1:20" ht="16.5">
      <c r="A702" s="14" t="s">
        <v>1740</v>
      </c>
      <c r="B702" s="11" t="s">
        <v>487</v>
      </c>
      <c r="C702" s="11" t="s">
        <v>488</v>
      </c>
      <c r="D702" s="12" t="s">
        <v>2719</v>
      </c>
      <c r="E702" s="11" t="s">
        <v>490</v>
      </c>
      <c r="F702" s="11" t="s">
        <v>491</v>
      </c>
      <c r="G702" s="12" t="s">
        <v>2720</v>
      </c>
      <c r="H702" s="23" t="s">
        <v>584</v>
      </c>
      <c r="I702" s="11" t="s">
        <v>494</v>
      </c>
      <c r="J702" s="14">
        <v>1</v>
      </c>
      <c r="K702" s="14" t="s">
        <v>2175</v>
      </c>
      <c r="L702" s="14" t="s">
        <v>2721</v>
      </c>
      <c r="M702" s="15" t="s">
        <v>2722</v>
      </c>
      <c r="N702" s="15" t="s">
        <v>497</v>
      </c>
      <c r="O702" s="15" t="s">
        <v>2723</v>
      </c>
      <c r="P702" s="15" t="s">
        <v>2724</v>
      </c>
      <c r="Q702" s="15" t="s">
        <v>500</v>
      </c>
      <c r="R702" s="16" t="s">
        <v>54</v>
      </c>
      <c r="S702" s="15" t="s">
        <v>2185</v>
      </c>
      <c r="T702" s="14" t="s">
        <v>55</v>
      </c>
    </row>
    <row r="703" spans="1:20" ht="33">
      <c r="A703" s="21" t="s">
        <v>1740</v>
      </c>
      <c r="B703" s="17" t="s">
        <v>487</v>
      </c>
      <c r="C703" s="17" t="s">
        <v>204</v>
      </c>
      <c r="D703" s="18" t="s">
        <v>2374</v>
      </c>
      <c r="E703" s="17" t="s">
        <v>501</v>
      </c>
      <c r="F703" s="17" t="s">
        <v>488</v>
      </c>
      <c r="G703" s="18" t="s">
        <v>2719</v>
      </c>
      <c r="H703" s="20" t="s">
        <v>2725</v>
      </c>
      <c r="I703" s="17" t="s">
        <v>494</v>
      </c>
      <c r="J703" s="21">
        <v>1</v>
      </c>
      <c r="K703" s="21" t="s">
        <v>2175</v>
      </c>
      <c r="L703" s="21" t="s">
        <v>2726</v>
      </c>
      <c r="M703" s="19" t="s">
        <v>2377</v>
      </c>
      <c r="N703" s="19" t="s">
        <v>504</v>
      </c>
      <c r="O703" s="19" t="s">
        <v>2722</v>
      </c>
      <c r="P703" s="19"/>
      <c r="Q703" s="19" t="s">
        <v>211</v>
      </c>
      <c r="R703" s="16" t="s">
        <v>54</v>
      </c>
      <c r="S703" s="19" t="s">
        <v>2185</v>
      </c>
      <c r="T703" s="21" t="s">
        <v>55</v>
      </c>
    </row>
    <row r="704" spans="1:20" ht="33">
      <c r="A704" s="14" t="s">
        <v>1740</v>
      </c>
      <c r="B704" s="11" t="s">
        <v>487</v>
      </c>
      <c r="C704" s="11" t="s">
        <v>491</v>
      </c>
      <c r="D704" s="12" t="s">
        <v>2720</v>
      </c>
      <c r="E704" s="11" t="s">
        <v>505</v>
      </c>
      <c r="F704" s="11" t="s">
        <v>204</v>
      </c>
      <c r="G704" s="12" t="s">
        <v>2374</v>
      </c>
      <c r="H704" s="13" t="s">
        <v>2727</v>
      </c>
      <c r="I704" s="11" t="s">
        <v>507</v>
      </c>
      <c r="J704" s="14">
        <v>1</v>
      </c>
      <c r="K704" s="14" t="s">
        <v>2175</v>
      </c>
      <c r="L704" s="14" t="s">
        <v>2728</v>
      </c>
      <c r="M704" s="15" t="s">
        <v>2723</v>
      </c>
      <c r="N704" s="15" t="s">
        <v>509</v>
      </c>
      <c r="O704" s="15" t="s">
        <v>2377</v>
      </c>
      <c r="P704" s="15" t="s">
        <v>2724</v>
      </c>
      <c r="Q704" s="12" t="s">
        <v>286</v>
      </c>
      <c r="R704" s="22" t="s">
        <v>88</v>
      </c>
      <c r="S704" s="15" t="s">
        <v>2185</v>
      </c>
      <c r="T704" s="14" t="s">
        <v>55</v>
      </c>
    </row>
    <row r="705" spans="1:20" ht="16.5">
      <c r="A705" s="21" t="s">
        <v>1740</v>
      </c>
      <c r="B705" s="17" t="s">
        <v>487</v>
      </c>
      <c r="C705" s="17" t="s">
        <v>488</v>
      </c>
      <c r="D705" s="18" t="s">
        <v>2729</v>
      </c>
      <c r="E705" s="17" t="s">
        <v>490</v>
      </c>
      <c r="F705" s="17" t="s">
        <v>491</v>
      </c>
      <c r="G705" s="18" t="s">
        <v>2730</v>
      </c>
      <c r="H705" s="24" t="s">
        <v>584</v>
      </c>
      <c r="I705" s="17" t="s">
        <v>494</v>
      </c>
      <c r="J705" s="21">
        <v>1</v>
      </c>
      <c r="K705" s="21" t="s">
        <v>2175</v>
      </c>
      <c r="L705" s="21" t="s">
        <v>2731</v>
      </c>
      <c r="M705" s="19" t="s">
        <v>2732</v>
      </c>
      <c r="N705" s="19" t="s">
        <v>497</v>
      </c>
      <c r="O705" s="19" t="s">
        <v>2733</v>
      </c>
      <c r="P705" s="19" t="s">
        <v>2734</v>
      </c>
      <c r="Q705" s="19" t="s">
        <v>500</v>
      </c>
      <c r="R705" s="16" t="s">
        <v>54</v>
      </c>
      <c r="S705" s="19" t="s">
        <v>2185</v>
      </c>
      <c r="T705" s="21" t="s">
        <v>55</v>
      </c>
    </row>
    <row r="706" spans="1:20" ht="29.25">
      <c r="A706" s="14" t="s">
        <v>1740</v>
      </c>
      <c r="B706" s="11" t="s">
        <v>487</v>
      </c>
      <c r="C706" s="11" t="s">
        <v>204</v>
      </c>
      <c r="D706" s="12" t="s">
        <v>2429</v>
      </c>
      <c r="E706" s="11" t="s">
        <v>501</v>
      </c>
      <c r="F706" s="11" t="s">
        <v>488</v>
      </c>
      <c r="G706" s="12" t="s">
        <v>2729</v>
      </c>
      <c r="H706" s="13" t="s">
        <v>2735</v>
      </c>
      <c r="I706" s="11" t="s">
        <v>494</v>
      </c>
      <c r="J706" s="14">
        <v>1</v>
      </c>
      <c r="K706" s="14" t="s">
        <v>2175</v>
      </c>
      <c r="L706" s="14" t="s">
        <v>2736</v>
      </c>
      <c r="M706" s="15" t="s">
        <v>2432</v>
      </c>
      <c r="N706" s="15" t="s">
        <v>504</v>
      </c>
      <c r="O706" s="15" t="s">
        <v>2732</v>
      </c>
      <c r="P706" s="15"/>
      <c r="Q706" s="15" t="s">
        <v>211</v>
      </c>
      <c r="R706" s="16" t="s">
        <v>54</v>
      </c>
      <c r="S706" s="15" t="s">
        <v>2185</v>
      </c>
      <c r="T706" s="14" t="s">
        <v>55</v>
      </c>
    </row>
    <row r="707" spans="1:20" ht="33">
      <c r="A707" s="21" t="s">
        <v>1740</v>
      </c>
      <c r="B707" s="17" t="s">
        <v>487</v>
      </c>
      <c r="C707" s="17" t="s">
        <v>491</v>
      </c>
      <c r="D707" s="18" t="s">
        <v>2730</v>
      </c>
      <c r="E707" s="17" t="s">
        <v>505</v>
      </c>
      <c r="F707" s="17" t="s">
        <v>204</v>
      </c>
      <c r="G707" s="18" t="s">
        <v>2429</v>
      </c>
      <c r="H707" s="20" t="s">
        <v>2737</v>
      </c>
      <c r="I707" s="17" t="s">
        <v>507</v>
      </c>
      <c r="J707" s="21">
        <v>1</v>
      </c>
      <c r="K707" s="21" t="s">
        <v>2175</v>
      </c>
      <c r="L707" s="21" t="s">
        <v>2738</v>
      </c>
      <c r="M707" s="19" t="s">
        <v>2733</v>
      </c>
      <c r="N707" s="19" t="s">
        <v>509</v>
      </c>
      <c r="O707" s="19" t="s">
        <v>2432</v>
      </c>
      <c r="P707" s="19" t="s">
        <v>2734</v>
      </c>
      <c r="Q707" s="18" t="s">
        <v>286</v>
      </c>
      <c r="R707" s="22" t="s">
        <v>88</v>
      </c>
      <c r="S707" s="19" t="s">
        <v>2185</v>
      </c>
      <c r="T707" s="21" t="s">
        <v>55</v>
      </c>
    </row>
    <row r="708" spans="1:20" ht="16.5">
      <c r="A708" s="14" t="s">
        <v>1740</v>
      </c>
      <c r="B708" s="11" t="s">
        <v>487</v>
      </c>
      <c r="C708" s="11" t="s">
        <v>488</v>
      </c>
      <c r="D708" s="12" t="s">
        <v>2739</v>
      </c>
      <c r="E708" s="11" t="s">
        <v>490</v>
      </c>
      <c r="F708" s="11" t="s">
        <v>491</v>
      </c>
      <c r="G708" s="12" t="s">
        <v>2740</v>
      </c>
      <c r="H708" s="23" t="s">
        <v>584</v>
      </c>
      <c r="I708" s="11" t="s">
        <v>494</v>
      </c>
      <c r="J708" s="14">
        <v>1</v>
      </c>
      <c r="K708" s="14" t="s">
        <v>2175</v>
      </c>
      <c r="L708" s="14" t="s">
        <v>2741</v>
      </c>
      <c r="M708" s="15" t="s">
        <v>2742</v>
      </c>
      <c r="N708" s="15" t="s">
        <v>497</v>
      </c>
      <c r="O708" s="15" t="s">
        <v>2743</v>
      </c>
      <c r="P708" s="15" t="s">
        <v>2744</v>
      </c>
      <c r="Q708" s="15" t="s">
        <v>500</v>
      </c>
      <c r="R708" s="16" t="s">
        <v>54</v>
      </c>
      <c r="S708" s="15" t="s">
        <v>2185</v>
      </c>
      <c r="T708" s="14" t="s">
        <v>55</v>
      </c>
    </row>
    <row r="709" spans="1:20" ht="29.25">
      <c r="A709" s="21" t="s">
        <v>1740</v>
      </c>
      <c r="B709" s="17" t="s">
        <v>487</v>
      </c>
      <c r="C709" s="17" t="s">
        <v>204</v>
      </c>
      <c r="D709" s="18" t="s">
        <v>2454</v>
      </c>
      <c r="E709" s="17" t="s">
        <v>501</v>
      </c>
      <c r="F709" s="17" t="s">
        <v>488</v>
      </c>
      <c r="G709" s="18" t="s">
        <v>2739</v>
      </c>
      <c r="H709" s="20" t="s">
        <v>2745</v>
      </c>
      <c r="I709" s="17" t="s">
        <v>494</v>
      </c>
      <c r="J709" s="21">
        <v>1</v>
      </c>
      <c r="K709" s="21" t="s">
        <v>2175</v>
      </c>
      <c r="L709" s="21" t="s">
        <v>2746</v>
      </c>
      <c r="M709" s="19" t="s">
        <v>2457</v>
      </c>
      <c r="N709" s="19" t="s">
        <v>504</v>
      </c>
      <c r="O709" s="19" t="s">
        <v>2742</v>
      </c>
      <c r="P709" s="19"/>
      <c r="Q709" s="19" t="s">
        <v>211</v>
      </c>
      <c r="R709" s="16" t="s">
        <v>54</v>
      </c>
      <c r="S709" s="19" t="s">
        <v>2185</v>
      </c>
      <c r="T709" s="21" t="s">
        <v>55</v>
      </c>
    </row>
    <row r="710" spans="1:20" ht="33">
      <c r="A710" s="14" t="s">
        <v>1740</v>
      </c>
      <c r="B710" s="11" t="s">
        <v>487</v>
      </c>
      <c r="C710" s="11" t="s">
        <v>491</v>
      </c>
      <c r="D710" s="12" t="s">
        <v>2740</v>
      </c>
      <c r="E710" s="11" t="s">
        <v>505</v>
      </c>
      <c r="F710" s="11" t="s">
        <v>204</v>
      </c>
      <c r="G710" s="12" t="s">
        <v>2454</v>
      </c>
      <c r="H710" s="13" t="s">
        <v>2747</v>
      </c>
      <c r="I710" s="11" t="s">
        <v>507</v>
      </c>
      <c r="J710" s="14">
        <v>1</v>
      </c>
      <c r="K710" s="14" t="s">
        <v>2175</v>
      </c>
      <c r="L710" s="14" t="s">
        <v>2748</v>
      </c>
      <c r="M710" s="15" t="s">
        <v>2743</v>
      </c>
      <c r="N710" s="15" t="s">
        <v>509</v>
      </c>
      <c r="O710" s="15" t="s">
        <v>2457</v>
      </c>
      <c r="P710" s="15" t="s">
        <v>2744</v>
      </c>
      <c r="Q710" s="12" t="s">
        <v>286</v>
      </c>
      <c r="R710" s="22" t="s">
        <v>88</v>
      </c>
      <c r="S710" s="15" t="s">
        <v>2185</v>
      </c>
      <c r="T710" s="14" t="s">
        <v>55</v>
      </c>
    </row>
    <row r="711" spans="1:20" ht="16.5">
      <c r="A711" s="21" t="s">
        <v>1740</v>
      </c>
      <c r="B711" s="17" t="s">
        <v>578</v>
      </c>
      <c r="C711" s="17" t="s">
        <v>62</v>
      </c>
      <c r="D711" s="18" t="s">
        <v>2181</v>
      </c>
      <c r="E711" s="17" t="s">
        <v>45</v>
      </c>
      <c r="F711" s="17" t="s">
        <v>62</v>
      </c>
      <c r="G711" s="18" t="s">
        <v>2208</v>
      </c>
      <c r="H711" s="20" t="s">
        <v>2749</v>
      </c>
      <c r="I711" s="17" t="s">
        <v>1246</v>
      </c>
      <c r="J711" s="21">
        <v>1</v>
      </c>
      <c r="K711" s="21" t="s">
        <v>2175</v>
      </c>
      <c r="L711" s="21" t="s">
        <v>2750</v>
      </c>
      <c r="M711" s="19" t="s">
        <v>2184</v>
      </c>
      <c r="N711" s="19" t="s">
        <v>51</v>
      </c>
      <c r="O711" s="19" t="s">
        <v>2211</v>
      </c>
      <c r="P711" s="19"/>
      <c r="Q711" s="18" t="s">
        <v>649</v>
      </c>
      <c r="R711" s="22" t="s">
        <v>88</v>
      </c>
      <c r="S711" s="19" t="s">
        <v>2185</v>
      </c>
      <c r="T711" s="21" t="s">
        <v>55</v>
      </c>
    </row>
    <row r="712" spans="1:20" ht="16.5">
      <c r="A712" s="14" t="s">
        <v>1740</v>
      </c>
      <c r="B712" s="11" t="s">
        <v>578</v>
      </c>
      <c r="C712" s="11" t="s">
        <v>1250</v>
      </c>
      <c r="D712" s="12" t="s">
        <v>2751</v>
      </c>
      <c r="E712" s="11" t="s">
        <v>579</v>
      </c>
      <c r="F712" s="11" t="s">
        <v>62</v>
      </c>
      <c r="G712" s="12" t="s">
        <v>2208</v>
      </c>
      <c r="H712" s="23" t="s">
        <v>584</v>
      </c>
      <c r="I712" s="11" t="s">
        <v>1246</v>
      </c>
      <c r="J712" s="14">
        <v>1</v>
      </c>
      <c r="K712" s="14" t="s">
        <v>2175</v>
      </c>
      <c r="L712" s="14" t="s">
        <v>2752</v>
      </c>
      <c r="M712" s="15" t="s">
        <v>2753</v>
      </c>
      <c r="N712" s="15" t="s">
        <v>583</v>
      </c>
      <c r="O712" s="15" t="s">
        <v>2211</v>
      </c>
      <c r="P712" s="15"/>
      <c r="Q712" s="12" t="s">
        <v>53</v>
      </c>
      <c r="R712" s="16" t="s">
        <v>54</v>
      </c>
      <c r="S712" s="15" t="s">
        <v>2185</v>
      </c>
      <c r="T712" s="14" t="s">
        <v>55</v>
      </c>
    </row>
    <row r="713" spans="1:20" ht="16.5">
      <c r="A713" s="21" t="s">
        <v>1740</v>
      </c>
      <c r="B713" s="17" t="s">
        <v>578</v>
      </c>
      <c r="C713" s="17" t="s">
        <v>62</v>
      </c>
      <c r="D713" s="18" t="s">
        <v>2208</v>
      </c>
      <c r="E713" s="17" t="s">
        <v>635</v>
      </c>
      <c r="F713" s="17" t="s">
        <v>300</v>
      </c>
      <c r="G713" s="18" t="s">
        <v>2754</v>
      </c>
      <c r="H713" s="24" t="s">
        <v>584</v>
      </c>
      <c r="I713" s="17" t="s">
        <v>1246</v>
      </c>
      <c r="J713" s="21">
        <v>1</v>
      </c>
      <c r="K713" s="21" t="s">
        <v>2175</v>
      </c>
      <c r="L713" s="21" t="s">
        <v>2755</v>
      </c>
      <c r="M713" s="19" t="s">
        <v>2211</v>
      </c>
      <c r="N713" s="19" t="s">
        <v>640</v>
      </c>
      <c r="O713" s="19" t="s">
        <v>2756</v>
      </c>
      <c r="P713" s="19"/>
      <c r="Q713" s="18" t="s">
        <v>53</v>
      </c>
      <c r="R713" s="16" t="s">
        <v>54</v>
      </c>
      <c r="S713" s="19" t="s">
        <v>2185</v>
      </c>
      <c r="T713" s="21" t="s">
        <v>55</v>
      </c>
    </row>
    <row r="714" spans="1:20" ht="16.5">
      <c r="A714" s="14" t="s">
        <v>1740</v>
      </c>
      <c r="B714" s="11" t="s">
        <v>578</v>
      </c>
      <c r="C714" s="11" t="s">
        <v>300</v>
      </c>
      <c r="D714" s="12" t="s">
        <v>2754</v>
      </c>
      <c r="E714" s="11" t="s">
        <v>579</v>
      </c>
      <c r="F714" s="11" t="s">
        <v>62</v>
      </c>
      <c r="G714" s="12" t="s">
        <v>2237</v>
      </c>
      <c r="H714" s="23" t="s">
        <v>584</v>
      </c>
      <c r="I714" s="11" t="s">
        <v>1257</v>
      </c>
      <c r="J714" s="14">
        <v>1</v>
      </c>
      <c r="K714" s="14" t="s">
        <v>2175</v>
      </c>
      <c r="L714" s="14" t="s">
        <v>2757</v>
      </c>
      <c r="M714" s="15" t="s">
        <v>2756</v>
      </c>
      <c r="N714" s="15" t="s">
        <v>583</v>
      </c>
      <c r="O714" s="15" t="s">
        <v>2240</v>
      </c>
      <c r="P714" s="15"/>
      <c r="Q714" s="12" t="s">
        <v>53</v>
      </c>
      <c r="R714" s="16" t="s">
        <v>54</v>
      </c>
      <c r="S714" s="15" t="s">
        <v>2185</v>
      </c>
      <c r="T714" s="14" t="s">
        <v>55</v>
      </c>
    </row>
    <row r="715" spans="1:20" ht="16.5">
      <c r="A715" s="21" t="s">
        <v>1740</v>
      </c>
      <c r="B715" s="17" t="s">
        <v>578</v>
      </c>
      <c r="C715" s="17" t="s">
        <v>62</v>
      </c>
      <c r="D715" s="18" t="s">
        <v>2237</v>
      </c>
      <c r="E715" s="17" t="s">
        <v>45</v>
      </c>
      <c r="F715" s="17" t="s">
        <v>62</v>
      </c>
      <c r="G715" s="18" t="s">
        <v>2143</v>
      </c>
      <c r="H715" s="24" t="s">
        <v>2403</v>
      </c>
      <c r="I715" s="17" t="s">
        <v>2758</v>
      </c>
      <c r="J715" s="21">
        <v>1</v>
      </c>
      <c r="K715" s="21" t="s">
        <v>2175</v>
      </c>
      <c r="L715" s="21" t="s">
        <v>2759</v>
      </c>
      <c r="M715" s="19" t="s">
        <v>2240</v>
      </c>
      <c r="N715" s="19" t="s">
        <v>51</v>
      </c>
      <c r="O715" s="19" t="s">
        <v>2146</v>
      </c>
      <c r="P715" s="19"/>
      <c r="Q715" s="18" t="s">
        <v>53</v>
      </c>
      <c r="R715" s="16" t="s">
        <v>54</v>
      </c>
      <c r="S715" s="19" t="s">
        <v>2185</v>
      </c>
      <c r="T715" s="21" t="s">
        <v>55</v>
      </c>
    </row>
    <row r="716" spans="1:20" ht="16.5">
      <c r="A716" s="14" t="s">
        <v>1740</v>
      </c>
      <c r="B716" s="11" t="s">
        <v>578</v>
      </c>
      <c r="C716" s="11" t="s">
        <v>62</v>
      </c>
      <c r="D716" s="12" t="s">
        <v>2237</v>
      </c>
      <c r="E716" s="11" t="s">
        <v>45</v>
      </c>
      <c r="F716" s="11" t="s">
        <v>62</v>
      </c>
      <c r="G716" s="12" t="s">
        <v>2279</v>
      </c>
      <c r="H716" s="23" t="s">
        <v>2428</v>
      </c>
      <c r="I716" s="11" t="s">
        <v>2758</v>
      </c>
      <c r="J716" s="14">
        <v>1</v>
      </c>
      <c r="K716" s="14" t="s">
        <v>2175</v>
      </c>
      <c r="L716" s="14" t="s">
        <v>2760</v>
      </c>
      <c r="M716" s="15" t="s">
        <v>2240</v>
      </c>
      <c r="N716" s="15" t="s">
        <v>51</v>
      </c>
      <c r="O716" s="15" t="s">
        <v>2282</v>
      </c>
      <c r="P716" s="15"/>
      <c r="Q716" s="12" t="s">
        <v>53</v>
      </c>
      <c r="R716" s="16" t="s">
        <v>54</v>
      </c>
      <c r="S716" s="15" t="s">
        <v>2185</v>
      </c>
      <c r="T716" s="14" t="s">
        <v>55</v>
      </c>
    </row>
    <row r="717" spans="1:20" ht="16.5">
      <c r="A717" s="21" t="s">
        <v>1740</v>
      </c>
      <c r="B717" s="17" t="s">
        <v>578</v>
      </c>
      <c r="C717" s="17" t="s">
        <v>300</v>
      </c>
      <c r="D717" s="18" t="s">
        <v>1962</v>
      </c>
      <c r="E717" s="17" t="s">
        <v>579</v>
      </c>
      <c r="F717" s="17" t="s">
        <v>62</v>
      </c>
      <c r="G717" s="18" t="s">
        <v>2143</v>
      </c>
      <c r="H717" s="24" t="s">
        <v>2398</v>
      </c>
      <c r="I717" s="17" t="s">
        <v>2758</v>
      </c>
      <c r="J717" s="21">
        <v>1</v>
      </c>
      <c r="K717" s="21" t="s">
        <v>2175</v>
      </c>
      <c r="L717" s="21" t="s">
        <v>2761</v>
      </c>
      <c r="M717" s="19" t="s">
        <v>1965</v>
      </c>
      <c r="N717" s="19" t="s">
        <v>583</v>
      </c>
      <c r="O717" s="19" t="s">
        <v>2146</v>
      </c>
      <c r="P717" s="19"/>
      <c r="Q717" s="18" t="s">
        <v>53</v>
      </c>
      <c r="R717" s="16" t="s">
        <v>54</v>
      </c>
      <c r="S717" s="19" t="s">
        <v>2185</v>
      </c>
      <c r="T717" s="21" t="s">
        <v>55</v>
      </c>
    </row>
    <row r="718" spans="1:20" ht="16.5">
      <c r="A718" s="14" t="s">
        <v>1740</v>
      </c>
      <c r="B718" s="11" t="s">
        <v>578</v>
      </c>
      <c r="C718" s="11" t="s">
        <v>300</v>
      </c>
      <c r="D718" s="12" t="s">
        <v>2762</v>
      </c>
      <c r="E718" s="11" t="s">
        <v>643</v>
      </c>
      <c r="F718" s="11" t="s">
        <v>62</v>
      </c>
      <c r="G718" s="12" t="s">
        <v>2143</v>
      </c>
      <c r="H718" s="13" t="s">
        <v>2763</v>
      </c>
      <c r="I718" s="11" t="s">
        <v>2758</v>
      </c>
      <c r="J718" s="14">
        <v>1</v>
      </c>
      <c r="K718" s="14" t="s">
        <v>2175</v>
      </c>
      <c r="L718" s="14" t="s">
        <v>2764</v>
      </c>
      <c r="M718" s="15" t="s">
        <v>2765</v>
      </c>
      <c r="N718" s="15" t="s">
        <v>648</v>
      </c>
      <c r="O718" s="15" t="s">
        <v>2146</v>
      </c>
      <c r="P718" s="15"/>
      <c r="Q718" s="12" t="s">
        <v>649</v>
      </c>
      <c r="R718" s="22" t="s">
        <v>88</v>
      </c>
      <c r="S718" s="15" t="s">
        <v>2185</v>
      </c>
      <c r="T718" s="14" t="s">
        <v>55</v>
      </c>
    </row>
    <row r="719" spans="1:20" ht="16.5">
      <c r="A719" s="21" t="s">
        <v>1740</v>
      </c>
      <c r="B719" s="17" t="s">
        <v>578</v>
      </c>
      <c r="C719" s="17" t="s">
        <v>62</v>
      </c>
      <c r="D719" s="18" t="s">
        <v>2143</v>
      </c>
      <c r="E719" s="17" t="s">
        <v>635</v>
      </c>
      <c r="F719" s="17" t="s">
        <v>300</v>
      </c>
      <c r="G719" s="18" t="s">
        <v>2766</v>
      </c>
      <c r="H719" s="24" t="s">
        <v>584</v>
      </c>
      <c r="I719" s="17" t="s">
        <v>2767</v>
      </c>
      <c r="J719" s="21">
        <v>1</v>
      </c>
      <c r="K719" s="21" t="s">
        <v>2175</v>
      </c>
      <c r="L719" s="21" t="s">
        <v>2768</v>
      </c>
      <c r="M719" s="19" t="s">
        <v>2146</v>
      </c>
      <c r="N719" s="19" t="s">
        <v>640</v>
      </c>
      <c r="O719" s="19" t="s">
        <v>2769</v>
      </c>
      <c r="P719" s="19"/>
      <c r="Q719" s="18" t="s">
        <v>53</v>
      </c>
      <c r="R719" s="16" t="s">
        <v>54</v>
      </c>
      <c r="S719" s="19" t="s">
        <v>2185</v>
      </c>
      <c r="T719" s="21" t="s">
        <v>55</v>
      </c>
    </row>
    <row r="720" spans="1:20" ht="16.5">
      <c r="A720" s="14" t="s">
        <v>1740</v>
      </c>
      <c r="B720" s="11" t="s">
        <v>578</v>
      </c>
      <c r="C720" s="11" t="s">
        <v>300</v>
      </c>
      <c r="D720" s="12" t="s">
        <v>2766</v>
      </c>
      <c r="E720" s="11" t="s">
        <v>579</v>
      </c>
      <c r="F720" s="11" t="s">
        <v>62</v>
      </c>
      <c r="G720" s="12" t="s">
        <v>2295</v>
      </c>
      <c r="H720" s="13" t="s">
        <v>2770</v>
      </c>
      <c r="I720" s="11" t="s">
        <v>2771</v>
      </c>
      <c r="J720" s="14">
        <v>1</v>
      </c>
      <c r="K720" s="14" t="s">
        <v>2175</v>
      </c>
      <c r="L720" s="14" t="s">
        <v>2772</v>
      </c>
      <c r="M720" s="15" t="s">
        <v>2769</v>
      </c>
      <c r="N720" s="15" t="s">
        <v>583</v>
      </c>
      <c r="O720" s="15" t="s">
        <v>2298</v>
      </c>
      <c r="P720" s="15"/>
      <c r="Q720" s="12" t="s">
        <v>53</v>
      </c>
      <c r="R720" s="16" t="s">
        <v>54</v>
      </c>
      <c r="S720" s="15" t="s">
        <v>2185</v>
      </c>
      <c r="T720" s="14" t="s">
        <v>55</v>
      </c>
    </row>
    <row r="721" spans="1:20" ht="16.5">
      <c r="A721" s="21" t="s">
        <v>1740</v>
      </c>
      <c r="B721" s="17" t="s">
        <v>578</v>
      </c>
      <c r="C721" s="17" t="s">
        <v>62</v>
      </c>
      <c r="D721" s="18" t="s">
        <v>2295</v>
      </c>
      <c r="E721" s="17" t="s">
        <v>612</v>
      </c>
      <c r="F721" s="17" t="s">
        <v>300</v>
      </c>
      <c r="G721" s="19" t="s">
        <v>2486</v>
      </c>
      <c r="H721" s="20" t="s">
        <v>2773</v>
      </c>
      <c r="I721" s="17" t="s">
        <v>614</v>
      </c>
      <c r="J721" s="21">
        <v>1</v>
      </c>
      <c r="K721" s="21" t="s">
        <v>2175</v>
      </c>
      <c r="L721" s="21" t="s">
        <v>2774</v>
      </c>
      <c r="M721" s="19" t="s">
        <v>2298</v>
      </c>
      <c r="N721" s="19" t="s">
        <v>616</v>
      </c>
      <c r="O721" s="19" t="s">
        <v>2489</v>
      </c>
      <c r="P721" s="19"/>
      <c r="Q721" s="18" t="s">
        <v>53</v>
      </c>
      <c r="R721" s="16" t="s">
        <v>54</v>
      </c>
      <c r="S721" s="19" t="s">
        <v>2185</v>
      </c>
      <c r="T721" s="21" t="s">
        <v>55</v>
      </c>
    </row>
    <row r="722" spans="1:20" ht="16.5">
      <c r="A722" s="14" t="s">
        <v>1740</v>
      </c>
      <c r="B722" s="11" t="s">
        <v>578</v>
      </c>
      <c r="C722" s="11" t="s">
        <v>62</v>
      </c>
      <c r="D722" s="12" t="s">
        <v>2295</v>
      </c>
      <c r="E722" s="11" t="s">
        <v>612</v>
      </c>
      <c r="F722" s="11" t="s">
        <v>300</v>
      </c>
      <c r="G722" s="12" t="s">
        <v>2775</v>
      </c>
      <c r="H722" s="23" t="s">
        <v>584</v>
      </c>
      <c r="I722" s="11" t="s">
        <v>614</v>
      </c>
      <c r="J722" s="14">
        <v>1</v>
      </c>
      <c r="K722" s="14" t="s">
        <v>2175</v>
      </c>
      <c r="L722" s="14" t="s">
        <v>2776</v>
      </c>
      <c r="M722" s="15" t="s">
        <v>2298</v>
      </c>
      <c r="N722" s="15" t="s">
        <v>616</v>
      </c>
      <c r="O722" s="15" t="s">
        <v>2777</v>
      </c>
      <c r="P722" s="15"/>
      <c r="Q722" s="12" t="s">
        <v>53</v>
      </c>
      <c r="R722" s="16" t="s">
        <v>54</v>
      </c>
      <c r="S722" s="15" t="s">
        <v>2185</v>
      </c>
      <c r="T722" s="14" t="s">
        <v>55</v>
      </c>
    </row>
    <row r="723" spans="1:20" ht="16.5">
      <c r="A723" s="21" t="s">
        <v>1740</v>
      </c>
      <c r="B723" s="17" t="s">
        <v>578</v>
      </c>
      <c r="C723" s="17" t="s">
        <v>300</v>
      </c>
      <c r="D723" s="18" t="s">
        <v>2775</v>
      </c>
      <c r="E723" s="17" t="s">
        <v>579</v>
      </c>
      <c r="F723" s="17" t="s">
        <v>62</v>
      </c>
      <c r="G723" s="18" t="s">
        <v>2279</v>
      </c>
      <c r="H723" s="24" t="s">
        <v>584</v>
      </c>
      <c r="I723" s="17" t="s">
        <v>2758</v>
      </c>
      <c r="J723" s="21">
        <v>1</v>
      </c>
      <c r="K723" s="21" t="s">
        <v>2175</v>
      </c>
      <c r="L723" s="21" t="s">
        <v>2778</v>
      </c>
      <c r="M723" s="19" t="s">
        <v>2777</v>
      </c>
      <c r="N723" s="19" t="s">
        <v>583</v>
      </c>
      <c r="O723" s="19" t="s">
        <v>2282</v>
      </c>
      <c r="P723" s="19"/>
      <c r="Q723" s="18" t="s">
        <v>53</v>
      </c>
      <c r="R723" s="16" t="s">
        <v>54</v>
      </c>
      <c r="S723" s="19" t="s">
        <v>2185</v>
      </c>
      <c r="T723" s="21" t="s">
        <v>55</v>
      </c>
    </row>
    <row r="724" spans="1:20" ht="16.5">
      <c r="A724" s="14" t="s">
        <v>1740</v>
      </c>
      <c r="B724" s="11" t="s">
        <v>578</v>
      </c>
      <c r="C724" s="11" t="s">
        <v>62</v>
      </c>
      <c r="D724" s="12" t="s">
        <v>2279</v>
      </c>
      <c r="E724" s="11" t="s">
        <v>635</v>
      </c>
      <c r="F724" s="11" t="s">
        <v>300</v>
      </c>
      <c r="G724" s="12" t="s">
        <v>2779</v>
      </c>
      <c r="H724" s="23" t="s">
        <v>584</v>
      </c>
      <c r="I724" s="11" t="s">
        <v>2767</v>
      </c>
      <c r="J724" s="14">
        <v>1</v>
      </c>
      <c r="K724" s="14" t="s">
        <v>2175</v>
      </c>
      <c r="L724" s="14" t="s">
        <v>2780</v>
      </c>
      <c r="M724" s="15" t="s">
        <v>2282</v>
      </c>
      <c r="N724" s="15" t="s">
        <v>640</v>
      </c>
      <c r="O724" s="15" t="s">
        <v>2781</v>
      </c>
      <c r="P724" s="15"/>
      <c r="Q724" s="12" t="s">
        <v>53</v>
      </c>
      <c r="R724" s="16" t="s">
        <v>54</v>
      </c>
      <c r="S724" s="15" t="s">
        <v>2185</v>
      </c>
      <c r="T724" s="14" t="s">
        <v>55</v>
      </c>
    </row>
    <row r="725" spans="1:20" ht="16.5">
      <c r="A725" s="21" t="s">
        <v>1740</v>
      </c>
      <c r="B725" s="17" t="s">
        <v>578</v>
      </c>
      <c r="C725" s="17" t="s">
        <v>300</v>
      </c>
      <c r="D725" s="18" t="s">
        <v>2779</v>
      </c>
      <c r="E725" s="17" t="s">
        <v>579</v>
      </c>
      <c r="F725" s="17" t="s">
        <v>62</v>
      </c>
      <c r="G725" s="18" t="s">
        <v>2330</v>
      </c>
      <c r="H725" s="20" t="s">
        <v>2782</v>
      </c>
      <c r="I725" s="17" t="s">
        <v>2771</v>
      </c>
      <c r="J725" s="21">
        <v>1</v>
      </c>
      <c r="K725" s="21" t="s">
        <v>2175</v>
      </c>
      <c r="L725" s="21" t="s">
        <v>2783</v>
      </c>
      <c r="M725" s="19" t="s">
        <v>2781</v>
      </c>
      <c r="N725" s="19" t="s">
        <v>583</v>
      </c>
      <c r="O725" s="19" t="s">
        <v>2333</v>
      </c>
      <c r="P725" s="19"/>
      <c r="Q725" s="18" t="s">
        <v>53</v>
      </c>
      <c r="R725" s="16" t="s">
        <v>54</v>
      </c>
      <c r="S725" s="19" t="s">
        <v>2185</v>
      </c>
      <c r="T725" s="21" t="s">
        <v>55</v>
      </c>
    </row>
    <row r="726" spans="1:20" ht="16.5">
      <c r="A726" s="14" t="s">
        <v>1740</v>
      </c>
      <c r="B726" s="11" t="s">
        <v>578</v>
      </c>
      <c r="C726" s="11" t="s">
        <v>62</v>
      </c>
      <c r="D726" s="12" t="s">
        <v>2330</v>
      </c>
      <c r="E726" s="11" t="s">
        <v>612</v>
      </c>
      <c r="F726" s="11" t="s">
        <v>300</v>
      </c>
      <c r="G726" s="12" t="s">
        <v>1013</v>
      </c>
      <c r="H726" s="13" t="s">
        <v>2784</v>
      </c>
      <c r="I726" s="11" t="s">
        <v>614</v>
      </c>
      <c r="J726" s="14">
        <v>1</v>
      </c>
      <c r="K726" s="14" t="s">
        <v>2175</v>
      </c>
      <c r="L726" s="14" t="s">
        <v>2785</v>
      </c>
      <c r="M726" s="15" t="s">
        <v>2333</v>
      </c>
      <c r="N726" s="15" t="s">
        <v>616</v>
      </c>
      <c r="O726" s="15" t="s">
        <v>1017</v>
      </c>
      <c r="P726" s="15"/>
      <c r="Q726" s="12" t="s">
        <v>53</v>
      </c>
      <c r="R726" s="16" t="s">
        <v>54</v>
      </c>
      <c r="S726" s="15" t="s">
        <v>2185</v>
      </c>
      <c r="T726" s="14" t="s">
        <v>55</v>
      </c>
    </row>
    <row r="727" spans="1:20" ht="16.5">
      <c r="A727" s="21" t="s">
        <v>1740</v>
      </c>
      <c r="B727" s="17" t="s">
        <v>578</v>
      </c>
      <c r="C727" s="17" t="s">
        <v>62</v>
      </c>
      <c r="D727" s="18" t="s">
        <v>2330</v>
      </c>
      <c r="E727" s="17" t="s">
        <v>612</v>
      </c>
      <c r="F727" s="17" t="s">
        <v>300</v>
      </c>
      <c r="G727" s="18" t="s">
        <v>2762</v>
      </c>
      <c r="H727" s="24" t="s">
        <v>584</v>
      </c>
      <c r="I727" s="17" t="s">
        <v>614</v>
      </c>
      <c r="J727" s="21">
        <v>1</v>
      </c>
      <c r="K727" s="21" t="s">
        <v>2175</v>
      </c>
      <c r="L727" s="21" t="s">
        <v>2786</v>
      </c>
      <c r="M727" s="19" t="s">
        <v>2333</v>
      </c>
      <c r="N727" s="19" t="s">
        <v>616</v>
      </c>
      <c r="O727" s="19" t="s">
        <v>2765</v>
      </c>
      <c r="P727" s="19"/>
      <c r="Q727" s="18" t="s">
        <v>53</v>
      </c>
      <c r="R727" s="16" t="s">
        <v>54</v>
      </c>
      <c r="S727" s="19" t="s">
        <v>2185</v>
      </c>
      <c r="T727" s="21" t="s">
        <v>55</v>
      </c>
    </row>
    <row r="728" spans="1:20" ht="16.5">
      <c r="A728" s="14" t="s">
        <v>1740</v>
      </c>
      <c r="B728" s="11" t="s">
        <v>578</v>
      </c>
      <c r="C728" s="11" t="s">
        <v>62</v>
      </c>
      <c r="D728" s="12" t="s">
        <v>2787</v>
      </c>
      <c r="E728" s="11" t="s">
        <v>45</v>
      </c>
      <c r="F728" s="11" t="s">
        <v>62</v>
      </c>
      <c r="G728" s="12" t="s">
        <v>2143</v>
      </c>
      <c r="H728" s="13" t="s">
        <v>2788</v>
      </c>
      <c r="I728" s="11" t="s">
        <v>2789</v>
      </c>
      <c r="J728" s="14">
        <v>1</v>
      </c>
      <c r="K728" s="14" t="s">
        <v>2175</v>
      </c>
      <c r="L728" s="14" t="s">
        <v>2790</v>
      </c>
      <c r="M728" s="15" t="s">
        <v>2791</v>
      </c>
      <c r="N728" s="15" t="s">
        <v>51</v>
      </c>
      <c r="O728" s="15" t="s">
        <v>2146</v>
      </c>
      <c r="P728" s="15"/>
      <c r="Q728" s="12" t="s">
        <v>606</v>
      </c>
      <c r="R728" s="25" t="s">
        <v>607</v>
      </c>
      <c r="S728" s="15" t="s">
        <v>2185</v>
      </c>
      <c r="T728" s="14" t="s">
        <v>55</v>
      </c>
    </row>
    <row r="729" spans="1:20" ht="16.5">
      <c r="A729" s="21" t="s">
        <v>1740</v>
      </c>
      <c r="B729" s="17" t="s">
        <v>650</v>
      </c>
      <c r="C729" s="17" t="s">
        <v>204</v>
      </c>
      <c r="D729" s="18" t="s">
        <v>2399</v>
      </c>
      <c r="E729" s="17" t="s">
        <v>667</v>
      </c>
      <c r="F729" s="17" t="s">
        <v>204</v>
      </c>
      <c r="G729" s="18" t="s">
        <v>2434</v>
      </c>
      <c r="H729" s="20" t="s">
        <v>2792</v>
      </c>
      <c r="I729" s="17" t="s">
        <v>507</v>
      </c>
      <c r="J729" s="21">
        <v>1</v>
      </c>
      <c r="K729" s="21" t="s">
        <v>2175</v>
      </c>
      <c r="L729" s="21" t="s">
        <v>2793</v>
      </c>
      <c r="M729" s="19" t="s">
        <v>2402</v>
      </c>
      <c r="N729" s="19" t="s">
        <v>670</v>
      </c>
      <c r="O729" s="19" t="s">
        <v>2437</v>
      </c>
      <c r="P729" s="19" t="s">
        <v>2794</v>
      </c>
      <c r="Q729" s="19" t="s">
        <v>661</v>
      </c>
      <c r="R729" s="16" t="s">
        <v>54</v>
      </c>
      <c r="S729" s="19" t="s">
        <v>2185</v>
      </c>
      <c r="T729" s="21" t="s">
        <v>55</v>
      </c>
    </row>
    <row r="730" spans="1:20" ht="16.5">
      <c r="A730" s="14" t="s">
        <v>1740</v>
      </c>
      <c r="B730" s="11" t="s">
        <v>650</v>
      </c>
      <c r="C730" s="11" t="s">
        <v>204</v>
      </c>
      <c r="D730" s="12" t="s">
        <v>2424</v>
      </c>
      <c r="E730" s="11" t="s">
        <v>667</v>
      </c>
      <c r="F730" s="11" t="s">
        <v>204</v>
      </c>
      <c r="G730" s="12" t="s">
        <v>2459</v>
      </c>
      <c r="H730" s="23" t="s">
        <v>584</v>
      </c>
      <c r="I730" s="11" t="s">
        <v>507</v>
      </c>
      <c r="J730" s="14">
        <v>1</v>
      </c>
      <c r="K730" s="14" t="s">
        <v>2175</v>
      </c>
      <c r="L730" s="14" t="s">
        <v>2795</v>
      </c>
      <c r="M730" s="15" t="s">
        <v>2427</v>
      </c>
      <c r="N730" s="15" t="s">
        <v>670</v>
      </c>
      <c r="O730" s="15" t="s">
        <v>2462</v>
      </c>
      <c r="P730" s="15" t="s">
        <v>2796</v>
      </c>
      <c r="Q730" s="15" t="s">
        <v>661</v>
      </c>
      <c r="R730" s="16" t="s">
        <v>54</v>
      </c>
      <c r="S730" s="15" t="s">
        <v>2185</v>
      </c>
      <c r="T730" s="14" t="s">
        <v>55</v>
      </c>
    </row>
    <row r="731" spans="1:20" ht="16.5">
      <c r="A731" s="21" t="s">
        <v>1740</v>
      </c>
      <c r="B731" s="17" t="s">
        <v>650</v>
      </c>
      <c r="C731" s="17" t="s">
        <v>204</v>
      </c>
      <c r="D731" s="19" t="s">
        <v>2474</v>
      </c>
      <c r="E731" s="17" t="s">
        <v>505</v>
      </c>
      <c r="F731" s="17" t="s">
        <v>204</v>
      </c>
      <c r="G731" s="18" t="s">
        <v>2478</v>
      </c>
      <c r="H731" s="20" t="s">
        <v>2797</v>
      </c>
      <c r="I731" s="17" t="s">
        <v>652</v>
      </c>
      <c r="J731" s="21">
        <v>1</v>
      </c>
      <c r="K731" s="21" t="s">
        <v>2175</v>
      </c>
      <c r="L731" s="21" t="s">
        <v>2798</v>
      </c>
      <c r="M731" s="19" t="s">
        <v>2477</v>
      </c>
      <c r="N731" s="19" t="s">
        <v>509</v>
      </c>
      <c r="O731" s="19" t="s">
        <v>2481</v>
      </c>
      <c r="P731" s="19"/>
      <c r="Q731" s="18" t="s">
        <v>286</v>
      </c>
      <c r="R731" s="22" t="s">
        <v>88</v>
      </c>
      <c r="S731" s="19" t="s">
        <v>2185</v>
      </c>
      <c r="T731" s="21" t="s">
        <v>55</v>
      </c>
    </row>
    <row r="732" spans="1:20" ht="16.5">
      <c r="A732" s="14" t="s">
        <v>1740</v>
      </c>
      <c r="B732" s="11" t="s">
        <v>650</v>
      </c>
      <c r="C732" s="11" t="s">
        <v>204</v>
      </c>
      <c r="D732" s="12" t="s">
        <v>2434</v>
      </c>
      <c r="E732" s="11" t="s">
        <v>654</v>
      </c>
      <c r="F732" s="11" t="s">
        <v>295</v>
      </c>
      <c r="G732" s="12" t="s">
        <v>2482</v>
      </c>
      <c r="H732" s="23" t="s">
        <v>2799</v>
      </c>
      <c r="I732" s="11" t="s">
        <v>652</v>
      </c>
      <c r="J732" s="14">
        <v>1</v>
      </c>
      <c r="K732" s="14" t="s">
        <v>2175</v>
      </c>
      <c r="L732" s="14" t="s">
        <v>2800</v>
      </c>
      <c r="M732" s="15" t="s">
        <v>2437</v>
      </c>
      <c r="N732" s="15" t="s">
        <v>657</v>
      </c>
      <c r="O732" s="15" t="s">
        <v>2485</v>
      </c>
      <c r="P732" s="15" t="s">
        <v>2438</v>
      </c>
      <c r="Q732" s="12" t="s">
        <v>286</v>
      </c>
      <c r="R732" s="22" t="s">
        <v>88</v>
      </c>
      <c r="S732" s="15" t="s">
        <v>2185</v>
      </c>
      <c r="T732" s="14" t="s">
        <v>55</v>
      </c>
    </row>
    <row r="733" spans="1:20" ht="16.5">
      <c r="A733" s="21" t="s">
        <v>1740</v>
      </c>
      <c r="B733" s="17" t="s">
        <v>650</v>
      </c>
      <c r="C733" s="17" t="s">
        <v>204</v>
      </c>
      <c r="D733" s="18" t="s">
        <v>2434</v>
      </c>
      <c r="E733" s="17" t="s">
        <v>667</v>
      </c>
      <c r="F733" s="17" t="s">
        <v>295</v>
      </c>
      <c r="G733" s="19" t="s">
        <v>2801</v>
      </c>
      <c r="H733" s="24" t="s">
        <v>2802</v>
      </c>
      <c r="I733" s="17" t="s">
        <v>652</v>
      </c>
      <c r="J733" s="21">
        <v>1</v>
      </c>
      <c r="K733" s="21" t="s">
        <v>2175</v>
      </c>
      <c r="L733" s="21" t="s">
        <v>2803</v>
      </c>
      <c r="M733" s="19" t="s">
        <v>2437</v>
      </c>
      <c r="N733" s="19" t="s">
        <v>670</v>
      </c>
      <c r="O733" s="19" t="s">
        <v>2804</v>
      </c>
      <c r="P733" s="19" t="s">
        <v>2438</v>
      </c>
      <c r="Q733" s="18" t="s">
        <v>286</v>
      </c>
      <c r="R733" s="22" t="s">
        <v>88</v>
      </c>
      <c r="S733" s="19" t="s">
        <v>2185</v>
      </c>
      <c r="T733" s="21" t="s">
        <v>55</v>
      </c>
    </row>
    <row r="734" spans="1:20" ht="16.5">
      <c r="A734" s="14" t="s">
        <v>1740</v>
      </c>
      <c r="B734" s="11" t="s">
        <v>650</v>
      </c>
      <c r="C734" s="11" t="s">
        <v>204</v>
      </c>
      <c r="D734" s="12" t="s">
        <v>2389</v>
      </c>
      <c r="E734" s="11" t="s">
        <v>667</v>
      </c>
      <c r="F734" s="11" t="s">
        <v>295</v>
      </c>
      <c r="G734" s="15" t="s">
        <v>2801</v>
      </c>
      <c r="H734" s="23" t="s">
        <v>584</v>
      </c>
      <c r="I734" s="11" t="s">
        <v>652</v>
      </c>
      <c r="J734" s="14">
        <v>2</v>
      </c>
      <c r="K734" s="14" t="s">
        <v>2175</v>
      </c>
      <c r="L734" s="14" t="s">
        <v>2805</v>
      </c>
      <c r="M734" s="15" t="s">
        <v>2392</v>
      </c>
      <c r="N734" s="15" t="s">
        <v>670</v>
      </c>
      <c r="O734" s="15" t="s">
        <v>2804</v>
      </c>
      <c r="P734" s="15" t="s">
        <v>2393</v>
      </c>
      <c r="Q734" s="12" t="s">
        <v>286</v>
      </c>
      <c r="R734" s="22" t="s">
        <v>88</v>
      </c>
      <c r="S734" s="15" t="s">
        <v>2185</v>
      </c>
      <c r="T734" s="14" t="s">
        <v>55</v>
      </c>
    </row>
    <row r="735" spans="1:20" ht="16.5">
      <c r="A735" s="21" t="s">
        <v>1740</v>
      </c>
      <c r="B735" s="17" t="s">
        <v>650</v>
      </c>
      <c r="C735" s="17" t="s">
        <v>204</v>
      </c>
      <c r="D735" s="18" t="s">
        <v>2394</v>
      </c>
      <c r="E735" s="17" t="s">
        <v>505</v>
      </c>
      <c r="F735" s="17" t="s">
        <v>204</v>
      </c>
      <c r="G735" s="19" t="s">
        <v>2474</v>
      </c>
      <c r="H735" s="24" t="s">
        <v>584</v>
      </c>
      <c r="I735" s="17" t="s">
        <v>680</v>
      </c>
      <c r="J735" s="21">
        <v>1</v>
      </c>
      <c r="K735" s="21" t="s">
        <v>2175</v>
      </c>
      <c r="L735" s="21" t="s">
        <v>2806</v>
      </c>
      <c r="M735" s="19" t="s">
        <v>2397</v>
      </c>
      <c r="N735" s="19" t="s">
        <v>509</v>
      </c>
      <c r="O735" s="19" t="s">
        <v>2477</v>
      </c>
      <c r="P735" s="19" t="s">
        <v>2398</v>
      </c>
      <c r="Q735" s="19" t="s">
        <v>661</v>
      </c>
      <c r="R735" s="16" t="s">
        <v>54</v>
      </c>
      <c r="S735" s="19" t="s">
        <v>2185</v>
      </c>
      <c r="T735" s="21" t="s">
        <v>55</v>
      </c>
    </row>
    <row r="736" spans="1:20" ht="16.5">
      <c r="A736" s="14" t="s">
        <v>1740</v>
      </c>
      <c r="B736" s="11" t="s">
        <v>695</v>
      </c>
      <c r="C736" s="11" t="s">
        <v>295</v>
      </c>
      <c r="D736" s="12" t="s">
        <v>2482</v>
      </c>
      <c r="E736" s="11" t="s">
        <v>654</v>
      </c>
      <c r="F736" s="11" t="s">
        <v>698</v>
      </c>
      <c r="G736" s="12" t="s">
        <v>2167</v>
      </c>
      <c r="H736" s="13" t="s">
        <v>2807</v>
      </c>
      <c r="I736" s="11" t="s">
        <v>701</v>
      </c>
      <c r="J736" s="14">
        <v>1</v>
      </c>
      <c r="K736" s="14" t="s">
        <v>2175</v>
      </c>
      <c r="L736" s="14" t="s">
        <v>2808</v>
      </c>
      <c r="M736" s="15" t="s">
        <v>2485</v>
      </c>
      <c r="N736" s="15" t="s">
        <v>657</v>
      </c>
      <c r="O736" s="15" t="s">
        <v>2169</v>
      </c>
      <c r="P736" s="15"/>
      <c r="Q736" s="12" t="s">
        <v>286</v>
      </c>
      <c r="R736" s="22" t="s">
        <v>88</v>
      </c>
      <c r="S736" s="15" t="s">
        <v>2185</v>
      </c>
      <c r="T736" s="14" t="s">
        <v>55</v>
      </c>
    </row>
    <row r="737" spans="1:20" ht="16.5">
      <c r="A737" s="17" t="s">
        <v>1745</v>
      </c>
      <c r="B737" s="17" t="s">
        <v>43</v>
      </c>
      <c r="C737" s="17" t="s">
        <v>44</v>
      </c>
      <c r="D737" s="18" t="s">
        <v>1745</v>
      </c>
      <c r="E737" s="17" t="s">
        <v>45</v>
      </c>
      <c r="F737" s="17" t="s">
        <v>44</v>
      </c>
      <c r="G737" s="18" t="s">
        <v>46</v>
      </c>
      <c r="H737" s="20" t="s">
        <v>2809</v>
      </c>
      <c r="I737" s="17" t="s">
        <v>43</v>
      </c>
      <c r="J737" s="21">
        <v>1</v>
      </c>
      <c r="K737" s="21" t="s">
        <v>2810</v>
      </c>
      <c r="L737" s="21" t="s">
        <v>2811</v>
      </c>
      <c r="M737" s="19" t="s">
        <v>1748</v>
      </c>
      <c r="N737" s="19" t="s">
        <v>51</v>
      </c>
      <c r="O737" s="19" t="s">
        <v>52</v>
      </c>
      <c r="P737" s="19"/>
      <c r="Q737" s="18" t="s">
        <v>53</v>
      </c>
      <c r="R737" s="16" t="s">
        <v>54</v>
      </c>
      <c r="S737" s="19"/>
      <c r="T737" s="21" t="s">
        <v>55</v>
      </c>
    </row>
    <row r="738" spans="1:20" ht="16.5">
      <c r="A738" s="11" t="s">
        <v>1745</v>
      </c>
      <c r="B738" s="11" t="s">
        <v>43</v>
      </c>
      <c r="C738" s="11" t="s">
        <v>44</v>
      </c>
      <c r="D738" s="12" t="s">
        <v>1745</v>
      </c>
      <c r="E738" s="11" t="s">
        <v>45</v>
      </c>
      <c r="F738" s="11" t="s">
        <v>44</v>
      </c>
      <c r="G738" s="12" t="s">
        <v>2812</v>
      </c>
      <c r="H738" s="13" t="s">
        <v>2813</v>
      </c>
      <c r="I738" s="11" t="s">
        <v>43</v>
      </c>
      <c r="J738" s="14">
        <v>1</v>
      </c>
      <c r="K738" s="14" t="s">
        <v>2810</v>
      </c>
      <c r="L738" s="14" t="s">
        <v>2814</v>
      </c>
      <c r="M738" s="15" t="s">
        <v>1748</v>
      </c>
      <c r="N738" s="15" t="s">
        <v>51</v>
      </c>
      <c r="O738" s="15" t="s">
        <v>2815</v>
      </c>
      <c r="P738" s="15"/>
      <c r="Q738" s="12" t="s">
        <v>53</v>
      </c>
      <c r="R738" s="25" t="s">
        <v>607</v>
      </c>
      <c r="S738" s="15"/>
      <c r="T738" s="14" t="s">
        <v>55</v>
      </c>
    </row>
    <row r="739" spans="1:20" ht="16.5">
      <c r="A739" s="17" t="s">
        <v>1745</v>
      </c>
      <c r="B739" s="17" t="s">
        <v>60</v>
      </c>
      <c r="C739" s="17" t="s">
        <v>44</v>
      </c>
      <c r="D739" s="18" t="s">
        <v>1745</v>
      </c>
      <c r="E739" s="17" t="s">
        <v>61</v>
      </c>
      <c r="F739" s="17" t="s">
        <v>62</v>
      </c>
      <c r="G739" s="18" t="s">
        <v>2147</v>
      </c>
      <c r="H739" s="20" t="s">
        <v>2816</v>
      </c>
      <c r="I739" s="17" t="s">
        <v>65</v>
      </c>
      <c r="J739" s="21">
        <v>1</v>
      </c>
      <c r="K739" s="21" t="s">
        <v>2810</v>
      </c>
      <c r="L739" s="21" t="s">
        <v>2817</v>
      </c>
      <c r="M739" s="19" t="s">
        <v>1748</v>
      </c>
      <c r="N739" s="19" t="s">
        <v>67</v>
      </c>
      <c r="O739" s="19" t="s">
        <v>2150</v>
      </c>
      <c r="P739" s="19"/>
      <c r="Q739" s="18" t="s">
        <v>69</v>
      </c>
      <c r="R739" s="16" t="s">
        <v>54</v>
      </c>
      <c r="S739" s="18" t="s">
        <v>2818</v>
      </c>
      <c r="T739" s="21" t="s">
        <v>55</v>
      </c>
    </row>
    <row r="740" spans="1:20" ht="16.5">
      <c r="A740" s="11" t="s">
        <v>1745</v>
      </c>
      <c r="B740" s="11" t="s">
        <v>60</v>
      </c>
      <c r="C740" s="11" t="s">
        <v>62</v>
      </c>
      <c r="D740" s="12" t="s">
        <v>2147</v>
      </c>
      <c r="E740" s="11" t="s">
        <v>71</v>
      </c>
      <c r="F740" s="11" t="s">
        <v>72</v>
      </c>
      <c r="G740" s="12" t="s">
        <v>2819</v>
      </c>
      <c r="H740" s="13" t="s">
        <v>2820</v>
      </c>
      <c r="I740" s="11" t="s">
        <v>65</v>
      </c>
      <c r="J740" s="14">
        <v>1</v>
      </c>
      <c r="K740" s="14" t="s">
        <v>2810</v>
      </c>
      <c r="L740" s="14" t="s">
        <v>2821</v>
      </c>
      <c r="M740" s="15" t="s">
        <v>2150</v>
      </c>
      <c r="N740" s="15" t="s">
        <v>76</v>
      </c>
      <c r="O740" s="15" t="s">
        <v>2822</v>
      </c>
      <c r="P740" s="15"/>
      <c r="Q740" s="12" t="s">
        <v>69</v>
      </c>
      <c r="R740" s="16" t="s">
        <v>54</v>
      </c>
      <c r="S740" s="12" t="s">
        <v>2818</v>
      </c>
      <c r="T740" s="14" t="s">
        <v>55</v>
      </c>
    </row>
    <row r="741" spans="1:20" ht="16.5">
      <c r="A741" s="17" t="s">
        <v>1745</v>
      </c>
      <c r="B741" s="17" t="s">
        <v>60</v>
      </c>
      <c r="C741" s="17" t="s">
        <v>62</v>
      </c>
      <c r="D741" s="18" t="s">
        <v>2147</v>
      </c>
      <c r="E741" s="17" t="s">
        <v>71</v>
      </c>
      <c r="F741" s="17" t="s">
        <v>72</v>
      </c>
      <c r="G741" s="18" t="s">
        <v>2823</v>
      </c>
      <c r="H741" s="20" t="s">
        <v>2820</v>
      </c>
      <c r="I741" s="17" t="s">
        <v>65</v>
      </c>
      <c r="J741" s="21">
        <v>1</v>
      </c>
      <c r="K741" s="21" t="s">
        <v>2810</v>
      </c>
      <c r="L741" s="21" t="s">
        <v>2824</v>
      </c>
      <c r="M741" s="19" t="s">
        <v>2150</v>
      </c>
      <c r="N741" s="19" t="s">
        <v>76</v>
      </c>
      <c r="O741" s="19" t="s">
        <v>2825</v>
      </c>
      <c r="P741" s="19"/>
      <c r="Q741" s="18" t="s">
        <v>69</v>
      </c>
      <c r="R741" s="16" t="s">
        <v>54</v>
      </c>
      <c r="S741" s="18" t="s">
        <v>2818</v>
      </c>
      <c r="T741" s="21" t="s">
        <v>55</v>
      </c>
    </row>
    <row r="742" spans="1:20" ht="16.5">
      <c r="A742" s="11" t="s">
        <v>1745</v>
      </c>
      <c r="B742" s="11" t="s">
        <v>60</v>
      </c>
      <c r="C742" s="11" t="s">
        <v>62</v>
      </c>
      <c r="D742" s="12" t="s">
        <v>2147</v>
      </c>
      <c r="E742" s="11" t="s">
        <v>81</v>
      </c>
      <c r="F742" s="11" t="s">
        <v>82</v>
      </c>
      <c r="G742" s="12" t="s">
        <v>2826</v>
      </c>
      <c r="H742" s="13" t="s">
        <v>2827</v>
      </c>
      <c r="I742" s="11" t="s">
        <v>65</v>
      </c>
      <c r="J742" s="14">
        <v>1</v>
      </c>
      <c r="K742" s="14" t="s">
        <v>2810</v>
      </c>
      <c r="L742" s="14" t="s">
        <v>2828</v>
      </c>
      <c r="M742" s="15" t="s">
        <v>2150</v>
      </c>
      <c r="N742" s="15" t="s">
        <v>86</v>
      </c>
      <c r="O742" s="15" t="s">
        <v>2829</v>
      </c>
      <c r="P742" s="15"/>
      <c r="Q742" s="12" t="s">
        <v>53</v>
      </c>
      <c r="R742" s="22" t="s">
        <v>88</v>
      </c>
      <c r="S742" s="12" t="s">
        <v>2818</v>
      </c>
      <c r="T742" s="14" t="s">
        <v>55</v>
      </c>
    </row>
    <row r="743" spans="1:20" ht="16.5">
      <c r="A743" s="17" t="s">
        <v>1745</v>
      </c>
      <c r="B743" s="17" t="s">
        <v>60</v>
      </c>
      <c r="C743" s="17" t="s">
        <v>44</v>
      </c>
      <c r="D743" s="18" t="s">
        <v>1745</v>
      </c>
      <c r="E743" s="17" t="s">
        <v>61</v>
      </c>
      <c r="F743" s="17" t="s">
        <v>62</v>
      </c>
      <c r="G743" s="18" t="s">
        <v>2830</v>
      </c>
      <c r="H743" s="20" t="s">
        <v>2831</v>
      </c>
      <c r="I743" s="17" t="s">
        <v>65</v>
      </c>
      <c r="J743" s="21">
        <v>1</v>
      </c>
      <c r="K743" s="21" t="s">
        <v>2810</v>
      </c>
      <c r="L743" s="21" t="s">
        <v>2832</v>
      </c>
      <c r="M743" s="19" t="s">
        <v>1748</v>
      </c>
      <c r="N743" s="19" t="s">
        <v>67</v>
      </c>
      <c r="O743" s="19" t="s">
        <v>2833</v>
      </c>
      <c r="P743" s="19"/>
      <c r="Q743" s="18" t="s">
        <v>69</v>
      </c>
      <c r="R743" s="16" t="s">
        <v>54</v>
      </c>
      <c r="S743" s="18" t="s">
        <v>2818</v>
      </c>
      <c r="T743" s="21" t="s">
        <v>55</v>
      </c>
    </row>
    <row r="744" spans="1:20" ht="16.5">
      <c r="A744" s="11" t="s">
        <v>1745</v>
      </c>
      <c r="B744" s="11" t="s">
        <v>60</v>
      </c>
      <c r="C744" s="11" t="s">
        <v>62</v>
      </c>
      <c r="D744" s="12" t="s">
        <v>2830</v>
      </c>
      <c r="E744" s="11" t="s">
        <v>71</v>
      </c>
      <c r="F744" s="11" t="s">
        <v>72</v>
      </c>
      <c r="G744" s="12" t="s">
        <v>2834</v>
      </c>
      <c r="H744" s="13" t="s">
        <v>2835</v>
      </c>
      <c r="I744" s="11" t="s">
        <v>65</v>
      </c>
      <c r="J744" s="14">
        <v>1</v>
      </c>
      <c r="K744" s="14" t="s">
        <v>2810</v>
      </c>
      <c r="L744" s="14" t="s">
        <v>2836</v>
      </c>
      <c r="M744" s="15" t="s">
        <v>2833</v>
      </c>
      <c r="N744" s="15" t="s">
        <v>76</v>
      </c>
      <c r="O744" s="15" t="s">
        <v>2837</v>
      </c>
      <c r="P744" s="15"/>
      <c r="Q744" s="12" t="s">
        <v>69</v>
      </c>
      <c r="R744" s="16" t="s">
        <v>54</v>
      </c>
      <c r="S744" s="12" t="s">
        <v>2818</v>
      </c>
      <c r="T744" s="14" t="s">
        <v>55</v>
      </c>
    </row>
    <row r="745" spans="1:20" ht="16.5">
      <c r="A745" s="17" t="s">
        <v>1745</v>
      </c>
      <c r="B745" s="17" t="s">
        <v>60</v>
      </c>
      <c r="C745" s="17" t="s">
        <v>62</v>
      </c>
      <c r="D745" s="18" t="s">
        <v>2830</v>
      </c>
      <c r="E745" s="17" t="s">
        <v>71</v>
      </c>
      <c r="F745" s="17" t="s">
        <v>72</v>
      </c>
      <c r="G745" s="18" t="s">
        <v>2838</v>
      </c>
      <c r="H745" s="20" t="s">
        <v>2835</v>
      </c>
      <c r="I745" s="17" t="s">
        <v>65</v>
      </c>
      <c r="J745" s="21">
        <v>1</v>
      </c>
      <c r="K745" s="21" t="s">
        <v>2810</v>
      </c>
      <c r="L745" s="21" t="s">
        <v>2839</v>
      </c>
      <c r="M745" s="19" t="s">
        <v>2833</v>
      </c>
      <c r="N745" s="19" t="s">
        <v>76</v>
      </c>
      <c r="O745" s="19" t="s">
        <v>2840</v>
      </c>
      <c r="P745" s="19"/>
      <c r="Q745" s="18" t="s">
        <v>69</v>
      </c>
      <c r="R745" s="16" t="s">
        <v>54</v>
      </c>
      <c r="S745" s="18" t="s">
        <v>2818</v>
      </c>
      <c r="T745" s="21" t="s">
        <v>55</v>
      </c>
    </row>
    <row r="746" spans="1:20" ht="16.5">
      <c r="A746" s="11" t="s">
        <v>1745</v>
      </c>
      <c r="B746" s="11" t="s">
        <v>60</v>
      </c>
      <c r="C746" s="11" t="s">
        <v>62</v>
      </c>
      <c r="D746" s="12" t="s">
        <v>2830</v>
      </c>
      <c r="E746" s="11" t="s">
        <v>71</v>
      </c>
      <c r="F746" s="11" t="s">
        <v>72</v>
      </c>
      <c r="G746" s="12" t="s">
        <v>2841</v>
      </c>
      <c r="H746" s="13" t="s">
        <v>2835</v>
      </c>
      <c r="I746" s="11" t="s">
        <v>65</v>
      </c>
      <c r="J746" s="14">
        <v>1</v>
      </c>
      <c r="K746" s="14" t="s">
        <v>2810</v>
      </c>
      <c r="L746" s="14" t="s">
        <v>2842</v>
      </c>
      <c r="M746" s="15" t="s">
        <v>2833</v>
      </c>
      <c r="N746" s="15" t="s">
        <v>76</v>
      </c>
      <c r="O746" s="15" t="s">
        <v>2843</v>
      </c>
      <c r="P746" s="15"/>
      <c r="Q746" s="12" t="s">
        <v>69</v>
      </c>
      <c r="R746" s="16" t="s">
        <v>54</v>
      </c>
      <c r="S746" s="12" t="s">
        <v>2818</v>
      </c>
      <c r="T746" s="14" t="s">
        <v>55</v>
      </c>
    </row>
    <row r="747" spans="1:20" ht="16.5">
      <c r="A747" s="17" t="s">
        <v>1745</v>
      </c>
      <c r="B747" s="17" t="s">
        <v>60</v>
      </c>
      <c r="C747" s="17" t="s">
        <v>62</v>
      </c>
      <c r="D747" s="18" t="s">
        <v>2830</v>
      </c>
      <c r="E747" s="17" t="s">
        <v>71</v>
      </c>
      <c r="F747" s="17" t="s">
        <v>72</v>
      </c>
      <c r="G747" s="18" t="s">
        <v>2844</v>
      </c>
      <c r="H747" s="20" t="s">
        <v>2835</v>
      </c>
      <c r="I747" s="17" t="s">
        <v>65</v>
      </c>
      <c r="J747" s="21">
        <v>1</v>
      </c>
      <c r="K747" s="21" t="s">
        <v>2810</v>
      </c>
      <c r="L747" s="21" t="s">
        <v>2845</v>
      </c>
      <c r="M747" s="19" t="s">
        <v>2833</v>
      </c>
      <c r="N747" s="19" t="s">
        <v>76</v>
      </c>
      <c r="O747" s="19" t="s">
        <v>2846</v>
      </c>
      <c r="P747" s="19"/>
      <c r="Q747" s="18" t="s">
        <v>69</v>
      </c>
      <c r="R747" s="16" t="s">
        <v>54</v>
      </c>
      <c r="S747" s="18" t="s">
        <v>2818</v>
      </c>
      <c r="T747" s="21" t="s">
        <v>55</v>
      </c>
    </row>
    <row r="748" spans="1:20" ht="16.5">
      <c r="A748" s="11" t="s">
        <v>1745</v>
      </c>
      <c r="B748" s="11" t="s">
        <v>60</v>
      </c>
      <c r="C748" s="11" t="s">
        <v>62</v>
      </c>
      <c r="D748" s="12" t="s">
        <v>2830</v>
      </c>
      <c r="E748" s="11" t="s">
        <v>71</v>
      </c>
      <c r="F748" s="11" t="s">
        <v>72</v>
      </c>
      <c r="G748" s="12" t="s">
        <v>2847</v>
      </c>
      <c r="H748" s="13" t="s">
        <v>2835</v>
      </c>
      <c r="I748" s="11" t="s">
        <v>65</v>
      </c>
      <c r="J748" s="14">
        <v>1</v>
      </c>
      <c r="K748" s="14" t="s">
        <v>2810</v>
      </c>
      <c r="L748" s="14" t="s">
        <v>2848</v>
      </c>
      <c r="M748" s="15" t="s">
        <v>2833</v>
      </c>
      <c r="N748" s="15" t="s">
        <v>76</v>
      </c>
      <c r="O748" s="15" t="s">
        <v>2849</v>
      </c>
      <c r="P748" s="15"/>
      <c r="Q748" s="12" t="s">
        <v>69</v>
      </c>
      <c r="R748" s="16" t="s">
        <v>54</v>
      </c>
      <c r="S748" s="12" t="s">
        <v>2818</v>
      </c>
      <c r="T748" s="14" t="s">
        <v>55</v>
      </c>
    </row>
    <row r="749" spans="1:20" ht="16.5">
      <c r="A749" s="17" t="s">
        <v>1745</v>
      </c>
      <c r="B749" s="17" t="s">
        <v>60</v>
      </c>
      <c r="C749" s="17" t="s">
        <v>62</v>
      </c>
      <c r="D749" s="18" t="s">
        <v>2830</v>
      </c>
      <c r="E749" s="17" t="s">
        <v>71</v>
      </c>
      <c r="F749" s="17" t="s">
        <v>72</v>
      </c>
      <c r="G749" s="18" t="s">
        <v>2850</v>
      </c>
      <c r="H749" s="20" t="s">
        <v>2835</v>
      </c>
      <c r="I749" s="17" t="s">
        <v>65</v>
      </c>
      <c r="J749" s="21">
        <v>1</v>
      </c>
      <c r="K749" s="21" t="s">
        <v>2810</v>
      </c>
      <c r="L749" s="21" t="s">
        <v>2851</v>
      </c>
      <c r="M749" s="19" t="s">
        <v>2833</v>
      </c>
      <c r="N749" s="19" t="s">
        <v>76</v>
      </c>
      <c r="O749" s="19" t="s">
        <v>2852</v>
      </c>
      <c r="P749" s="19"/>
      <c r="Q749" s="18" t="s">
        <v>69</v>
      </c>
      <c r="R749" s="16" t="s">
        <v>54</v>
      </c>
      <c r="S749" s="18" t="s">
        <v>2818</v>
      </c>
      <c r="T749" s="21" t="s">
        <v>55</v>
      </c>
    </row>
    <row r="750" spans="1:20" ht="16.5">
      <c r="A750" s="11" t="s">
        <v>1745</v>
      </c>
      <c r="B750" s="11" t="s">
        <v>60</v>
      </c>
      <c r="C750" s="11" t="s">
        <v>62</v>
      </c>
      <c r="D750" s="12" t="s">
        <v>2830</v>
      </c>
      <c r="E750" s="11" t="s">
        <v>81</v>
      </c>
      <c r="F750" s="11" t="s">
        <v>82</v>
      </c>
      <c r="G750" s="12" t="s">
        <v>2853</v>
      </c>
      <c r="H750" s="13" t="s">
        <v>2854</v>
      </c>
      <c r="I750" s="11" t="s">
        <v>65</v>
      </c>
      <c r="J750" s="14">
        <v>1</v>
      </c>
      <c r="K750" s="14" t="s">
        <v>2810</v>
      </c>
      <c r="L750" s="14" t="s">
        <v>2855</v>
      </c>
      <c r="M750" s="15" t="s">
        <v>2833</v>
      </c>
      <c r="N750" s="15" t="s">
        <v>86</v>
      </c>
      <c r="O750" s="15" t="s">
        <v>2856</v>
      </c>
      <c r="P750" s="15"/>
      <c r="Q750" s="12" t="s">
        <v>53</v>
      </c>
      <c r="R750" s="22" t="s">
        <v>88</v>
      </c>
      <c r="S750" s="12" t="s">
        <v>2818</v>
      </c>
      <c r="T750" s="14" t="s">
        <v>55</v>
      </c>
    </row>
    <row r="751" spans="1:20" ht="16.5">
      <c r="A751" s="17" t="s">
        <v>1745</v>
      </c>
      <c r="B751" s="17" t="s">
        <v>60</v>
      </c>
      <c r="C751" s="17" t="s">
        <v>44</v>
      </c>
      <c r="D751" s="18" t="s">
        <v>1745</v>
      </c>
      <c r="E751" s="17" t="s">
        <v>61</v>
      </c>
      <c r="F751" s="17" t="s">
        <v>62</v>
      </c>
      <c r="G751" s="18" t="s">
        <v>2857</v>
      </c>
      <c r="H751" s="20" t="s">
        <v>2858</v>
      </c>
      <c r="I751" s="17" t="s">
        <v>65</v>
      </c>
      <c r="J751" s="21">
        <v>1</v>
      </c>
      <c r="K751" s="21" t="s">
        <v>2810</v>
      </c>
      <c r="L751" s="21" t="s">
        <v>2859</v>
      </c>
      <c r="M751" s="19" t="s">
        <v>1748</v>
      </c>
      <c r="N751" s="19" t="s">
        <v>67</v>
      </c>
      <c r="O751" s="19" t="s">
        <v>2860</v>
      </c>
      <c r="P751" s="19"/>
      <c r="Q751" s="18" t="s">
        <v>69</v>
      </c>
      <c r="R751" s="16" t="s">
        <v>54</v>
      </c>
      <c r="S751" s="18" t="s">
        <v>2818</v>
      </c>
      <c r="T751" s="21" t="s">
        <v>55</v>
      </c>
    </row>
    <row r="752" spans="1:20" ht="16.5">
      <c r="A752" s="11" t="s">
        <v>1745</v>
      </c>
      <c r="B752" s="11" t="s">
        <v>60</v>
      </c>
      <c r="C752" s="11" t="s">
        <v>62</v>
      </c>
      <c r="D752" s="12" t="s">
        <v>2857</v>
      </c>
      <c r="E752" s="11" t="s">
        <v>71</v>
      </c>
      <c r="F752" s="11" t="s">
        <v>72</v>
      </c>
      <c r="G752" s="12" t="s">
        <v>2861</v>
      </c>
      <c r="H752" s="13" t="s">
        <v>2862</v>
      </c>
      <c r="I752" s="11" t="s">
        <v>65</v>
      </c>
      <c r="J752" s="14">
        <v>1</v>
      </c>
      <c r="K752" s="14" t="s">
        <v>2810</v>
      </c>
      <c r="L752" s="14" t="s">
        <v>2863</v>
      </c>
      <c r="M752" s="15" t="s">
        <v>2860</v>
      </c>
      <c r="N752" s="15" t="s">
        <v>76</v>
      </c>
      <c r="O752" s="15" t="s">
        <v>2864</v>
      </c>
      <c r="P752" s="15"/>
      <c r="Q752" s="12" t="s">
        <v>69</v>
      </c>
      <c r="R752" s="16" t="s">
        <v>54</v>
      </c>
      <c r="S752" s="12" t="s">
        <v>2818</v>
      </c>
      <c r="T752" s="14" t="s">
        <v>55</v>
      </c>
    </row>
    <row r="753" spans="1:20" ht="16.5">
      <c r="A753" s="17" t="s">
        <v>1745</v>
      </c>
      <c r="B753" s="17" t="s">
        <v>60</v>
      </c>
      <c r="C753" s="17" t="s">
        <v>62</v>
      </c>
      <c r="D753" s="18" t="s">
        <v>2857</v>
      </c>
      <c r="E753" s="17" t="s">
        <v>71</v>
      </c>
      <c r="F753" s="17" t="s">
        <v>72</v>
      </c>
      <c r="G753" s="18" t="s">
        <v>2865</v>
      </c>
      <c r="H753" s="20" t="s">
        <v>2862</v>
      </c>
      <c r="I753" s="17" t="s">
        <v>65</v>
      </c>
      <c r="J753" s="21">
        <v>1</v>
      </c>
      <c r="K753" s="21" t="s">
        <v>2810</v>
      </c>
      <c r="L753" s="21" t="s">
        <v>2866</v>
      </c>
      <c r="M753" s="19" t="s">
        <v>2860</v>
      </c>
      <c r="N753" s="19" t="s">
        <v>76</v>
      </c>
      <c r="O753" s="19" t="s">
        <v>2867</v>
      </c>
      <c r="P753" s="19"/>
      <c r="Q753" s="18" t="s">
        <v>69</v>
      </c>
      <c r="R753" s="16" t="s">
        <v>54</v>
      </c>
      <c r="S753" s="18" t="s">
        <v>2818</v>
      </c>
      <c r="T753" s="21" t="s">
        <v>55</v>
      </c>
    </row>
    <row r="754" spans="1:20" ht="16.5">
      <c r="A754" s="11" t="s">
        <v>1745</v>
      </c>
      <c r="B754" s="11" t="s">
        <v>60</v>
      </c>
      <c r="C754" s="11" t="s">
        <v>62</v>
      </c>
      <c r="D754" s="12" t="s">
        <v>2857</v>
      </c>
      <c r="E754" s="11" t="s">
        <v>71</v>
      </c>
      <c r="F754" s="11" t="s">
        <v>72</v>
      </c>
      <c r="G754" s="15" t="s">
        <v>2868</v>
      </c>
      <c r="H754" s="13" t="s">
        <v>2862</v>
      </c>
      <c r="I754" s="11" t="s">
        <v>65</v>
      </c>
      <c r="J754" s="14">
        <v>1</v>
      </c>
      <c r="K754" s="14" t="s">
        <v>2810</v>
      </c>
      <c r="L754" s="14" t="s">
        <v>2869</v>
      </c>
      <c r="M754" s="15" t="s">
        <v>2860</v>
      </c>
      <c r="N754" s="15" t="s">
        <v>76</v>
      </c>
      <c r="O754" s="15" t="s">
        <v>2870</v>
      </c>
      <c r="P754" s="15"/>
      <c r="Q754" s="12" t="s">
        <v>69</v>
      </c>
      <c r="R754" s="16" t="s">
        <v>54</v>
      </c>
      <c r="S754" s="12" t="s">
        <v>2818</v>
      </c>
      <c r="T754" s="14" t="s">
        <v>55</v>
      </c>
    </row>
    <row r="755" spans="1:20" ht="16.5">
      <c r="A755" s="17" t="s">
        <v>1745</v>
      </c>
      <c r="B755" s="17" t="s">
        <v>60</v>
      </c>
      <c r="C755" s="17" t="s">
        <v>62</v>
      </c>
      <c r="D755" s="18" t="s">
        <v>2857</v>
      </c>
      <c r="E755" s="17" t="s">
        <v>81</v>
      </c>
      <c r="F755" s="17" t="s">
        <v>82</v>
      </c>
      <c r="G755" s="18" t="s">
        <v>2871</v>
      </c>
      <c r="H755" s="20" t="s">
        <v>2872</v>
      </c>
      <c r="I755" s="17" t="s">
        <v>65</v>
      </c>
      <c r="J755" s="21">
        <v>1</v>
      </c>
      <c r="K755" s="21" t="s">
        <v>2810</v>
      </c>
      <c r="L755" s="21" t="s">
        <v>2873</v>
      </c>
      <c r="M755" s="19" t="s">
        <v>2860</v>
      </c>
      <c r="N755" s="19" t="s">
        <v>86</v>
      </c>
      <c r="O755" s="19" t="s">
        <v>2874</v>
      </c>
      <c r="P755" s="19"/>
      <c r="Q755" s="18" t="s">
        <v>53</v>
      </c>
      <c r="R755" s="22" t="s">
        <v>88</v>
      </c>
      <c r="S755" s="18" t="s">
        <v>2818</v>
      </c>
      <c r="T755" s="21" t="s">
        <v>55</v>
      </c>
    </row>
    <row r="756" spans="1:20" ht="16.5">
      <c r="A756" s="11" t="s">
        <v>1745</v>
      </c>
      <c r="B756" s="11" t="s">
        <v>60</v>
      </c>
      <c r="C756" s="11" t="s">
        <v>62</v>
      </c>
      <c r="D756" s="12" t="s">
        <v>2857</v>
      </c>
      <c r="E756" s="11" t="s">
        <v>81</v>
      </c>
      <c r="F756" s="11" t="s">
        <v>82</v>
      </c>
      <c r="G756" s="12" t="s">
        <v>2875</v>
      </c>
      <c r="H756" s="13" t="s">
        <v>2876</v>
      </c>
      <c r="I756" s="11" t="s">
        <v>65</v>
      </c>
      <c r="J756" s="14">
        <v>1</v>
      </c>
      <c r="K756" s="14" t="s">
        <v>2810</v>
      </c>
      <c r="L756" s="14" t="s">
        <v>2877</v>
      </c>
      <c r="M756" s="15" t="s">
        <v>2860</v>
      </c>
      <c r="N756" s="15" t="s">
        <v>86</v>
      </c>
      <c r="O756" s="15" t="s">
        <v>2878</v>
      </c>
      <c r="P756" s="15"/>
      <c r="Q756" s="12" t="s">
        <v>53</v>
      </c>
      <c r="R756" s="22" t="s">
        <v>88</v>
      </c>
      <c r="S756" s="12" t="s">
        <v>2818</v>
      </c>
      <c r="T756" s="14" t="s">
        <v>55</v>
      </c>
    </row>
    <row r="757" spans="1:20" ht="16.5">
      <c r="A757" s="17" t="s">
        <v>1745</v>
      </c>
      <c r="B757" s="17" t="s">
        <v>60</v>
      </c>
      <c r="C757" s="17" t="s">
        <v>44</v>
      </c>
      <c r="D757" s="18" t="s">
        <v>1745</v>
      </c>
      <c r="E757" s="17" t="s">
        <v>61</v>
      </c>
      <c r="F757" s="17" t="s">
        <v>62</v>
      </c>
      <c r="G757" s="18" t="s">
        <v>2879</v>
      </c>
      <c r="H757" s="20" t="s">
        <v>2880</v>
      </c>
      <c r="I757" s="17" t="s">
        <v>65</v>
      </c>
      <c r="J757" s="21">
        <v>1</v>
      </c>
      <c r="K757" s="21" t="s">
        <v>2810</v>
      </c>
      <c r="L757" s="21" t="s">
        <v>2881</v>
      </c>
      <c r="M757" s="19" t="s">
        <v>1748</v>
      </c>
      <c r="N757" s="19" t="s">
        <v>67</v>
      </c>
      <c r="O757" s="19" t="s">
        <v>2882</v>
      </c>
      <c r="P757" s="19"/>
      <c r="Q757" s="18" t="s">
        <v>69</v>
      </c>
      <c r="R757" s="16" t="s">
        <v>54</v>
      </c>
      <c r="S757" s="18" t="s">
        <v>2818</v>
      </c>
      <c r="T757" s="21" t="s">
        <v>55</v>
      </c>
    </row>
    <row r="758" spans="1:20" ht="16.5">
      <c r="A758" s="11" t="s">
        <v>1745</v>
      </c>
      <c r="B758" s="11" t="s">
        <v>60</v>
      </c>
      <c r="C758" s="11" t="s">
        <v>62</v>
      </c>
      <c r="D758" s="12" t="s">
        <v>2879</v>
      </c>
      <c r="E758" s="11" t="s">
        <v>71</v>
      </c>
      <c r="F758" s="11" t="s">
        <v>72</v>
      </c>
      <c r="G758" s="12" t="s">
        <v>2883</v>
      </c>
      <c r="H758" s="13" t="s">
        <v>2884</v>
      </c>
      <c r="I758" s="11" t="s">
        <v>65</v>
      </c>
      <c r="J758" s="14">
        <v>1</v>
      </c>
      <c r="K758" s="14" t="s">
        <v>2810</v>
      </c>
      <c r="L758" s="14" t="s">
        <v>2885</v>
      </c>
      <c r="M758" s="15" t="s">
        <v>2882</v>
      </c>
      <c r="N758" s="15" t="s">
        <v>76</v>
      </c>
      <c r="O758" s="15" t="s">
        <v>2886</v>
      </c>
      <c r="P758" s="15"/>
      <c r="Q758" s="12" t="s">
        <v>69</v>
      </c>
      <c r="R758" s="16" t="s">
        <v>54</v>
      </c>
      <c r="S758" s="12" t="s">
        <v>2818</v>
      </c>
      <c r="T758" s="14" t="s">
        <v>55</v>
      </c>
    </row>
    <row r="759" spans="1:20" ht="16.5">
      <c r="A759" s="17" t="s">
        <v>1745</v>
      </c>
      <c r="B759" s="17" t="s">
        <v>60</v>
      </c>
      <c r="C759" s="17" t="s">
        <v>62</v>
      </c>
      <c r="D759" s="18" t="s">
        <v>2879</v>
      </c>
      <c r="E759" s="17" t="s">
        <v>71</v>
      </c>
      <c r="F759" s="17" t="s">
        <v>72</v>
      </c>
      <c r="G759" s="18" t="s">
        <v>2887</v>
      </c>
      <c r="H759" s="20" t="s">
        <v>2884</v>
      </c>
      <c r="I759" s="17" t="s">
        <v>65</v>
      </c>
      <c r="J759" s="21">
        <v>1</v>
      </c>
      <c r="K759" s="21" t="s">
        <v>2810</v>
      </c>
      <c r="L759" s="21" t="s">
        <v>2888</v>
      </c>
      <c r="M759" s="19" t="s">
        <v>2882</v>
      </c>
      <c r="N759" s="19" t="s">
        <v>76</v>
      </c>
      <c r="O759" s="19" t="s">
        <v>2889</v>
      </c>
      <c r="P759" s="19"/>
      <c r="Q759" s="18" t="s">
        <v>69</v>
      </c>
      <c r="R759" s="16" t="s">
        <v>54</v>
      </c>
      <c r="S759" s="18" t="s">
        <v>2818</v>
      </c>
      <c r="T759" s="21" t="s">
        <v>55</v>
      </c>
    </row>
    <row r="760" spans="1:20" ht="16.5">
      <c r="A760" s="11" t="s">
        <v>1745</v>
      </c>
      <c r="B760" s="11" t="s">
        <v>60</v>
      </c>
      <c r="C760" s="11" t="s">
        <v>62</v>
      </c>
      <c r="D760" s="12" t="s">
        <v>2879</v>
      </c>
      <c r="E760" s="11" t="s">
        <v>71</v>
      </c>
      <c r="F760" s="11" t="s">
        <v>72</v>
      </c>
      <c r="G760" s="12" t="s">
        <v>2890</v>
      </c>
      <c r="H760" s="13" t="s">
        <v>2884</v>
      </c>
      <c r="I760" s="11" t="s">
        <v>65</v>
      </c>
      <c r="J760" s="14">
        <v>1</v>
      </c>
      <c r="K760" s="14" t="s">
        <v>2810</v>
      </c>
      <c r="L760" s="14" t="s">
        <v>2891</v>
      </c>
      <c r="M760" s="15" t="s">
        <v>2882</v>
      </c>
      <c r="N760" s="15" t="s">
        <v>76</v>
      </c>
      <c r="O760" s="15" t="s">
        <v>2892</v>
      </c>
      <c r="P760" s="15"/>
      <c r="Q760" s="12" t="s">
        <v>69</v>
      </c>
      <c r="R760" s="16" t="s">
        <v>54</v>
      </c>
      <c r="S760" s="12" t="s">
        <v>2818</v>
      </c>
      <c r="T760" s="14" t="s">
        <v>55</v>
      </c>
    </row>
    <row r="761" spans="1:20" ht="16.5">
      <c r="A761" s="17" t="s">
        <v>1745</v>
      </c>
      <c r="B761" s="17" t="s">
        <v>60</v>
      </c>
      <c r="C761" s="17" t="s">
        <v>62</v>
      </c>
      <c r="D761" s="18" t="s">
        <v>2879</v>
      </c>
      <c r="E761" s="17" t="s">
        <v>71</v>
      </c>
      <c r="F761" s="17" t="s">
        <v>72</v>
      </c>
      <c r="G761" s="18" t="s">
        <v>2893</v>
      </c>
      <c r="H761" s="20" t="s">
        <v>2884</v>
      </c>
      <c r="I761" s="17" t="s">
        <v>65</v>
      </c>
      <c r="J761" s="21">
        <v>1</v>
      </c>
      <c r="K761" s="21" t="s">
        <v>2810</v>
      </c>
      <c r="L761" s="21" t="s">
        <v>2894</v>
      </c>
      <c r="M761" s="19" t="s">
        <v>2882</v>
      </c>
      <c r="N761" s="19" t="s">
        <v>76</v>
      </c>
      <c r="O761" s="19" t="s">
        <v>2895</v>
      </c>
      <c r="P761" s="19"/>
      <c r="Q761" s="18" t="s">
        <v>69</v>
      </c>
      <c r="R761" s="16" t="s">
        <v>54</v>
      </c>
      <c r="S761" s="18" t="s">
        <v>2818</v>
      </c>
      <c r="T761" s="21" t="s">
        <v>55</v>
      </c>
    </row>
    <row r="762" spans="1:20" ht="16.5">
      <c r="A762" s="11" t="s">
        <v>1745</v>
      </c>
      <c r="B762" s="11" t="s">
        <v>60</v>
      </c>
      <c r="C762" s="11" t="s">
        <v>62</v>
      </c>
      <c r="D762" s="12" t="s">
        <v>2879</v>
      </c>
      <c r="E762" s="11" t="s">
        <v>71</v>
      </c>
      <c r="F762" s="11" t="s">
        <v>72</v>
      </c>
      <c r="G762" s="12" t="s">
        <v>2896</v>
      </c>
      <c r="H762" s="13" t="s">
        <v>2884</v>
      </c>
      <c r="I762" s="11" t="s">
        <v>65</v>
      </c>
      <c r="J762" s="14">
        <v>1</v>
      </c>
      <c r="K762" s="14" t="s">
        <v>2810</v>
      </c>
      <c r="L762" s="14" t="s">
        <v>2897</v>
      </c>
      <c r="M762" s="15" t="s">
        <v>2882</v>
      </c>
      <c r="N762" s="15" t="s">
        <v>76</v>
      </c>
      <c r="O762" s="15" t="s">
        <v>2898</v>
      </c>
      <c r="P762" s="15"/>
      <c r="Q762" s="12" t="s">
        <v>69</v>
      </c>
      <c r="R762" s="16" t="s">
        <v>54</v>
      </c>
      <c r="S762" s="12" t="s">
        <v>2818</v>
      </c>
      <c r="T762" s="14" t="s">
        <v>55</v>
      </c>
    </row>
    <row r="763" spans="1:20" ht="16.5">
      <c r="A763" s="17" t="s">
        <v>1745</v>
      </c>
      <c r="B763" s="17" t="s">
        <v>60</v>
      </c>
      <c r="C763" s="17" t="s">
        <v>62</v>
      </c>
      <c r="D763" s="18" t="s">
        <v>2879</v>
      </c>
      <c r="E763" s="17" t="s">
        <v>71</v>
      </c>
      <c r="F763" s="17" t="s">
        <v>72</v>
      </c>
      <c r="G763" s="18" t="s">
        <v>2899</v>
      </c>
      <c r="H763" s="20" t="s">
        <v>2884</v>
      </c>
      <c r="I763" s="17" t="s">
        <v>65</v>
      </c>
      <c r="J763" s="21">
        <v>1</v>
      </c>
      <c r="K763" s="21" t="s">
        <v>2810</v>
      </c>
      <c r="L763" s="21" t="s">
        <v>2900</v>
      </c>
      <c r="M763" s="19" t="s">
        <v>2882</v>
      </c>
      <c r="N763" s="19" t="s">
        <v>76</v>
      </c>
      <c r="O763" s="19" t="s">
        <v>2901</v>
      </c>
      <c r="P763" s="19"/>
      <c r="Q763" s="18" t="s">
        <v>69</v>
      </c>
      <c r="R763" s="16" t="s">
        <v>54</v>
      </c>
      <c r="S763" s="18" t="s">
        <v>2818</v>
      </c>
      <c r="T763" s="21" t="s">
        <v>55</v>
      </c>
    </row>
    <row r="764" spans="1:20" ht="16.5">
      <c r="A764" s="11" t="s">
        <v>1745</v>
      </c>
      <c r="B764" s="11" t="s">
        <v>60</v>
      </c>
      <c r="C764" s="11" t="s">
        <v>62</v>
      </c>
      <c r="D764" s="12" t="s">
        <v>2879</v>
      </c>
      <c r="E764" s="11" t="s">
        <v>81</v>
      </c>
      <c r="F764" s="11" t="s">
        <v>82</v>
      </c>
      <c r="G764" s="12" t="s">
        <v>2902</v>
      </c>
      <c r="H764" s="13" t="s">
        <v>2903</v>
      </c>
      <c r="I764" s="11" t="s">
        <v>65</v>
      </c>
      <c r="J764" s="14">
        <v>1</v>
      </c>
      <c r="K764" s="14" t="s">
        <v>2810</v>
      </c>
      <c r="L764" s="14" t="s">
        <v>2904</v>
      </c>
      <c r="M764" s="15" t="s">
        <v>2882</v>
      </c>
      <c r="N764" s="15" t="s">
        <v>86</v>
      </c>
      <c r="O764" s="15" t="s">
        <v>2905</v>
      </c>
      <c r="P764" s="15"/>
      <c r="Q764" s="12" t="s">
        <v>53</v>
      </c>
      <c r="R764" s="22" t="s">
        <v>88</v>
      </c>
      <c r="S764" s="12" t="s">
        <v>2818</v>
      </c>
      <c r="T764" s="14" t="s">
        <v>55</v>
      </c>
    </row>
    <row r="765" spans="1:20" ht="16.5">
      <c r="A765" s="17" t="s">
        <v>1745</v>
      </c>
      <c r="B765" s="17" t="s">
        <v>60</v>
      </c>
      <c r="C765" s="17" t="s">
        <v>62</v>
      </c>
      <c r="D765" s="18" t="s">
        <v>2879</v>
      </c>
      <c r="E765" s="17" t="s">
        <v>81</v>
      </c>
      <c r="F765" s="17" t="s">
        <v>82</v>
      </c>
      <c r="G765" s="18" t="s">
        <v>2906</v>
      </c>
      <c r="H765" s="20" t="s">
        <v>2907</v>
      </c>
      <c r="I765" s="17" t="s">
        <v>65</v>
      </c>
      <c r="J765" s="21">
        <v>1</v>
      </c>
      <c r="K765" s="21" t="s">
        <v>2810</v>
      </c>
      <c r="L765" s="21" t="s">
        <v>2908</v>
      </c>
      <c r="M765" s="19" t="s">
        <v>2882</v>
      </c>
      <c r="N765" s="19" t="s">
        <v>86</v>
      </c>
      <c r="O765" s="19" t="s">
        <v>2909</v>
      </c>
      <c r="P765" s="19"/>
      <c r="Q765" s="18" t="s">
        <v>53</v>
      </c>
      <c r="R765" s="22" t="s">
        <v>88</v>
      </c>
      <c r="S765" s="18" t="s">
        <v>2818</v>
      </c>
      <c r="T765" s="21" t="s">
        <v>55</v>
      </c>
    </row>
    <row r="766" spans="1:20" ht="16.5">
      <c r="A766" s="11" t="s">
        <v>1745</v>
      </c>
      <c r="B766" s="11" t="s">
        <v>60</v>
      </c>
      <c r="C766" s="11" t="s">
        <v>62</v>
      </c>
      <c r="D766" s="12" t="s">
        <v>2879</v>
      </c>
      <c r="E766" s="11" t="s">
        <v>81</v>
      </c>
      <c r="F766" s="11" t="s">
        <v>82</v>
      </c>
      <c r="G766" s="12" t="s">
        <v>2910</v>
      </c>
      <c r="H766" s="13" t="s">
        <v>2911</v>
      </c>
      <c r="I766" s="11" t="s">
        <v>65</v>
      </c>
      <c r="J766" s="14">
        <v>1</v>
      </c>
      <c r="K766" s="14" t="s">
        <v>2810</v>
      </c>
      <c r="L766" s="14" t="s">
        <v>2912</v>
      </c>
      <c r="M766" s="15" t="s">
        <v>2882</v>
      </c>
      <c r="N766" s="15" t="s">
        <v>86</v>
      </c>
      <c r="O766" s="15" t="s">
        <v>2913</v>
      </c>
      <c r="P766" s="15"/>
      <c r="Q766" s="12" t="s">
        <v>53</v>
      </c>
      <c r="R766" s="22" t="s">
        <v>88</v>
      </c>
      <c r="S766" s="12" t="s">
        <v>2818</v>
      </c>
      <c r="T766" s="14" t="s">
        <v>55</v>
      </c>
    </row>
    <row r="767" spans="1:20" ht="16.5">
      <c r="A767" s="17" t="s">
        <v>1745</v>
      </c>
      <c r="B767" s="17" t="s">
        <v>60</v>
      </c>
      <c r="C767" s="17" t="s">
        <v>62</v>
      </c>
      <c r="D767" s="18" t="s">
        <v>2879</v>
      </c>
      <c r="E767" s="17" t="s">
        <v>81</v>
      </c>
      <c r="F767" s="17" t="s">
        <v>82</v>
      </c>
      <c r="G767" s="18" t="s">
        <v>2914</v>
      </c>
      <c r="H767" s="20" t="s">
        <v>2915</v>
      </c>
      <c r="I767" s="17" t="s">
        <v>65</v>
      </c>
      <c r="J767" s="21">
        <v>1</v>
      </c>
      <c r="K767" s="21" t="s">
        <v>2810</v>
      </c>
      <c r="L767" s="21" t="s">
        <v>2916</v>
      </c>
      <c r="M767" s="19" t="s">
        <v>2882</v>
      </c>
      <c r="N767" s="19" t="s">
        <v>86</v>
      </c>
      <c r="O767" s="19" t="s">
        <v>2917</v>
      </c>
      <c r="P767" s="19"/>
      <c r="Q767" s="18" t="s">
        <v>53</v>
      </c>
      <c r="R767" s="22" t="s">
        <v>88</v>
      </c>
      <c r="S767" s="18" t="s">
        <v>2818</v>
      </c>
      <c r="T767" s="21" t="s">
        <v>55</v>
      </c>
    </row>
    <row r="768" spans="1:20" ht="16.5">
      <c r="A768" s="11" t="s">
        <v>1745</v>
      </c>
      <c r="B768" s="11" t="s">
        <v>60</v>
      </c>
      <c r="C768" s="11" t="s">
        <v>62</v>
      </c>
      <c r="D768" s="12" t="s">
        <v>2879</v>
      </c>
      <c r="E768" s="11" t="s">
        <v>81</v>
      </c>
      <c r="F768" s="11" t="s">
        <v>82</v>
      </c>
      <c r="G768" s="12" t="s">
        <v>2918</v>
      </c>
      <c r="H768" s="13" t="s">
        <v>2919</v>
      </c>
      <c r="I768" s="11" t="s">
        <v>65</v>
      </c>
      <c r="J768" s="14">
        <v>1</v>
      </c>
      <c r="K768" s="14" t="s">
        <v>2810</v>
      </c>
      <c r="L768" s="14" t="s">
        <v>2920</v>
      </c>
      <c r="M768" s="15" t="s">
        <v>2882</v>
      </c>
      <c r="N768" s="15" t="s">
        <v>86</v>
      </c>
      <c r="O768" s="15" t="s">
        <v>2921</v>
      </c>
      <c r="P768" s="15"/>
      <c r="Q768" s="12" t="s">
        <v>53</v>
      </c>
      <c r="R768" s="22" t="s">
        <v>88</v>
      </c>
      <c r="S768" s="12" t="s">
        <v>2818</v>
      </c>
      <c r="T768" s="14" t="s">
        <v>55</v>
      </c>
    </row>
    <row r="769" spans="1:20" ht="16.5">
      <c r="A769" s="17" t="s">
        <v>1745</v>
      </c>
      <c r="B769" s="17" t="s">
        <v>60</v>
      </c>
      <c r="C769" s="17" t="s">
        <v>44</v>
      </c>
      <c r="D769" s="18" t="s">
        <v>1745</v>
      </c>
      <c r="E769" s="17" t="s">
        <v>61</v>
      </c>
      <c r="F769" s="17" t="s">
        <v>62</v>
      </c>
      <c r="G769" s="18" t="s">
        <v>2922</v>
      </c>
      <c r="H769" s="20" t="s">
        <v>2923</v>
      </c>
      <c r="I769" s="17" t="s">
        <v>65</v>
      </c>
      <c r="J769" s="21">
        <v>1</v>
      </c>
      <c r="K769" s="21" t="s">
        <v>2810</v>
      </c>
      <c r="L769" s="21" t="s">
        <v>2924</v>
      </c>
      <c r="M769" s="19" t="s">
        <v>1748</v>
      </c>
      <c r="N769" s="19" t="s">
        <v>67</v>
      </c>
      <c r="O769" s="19" t="s">
        <v>2925</v>
      </c>
      <c r="P769" s="19"/>
      <c r="Q769" s="18" t="s">
        <v>69</v>
      </c>
      <c r="R769" s="16" t="s">
        <v>54</v>
      </c>
      <c r="S769" s="18" t="s">
        <v>2818</v>
      </c>
      <c r="T769" s="21" t="s">
        <v>55</v>
      </c>
    </row>
    <row r="770" spans="1:20" ht="16.5">
      <c r="A770" s="11" t="s">
        <v>1745</v>
      </c>
      <c r="B770" s="11" t="s">
        <v>60</v>
      </c>
      <c r="C770" s="11" t="s">
        <v>62</v>
      </c>
      <c r="D770" s="12" t="s">
        <v>2922</v>
      </c>
      <c r="E770" s="11" t="s">
        <v>71</v>
      </c>
      <c r="F770" s="11" t="s">
        <v>72</v>
      </c>
      <c r="G770" s="12" t="s">
        <v>2926</v>
      </c>
      <c r="H770" s="13" t="s">
        <v>2927</v>
      </c>
      <c r="I770" s="11" t="s">
        <v>65</v>
      </c>
      <c r="J770" s="14">
        <v>1</v>
      </c>
      <c r="K770" s="14" t="s">
        <v>2810</v>
      </c>
      <c r="L770" s="14" t="s">
        <v>2928</v>
      </c>
      <c r="M770" s="15" t="s">
        <v>2925</v>
      </c>
      <c r="N770" s="15" t="s">
        <v>76</v>
      </c>
      <c r="O770" s="15" t="s">
        <v>2929</v>
      </c>
      <c r="P770" s="15"/>
      <c r="Q770" s="12" t="s">
        <v>69</v>
      </c>
      <c r="R770" s="16" t="s">
        <v>54</v>
      </c>
      <c r="S770" s="12" t="s">
        <v>2818</v>
      </c>
      <c r="T770" s="14" t="s">
        <v>55</v>
      </c>
    </row>
    <row r="771" spans="1:20" ht="16.5">
      <c r="A771" s="17" t="s">
        <v>1745</v>
      </c>
      <c r="B771" s="17" t="s">
        <v>60</v>
      </c>
      <c r="C771" s="17" t="s">
        <v>62</v>
      </c>
      <c r="D771" s="18" t="s">
        <v>2922</v>
      </c>
      <c r="E771" s="17" t="s">
        <v>71</v>
      </c>
      <c r="F771" s="17" t="s">
        <v>72</v>
      </c>
      <c r="G771" s="18" t="s">
        <v>2930</v>
      </c>
      <c r="H771" s="20" t="s">
        <v>2927</v>
      </c>
      <c r="I771" s="17" t="s">
        <v>65</v>
      </c>
      <c r="J771" s="21">
        <v>1</v>
      </c>
      <c r="K771" s="21" t="s">
        <v>2810</v>
      </c>
      <c r="L771" s="21" t="s">
        <v>2931</v>
      </c>
      <c r="M771" s="19" t="s">
        <v>2925</v>
      </c>
      <c r="N771" s="19" t="s">
        <v>76</v>
      </c>
      <c r="O771" s="19" t="s">
        <v>2932</v>
      </c>
      <c r="P771" s="19"/>
      <c r="Q771" s="18" t="s">
        <v>69</v>
      </c>
      <c r="R771" s="16" t="s">
        <v>54</v>
      </c>
      <c r="S771" s="18" t="s">
        <v>2818</v>
      </c>
      <c r="T771" s="21" t="s">
        <v>55</v>
      </c>
    </row>
    <row r="772" spans="1:20" ht="16.5">
      <c r="A772" s="11" t="s">
        <v>1745</v>
      </c>
      <c r="B772" s="11" t="s">
        <v>60</v>
      </c>
      <c r="C772" s="11" t="s">
        <v>62</v>
      </c>
      <c r="D772" s="12" t="s">
        <v>2922</v>
      </c>
      <c r="E772" s="11" t="s">
        <v>71</v>
      </c>
      <c r="F772" s="11" t="s">
        <v>72</v>
      </c>
      <c r="G772" s="12" t="s">
        <v>2933</v>
      </c>
      <c r="H772" s="13" t="s">
        <v>2927</v>
      </c>
      <c r="I772" s="11" t="s">
        <v>65</v>
      </c>
      <c r="J772" s="14">
        <v>1</v>
      </c>
      <c r="K772" s="14" t="s">
        <v>2810</v>
      </c>
      <c r="L772" s="14" t="s">
        <v>2934</v>
      </c>
      <c r="M772" s="15" t="s">
        <v>2925</v>
      </c>
      <c r="N772" s="15" t="s">
        <v>76</v>
      </c>
      <c r="O772" s="15" t="s">
        <v>2935</v>
      </c>
      <c r="P772" s="15"/>
      <c r="Q772" s="12" t="s">
        <v>69</v>
      </c>
      <c r="R772" s="16" t="s">
        <v>54</v>
      </c>
      <c r="S772" s="12" t="s">
        <v>2818</v>
      </c>
      <c r="T772" s="14" t="s">
        <v>55</v>
      </c>
    </row>
    <row r="773" spans="1:20" ht="16.5">
      <c r="A773" s="17" t="s">
        <v>1745</v>
      </c>
      <c r="B773" s="17" t="s">
        <v>60</v>
      </c>
      <c r="C773" s="17" t="s">
        <v>62</v>
      </c>
      <c r="D773" s="18" t="s">
        <v>2922</v>
      </c>
      <c r="E773" s="17" t="s">
        <v>71</v>
      </c>
      <c r="F773" s="17" t="s">
        <v>72</v>
      </c>
      <c r="G773" s="18" t="s">
        <v>2936</v>
      </c>
      <c r="H773" s="20" t="s">
        <v>2927</v>
      </c>
      <c r="I773" s="17" t="s">
        <v>65</v>
      </c>
      <c r="J773" s="21">
        <v>1</v>
      </c>
      <c r="K773" s="21" t="s">
        <v>2810</v>
      </c>
      <c r="L773" s="21" t="s">
        <v>2937</v>
      </c>
      <c r="M773" s="19" t="s">
        <v>2925</v>
      </c>
      <c r="N773" s="19" t="s">
        <v>76</v>
      </c>
      <c r="O773" s="19" t="s">
        <v>2938</v>
      </c>
      <c r="P773" s="19"/>
      <c r="Q773" s="18" t="s">
        <v>69</v>
      </c>
      <c r="R773" s="16" t="s">
        <v>54</v>
      </c>
      <c r="S773" s="18" t="s">
        <v>2818</v>
      </c>
      <c r="T773" s="21" t="s">
        <v>55</v>
      </c>
    </row>
    <row r="774" spans="1:20" ht="16.5">
      <c r="A774" s="11" t="s">
        <v>1745</v>
      </c>
      <c r="B774" s="11" t="s">
        <v>60</v>
      </c>
      <c r="C774" s="11" t="s">
        <v>62</v>
      </c>
      <c r="D774" s="12" t="s">
        <v>2922</v>
      </c>
      <c r="E774" s="11" t="s">
        <v>81</v>
      </c>
      <c r="F774" s="11" t="s">
        <v>82</v>
      </c>
      <c r="G774" s="12" t="s">
        <v>2939</v>
      </c>
      <c r="H774" s="13" t="s">
        <v>2940</v>
      </c>
      <c r="I774" s="11" t="s">
        <v>65</v>
      </c>
      <c r="J774" s="14">
        <v>1</v>
      </c>
      <c r="K774" s="14" t="s">
        <v>2810</v>
      </c>
      <c r="L774" s="14" t="s">
        <v>2941</v>
      </c>
      <c r="M774" s="15" t="s">
        <v>2925</v>
      </c>
      <c r="N774" s="15" t="s">
        <v>86</v>
      </c>
      <c r="O774" s="15" t="s">
        <v>2942</v>
      </c>
      <c r="P774" s="15"/>
      <c r="Q774" s="12" t="s">
        <v>53</v>
      </c>
      <c r="R774" s="22" t="s">
        <v>88</v>
      </c>
      <c r="S774" s="12" t="s">
        <v>2818</v>
      </c>
      <c r="T774" s="14" t="s">
        <v>55</v>
      </c>
    </row>
    <row r="775" spans="1:20" ht="16.5">
      <c r="A775" s="17" t="s">
        <v>1745</v>
      </c>
      <c r="B775" s="17" t="s">
        <v>60</v>
      </c>
      <c r="C775" s="17" t="s">
        <v>62</v>
      </c>
      <c r="D775" s="18" t="s">
        <v>2857</v>
      </c>
      <c r="E775" s="17" t="s">
        <v>203</v>
      </c>
      <c r="F775" s="17" t="s">
        <v>204</v>
      </c>
      <c r="G775" s="18" t="s">
        <v>2943</v>
      </c>
      <c r="H775" s="20" t="s">
        <v>2944</v>
      </c>
      <c r="I775" s="17" t="s">
        <v>65</v>
      </c>
      <c r="J775" s="21">
        <v>1</v>
      </c>
      <c r="K775" s="21" t="s">
        <v>2810</v>
      </c>
      <c r="L775" s="21" t="s">
        <v>2945</v>
      </c>
      <c r="M775" s="19" t="s">
        <v>2860</v>
      </c>
      <c r="N775" s="19" t="s">
        <v>208</v>
      </c>
      <c r="O775" s="19" t="s">
        <v>2946</v>
      </c>
      <c r="P775" s="19" t="s">
        <v>2947</v>
      </c>
      <c r="Q775" s="19" t="s">
        <v>211</v>
      </c>
      <c r="R775" s="16" t="s">
        <v>54</v>
      </c>
      <c r="S775" s="18" t="s">
        <v>2818</v>
      </c>
      <c r="T775" s="21" t="s">
        <v>55</v>
      </c>
    </row>
    <row r="776" spans="1:20" ht="16.5">
      <c r="A776" s="11" t="s">
        <v>1745</v>
      </c>
      <c r="B776" s="11" t="s">
        <v>60</v>
      </c>
      <c r="C776" s="11" t="s">
        <v>62</v>
      </c>
      <c r="D776" s="12" t="s">
        <v>2857</v>
      </c>
      <c r="E776" s="11" t="s">
        <v>203</v>
      </c>
      <c r="F776" s="11" t="s">
        <v>204</v>
      </c>
      <c r="G776" s="12" t="s">
        <v>2948</v>
      </c>
      <c r="H776" s="13" t="s">
        <v>2949</v>
      </c>
      <c r="I776" s="11" t="s">
        <v>65</v>
      </c>
      <c r="J776" s="14">
        <v>1</v>
      </c>
      <c r="K776" s="14" t="s">
        <v>2810</v>
      </c>
      <c r="L776" s="14" t="s">
        <v>2950</v>
      </c>
      <c r="M776" s="15" t="s">
        <v>2860</v>
      </c>
      <c r="N776" s="15" t="s">
        <v>208</v>
      </c>
      <c r="O776" s="15" t="s">
        <v>2951</v>
      </c>
      <c r="P776" s="15" t="s">
        <v>2952</v>
      </c>
      <c r="Q776" s="15" t="s">
        <v>211</v>
      </c>
      <c r="R776" s="16" t="s">
        <v>54</v>
      </c>
      <c r="S776" s="12" t="s">
        <v>2818</v>
      </c>
      <c r="T776" s="14" t="s">
        <v>55</v>
      </c>
    </row>
    <row r="777" spans="1:20" ht="16.5">
      <c r="A777" s="17" t="s">
        <v>1745</v>
      </c>
      <c r="B777" s="17" t="s">
        <v>60</v>
      </c>
      <c r="C777" s="17" t="s">
        <v>62</v>
      </c>
      <c r="D777" s="18" t="s">
        <v>2879</v>
      </c>
      <c r="E777" s="17" t="s">
        <v>203</v>
      </c>
      <c r="F777" s="17" t="s">
        <v>204</v>
      </c>
      <c r="G777" s="18" t="s">
        <v>2953</v>
      </c>
      <c r="H777" s="20" t="s">
        <v>2954</v>
      </c>
      <c r="I777" s="17" t="s">
        <v>65</v>
      </c>
      <c r="J777" s="21">
        <v>1</v>
      </c>
      <c r="K777" s="21" t="s">
        <v>2810</v>
      </c>
      <c r="L777" s="21" t="s">
        <v>2955</v>
      </c>
      <c r="M777" s="19" t="s">
        <v>2882</v>
      </c>
      <c r="N777" s="19" t="s">
        <v>208</v>
      </c>
      <c r="O777" s="19" t="s">
        <v>2956</v>
      </c>
      <c r="P777" s="19" t="s">
        <v>2957</v>
      </c>
      <c r="Q777" s="19" t="s">
        <v>211</v>
      </c>
      <c r="R777" s="16" t="s">
        <v>54</v>
      </c>
      <c r="S777" s="18" t="s">
        <v>2818</v>
      </c>
      <c r="T777" s="21" t="s">
        <v>55</v>
      </c>
    </row>
    <row r="778" spans="1:20" ht="16.5">
      <c r="A778" s="11" t="s">
        <v>1745</v>
      </c>
      <c r="B778" s="11" t="s">
        <v>60</v>
      </c>
      <c r="C778" s="11" t="s">
        <v>62</v>
      </c>
      <c r="D778" s="12" t="s">
        <v>2879</v>
      </c>
      <c r="E778" s="11" t="s">
        <v>203</v>
      </c>
      <c r="F778" s="11" t="s">
        <v>204</v>
      </c>
      <c r="G778" s="12" t="s">
        <v>2958</v>
      </c>
      <c r="H778" s="13" t="s">
        <v>2959</v>
      </c>
      <c r="I778" s="11" t="s">
        <v>65</v>
      </c>
      <c r="J778" s="14">
        <v>1</v>
      </c>
      <c r="K778" s="14" t="s">
        <v>2810</v>
      </c>
      <c r="L778" s="14" t="s">
        <v>2960</v>
      </c>
      <c r="M778" s="15" t="s">
        <v>2882</v>
      </c>
      <c r="N778" s="15" t="s">
        <v>208</v>
      </c>
      <c r="O778" s="15" t="s">
        <v>2961</v>
      </c>
      <c r="P778" s="15" t="s">
        <v>2962</v>
      </c>
      <c r="Q778" s="15" t="s">
        <v>211</v>
      </c>
      <c r="R778" s="16" t="s">
        <v>54</v>
      </c>
      <c r="S778" s="12" t="s">
        <v>2818</v>
      </c>
      <c r="T778" s="14" t="s">
        <v>55</v>
      </c>
    </row>
    <row r="779" spans="1:20" ht="16.5">
      <c r="A779" s="17" t="s">
        <v>1745</v>
      </c>
      <c r="B779" s="17" t="s">
        <v>60</v>
      </c>
      <c r="C779" s="17" t="s">
        <v>62</v>
      </c>
      <c r="D779" s="18" t="s">
        <v>2879</v>
      </c>
      <c r="E779" s="17" t="s">
        <v>203</v>
      </c>
      <c r="F779" s="17" t="s">
        <v>204</v>
      </c>
      <c r="G779" s="18" t="s">
        <v>2963</v>
      </c>
      <c r="H779" s="20" t="s">
        <v>2964</v>
      </c>
      <c r="I779" s="17" t="s">
        <v>65</v>
      </c>
      <c r="J779" s="21">
        <v>1</v>
      </c>
      <c r="K779" s="21" t="s">
        <v>2810</v>
      </c>
      <c r="L779" s="21" t="s">
        <v>2965</v>
      </c>
      <c r="M779" s="19" t="s">
        <v>2882</v>
      </c>
      <c r="N779" s="19" t="s">
        <v>208</v>
      </c>
      <c r="O779" s="19" t="s">
        <v>2966</v>
      </c>
      <c r="P779" s="19" t="s">
        <v>2967</v>
      </c>
      <c r="Q779" s="19" t="s">
        <v>211</v>
      </c>
      <c r="R779" s="16" t="s">
        <v>54</v>
      </c>
      <c r="S779" s="18" t="s">
        <v>2818</v>
      </c>
      <c r="T779" s="21" t="s">
        <v>55</v>
      </c>
    </row>
    <row r="780" spans="1:20" ht="16.5">
      <c r="A780" s="11" t="s">
        <v>1745</v>
      </c>
      <c r="B780" s="11" t="s">
        <v>60</v>
      </c>
      <c r="C780" s="11" t="s">
        <v>62</v>
      </c>
      <c r="D780" s="12" t="s">
        <v>2879</v>
      </c>
      <c r="E780" s="11" t="s">
        <v>203</v>
      </c>
      <c r="F780" s="11" t="s">
        <v>204</v>
      </c>
      <c r="G780" s="12" t="s">
        <v>2968</v>
      </c>
      <c r="H780" s="13" t="s">
        <v>2969</v>
      </c>
      <c r="I780" s="11" t="s">
        <v>65</v>
      </c>
      <c r="J780" s="14">
        <v>1</v>
      </c>
      <c r="K780" s="14" t="s">
        <v>2810</v>
      </c>
      <c r="L780" s="14" t="s">
        <v>2970</v>
      </c>
      <c r="M780" s="15" t="s">
        <v>2882</v>
      </c>
      <c r="N780" s="15" t="s">
        <v>208</v>
      </c>
      <c r="O780" s="15" t="s">
        <v>2971</v>
      </c>
      <c r="P780" s="15" t="s">
        <v>2972</v>
      </c>
      <c r="Q780" s="15" t="s">
        <v>211</v>
      </c>
      <c r="R780" s="16" t="s">
        <v>54</v>
      </c>
      <c r="S780" s="12" t="s">
        <v>2818</v>
      </c>
      <c r="T780" s="14" t="s">
        <v>55</v>
      </c>
    </row>
    <row r="781" spans="1:20" ht="16.5">
      <c r="A781" s="17" t="s">
        <v>1745</v>
      </c>
      <c r="B781" s="17" t="s">
        <v>311</v>
      </c>
      <c r="C781" s="17" t="s">
        <v>204</v>
      </c>
      <c r="D781" s="18" t="s">
        <v>2943</v>
      </c>
      <c r="E781" s="17" t="s">
        <v>312</v>
      </c>
      <c r="F781" s="21" t="s">
        <v>313</v>
      </c>
      <c r="G781" s="19" t="s">
        <v>2947</v>
      </c>
      <c r="H781" s="24" t="s">
        <v>2973</v>
      </c>
      <c r="I781" s="17" t="s">
        <v>65</v>
      </c>
      <c r="J781" s="21">
        <v>1</v>
      </c>
      <c r="K781" s="21" t="s">
        <v>2810</v>
      </c>
      <c r="L781" s="21" t="s">
        <v>2974</v>
      </c>
      <c r="M781" s="19" t="s">
        <v>2946</v>
      </c>
      <c r="N781" s="19" t="s">
        <v>316</v>
      </c>
      <c r="O781" s="19" t="s">
        <v>2975</v>
      </c>
      <c r="P781" s="19" t="s">
        <v>2947</v>
      </c>
      <c r="Q781" s="19" t="s">
        <v>211</v>
      </c>
      <c r="R781" s="16" t="s">
        <v>54</v>
      </c>
      <c r="S781" s="18" t="s">
        <v>2818</v>
      </c>
      <c r="T781" s="21" t="s">
        <v>55</v>
      </c>
    </row>
    <row r="782" spans="1:20" ht="16.5">
      <c r="A782" s="11" t="s">
        <v>1745</v>
      </c>
      <c r="B782" s="11" t="s">
        <v>311</v>
      </c>
      <c r="C782" s="11" t="s">
        <v>204</v>
      </c>
      <c r="D782" s="12" t="s">
        <v>2948</v>
      </c>
      <c r="E782" s="11" t="s">
        <v>312</v>
      </c>
      <c r="F782" s="14" t="s">
        <v>313</v>
      </c>
      <c r="G782" s="15" t="s">
        <v>2952</v>
      </c>
      <c r="H782" s="23" t="s">
        <v>2976</v>
      </c>
      <c r="I782" s="11" t="s">
        <v>65</v>
      </c>
      <c r="J782" s="14">
        <v>1</v>
      </c>
      <c r="K782" s="14" t="s">
        <v>2810</v>
      </c>
      <c r="L782" s="14" t="s">
        <v>2977</v>
      </c>
      <c r="M782" s="15" t="s">
        <v>2951</v>
      </c>
      <c r="N782" s="15" t="s">
        <v>316</v>
      </c>
      <c r="O782" s="15" t="s">
        <v>2978</v>
      </c>
      <c r="P782" s="15" t="s">
        <v>2952</v>
      </c>
      <c r="Q782" s="15" t="s">
        <v>211</v>
      </c>
      <c r="R782" s="16" t="s">
        <v>54</v>
      </c>
      <c r="S782" s="12" t="s">
        <v>2818</v>
      </c>
      <c r="T782" s="14" t="s">
        <v>55</v>
      </c>
    </row>
    <row r="783" spans="1:20" ht="16.5">
      <c r="A783" s="17" t="s">
        <v>1745</v>
      </c>
      <c r="B783" s="17" t="s">
        <v>311</v>
      </c>
      <c r="C783" s="17" t="s">
        <v>204</v>
      </c>
      <c r="D783" s="18" t="s">
        <v>2953</v>
      </c>
      <c r="E783" s="17" t="s">
        <v>312</v>
      </c>
      <c r="F783" s="21" t="s">
        <v>313</v>
      </c>
      <c r="G783" s="19" t="s">
        <v>2979</v>
      </c>
      <c r="H783" s="24" t="s">
        <v>2980</v>
      </c>
      <c r="I783" s="17" t="s">
        <v>65</v>
      </c>
      <c r="J783" s="21">
        <v>1</v>
      </c>
      <c r="K783" s="21" t="s">
        <v>2810</v>
      </c>
      <c r="L783" s="21" t="s">
        <v>2981</v>
      </c>
      <c r="M783" s="19" t="s">
        <v>2956</v>
      </c>
      <c r="N783" s="19" t="s">
        <v>316</v>
      </c>
      <c r="O783" s="19" t="s">
        <v>2982</v>
      </c>
      <c r="P783" s="19" t="s">
        <v>2979</v>
      </c>
      <c r="Q783" s="19" t="s">
        <v>211</v>
      </c>
      <c r="R783" s="16" t="s">
        <v>54</v>
      </c>
      <c r="S783" s="18" t="s">
        <v>2818</v>
      </c>
      <c r="T783" s="21" t="s">
        <v>55</v>
      </c>
    </row>
    <row r="784" spans="1:20" ht="16.5">
      <c r="A784" s="11" t="s">
        <v>1745</v>
      </c>
      <c r="B784" s="11" t="s">
        <v>311</v>
      </c>
      <c r="C784" s="11" t="s">
        <v>204</v>
      </c>
      <c r="D784" s="12" t="s">
        <v>2953</v>
      </c>
      <c r="E784" s="11" t="s">
        <v>312</v>
      </c>
      <c r="F784" s="14" t="s">
        <v>313</v>
      </c>
      <c r="G784" s="15" t="s">
        <v>2983</v>
      </c>
      <c r="H784" s="23" t="s">
        <v>2984</v>
      </c>
      <c r="I784" s="11" t="s">
        <v>65</v>
      </c>
      <c r="J784" s="14">
        <v>1</v>
      </c>
      <c r="K784" s="14" t="s">
        <v>2810</v>
      </c>
      <c r="L784" s="14" t="s">
        <v>2985</v>
      </c>
      <c r="M784" s="15" t="s">
        <v>2956</v>
      </c>
      <c r="N784" s="15" t="s">
        <v>316</v>
      </c>
      <c r="O784" s="15" t="s">
        <v>2986</v>
      </c>
      <c r="P784" s="15" t="s">
        <v>2983</v>
      </c>
      <c r="Q784" s="15" t="s">
        <v>211</v>
      </c>
      <c r="R784" s="16" t="s">
        <v>54</v>
      </c>
      <c r="S784" s="12" t="s">
        <v>2818</v>
      </c>
      <c r="T784" s="14" t="s">
        <v>55</v>
      </c>
    </row>
    <row r="785" spans="1:20" ht="16.5">
      <c r="A785" s="17" t="s">
        <v>1745</v>
      </c>
      <c r="B785" s="17" t="s">
        <v>311</v>
      </c>
      <c r="C785" s="17" t="s">
        <v>204</v>
      </c>
      <c r="D785" s="18" t="s">
        <v>2953</v>
      </c>
      <c r="E785" s="17" t="s">
        <v>312</v>
      </c>
      <c r="F785" s="21" t="s">
        <v>313</v>
      </c>
      <c r="G785" s="19" t="s">
        <v>2987</v>
      </c>
      <c r="H785" s="24" t="s">
        <v>2988</v>
      </c>
      <c r="I785" s="17" t="s">
        <v>65</v>
      </c>
      <c r="J785" s="21">
        <v>1</v>
      </c>
      <c r="K785" s="21" t="s">
        <v>2810</v>
      </c>
      <c r="L785" s="21" t="s">
        <v>2989</v>
      </c>
      <c r="M785" s="19" t="s">
        <v>2956</v>
      </c>
      <c r="N785" s="19" t="s">
        <v>316</v>
      </c>
      <c r="O785" s="19" t="s">
        <v>2990</v>
      </c>
      <c r="P785" s="19" t="s">
        <v>2987</v>
      </c>
      <c r="Q785" s="19" t="s">
        <v>211</v>
      </c>
      <c r="R785" s="16" t="s">
        <v>54</v>
      </c>
      <c r="S785" s="18" t="s">
        <v>2818</v>
      </c>
      <c r="T785" s="21" t="s">
        <v>55</v>
      </c>
    </row>
    <row r="786" spans="1:20" ht="16.5">
      <c r="A786" s="11" t="s">
        <v>1745</v>
      </c>
      <c r="B786" s="11" t="s">
        <v>311</v>
      </c>
      <c r="C786" s="11" t="s">
        <v>204</v>
      </c>
      <c r="D786" s="12" t="s">
        <v>2953</v>
      </c>
      <c r="E786" s="11" t="s">
        <v>312</v>
      </c>
      <c r="F786" s="14" t="s">
        <v>313</v>
      </c>
      <c r="G786" s="15" t="s">
        <v>2991</v>
      </c>
      <c r="H786" s="23" t="s">
        <v>2992</v>
      </c>
      <c r="I786" s="11" t="s">
        <v>65</v>
      </c>
      <c r="J786" s="14">
        <v>1</v>
      </c>
      <c r="K786" s="14" t="s">
        <v>2810</v>
      </c>
      <c r="L786" s="14" t="s">
        <v>2993</v>
      </c>
      <c r="M786" s="15" t="s">
        <v>2956</v>
      </c>
      <c r="N786" s="15" t="s">
        <v>316</v>
      </c>
      <c r="O786" s="15" t="s">
        <v>2994</v>
      </c>
      <c r="P786" s="15" t="s">
        <v>2991</v>
      </c>
      <c r="Q786" s="15" t="s">
        <v>211</v>
      </c>
      <c r="R786" s="16" t="s">
        <v>54</v>
      </c>
      <c r="S786" s="12" t="s">
        <v>2818</v>
      </c>
      <c r="T786" s="14" t="s">
        <v>55</v>
      </c>
    </row>
    <row r="787" spans="1:20" ht="16.5">
      <c r="A787" s="17" t="s">
        <v>1745</v>
      </c>
      <c r="B787" s="17" t="s">
        <v>311</v>
      </c>
      <c r="C787" s="17" t="s">
        <v>204</v>
      </c>
      <c r="D787" s="18" t="s">
        <v>2953</v>
      </c>
      <c r="E787" s="17" t="s">
        <v>312</v>
      </c>
      <c r="F787" s="21" t="s">
        <v>313</v>
      </c>
      <c r="G787" s="19" t="s">
        <v>2995</v>
      </c>
      <c r="H787" s="24" t="s">
        <v>2996</v>
      </c>
      <c r="I787" s="17" t="s">
        <v>65</v>
      </c>
      <c r="J787" s="21">
        <v>1</v>
      </c>
      <c r="K787" s="21" t="s">
        <v>2810</v>
      </c>
      <c r="L787" s="21" t="s">
        <v>2997</v>
      </c>
      <c r="M787" s="19" t="s">
        <v>2956</v>
      </c>
      <c r="N787" s="19" t="s">
        <v>316</v>
      </c>
      <c r="O787" s="19" t="s">
        <v>2998</v>
      </c>
      <c r="P787" s="19" t="s">
        <v>2995</v>
      </c>
      <c r="Q787" s="19" t="s">
        <v>211</v>
      </c>
      <c r="R787" s="16" t="s">
        <v>54</v>
      </c>
      <c r="S787" s="18" t="s">
        <v>2818</v>
      </c>
      <c r="T787" s="21" t="s">
        <v>55</v>
      </c>
    </row>
    <row r="788" spans="1:20" ht="16.5">
      <c r="A788" s="11" t="s">
        <v>1745</v>
      </c>
      <c r="B788" s="11" t="s">
        <v>311</v>
      </c>
      <c r="C788" s="11" t="s">
        <v>204</v>
      </c>
      <c r="D788" s="12" t="s">
        <v>2953</v>
      </c>
      <c r="E788" s="11" t="s">
        <v>312</v>
      </c>
      <c r="F788" s="14" t="s">
        <v>313</v>
      </c>
      <c r="G788" s="15" t="s">
        <v>2999</v>
      </c>
      <c r="H788" s="23" t="s">
        <v>3000</v>
      </c>
      <c r="I788" s="11" t="s">
        <v>65</v>
      </c>
      <c r="J788" s="14">
        <v>1</v>
      </c>
      <c r="K788" s="14" t="s">
        <v>2810</v>
      </c>
      <c r="L788" s="14" t="s">
        <v>3001</v>
      </c>
      <c r="M788" s="15" t="s">
        <v>2956</v>
      </c>
      <c r="N788" s="15" t="s">
        <v>316</v>
      </c>
      <c r="O788" s="15" t="s">
        <v>3002</v>
      </c>
      <c r="P788" s="15" t="s">
        <v>2999</v>
      </c>
      <c r="Q788" s="15" t="s">
        <v>211</v>
      </c>
      <c r="R788" s="16" t="s">
        <v>54</v>
      </c>
      <c r="S788" s="12" t="s">
        <v>2818</v>
      </c>
      <c r="T788" s="14" t="s">
        <v>55</v>
      </c>
    </row>
    <row r="789" spans="1:20" ht="16.5">
      <c r="A789" s="17" t="s">
        <v>1745</v>
      </c>
      <c r="B789" s="17" t="s">
        <v>311</v>
      </c>
      <c r="C789" s="17" t="s">
        <v>204</v>
      </c>
      <c r="D789" s="18" t="s">
        <v>2958</v>
      </c>
      <c r="E789" s="17" t="s">
        <v>312</v>
      </c>
      <c r="F789" s="21" t="s">
        <v>313</v>
      </c>
      <c r="G789" s="19" t="s">
        <v>3003</v>
      </c>
      <c r="H789" s="24" t="s">
        <v>3004</v>
      </c>
      <c r="I789" s="17" t="s">
        <v>65</v>
      </c>
      <c r="J789" s="21">
        <v>1</v>
      </c>
      <c r="K789" s="21" t="s">
        <v>2810</v>
      </c>
      <c r="L789" s="21" t="s">
        <v>3005</v>
      </c>
      <c r="M789" s="19" t="s">
        <v>2961</v>
      </c>
      <c r="N789" s="19" t="s">
        <v>316</v>
      </c>
      <c r="O789" s="19" t="s">
        <v>3006</v>
      </c>
      <c r="P789" s="19" t="s">
        <v>3003</v>
      </c>
      <c r="Q789" s="19" t="s">
        <v>211</v>
      </c>
      <c r="R789" s="16" t="s">
        <v>54</v>
      </c>
      <c r="S789" s="18" t="s">
        <v>2818</v>
      </c>
      <c r="T789" s="21" t="s">
        <v>55</v>
      </c>
    </row>
    <row r="790" spans="1:20" ht="16.5">
      <c r="A790" s="11" t="s">
        <v>1745</v>
      </c>
      <c r="B790" s="11" t="s">
        <v>311</v>
      </c>
      <c r="C790" s="11" t="s">
        <v>204</v>
      </c>
      <c r="D790" s="12" t="s">
        <v>2958</v>
      </c>
      <c r="E790" s="11" t="s">
        <v>312</v>
      </c>
      <c r="F790" s="14" t="s">
        <v>313</v>
      </c>
      <c r="G790" s="15" t="s">
        <v>3007</v>
      </c>
      <c r="H790" s="23" t="s">
        <v>3008</v>
      </c>
      <c r="I790" s="11" t="s">
        <v>65</v>
      </c>
      <c r="J790" s="14">
        <v>1</v>
      </c>
      <c r="K790" s="14" t="s">
        <v>2810</v>
      </c>
      <c r="L790" s="14" t="s">
        <v>3009</v>
      </c>
      <c r="M790" s="15" t="s">
        <v>2961</v>
      </c>
      <c r="N790" s="15" t="s">
        <v>316</v>
      </c>
      <c r="O790" s="15" t="s">
        <v>3010</v>
      </c>
      <c r="P790" s="15" t="s">
        <v>3007</v>
      </c>
      <c r="Q790" s="15" t="s">
        <v>211</v>
      </c>
      <c r="R790" s="16" t="s">
        <v>54</v>
      </c>
      <c r="S790" s="12" t="s">
        <v>2818</v>
      </c>
      <c r="T790" s="14" t="s">
        <v>55</v>
      </c>
    </row>
    <row r="791" spans="1:20" ht="16.5">
      <c r="A791" s="17" t="s">
        <v>1745</v>
      </c>
      <c r="B791" s="17" t="s">
        <v>311</v>
      </c>
      <c r="C791" s="17" t="s">
        <v>204</v>
      </c>
      <c r="D791" s="18" t="s">
        <v>2958</v>
      </c>
      <c r="E791" s="17" t="s">
        <v>312</v>
      </c>
      <c r="F791" s="21" t="s">
        <v>313</v>
      </c>
      <c r="G791" s="19" t="s">
        <v>3011</v>
      </c>
      <c r="H791" s="24" t="s">
        <v>3012</v>
      </c>
      <c r="I791" s="17" t="s">
        <v>65</v>
      </c>
      <c r="J791" s="21">
        <v>1</v>
      </c>
      <c r="K791" s="21" t="s">
        <v>2810</v>
      </c>
      <c r="L791" s="21" t="s">
        <v>3013</v>
      </c>
      <c r="M791" s="19" t="s">
        <v>2961</v>
      </c>
      <c r="N791" s="19" t="s">
        <v>316</v>
      </c>
      <c r="O791" s="19" t="s">
        <v>3014</v>
      </c>
      <c r="P791" s="19" t="s">
        <v>3011</v>
      </c>
      <c r="Q791" s="19" t="s">
        <v>211</v>
      </c>
      <c r="R791" s="16" t="s">
        <v>54</v>
      </c>
      <c r="S791" s="18" t="s">
        <v>2818</v>
      </c>
      <c r="T791" s="21" t="s">
        <v>55</v>
      </c>
    </row>
    <row r="792" spans="1:20" ht="16.5">
      <c r="A792" s="11" t="s">
        <v>1745</v>
      </c>
      <c r="B792" s="11" t="s">
        <v>311</v>
      </c>
      <c r="C792" s="11" t="s">
        <v>204</v>
      </c>
      <c r="D792" s="12" t="s">
        <v>2958</v>
      </c>
      <c r="E792" s="11" t="s">
        <v>312</v>
      </c>
      <c r="F792" s="14" t="s">
        <v>313</v>
      </c>
      <c r="G792" s="15" t="s">
        <v>3015</v>
      </c>
      <c r="H792" s="23" t="s">
        <v>3016</v>
      </c>
      <c r="I792" s="11" t="s">
        <v>65</v>
      </c>
      <c r="J792" s="14">
        <v>1</v>
      </c>
      <c r="K792" s="14" t="s">
        <v>2810</v>
      </c>
      <c r="L792" s="14" t="s">
        <v>3017</v>
      </c>
      <c r="M792" s="15" t="s">
        <v>2961</v>
      </c>
      <c r="N792" s="15" t="s">
        <v>316</v>
      </c>
      <c r="O792" s="15" t="s">
        <v>3018</v>
      </c>
      <c r="P792" s="15" t="s">
        <v>3015</v>
      </c>
      <c r="Q792" s="15" t="s">
        <v>211</v>
      </c>
      <c r="R792" s="16" t="s">
        <v>54</v>
      </c>
      <c r="S792" s="12" t="s">
        <v>2818</v>
      </c>
      <c r="T792" s="14" t="s">
        <v>55</v>
      </c>
    </row>
    <row r="793" spans="1:20" ht="16.5">
      <c r="A793" s="17" t="s">
        <v>1745</v>
      </c>
      <c r="B793" s="17" t="s">
        <v>311</v>
      </c>
      <c r="C793" s="17" t="s">
        <v>204</v>
      </c>
      <c r="D793" s="18" t="s">
        <v>2958</v>
      </c>
      <c r="E793" s="17" t="s">
        <v>312</v>
      </c>
      <c r="F793" s="21" t="s">
        <v>313</v>
      </c>
      <c r="G793" s="19" t="s">
        <v>3019</v>
      </c>
      <c r="H793" s="24" t="s">
        <v>3020</v>
      </c>
      <c r="I793" s="17" t="s">
        <v>65</v>
      </c>
      <c r="J793" s="21">
        <v>1</v>
      </c>
      <c r="K793" s="21" t="s">
        <v>2810</v>
      </c>
      <c r="L793" s="21" t="s">
        <v>3021</v>
      </c>
      <c r="M793" s="19" t="s">
        <v>2961</v>
      </c>
      <c r="N793" s="19" t="s">
        <v>316</v>
      </c>
      <c r="O793" s="19" t="s">
        <v>3022</v>
      </c>
      <c r="P793" s="19" t="s">
        <v>3019</v>
      </c>
      <c r="Q793" s="19" t="s">
        <v>211</v>
      </c>
      <c r="R793" s="16" t="s">
        <v>54</v>
      </c>
      <c r="S793" s="18" t="s">
        <v>2818</v>
      </c>
      <c r="T793" s="21" t="s">
        <v>55</v>
      </c>
    </row>
    <row r="794" spans="1:20" ht="16.5">
      <c r="A794" s="11" t="s">
        <v>1745</v>
      </c>
      <c r="B794" s="11" t="s">
        <v>311</v>
      </c>
      <c r="C794" s="11" t="s">
        <v>204</v>
      </c>
      <c r="D794" s="12" t="s">
        <v>2958</v>
      </c>
      <c r="E794" s="11" t="s">
        <v>312</v>
      </c>
      <c r="F794" s="14" t="s">
        <v>313</v>
      </c>
      <c r="G794" s="15" t="s">
        <v>3023</v>
      </c>
      <c r="H794" s="23" t="s">
        <v>3024</v>
      </c>
      <c r="I794" s="11" t="s">
        <v>65</v>
      </c>
      <c r="J794" s="14">
        <v>1</v>
      </c>
      <c r="K794" s="14" t="s">
        <v>2810</v>
      </c>
      <c r="L794" s="14" t="s">
        <v>3025</v>
      </c>
      <c r="M794" s="15" t="s">
        <v>2961</v>
      </c>
      <c r="N794" s="15" t="s">
        <v>316</v>
      </c>
      <c r="O794" s="15" t="s">
        <v>3026</v>
      </c>
      <c r="P794" s="15" t="s">
        <v>3023</v>
      </c>
      <c r="Q794" s="15" t="s">
        <v>211</v>
      </c>
      <c r="R794" s="16" t="s">
        <v>54</v>
      </c>
      <c r="S794" s="12" t="s">
        <v>2818</v>
      </c>
      <c r="T794" s="14" t="s">
        <v>55</v>
      </c>
    </row>
    <row r="795" spans="1:20" ht="16.5">
      <c r="A795" s="17" t="s">
        <v>1745</v>
      </c>
      <c r="B795" s="17" t="s">
        <v>311</v>
      </c>
      <c r="C795" s="17" t="s">
        <v>204</v>
      </c>
      <c r="D795" s="18" t="s">
        <v>2963</v>
      </c>
      <c r="E795" s="17" t="s">
        <v>312</v>
      </c>
      <c r="F795" s="21" t="s">
        <v>313</v>
      </c>
      <c r="G795" s="19" t="s">
        <v>3027</v>
      </c>
      <c r="H795" s="24" t="s">
        <v>3028</v>
      </c>
      <c r="I795" s="17" t="s">
        <v>65</v>
      </c>
      <c r="J795" s="21">
        <v>1</v>
      </c>
      <c r="K795" s="21" t="s">
        <v>2810</v>
      </c>
      <c r="L795" s="21" t="s">
        <v>3029</v>
      </c>
      <c r="M795" s="19" t="s">
        <v>2966</v>
      </c>
      <c r="N795" s="19" t="s">
        <v>316</v>
      </c>
      <c r="O795" s="19" t="s">
        <v>3030</v>
      </c>
      <c r="P795" s="19" t="s">
        <v>3027</v>
      </c>
      <c r="Q795" s="19" t="s">
        <v>211</v>
      </c>
      <c r="R795" s="16" t="s">
        <v>54</v>
      </c>
      <c r="S795" s="18" t="s">
        <v>2818</v>
      </c>
      <c r="T795" s="21" t="s">
        <v>55</v>
      </c>
    </row>
    <row r="796" spans="1:20" ht="16.5">
      <c r="A796" s="11" t="s">
        <v>1745</v>
      </c>
      <c r="B796" s="11" t="s">
        <v>311</v>
      </c>
      <c r="C796" s="11" t="s">
        <v>204</v>
      </c>
      <c r="D796" s="12" t="s">
        <v>2963</v>
      </c>
      <c r="E796" s="11" t="s">
        <v>312</v>
      </c>
      <c r="F796" s="14" t="s">
        <v>313</v>
      </c>
      <c r="G796" s="15" t="s">
        <v>3031</v>
      </c>
      <c r="H796" s="23" t="s">
        <v>3032</v>
      </c>
      <c r="I796" s="11" t="s">
        <v>65</v>
      </c>
      <c r="J796" s="14">
        <v>1</v>
      </c>
      <c r="K796" s="14" t="s">
        <v>2810</v>
      </c>
      <c r="L796" s="14" t="s">
        <v>3033</v>
      </c>
      <c r="M796" s="15" t="s">
        <v>2966</v>
      </c>
      <c r="N796" s="15" t="s">
        <v>316</v>
      </c>
      <c r="O796" s="15" t="s">
        <v>3034</v>
      </c>
      <c r="P796" s="15" t="s">
        <v>3031</v>
      </c>
      <c r="Q796" s="15" t="s">
        <v>211</v>
      </c>
      <c r="R796" s="16" t="s">
        <v>54</v>
      </c>
      <c r="S796" s="12" t="s">
        <v>2818</v>
      </c>
      <c r="T796" s="14" t="s">
        <v>55</v>
      </c>
    </row>
    <row r="797" spans="1:20" ht="16.5">
      <c r="A797" s="17" t="s">
        <v>1745</v>
      </c>
      <c r="B797" s="17" t="s">
        <v>311</v>
      </c>
      <c r="C797" s="17" t="s">
        <v>204</v>
      </c>
      <c r="D797" s="18" t="s">
        <v>2963</v>
      </c>
      <c r="E797" s="17" t="s">
        <v>312</v>
      </c>
      <c r="F797" s="21" t="s">
        <v>313</v>
      </c>
      <c r="G797" s="19" t="s">
        <v>3035</v>
      </c>
      <c r="H797" s="24" t="s">
        <v>3036</v>
      </c>
      <c r="I797" s="17" t="s">
        <v>65</v>
      </c>
      <c r="J797" s="21">
        <v>1</v>
      </c>
      <c r="K797" s="21" t="s">
        <v>2810</v>
      </c>
      <c r="L797" s="21" t="s">
        <v>3037</v>
      </c>
      <c r="M797" s="19" t="s">
        <v>2966</v>
      </c>
      <c r="N797" s="19" t="s">
        <v>316</v>
      </c>
      <c r="O797" s="19" t="s">
        <v>3038</v>
      </c>
      <c r="P797" s="19" t="s">
        <v>3035</v>
      </c>
      <c r="Q797" s="19" t="s">
        <v>211</v>
      </c>
      <c r="R797" s="16" t="s">
        <v>54</v>
      </c>
      <c r="S797" s="18" t="s">
        <v>2818</v>
      </c>
      <c r="T797" s="21" t="s">
        <v>55</v>
      </c>
    </row>
    <row r="798" spans="1:20" ht="16.5">
      <c r="A798" s="11" t="s">
        <v>1745</v>
      </c>
      <c r="B798" s="11" t="s">
        <v>311</v>
      </c>
      <c r="C798" s="11" t="s">
        <v>204</v>
      </c>
      <c r="D798" s="12" t="s">
        <v>2963</v>
      </c>
      <c r="E798" s="11" t="s">
        <v>312</v>
      </c>
      <c r="F798" s="14" t="s">
        <v>313</v>
      </c>
      <c r="G798" s="15" t="s">
        <v>3039</v>
      </c>
      <c r="H798" s="23" t="s">
        <v>3040</v>
      </c>
      <c r="I798" s="11" t="s">
        <v>65</v>
      </c>
      <c r="J798" s="14">
        <v>1</v>
      </c>
      <c r="K798" s="14" t="s">
        <v>2810</v>
      </c>
      <c r="L798" s="14" t="s">
        <v>3041</v>
      </c>
      <c r="M798" s="15" t="s">
        <v>2966</v>
      </c>
      <c r="N798" s="15" t="s">
        <v>316</v>
      </c>
      <c r="O798" s="15" t="s">
        <v>3042</v>
      </c>
      <c r="P798" s="15" t="s">
        <v>3039</v>
      </c>
      <c r="Q798" s="15" t="s">
        <v>211</v>
      </c>
      <c r="R798" s="16" t="s">
        <v>54</v>
      </c>
      <c r="S798" s="12" t="s">
        <v>2818</v>
      </c>
      <c r="T798" s="14" t="s">
        <v>55</v>
      </c>
    </row>
    <row r="799" spans="1:20" ht="16.5">
      <c r="A799" s="17" t="s">
        <v>1745</v>
      </c>
      <c r="B799" s="17" t="s">
        <v>311</v>
      </c>
      <c r="C799" s="17" t="s">
        <v>204</v>
      </c>
      <c r="D799" s="18" t="s">
        <v>2963</v>
      </c>
      <c r="E799" s="17" t="s">
        <v>312</v>
      </c>
      <c r="F799" s="21" t="s">
        <v>313</v>
      </c>
      <c r="G799" s="19" t="s">
        <v>3043</v>
      </c>
      <c r="H799" s="24" t="s">
        <v>3044</v>
      </c>
      <c r="I799" s="17" t="s">
        <v>65</v>
      </c>
      <c r="J799" s="21">
        <v>1</v>
      </c>
      <c r="K799" s="21" t="s">
        <v>2810</v>
      </c>
      <c r="L799" s="21" t="s">
        <v>3045</v>
      </c>
      <c r="M799" s="19" t="s">
        <v>2966</v>
      </c>
      <c r="N799" s="19" t="s">
        <v>316</v>
      </c>
      <c r="O799" s="19" t="s">
        <v>3046</v>
      </c>
      <c r="P799" s="19" t="s">
        <v>3043</v>
      </c>
      <c r="Q799" s="19" t="s">
        <v>211</v>
      </c>
      <c r="R799" s="16" t="s">
        <v>54</v>
      </c>
      <c r="S799" s="18" t="s">
        <v>2818</v>
      </c>
      <c r="T799" s="21" t="s">
        <v>55</v>
      </c>
    </row>
    <row r="800" spans="1:20" ht="16.5">
      <c r="A800" s="11" t="s">
        <v>1745</v>
      </c>
      <c r="B800" s="11" t="s">
        <v>311</v>
      </c>
      <c r="C800" s="11" t="s">
        <v>204</v>
      </c>
      <c r="D800" s="12" t="s">
        <v>2963</v>
      </c>
      <c r="E800" s="11" t="s">
        <v>312</v>
      </c>
      <c r="F800" s="14" t="s">
        <v>313</v>
      </c>
      <c r="G800" s="15" t="s">
        <v>3047</v>
      </c>
      <c r="H800" s="23" t="s">
        <v>3048</v>
      </c>
      <c r="I800" s="11" t="s">
        <v>65</v>
      </c>
      <c r="J800" s="14">
        <v>1</v>
      </c>
      <c r="K800" s="14" t="s">
        <v>2810</v>
      </c>
      <c r="L800" s="14" t="s">
        <v>3049</v>
      </c>
      <c r="M800" s="15" t="s">
        <v>2966</v>
      </c>
      <c r="N800" s="15" t="s">
        <v>316</v>
      </c>
      <c r="O800" s="15" t="s">
        <v>3050</v>
      </c>
      <c r="P800" s="15" t="s">
        <v>3047</v>
      </c>
      <c r="Q800" s="15" t="s">
        <v>211</v>
      </c>
      <c r="R800" s="16" t="s">
        <v>54</v>
      </c>
      <c r="S800" s="12" t="s">
        <v>2818</v>
      </c>
      <c r="T800" s="14" t="s">
        <v>55</v>
      </c>
    </row>
    <row r="801" spans="1:20" ht="16.5">
      <c r="A801" s="17" t="s">
        <v>1745</v>
      </c>
      <c r="B801" s="17" t="s">
        <v>311</v>
      </c>
      <c r="C801" s="17" t="s">
        <v>204</v>
      </c>
      <c r="D801" s="18" t="s">
        <v>2968</v>
      </c>
      <c r="E801" s="17" t="s">
        <v>312</v>
      </c>
      <c r="F801" s="21" t="s">
        <v>313</v>
      </c>
      <c r="G801" s="19" t="s">
        <v>3051</v>
      </c>
      <c r="H801" s="24" t="s">
        <v>3052</v>
      </c>
      <c r="I801" s="17" t="s">
        <v>65</v>
      </c>
      <c r="J801" s="21">
        <v>1</v>
      </c>
      <c r="K801" s="21" t="s">
        <v>2810</v>
      </c>
      <c r="L801" s="21" t="s">
        <v>3053</v>
      </c>
      <c r="M801" s="19" t="s">
        <v>2971</v>
      </c>
      <c r="N801" s="19" t="s">
        <v>316</v>
      </c>
      <c r="O801" s="19" t="s">
        <v>3054</v>
      </c>
      <c r="P801" s="19" t="s">
        <v>3051</v>
      </c>
      <c r="Q801" s="19" t="s">
        <v>211</v>
      </c>
      <c r="R801" s="16" t="s">
        <v>54</v>
      </c>
      <c r="S801" s="18" t="s">
        <v>2818</v>
      </c>
      <c r="T801" s="21" t="s">
        <v>55</v>
      </c>
    </row>
    <row r="802" spans="1:20" ht="16.5">
      <c r="A802" s="11" t="s">
        <v>1745</v>
      </c>
      <c r="B802" s="11" t="s">
        <v>311</v>
      </c>
      <c r="C802" s="11" t="s">
        <v>204</v>
      </c>
      <c r="D802" s="12" t="s">
        <v>2968</v>
      </c>
      <c r="E802" s="11" t="s">
        <v>312</v>
      </c>
      <c r="F802" s="14" t="s">
        <v>313</v>
      </c>
      <c r="G802" s="15" t="s">
        <v>3055</v>
      </c>
      <c r="H802" s="23" t="s">
        <v>3056</v>
      </c>
      <c r="I802" s="11" t="s">
        <v>65</v>
      </c>
      <c r="J802" s="14">
        <v>1</v>
      </c>
      <c r="K802" s="14" t="s">
        <v>2810</v>
      </c>
      <c r="L802" s="14" t="s">
        <v>3057</v>
      </c>
      <c r="M802" s="15" t="s">
        <v>2971</v>
      </c>
      <c r="N802" s="15" t="s">
        <v>316</v>
      </c>
      <c r="O802" s="15" t="s">
        <v>3058</v>
      </c>
      <c r="P802" s="15" t="s">
        <v>3055</v>
      </c>
      <c r="Q802" s="15" t="s">
        <v>211</v>
      </c>
      <c r="R802" s="16" t="s">
        <v>54</v>
      </c>
      <c r="S802" s="12" t="s">
        <v>2818</v>
      </c>
      <c r="T802" s="14" t="s">
        <v>55</v>
      </c>
    </row>
    <row r="803" spans="1:20" ht="16.5">
      <c r="A803" s="17" t="s">
        <v>1745</v>
      </c>
      <c r="B803" s="17" t="s">
        <v>311</v>
      </c>
      <c r="C803" s="17" t="s">
        <v>204</v>
      </c>
      <c r="D803" s="18" t="s">
        <v>2968</v>
      </c>
      <c r="E803" s="17" t="s">
        <v>312</v>
      </c>
      <c r="F803" s="21" t="s">
        <v>313</v>
      </c>
      <c r="G803" s="19" t="s">
        <v>3059</v>
      </c>
      <c r="H803" s="24" t="s">
        <v>3060</v>
      </c>
      <c r="I803" s="17" t="s">
        <v>65</v>
      </c>
      <c r="J803" s="21">
        <v>1</v>
      </c>
      <c r="K803" s="21" t="s">
        <v>2810</v>
      </c>
      <c r="L803" s="21" t="s">
        <v>3061</v>
      </c>
      <c r="M803" s="19" t="s">
        <v>2971</v>
      </c>
      <c r="N803" s="19" t="s">
        <v>316</v>
      </c>
      <c r="O803" s="19" t="s">
        <v>3062</v>
      </c>
      <c r="P803" s="19" t="s">
        <v>3059</v>
      </c>
      <c r="Q803" s="19" t="s">
        <v>211</v>
      </c>
      <c r="R803" s="16" t="s">
        <v>54</v>
      </c>
      <c r="S803" s="18" t="s">
        <v>2818</v>
      </c>
      <c r="T803" s="21" t="s">
        <v>55</v>
      </c>
    </row>
    <row r="804" spans="1:20" ht="16.5">
      <c r="A804" s="11" t="s">
        <v>1745</v>
      </c>
      <c r="B804" s="11" t="s">
        <v>311</v>
      </c>
      <c r="C804" s="11" t="s">
        <v>204</v>
      </c>
      <c r="D804" s="12" t="s">
        <v>2968</v>
      </c>
      <c r="E804" s="11" t="s">
        <v>312</v>
      </c>
      <c r="F804" s="14" t="s">
        <v>313</v>
      </c>
      <c r="G804" s="15" t="s">
        <v>3063</v>
      </c>
      <c r="H804" s="23" t="s">
        <v>3064</v>
      </c>
      <c r="I804" s="11" t="s">
        <v>65</v>
      </c>
      <c r="J804" s="14">
        <v>1</v>
      </c>
      <c r="K804" s="14" t="s">
        <v>2810</v>
      </c>
      <c r="L804" s="14" t="s">
        <v>3065</v>
      </c>
      <c r="M804" s="15" t="s">
        <v>2971</v>
      </c>
      <c r="N804" s="15" t="s">
        <v>316</v>
      </c>
      <c r="O804" s="15" t="s">
        <v>3066</v>
      </c>
      <c r="P804" s="15" t="s">
        <v>3063</v>
      </c>
      <c r="Q804" s="15" t="s">
        <v>211</v>
      </c>
      <c r="R804" s="16" t="s">
        <v>54</v>
      </c>
      <c r="S804" s="12" t="s">
        <v>2818</v>
      </c>
      <c r="T804" s="14" t="s">
        <v>55</v>
      </c>
    </row>
    <row r="805" spans="1:20" ht="16.5">
      <c r="A805" s="17" t="s">
        <v>1745</v>
      </c>
      <c r="B805" s="17" t="s">
        <v>311</v>
      </c>
      <c r="C805" s="17" t="s">
        <v>204</v>
      </c>
      <c r="D805" s="18" t="s">
        <v>2968</v>
      </c>
      <c r="E805" s="17" t="s">
        <v>312</v>
      </c>
      <c r="F805" s="21" t="s">
        <v>313</v>
      </c>
      <c r="G805" s="19" t="s">
        <v>3067</v>
      </c>
      <c r="H805" s="24" t="s">
        <v>3068</v>
      </c>
      <c r="I805" s="17" t="s">
        <v>65</v>
      </c>
      <c r="J805" s="21">
        <v>1</v>
      </c>
      <c r="K805" s="21" t="s">
        <v>2810</v>
      </c>
      <c r="L805" s="21" t="s">
        <v>3069</v>
      </c>
      <c r="M805" s="19" t="s">
        <v>2971</v>
      </c>
      <c r="N805" s="19" t="s">
        <v>316</v>
      </c>
      <c r="O805" s="19" t="s">
        <v>3070</v>
      </c>
      <c r="P805" s="19" t="s">
        <v>3067</v>
      </c>
      <c r="Q805" s="19" t="s">
        <v>211</v>
      </c>
      <c r="R805" s="16" t="s">
        <v>54</v>
      </c>
      <c r="S805" s="18" t="s">
        <v>2818</v>
      </c>
      <c r="T805" s="21" t="s">
        <v>55</v>
      </c>
    </row>
    <row r="806" spans="1:20" ht="16.5">
      <c r="A806" s="11" t="s">
        <v>1745</v>
      </c>
      <c r="B806" s="11" t="s">
        <v>311</v>
      </c>
      <c r="C806" s="11" t="s">
        <v>204</v>
      </c>
      <c r="D806" s="12" t="s">
        <v>2968</v>
      </c>
      <c r="E806" s="11" t="s">
        <v>312</v>
      </c>
      <c r="F806" s="14" t="s">
        <v>313</v>
      </c>
      <c r="G806" s="15" t="s">
        <v>3071</v>
      </c>
      <c r="H806" s="23" t="s">
        <v>3072</v>
      </c>
      <c r="I806" s="11" t="s">
        <v>65</v>
      </c>
      <c r="J806" s="14">
        <v>1</v>
      </c>
      <c r="K806" s="14" t="s">
        <v>2810</v>
      </c>
      <c r="L806" s="14" t="s">
        <v>3073</v>
      </c>
      <c r="M806" s="15" t="s">
        <v>2971</v>
      </c>
      <c r="N806" s="15" t="s">
        <v>316</v>
      </c>
      <c r="O806" s="15" t="s">
        <v>3074</v>
      </c>
      <c r="P806" s="15" t="s">
        <v>3071</v>
      </c>
      <c r="Q806" s="15" t="s">
        <v>211</v>
      </c>
      <c r="R806" s="16" t="s">
        <v>54</v>
      </c>
      <c r="S806" s="12" t="s">
        <v>2818</v>
      </c>
      <c r="T806" s="14" t="s">
        <v>55</v>
      </c>
    </row>
    <row r="807" spans="1:20" ht="16.5">
      <c r="A807" s="17" t="s">
        <v>1745</v>
      </c>
      <c r="B807" s="17" t="s">
        <v>487</v>
      </c>
      <c r="C807" s="17" t="s">
        <v>488</v>
      </c>
      <c r="D807" s="18" t="s">
        <v>3075</v>
      </c>
      <c r="E807" s="17" t="s">
        <v>490</v>
      </c>
      <c r="F807" s="17" t="s">
        <v>491</v>
      </c>
      <c r="G807" s="18" t="s">
        <v>3076</v>
      </c>
      <c r="H807" s="24" t="s">
        <v>584</v>
      </c>
      <c r="I807" s="17" t="s">
        <v>494</v>
      </c>
      <c r="J807" s="21">
        <v>1</v>
      </c>
      <c r="K807" s="21" t="s">
        <v>2810</v>
      </c>
      <c r="L807" s="21" t="s">
        <v>3077</v>
      </c>
      <c r="M807" s="19" t="s">
        <v>3078</v>
      </c>
      <c r="N807" s="19" t="s">
        <v>497</v>
      </c>
      <c r="O807" s="19" t="s">
        <v>3079</v>
      </c>
      <c r="P807" s="19" t="s">
        <v>3080</v>
      </c>
      <c r="Q807" s="19" t="s">
        <v>500</v>
      </c>
      <c r="R807" s="16" t="s">
        <v>54</v>
      </c>
      <c r="S807" s="18" t="s">
        <v>2818</v>
      </c>
      <c r="T807" s="21" t="s">
        <v>55</v>
      </c>
    </row>
    <row r="808" spans="1:20" ht="33">
      <c r="A808" s="11" t="s">
        <v>1745</v>
      </c>
      <c r="B808" s="11" t="s">
        <v>487</v>
      </c>
      <c r="C808" s="11" t="s">
        <v>204</v>
      </c>
      <c r="D808" s="12" t="s">
        <v>2943</v>
      </c>
      <c r="E808" s="11" t="s">
        <v>501</v>
      </c>
      <c r="F808" s="11" t="s">
        <v>488</v>
      </c>
      <c r="G808" s="12" t="s">
        <v>3075</v>
      </c>
      <c r="H808" s="13" t="s">
        <v>3081</v>
      </c>
      <c r="I808" s="11" t="s">
        <v>494</v>
      </c>
      <c r="J808" s="14">
        <v>1</v>
      </c>
      <c r="K808" s="14" t="s">
        <v>2810</v>
      </c>
      <c r="L808" s="14" t="s">
        <v>3082</v>
      </c>
      <c r="M808" s="15" t="s">
        <v>2946</v>
      </c>
      <c r="N808" s="15" t="s">
        <v>504</v>
      </c>
      <c r="O808" s="15" t="s">
        <v>3078</v>
      </c>
      <c r="P808" s="15"/>
      <c r="Q808" s="15" t="s">
        <v>211</v>
      </c>
      <c r="R808" s="16" t="s">
        <v>54</v>
      </c>
      <c r="S808" s="12" t="s">
        <v>2818</v>
      </c>
      <c r="T808" s="14" t="s">
        <v>55</v>
      </c>
    </row>
    <row r="809" spans="1:20" ht="29.25">
      <c r="A809" s="17" t="s">
        <v>1745</v>
      </c>
      <c r="B809" s="17" t="s">
        <v>487</v>
      </c>
      <c r="C809" s="17" t="s">
        <v>491</v>
      </c>
      <c r="D809" s="18" t="s">
        <v>3076</v>
      </c>
      <c r="E809" s="17" t="s">
        <v>505</v>
      </c>
      <c r="F809" s="17" t="s">
        <v>204</v>
      </c>
      <c r="G809" s="18" t="s">
        <v>2943</v>
      </c>
      <c r="H809" s="20" t="s">
        <v>3083</v>
      </c>
      <c r="I809" s="17" t="s">
        <v>507</v>
      </c>
      <c r="J809" s="21">
        <v>1</v>
      </c>
      <c r="K809" s="21" t="s">
        <v>2810</v>
      </c>
      <c r="L809" s="21" t="s">
        <v>3084</v>
      </c>
      <c r="M809" s="19" t="s">
        <v>3079</v>
      </c>
      <c r="N809" s="19" t="s">
        <v>509</v>
      </c>
      <c r="O809" s="19" t="s">
        <v>2946</v>
      </c>
      <c r="P809" s="19" t="s">
        <v>3080</v>
      </c>
      <c r="Q809" s="18" t="s">
        <v>286</v>
      </c>
      <c r="R809" s="22" t="s">
        <v>88</v>
      </c>
      <c r="S809" s="18" t="s">
        <v>2818</v>
      </c>
      <c r="T809" s="21" t="s">
        <v>55</v>
      </c>
    </row>
    <row r="810" spans="1:20" ht="16.5">
      <c r="A810" s="11" t="s">
        <v>1745</v>
      </c>
      <c r="B810" s="11" t="s">
        <v>487</v>
      </c>
      <c r="C810" s="11" t="s">
        <v>488</v>
      </c>
      <c r="D810" s="12" t="s">
        <v>3085</v>
      </c>
      <c r="E810" s="11" t="s">
        <v>490</v>
      </c>
      <c r="F810" s="11" t="s">
        <v>491</v>
      </c>
      <c r="G810" s="12" t="s">
        <v>3086</v>
      </c>
      <c r="H810" s="13" t="s">
        <v>3087</v>
      </c>
      <c r="I810" s="11" t="s">
        <v>494</v>
      </c>
      <c r="J810" s="14">
        <v>1</v>
      </c>
      <c r="K810" s="14" t="s">
        <v>2810</v>
      </c>
      <c r="L810" s="14" t="s">
        <v>3088</v>
      </c>
      <c r="M810" s="15" t="s">
        <v>3089</v>
      </c>
      <c r="N810" s="15" t="s">
        <v>497</v>
      </c>
      <c r="O810" s="15" t="s">
        <v>3090</v>
      </c>
      <c r="P810" s="15" t="s">
        <v>3091</v>
      </c>
      <c r="Q810" s="15" t="s">
        <v>500</v>
      </c>
      <c r="R810" s="16" t="s">
        <v>54</v>
      </c>
      <c r="S810" s="12" t="s">
        <v>2818</v>
      </c>
      <c r="T810" s="14" t="s">
        <v>55</v>
      </c>
    </row>
    <row r="811" spans="1:20" ht="16.5">
      <c r="A811" s="17" t="s">
        <v>1745</v>
      </c>
      <c r="B811" s="17" t="s">
        <v>487</v>
      </c>
      <c r="C811" s="17" t="s">
        <v>204</v>
      </c>
      <c r="D811" s="18" t="s">
        <v>2963</v>
      </c>
      <c r="E811" s="17" t="s">
        <v>501</v>
      </c>
      <c r="F811" s="17" t="s">
        <v>488</v>
      </c>
      <c r="G811" s="18" t="s">
        <v>3085</v>
      </c>
      <c r="H811" s="20" t="s">
        <v>3092</v>
      </c>
      <c r="I811" s="17" t="s">
        <v>494</v>
      </c>
      <c r="J811" s="21">
        <v>1</v>
      </c>
      <c r="K811" s="21" t="s">
        <v>2810</v>
      </c>
      <c r="L811" s="21" t="s">
        <v>3093</v>
      </c>
      <c r="M811" s="19" t="s">
        <v>2966</v>
      </c>
      <c r="N811" s="19" t="s">
        <v>504</v>
      </c>
      <c r="O811" s="19" t="s">
        <v>3089</v>
      </c>
      <c r="P811" s="19"/>
      <c r="Q811" s="19" t="s">
        <v>211</v>
      </c>
      <c r="R811" s="16" t="s">
        <v>54</v>
      </c>
      <c r="S811" s="18" t="s">
        <v>2818</v>
      </c>
      <c r="T811" s="21" t="s">
        <v>55</v>
      </c>
    </row>
    <row r="812" spans="1:20" ht="16.5">
      <c r="A812" s="11" t="s">
        <v>1745</v>
      </c>
      <c r="B812" s="11" t="s">
        <v>487</v>
      </c>
      <c r="C812" s="11" t="s">
        <v>491</v>
      </c>
      <c r="D812" s="12" t="s">
        <v>3086</v>
      </c>
      <c r="E812" s="11" t="s">
        <v>505</v>
      </c>
      <c r="F812" s="11" t="s">
        <v>204</v>
      </c>
      <c r="G812" s="12" t="s">
        <v>2963</v>
      </c>
      <c r="H812" s="13" t="s">
        <v>3094</v>
      </c>
      <c r="I812" s="11" t="s">
        <v>507</v>
      </c>
      <c r="J812" s="14">
        <v>1</v>
      </c>
      <c r="K812" s="14" t="s">
        <v>2810</v>
      </c>
      <c r="L812" s="14" t="s">
        <v>3095</v>
      </c>
      <c r="M812" s="15" t="s">
        <v>3090</v>
      </c>
      <c r="N812" s="15" t="s">
        <v>509</v>
      </c>
      <c r="O812" s="15" t="s">
        <v>2966</v>
      </c>
      <c r="P812" s="15" t="s">
        <v>3091</v>
      </c>
      <c r="Q812" s="12" t="s">
        <v>286</v>
      </c>
      <c r="R812" s="22" t="s">
        <v>88</v>
      </c>
      <c r="S812" s="12" t="s">
        <v>2818</v>
      </c>
      <c r="T812" s="14" t="s">
        <v>55</v>
      </c>
    </row>
    <row r="813" spans="1:20" ht="16.5">
      <c r="A813" s="17" t="s">
        <v>1745</v>
      </c>
      <c r="B813" s="17" t="s">
        <v>487</v>
      </c>
      <c r="C813" s="17" t="s">
        <v>488</v>
      </c>
      <c r="D813" s="18" t="s">
        <v>3096</v>
      </c>
      <c r="E813" s="17" t="s">
        <v>490</v>
      </c>
      <c r="F813" s="17" t="s">
        <v>491</v>
      </c>
      <c r="G813" s="18" t="s">
        <v>3097</v>
      </c>
      <c r="H813" s="24" t="s">
        <v>584</v>
      </c>
      <c r="I813" s="17" t="s">
        <v>494</v>
      </c>
      <c r="J813" s="21">
        <v>1</v>
      </c>
      <c r="K813" s="21" t="s">
        <v>2810</v>
      </c>
      <c r="L813" s="21" t="s">
        <v>3098</v>
      </c>
      <c r="M813" s="19" t="s">
        <v>3099</v>
      </c>
      <c r="N813" s="19" t="s">
        <v>497</v>
      </c>
      <c r="O813" s="19" t="s">
        <v>3100</v>
      </c>
      <c r="P813" s="19" t="s">
        <v>3101</v>
      </c>
      <c r="Q813" s="19" t="s">
        <v>500</v>
      </c>
      <c r="R813" s="16" t="s">
        <v>54</v>
      </c>
      <c r="S813" s="18" t="s">
        <v>2818</v>
      </c>
      <c r="T813" s="21" t="s">
        <v>55</v>
      </c>
    </row>
    <row r="814" spans="1:20" ht="16.5">
      <c r="A814" s="11" t="s">
        <v>1745</v>
      </c>
      <c r="B814" s="11" t="s">
        <v>487</v>
      </c>
      <c r="C814" s="11" t="s">
        <v>204</v>
      </c>
      <c r="D814" s="12" t="s">
        <v>2953</v>
      </c>
      <c r="E814" s="11" t="s">
        <v>501</v>
      </c>
      <c r="F814" s="11" t="s">
        <v>488</v>
      </c>
      <c r="G814" s="12" t="s">
        <v>3096</v>
      </c>
      <c r="H814" s="13" t="s">
        <v>3102</v>
      </c>
      <c r="I814" s="11" t="s">
        <v>494</v>
      </c>
      <c r="J814" s="14">
        <v>1</v>
      </c>
      <c r="K814" s="14" t="s">
        <v>2810</v>
      </c>
      <c r="L814" s="14" t="s">
        <v>3103</v>
      </c>
      <c r="M814" s="15" t="s">
        <v>2956</v>
      </c>
      <c r="N814" s="15" t="s">
        <v>504</v>
      </c>
      <c r="O814" s="15" t="s">
        <v>3099</v>
      </c>
      <c r="P814" s="15"/>
      <c r="Q814" s="15" t="s">
        <v>211</v>
      </c>
      <c r="R814" s="16" t="s">
        <v>54</v>
      </c>
      <c r="S814" s="12" t="s">
        <v>2818</v>
      </c>
      <c r="T814" s="14" t="s">
        <v>55</v>
      </c>
    </row>
    <row r="815" spans="1:20" ht="16.5">
      <c r="A815" s="17" t="s">
        <v>1745</v>
      </c>
      <c r="B815" s="17" t="s">
        <v>487</v>
      </c>
      <c r="C815" s="17" t="s">
        <v>491</v>
      </c>
      <c r="D815" s="18" t="s">
        <v>3097</v>
      </c>
      <c r="E815" s="17" t="s">
        <v>505</v>
      </c>
      <c r="F815" s="17" t="s">
        <v>204</v>
      </c>
      <c r="G815" s="18" t="s">
        <v>2953</v>
      </c>
      <c r="H815" s="20" t="s">
        <v>3104</v>
      </c>
      <c r="I815" s="17" t="s">
        <v>507</v>
      </c>
      <c r="J815" s="21">
        <v>1</v>
      </c>
      <c r="K815" s="21" t="s">
        <v>2810</v>
      </c>
      <c r="L815" s="21" t="s">
        <v>3105</v>
      </c>
      <c r="M815" s="19" t="s">
        <v>3100</v>
      </c>
      <c r="N815" s="19" t="s">
        <v>509</v>
      </c>
      <c r="O815" s="19" t="s">
        <v>2956</v>
      </c>
      <c r="P815" s="19" t="s">
        <v>3101</v>
      </c>
      <c r="Q815" s="18" t="s">
        <v>286</v>
      </c>
      <c r="R815" s="22" t="s">
        <v>88</v>
      </c>
      <c r="S815" s="18" t="s">
        <v>2818</v>
      </c>
      <c r="T815" s="21" t="s">
        <v>55</v>
      </c>
    </row>
    <row r="816" spans="1:20" ht="16.5">
      <c r="A816" s="11" t="s">
        <v>1745</v>
      </c>
      <c r="B816" s="11" t="s">
        <v>578</v>
      </c>
      <c r="C816" s="11" t="s">
        <v>300</v>
      </c>
      <c r="D816" s="12" t="s">
        <v>1962</v>
      </c>
      <c r="E816" s="11" t="s">
        <v>579</v>
      </c>
      <c r="F816" s="11" t="s">
        <v>62</v>
      </c>
      <c r="G816" s="12" t="s">
        <v>2147</v>
      </c>
      <c r="H816" s="23" t="s">
        <v>584</v>
      </c>
      <c r="I816" s="11" t="s">
        <v>2758</v>
      </c>
      <c r="J816" s="14">
        <v>1</v>
      </c>
      <c r="K816" s="14" t="s">
        <v>2810</v>
      </c>
      <c r="L816" s="14" t="s">
        <v>3106</v>
      </c>
      <c r="M816" s="15" t="s">
        <v>1965</v>
      </c>
      <c r="N816" s="15" t="s">
        <v>583</v>
      </c>
      <c r="O816" s="15" t="s">
        <v>2150</v>
      </c>
      <c r="P816" s="15"/>
      <c r="Q816" s="12" t="s">
        <v>53</v>
      </c>
      <c r="R816" s="16" t="s">
        <v>54</v>
      </c>
      <c r="S816" s="12" t="s">
        <v>2818</v>
      </c>
      <c r="T816" s="14" t="s">
        <v>55</v>
      </c>
    </row>
    <row r="817" spans="1:20" ht="16.5">
      <c r="A817" s="17" t="s">
        <v>1745</v>
      </c>
      <c r="B817" s="17" t="s">
        <v>578</v>
      </c>
      <c r="C817" s="17" t="s">
        <v>300</v>
      </c>
      <c r="D817" s="18" t="s">
        <v>2754</v>
      </c>
      <c r="E817" s="17" t="s">
        <v>579</v>
      </c>
      <c r="F817" s="17" t="s">
        <v>62</v>
      </c>
      <c r="G817" s="18" t="s">
        <v>2147</v>
      </c>
      <c r="H817" s="24" t="s">
        <v>584</v>
      </c>
      <c r="I817" s="17" t="s">
        <v>2758</v>
      </c>
      <c r="J817" s="21">
        <v>1</v>
      </c>
      <c r="K817" s="21" t="s">
        <v>2810</v>
      </c>
      <c r="L817" s="21" t="s">
        <v>3107</v>
      </c>
      <c r="M817" s="19" t="s">
        <v>2756</v>
      </c>
      <c r="N817" s="19" t="s">
        <v>583</v>
      </c>
      <c r="O817" s="19" t="s">
        <v>2150</v>
      </c>
      <c r="P817" s="19"/>
      <c r="Q817" s="18" t="s">
        <v>649</v>
      </c>
      <c r="R817" s="22" t="s">
        <v>88</v>
      </c>
      <c r="S817" s="18" t="s">
        <v>2818</v>
      </c>
      <c r="T817" s="21" t="s">
        <v>55</v>
      </c>
    </row>
    <row r="818" spans="1:20" ht="16.5">
      <c r="A818" s="11" t="s">
        <v>1745</v>
      </c>
      <c r="B818" s="11" t="s">
        <v>578</v>
      </c>
      <c r="C818" s="11" t="s">
        <v>62</v>
      </c>
      <c r="D818" s="12" t="s">
        <v>2147</v>
      </c>
      <c r="E818" s="11" t="s">
        <v>45</v>
      </c>
      <c r="F818" s="11" t="s">
        <v>62</v>
      </c>
      <c r="G818" s="12" t="s">
        <v>2830</v>
      </c>
      <c r="H818" s="23" t="s">
        <v>584</v>
      </c>
      <c r="I818" s="11" t="s">
        <v>2771</v>
      </c>
      <c r="J818" s="14">
        <v>1</v>
      </c>
      <c r="K818" s="14" t="s">
        <v>2810</v>
      </c>
      <c r="L818" s="14" t="s">
        <v>3108</v>
      </c>
      <c r="M818" s="15" t="s">
        <v>2150</v>
      </c>
      <c r="N818" s="15" t="s">
        <v>51</v>
      </c>
      <c r="O818" s="15" t="s">
        <v>2833</v>
      </c>
      <c r="P818" s="15"/>
      <c r="Q818" s="12" t="s">
        <v>53</v>
      </c>
      <c r="R818" s="16" t="s">
        <v>54</v>
      </c>
      <c r="S818" s="12" t="s">
        <v>2818</v>
      </c>
      <c r="T818" s="14" t="s">
        <v>55</v>
      </c>
    </row>
    <row r="819" spans="1:20" ht="16.5">
      <c r="A819" s="17" t="s">
        <v>1745</v>
      </c>
      <c r="B819" s="17" t="s">
        <v>578</v>
      </c>
      <c r="C819" s="17" t="s">
        <v>62</v>
      </c>
      <c r="D819" s="18" t="s">
        <v>2830</v>
      </c>
      <c r="E819" s="17" t="s">
        <v>612</v>
      </c>
      <c r="F819" s="17" t="s">
        <v>300</v>
      </c>
      <c r="G819" s="18" t="s">
        <v>1013</v>
      </c>
      <c r="H819" s="20" t="s">
        <v>3109</v>
      </c>
      <c r="I819" s="17" t="s">
        <v>614</v>
      </c>
      <c r="J819" s="21">
        <v>1</v>
      </c>
      <c r="K819" s="21" t="s">
        <v>2810</v>
      </c>
      <c r="L819" s="21" t="s">
        <v>3110</v>
      </c>
      <c r="M819" s="19" t="s">
        <v>2833</v>
      </c>
      <c r="N819" s="19" t="s">
        <v>616</v>
      </c>
      <c r="O819" s="19" t="s">
        <v>1017</v>
      </c>
      <c r="P819" s="19"/>
      <c r="Q819" s="18" t="s">
        <v>53</v>
      </c>
      <c r="R819" s="16" t="s">
        <v>54</v>
      </c>
      <c r="S819" s="18" t="s">
        <v>2818</v>
      </c>
      <c r="T819" s="21" t="s">
        <v>55</v>
      </c>
    </row>
    <row r="820" spans="1:20" ht="16.5">
      <c r="A820" s="11" t="s">
        <v>1745</v>
      </c>
      <c r="B820" s="11" t="s">
        <v>578</v>
      </c>
      <c r="C820" s="11" t="s">
        <v>62</v>
      </c>
      <c r="D820" s="12" t="s">
        <v>2830</v>
      </c>
      <c r="E820" s="11" t="s">
        <v>45</v>
      </c>
      <c r="F820" s="11" t="s">
        <v>62</v>
      </c>
      <c r="G820" s="12" t="s">
        <v>2857</v>
      </c>
      <c r="H820" s="13" t="s">
        <v>3111</v>
      </c>
      <c r="I820" s="11" t="s">
        <v>614</v>
      </c>
      <c r="J820" s="14">
        <v>1</v>
      </c>
      <c r="K820" s="14" t="s">
        <v>2810</v>
      </c>
      <c r="L820" s="14" t="s">
        <v>3112</v>
      </c>
      <c r="M820" s="15" t="s">
        <v>2833</v>
      </c>
      <c r="N820" s="15" t="s">
        <v>51</v>
      </c>
      <c r="O820" s="15" t="s">
        <v>2860</v>
      </c>
      <c r="P820" s="15"/>
      <c r="Q820" s="12" t="s">
        <v>53</v>
      </c>
      <c r="R820" s="16" t="s">
        <v>54</v>
      </c>
      <c r="S820" s="12" t="s">
        <v>2818</v>
      </c>
      <c r="T820" s="14" t="s">
        <v>55</v>
      </c>
    </row>
    <row r="821" spans="1:20" ht="16.5">
      <c r="A821" s="17" t="s">
        <v>1745</v>
      </c>
      <c r="B821" s="17" t="s">
        <v>578</v>
      </c>
      <c r="C821" s="17" t="s">
        <v>62</v>
      </c>
      <c r="D821" s="18" t="s">
        <v>2857</v>
      </c>
      <c r="E821" s="17" t="s">
        <v>45</v>
      </c>
      <c r="F821" s="17" t="s">
        <v>62</v>
      </c>
      <c r="G821" s="18" t="s">
        <v>2879</v>
      </c>
      <c r="H821" s="24" t="s">
        <v>584</v>
      </c>
      <c r="I821" s="17" t="s">
        <v>3113</v>
      </c>
      <c r="J821" s="21">
        <v>1</v>
      </c>
      <c r="K821" s="21" t="s">
        <v>2810</v>
      </c>
      <c r="L821" s="21" t="s">
        <v>3114</v>
      </c>
      <c r="M821" s="19" t="s">
        <v>2860</v>
      </c>
      <c r="N821" s="19" t="s">
        <v>51</v>
      </c>
      <c r="O821" s="19" t="s">
        <v>2882</v>
      </c>
      <c r="P821" s="19"/>
      <c r="Q821" s="18" t="s">
        <v>53</v>
      </c>
      <c r="R821" s="16" t="s">
        <v>54</v>
      </c>
      <c r="S821" s="18" t="s">
        <v>2818</v>
      </c>
      <c r="T821" s="21" t="s">
        <v>55</v>
      </c>
    </row>
    <row r="822" spans="1:20" ht="16.5">
      <c r="A822" s="11" t="s">
        <v>1745</v>
      </c>
      <c r="B822" s="11" t="s">
        <v>578</v>
      </c>
      <c r="C822" s="11" t="s">
        <v>62</v>
      </c>
      <c r="D822" s="12" t="s">
        <v>2879</v>
      </c>
      <c r="E822" s="11" t="s">
        <v>45</v>
      </c>
      <c r="F822" s="11" t="s">
        <v>62</v>
      </c>
      <c r="G822" s="12" t="s">
        <v>2922</v>
      </c>
      <c r="H822" s="23" t="s">
        <v>584</v>
      </c>
      <c r="I822" s="11" t="s">
        <v>3115</v>
      </c>
      <c r="J822" s="14">
        <v>1</v>
      </c>
      <c r="K822" s="14" t="s">
        <v>2810</v>
      </c>
      <c r="L822" s="14" t="s">
        <v>3116</v>
      </c>
      <c r="M822" s="15" t="s">
        <v>2882</v>
      </c>
      <c r="N822" s="15" t="s">
        <v>51</v>
      </c>
      <c r="O822" s="15" t="s">
        <v>2925</v>
      </c>
      <c r="P822" s="15"/>
      <c r="Q822" s="12" t="s">
        <v>53</v>
      </c>
      <c r="R822" s="16" t="s">
        <v>54</v>
      </c>
      <c r="S822" s="12" t="s">
        <v>2818</v>
      </c>
      <c r="T822" s="14" t="s">
        <v>55</v>
      </c>
    </row>
    <row r="823" spans="1:20" ht="16.5">
      <c r="A823" s="17" t="s">
        <v>1745</v>
      </c>
      <c r="B823" s="17" t="s">
        <v>578</v>
      </c>
      <c r="C823" s="17" t="s">
        <v>62</v>
      </c>
      <c r="D823" s="18" t="s">
        <v>2922</v>
      </c>
      <c r="E823" s="17" t="s">
        <v>635</v>
      </c>
      <c r="F823" s="17" t="s">
        <v>300</v>
      </c>
      <c r="G823" s="18" t="s">
        <v>3117</v>
      </c>
      <c r="H823" s="24" t="s">
        <v>584</v>
      </c>
      <c r="I823" s="17" t="s">
        <v>3115</v>
      </c>
      <c r="J823" s="21">
        <v>1</v>
      </c>
      <c r="K823" s="21" t="s">
        <v>2810</v>
      </c>
      <c r="L823" s="21" t="s">
        <v>3118</v>
      </c>
      <c r="M823" s="19" t="s">
        <v>2925</v>
      </c>
      <c r="N823" s="19" t="s">
        <v>640</v>
      </c>
      <c r="O823" s="19" t="s">
        <v>3119</v>
      </c>
      <c r="P823" s="19"/>
      <c r="Q823" s="18" t="s">
        <v>53</v>
      </c>
      <c r="R823" s="16" t="s">
        <v>54</v>
      </c>
      <c r="S823" s="18" t="s">
        <v>2818</v>
      </c>
      <c r="T823" s="21" t="s">
        <v>55</v>
      </c>
    </row>
    <row r="824" spans="1:20" ht="16.5">
      <c r="A824" s="11" t="s">
        <v>1745</v>
      </c>
      <c r="B824" s="11" t="s">
        <v>578</v>
      </c>
      <c r="C824" s="11" t="s">
        <v>1250</v>
      </c>
      <c r="D824" s="12" t="s">
        <v>1385</v>
      </c>
      <c r="E824" s="11" t="s">
        <v>1386</v>
      </c>
      <c r="F824" s="11" t="s">
        <v>62</v>
      </c>
      <c r="G824" s="12" t="s">
        <v>2879</v>
      </c>
      <c r="H824" s="13" t="s">
        <v>3120</v>
      </c>
      <c r="I824" s="11" t="s">
        <v>3113</v>
      </c>
      <c r="J824" s="14">
        <v>1</v>
      </c>
      <c r="K824" s="14" t="s">
        <v>2810</v>
      </c>
      <c r="L824" s="14" t="s">
        <v>3121</v>
      </c>
      <c r="M824" s="15" t="s">
        <v>1389</v>
      </c>
      <c r="N824" s="15" t="s">
        <v>1390</v>
      </c>
      <c r="O824" s="15" t="s">
        <v>2882</v>
      </c>
      <c r="P824" s="15"/>
      <c r="Q824" s="12" t="s">
        <v>53</v>
      </c>
      <c r="R824" s="16" t="s">
        <v>54</v>
      </c>
      <c r="S824" s="12" t="s">
        <v>2818</v>
      </c>
      <c r="T824" s="14" t="s">
        <v>55</v>
      </c>
    </row>
    <row r="825" spans="1:20" ht="16.5">
      <c r="A825" s="17" t="s">
        <v>1745</v>
      </c>
      <c r="B825" s="17" t="s">
        <v>578</v>
      </c>
      <c r="C825" s="17" t="s">
        <v>1250</v>
      </c>
      <c r="D825" s="18" t="s">
        <v>2151</v>
      </c>
      <c r="E825" s="17" t="s">
        <v>1386</v>
      </c>
      <c r="F825" s="17" t="s">
        <v>62</v>
      </c>
      <c r="G825" s="18" t="s">
        <v>2879</v>
      </c>
      <c r="H825" s="20" t="s">
        <v>3122</v>
      </c>
      <c r="I825" s="17" t="s">
        <v>3113</v>
      </c>
      <c r="J825" s="21">
        <v>1</v>
      </c>
      <c r="K825" s="21" t="s">
        <v>2810</v>
      </c>
      <c r="L825" s="21" t="s">
        <v>3123</v>
      </c>
      <c r="M825" s="19" t="s">
        <v>2153</v>
      </c>
      <c r="N825" s="19" t="s">
        <v>1390</v>
      </c>
      <c r="O825" s="19" t="s">
        <v>2882</v>
      </c>
      <c r="P825" s="19"/>
      <c r="Q825" s="18" t="s">
        <v>53</v>
      </c>
      <c r="R825" s="16" t="s">
        <v>54</v>
      </c>
      <c r="S825" s="18" t="s">
        <v>2818</v>
      </c>
      <c r="T825" s="21" t="s">
        <v>55</v>
      </c>
    </row>
    <row r="826" spans="1:20" ht="16.5">
      <c r="A826" s="11" t="s">
        <v>1745</v>
      </c>
      <c r="B826" s="11" t="s">
        <v>650</v>
      </c>
      <c r="C826" s="11" t="s">
        <v>204</v>
      </c>
      <c r="D826" s="12" t="s">
        <v>2958</v>
      </c>
      <c r="E826" s="11" t="s">
        <v>505</v>
      </c>
      <c r="F826" s="11" t="s">
        <v>204</v>
      </c>
      <c r="G826" s="12" t="s">
        <v>2953</v>
      </c>
      <c r="H826" s="13" t="s">
        <v>3124</v>
      </c>
      <c r="I826" s="11" t="s">
        <v>652</v>
      </c>
      <c r="J826" s="14">
        <v>1</v>
      </c>
      <c r="K826" s="14" t="s">
        <v>2810</v>
      </c>
      <c r="L826" s="14" t="s">
        <v>3125</v>
      </c>
      <c r="M826" s="15" t="s">
        <v>2961</v>
      </c>
      <c r="N826" s="15" t="s">
        <v>509</v>
      </c>
      <c r="O826" s="15" t="s">
        <v>2956</v>
      </c>
      <c r="P826" s="15" t="s">
        <v>3126</v>
      </c>
      <c r="Q826" s="12" t="s">
        <v>286</v>
      </c>
      <c r="R826" s="22" t="s">
        <v>88</v>
      </c>
      <c r="S826" s="12" t="s">
        <v>2818</v>
      </c>
      <c r="T826" s="14" t="s">
        <v>55</v>
      </c>
    </row>
    <row r="827" spans="1:20" ht="16.5">
      <c r="A827" s="17" t="s">
        <v>1745</v>
      </c>
      <c r="B827" s="17" t="s">
        <v>650</v>
      </c>
      <c r="C827" s="17" t="s">
        <v>204</v>
      </c>
      <c r="D827" s="18" t="s">
        <v>2963</v>
      </c>
      <c r="E827" s="17" t="s">
        <v>505</v>
      </c>
      <c r="F827" s="17" t="s">
        <v>204</v>
      </c>
      <c r="G827" s="18" t="s">
        <v>3127</v>
      </c>
      <c r="H827" s="20" t="s">
        <v>3128</v>
      </c>
      <c r="I827" s="17" t="s">
        <v>652</v>
      </c>
      <c r="J827" s="21">
        <v>2</v>
      </c>
      <c r="K827" s="21" t="s">
        <v>2810</v>
      </c>
      <c r="L827" s="21" t="s">
        <v>3129</v>
      </c>
      <c r="M827" s="19" t="s">
        <v>2966</v>
      </c>
      <c r="N827" s="19" t="s">
        <v>509</v>
      </c>
      <c r="O827" s="19" t="s">
        <v>3130</v>
      </c>
      <c r="P827" s="19" t="s">
        <v>2967</v>
      </c>
      <c r="Q827" s="18" t="s">
        <v>286</v>
      </c>
      <c r="R827" s="25" t="s">
        <v>607</v>
      </c>
      <c r="S827" s="18" t="s">
        <v>2818</v>
      </c>
      <c r="T827" s="21" t="s">
        <v>55</v>
      </c>
    </row>
    <row r="828" spans="1:20" ht="16.5">
      <c r="A828" s="11" t="s">
        <v>2177</v>
      </c>
      <c r="B828" s="11" t="s">
        <v>43</v>
      </c>
      <c r="C828" s="11" t="s">
        <v>44</v>
      </c>
      <c r="D828" s="12" t="s">
        <v>2177</v>
      </c>
      <c r="E828" s="11" t="s">
        <v>45</v>
      </c>
      <c r="F828" s="11" t="s">
        <v>44</v>
      </c>
      <c r="G828" s="12" t="s">
        <v>3131</v>
      </c>
      <c r="H828" s="13" t="s">
        <v>3132</v>
      </c>
      <c r="I828" s="11" t="s">
        <v>43</v>
      </c>
      <c r="J828" s="14">
        <v>1</v>
      </c>
      <c r="K828" s="14" t="s">
        <v>3133</v>
      </c>
      <c r="L828" s="14" t="s">
        <v>3134</v>
      </c>
      <c r="M828" s="15" t="s">
        <v>2180</v>
      </c>
      <c r="N828" s="15" t="s">
        <v>51</v>
      </c>
      <c r="O828" s="15" t="s">
        <v>3135</v>
      </c>
      <c r="P828" s="15"/>
      <c r="Q828" s="12" t="s">
        <v>53</v>
      </c>
      <c r="R828" s="16" t="s">
        <v>54</v>
      </c>
      <c r="S828" s="15"/>
      <c r="T828" s="14" t="s">
        <v>55</v>
      </c>
    </row>
    <row r="829" spans="1:20" ht="29.25">
      <c r="A829" s="17" t="s">
        <v>2177</v>
      </c>
      <c r="B829" s="17" t="s">
        <v>43</v>
      </c>
      <c r="C829" s="17" t="s">
        <v>44</v>
      </c>
      <c r="D829" s="18" t="s">
        <v>2177</v>
      </c>
      <c r="E829" s="17" t="s">
        <v>45</v>
      </c>
      <c r="F829" s="17" t="s">
        <v>44</v>
      </c>
      <c r="G829" s="18" t="s">
        <v>3136</v>
      </c>
      <c r="H829" s="20" t="s">
        <v>3137</v>
      </c>
      <c r="I829" s="17" t="s">
        <v>43</v>
      </c>
      <c r="J829" s="21">
        <v>1</v>
      </c>
      <c r="K829" s="21" t="s">
        <v>3133</v>
      </c>
      <c r="L829" s="21" t="s">
        <v>3138</v>
      </c>
      <c r="M829" s="19" t="s">
        <v>2180</v>
      </c>
      <c r="N829" s="19" t="s">
        <v>51</v>
      </c>
      <c r="O829" s="19" t="s">
        <v>3139</v>
      </c>
      <c r="P829" s="19"/>
      <c r="Q829" s="18" t="s">
        <v>53</v>
      </c>
      <c r="R829" s="22" t="s">
        <v>88</v>
      </c>
      <c r="S829" s="19"/>
      <c r="T829" s="21" t="s">
        <v>55</v>
      </c>
    </row>
    <row r="830" spans="1:20" ht="16.5">
      <c r="A830" s="11" t="s">
        <v>2177</v>
      </c>
      <c r="B830" s="11" t="s">
        <v>60</v>
      </c>
      <c r="C830" s="11" t="s">
        <v>44</v>
      </c>
      <c r="D830" s="12" t="s">
        <v>2177</v>
      </c>
      <c r="E830" s="11" t="s">
        <v>61</v>
      </c>
      <c r="F830" s="11" t="s">
        <v>62</v>
      </c>
      <c r="G830" s="12" t="s">
        <v>3140</v>
      </c>
      <c r="H830" s="13" t="s">
        <v>3141</v>
      </c>
      <c r="I830" s="11" t="s">
        <v>65</v>
      </c>
      <c r="J830" s="14">
        <v>1</v>
      </c>
      <c r="K830" s="14" t="s">
        <v>3133</v>
      </c>
      <c r="L830" s="14" t="s">
        <v>3142</v>
      </c>
      <c r="M830" s="15" t="s">
        <v>2180</v>
      </c>
      <c r="N830" s="15" t="s">
        <v>67</v>
      </c>
      <c r="O830" s="15" t="s">
        <v>3143</v>
      </c>
      <c r="P830" s="15"/>
      <c r="Q830" s="12" t="s">
        <v>69</v>
      </c>
      <c r="R830" s="16" t="s">
        <v>54</v>
      </c>
      <c r="S830" s="12" t="s">
        <v>3144</v>
      </c>
      <c r="T830" s="14" t="s">
        <v>55</v>
      </c>
    </row>
    <row r="831" spans="1:20" ht="16.5">
      <c r="A831" s="17" t="s">
        <v>2177</v>
      </c>
      <c r="B831" s="17" t="s">
        <v>60</v>
      </c>
      <c r="C831" s="17" t="s">
        <v>62</v>
      </c>
      <c r="D831" s="18" t="s">
        <v>3140</v>
      </c>
      <c r="E831" s="17" t="s">
        <v>71</v>
      </c>
      <c r="F831" s="17" t="s">
        <v>72</v>
      </c>
      <c r="G831" s="18" t="s">
        <v>3145</v>
      </c>
      <c r="H831" s="20" t="s">
        <v>3146</v>
      </c>
      <c r="I831" s="17" t="s">
        <v>65</v>
      </c>
      <c r="J831" s="21">
        <v>1</v>
      </c>
      <c r="K831" s="21" t="s">
        <v>3133</v>
      </c>
      <c r="L831" s="21" t="s">
        <v>3147</v>
      </c>
      <c r="M831" s="19" t="s">
        <v>3143</v>
      </c>
      <c r="N831" s="19" t="s">
        <v>76</v>
      </c>
      <c r="O831" s="19" t="s">
        <v>3148</v>
      </c>
      <c r="P831" s="19"/>
      <c r="Q831" s="18" t="s">
        <v>69</v>
      </c>
      <c r="R831" s="16" t="s">
        <v>54</v>
      </c>
      <c r="S831" s="18" t="s">
        <v>3144</v>
      </c>
      <c r="T831" s="21" t="s">
        <v>55</v>
      </c>
    </row>
    <row r="832" spans="1:20" ht="16.5">
      <c r="A832" s="11" t="s">
        <v>2177</v>
      </c>
      <c r="B832" s="11" t="s">
        <v>60</v>
      </c>
      <c r="C832" s="11" t="s">
        <v>62</v>
      </c>
      <c r="D832" s="12" t="s">
        <v>3140</v>
      </c>
      <c r="E832" s="11" t="s">
        <v>71</v>
      </c>
      <c r="F832" s="11" t="s">
        <v>72</v>
      </c>
      <c r="G832" s="12" t="s">
        <v>3149</v>
      </c>
      <c r="H832" s="13" t="s">
        <v>3146</v>
      </c>
      <c r="I832" s="11" t="s">
        <v>65</v>
      </c>
      <c r="J832" s="14">
        <v>1</v>
      </c>
      <c r="K832" s="14" t="s">
        <v>3133</v>
      </c>
      <c r="L832" s="14" t="s">
        <v>3150</v>
      </c>
      <c r="M832" s="15" t="s">
        <v>3143</v>
      </c>
      <c r="N832" s="15" t="s">
        <v>76</v>
      </c>
      <c r="O832" s="15" t="s">
        <v>3151</v>
      </c>
      <c r="P832" s="15"/>
      <c r="Q832" s="12" t="s">
        <v>69</v>
      </c>
      <c r="R832" s="16" t="s">
        <v>54</v>
      </c>
      <c r="S832" s="12" t="s">
        <v>3144</v>
      </c>
      <c r="T832" s="14" t="s">
        <v>55</v>
      </c>
    </row>
    <row r="833" spans="1:20" ht="16.5">
      <c r="A833" s="17" t="s">
        <v>2177</v>
      </c>
      <c r="B833" s="17" t="s">
        <v>60</v>
      </c>
      <c r="C833" s="17" t="s">
        <v>62</v>
      </c>
      <c r="D833" s="18" t="s">
        <v>3140</v>
      </c>
      <c r="E833" s="17" t="s">
        <v>71</v>
      </c>
      <c r="F833" s="17" t="s">
        <v>72</v>
      </c>
      <c r="G833" s="18" t="s">
        <v>3152</v>
      </c>
      <c r="H833" s="20" t="s">
        <v>3146</v>
      </c>
      <c r="I833" s="17" t="s">
        <v>65</v>
      </c>
      <c r="J833" s="21">
        <v>1</v>
      </c>
      <c r="K833" s="21" t="s">
        <v>3133</v>
      </c>
      <c r="L833" s="21" t="s">
        <v>3153</v>
      </c>
      <c r="M833" s="19" t="s">
        <v>3143</v>
      </c>
      <c r="N833" s="19" t="s">
        <v>76</v>
      </c>
      <c r="O833" s="19" t="s">
        <v>3154</v>
      </c>
      <c r="P833" s="19"/>
      <c r="Q833" s="18" t="s">
        <v>69</v>
      </c>
      <c r="R833" s="16" t="s">
        <v>54</v>
      </c>
      <c r="S833" s="18" t="s">
        <v>3144</v>
      </c>
      <c r="T833" s="21" t="s">
        <v>55</v>
      </c>
    </row>
    <row r="834" spans="1:20" ht="16.5">
      <c r="A834" s="11" t="s">
        <v>2177</v>
      </c>
      <c r="B834" s="11" t="s">
        <v>60</v>
      </c>
      <c r="C834" s="11" t="s">
        <v>62</v>
      </c>
      <c r="D834" s="12" t="s">
        <v>3140</v>
      </c>
      <c r="E834" s="11" t="s">
        <v>71</v>
      </c>
      <c r="F834" s="11" t="s">
        <v>72</v>
      </c>
      <c r="G834" s="12" t="s">
        <v>3155</v>
      </c>
      <c r="H834" s="13" t="s">
        <v>3146</v>
      </c>
      <c r="I834" s="11" t="s">
        <v>65</v>
      </c>
      <c r="J834" s="14">
        <v>1</v>
      </c>
      <c r="K834" s="14" t="s">
        <v>3133</v>
      </c>
      <c r="L834" s="14" t="s">
        <v>3156</v>
      </c>
      <c r="M834" s="15" t="s">
        <v>3143</v>
      </c>
      <c r="N834" s="15" t="s">
        <v>76</v>
      </c>
      <c r="O834" s="15" t="s">
        <v>3157</v>
      </c>
      <c r="P834" s="15"/>
      <c r="Q834" s="12" t="s">
        <v>69</v>
      </c>
      <c r="R834" s="16" t="s">
        <v>54</v>
      </c>
      <c r="S834" s="12" t="s">
        <v>3144</v>
      </c>
      <c r="T834" s="14" t="s">
        <v>55</v>
      </c>
    </row>
    <row r="835" spans="1:20" ht="16.5">
      <c r="A835" s="17" t="s">
        <v>2177</v>
      </c>
      <c r="B835" s="17" t="s">
        <v>60</v>
      </c>
      <c r="C835" s="17" t="s">
        <v>62</v>
      </c>
      <c r="D835" s="18" t="s">
        <v>3140</v>
      </c>
      <c r="E835" s="17" t="s">
        <v>81</v>
      </c>
      <c r="F835" s="17" t="s">
        <v>82</v>
      </c>
      <c r="G835" s="18" t="s">
        <v>3158</v>
      </c>
      <c r="H835" s="20" t="s">
        <v>3159</v>
      </c>
      <c r="I835" s="17" t="s">
        <v>65</v>
      </c>
      <c r="J835" s="21">
        <v>1</v>
      </c>
      <c r="K835" s="21" t="s">
        <v>3133</v>
      </c>
      <c r="L835" s="21" t="s">
        <v>3160</v>
      </c>
      <c r="M835" s="19" t="s">
        <v>3143</v>
      </c>
      <c r="N835" s="19" t="s">
        <v>86</v>
      </c>
      <c r="O835" s="19" t="s">
        <v>3161</v>
      </c>
      <c r="P835" s="19"/>
      <c r="Q835" s="18" t="s">
        <v>53</v>
      </c>
      <c r="R835" s="22" t="s">
        <v>88</v>
      </c>
      <c r="S835" s="18" t="s">
        <v>3144</v>
      </c>
      <c r="T835" s="21" t="s">
        <v>55</v>
      </c>
    </row>
    <row r="836" spans="1:20" ht="16.5">
      <c r="A836" s="11" t="s">
        <v>2177</v>
      </c>
      <c r="B836" s="11" t="s">
        <v>60</v>
      </c>
      <c r="C836" s="11" t="s">
        <v>62</v>
      </c>
      <c r="D836" s="12" t="s">
        <v>3140</v>
      </c>
      <c r="E836" s="11" t="s">
        <v>81</v>
      </c>
      <c r="F836" s="11" t="s">
        <v>82</v>
      </c>
      <c r="G836" s="12" t="s">
        <v>3162</v>
      </c>
      <c r="H836" s="13" t="s">
        <v>3163</v>
      </c>
      <c r="I836" s="11" t="s">
        <v>65</v>
      </c>
      <c r="J836" s="14">
        <v>1</v>
      </c>
      <c r="K836" s="14" t="s">
        <v>3133</v>
      </c>
      <c r="L836" s="14" t="s">
        <v>3164</v>
      </c>
      <c r="M836" s="15" t="s">
        <v>3143</v>
      </c>
      <c r="N836" s="15" t="s">
        <v>86</v>
      </c>
      <c r="O836" s="15" t="s">
        <v>3165</v>
      </c>
      <c r="P836" s="15"/>
      <c r="Q836" s="12" t="s">
        <v>53</v>
      </c>
      <c r="R836" s="22" t="s">
        <v>88</v>
      </c>
      <c r="S836" s="12" t="s">
        <v>3144</v>
      </c>
      <c r="T836" s="14" t="s">
        <v>55</v>
      </c>
    </row>
    <row r="837" spans="1:20" ht="16.5">
      <c r="A837" s="17" t="s">
        <v>2177</v>
      </c>
      <c r="B837" s="17" t="s">
        <v>60</v>
      </c>
      <c r="C837" s="17" t="s">
        <v>62</v>
      </c>
      <c r="D837" s="18" t="s">
        <v>3140</v>
      </c>
      <c r="E837" s="17" t="s">
        <v>81</v>
      </c>
      <c r="F837" s="17" t="s">
        <v>82</v>
      </c>
      <c r="G837" s="18" t="s">
        <v>3166</v>
      </c>
      <c r="H837" s="20" t="s">
        <v>3167</v>
      </c>
      <c r="I837" s="17" t="s">
        <v>65</v>
      </c>
      <c r="J837" s="21">
        <v>1</v>
      </c>
      <c r="K837" s="21" t="s">
        <v>3133</v>
      </c>
      <c r="L837" s="21" t="s">
        <v>3168</v>
      </c>
      <c r="M837" s="19" t="s">
        <v>3143</v>
      </c>
      <c r="N837" s="19" t="s">
        <v>86</v>
      </c>
      <c r="O837" s="19" t="s">
        <v>3169</v>
      </c>
      <c r="P837" s="19"/>
      <c r="Q837" s="18" t="s">
        <v>53</v>
      </c>
      <c r="R837" s="22" t="s">
        <v>88</v>
      </c>
      <c r="S837" s="18" t="s">
        <v>3144</v>
      </c>
      <c r="T837" s="21" t="s">
        <v>55</v>
      </c>
    </row>
    <row r="838" spans="1:20" ht="16.5">
      <c r="A838" s="11" t="s">
        <v>2177</v>
      </c>
      <c r="B838" s="11" t="s">
        <v>60</v>
      </c>
      <c r="C838" s="11" t="s">
        <v>62</v>
      </c>
      <c r="D838" s="12" t="s">
        <v>3140</v>
      </c>
      <c r="E838" s="11" t="s">
        <v>81</v>
      </c>
      <c r="F838" s="11" t="s">
        <v>82</v>
      </c>
      <c r="G838" s="12" t="s">
        <v>3170</v>
      </c>
      <c r="H838" s="13" t="s">
        <v>3171</v>
      </c>
      <c r="I838" s="11" t="s">
        <v>65</v>
      </c>
      <c r="J838" s="14">
        <v>1</v>
      </c>
      <c r="K838" s="14" t="s">
        <v>3133</v>
      </c>
      <c r="L838" s="14" t="s">
        <v>3172</v>
      </c>
      <c r="M838" s="15" t="s">
        <v>3143</v>
      </c>
      <c r="N838" s="15" t="s">
        <v>86</v>
      </c>
      <c r="O838" s="15" t="s">
        <v>3173</v>
      </c>
      <c r="P838" s="15"/>
      <c r="Q838" s="12" t="s">
        <v>53</v>
      </c>
      <c r="R838" s="22" t="s">
        <v>88</v>
      </c>
      <c r="S838" s="12" t="s">
        <v>3144</v>
      </c>
      <c r="T838" s="14" t="s">
        <v>55</v>
      </c>
    </row>
    <row r="839" spans="1:20" ht="16.5">
      <c r="A839" s="17" t="s">
        <v>2177</v>
      </c>
      <c r="B839" s="17" t="s">
        <v>60</v>
      </c>
      <c r="C839" s="17" t="s">
        <v>44</v>
      </c>
      <c r="D839" s="18" t="s">
        <v>2177</v>
      </c>
      <c r="E839" s="17" t="s">
        <v>61</v>
      </c>
      <c r="F839" s="17" t="s">
        <v>62</v>
      </c>
      <c r="G839" s="18" t="s">
        <v>3174</v>
      </c>
      <c r="H839" s="20" t="s">
        <v>3175</v>
      </c>
      <c r="I839" s="17" t="s">
        <v>65</v>
      </c>
      <c r="J839" s="21">
        <v>1</v>
      </c>
      <c r="K839" s="21" t="s">
        <v>3133</v>
      </c>
      <c r="L839" s="21" t="s">
        <v>3176</v>
      </c>
      <c r="M839" s="19" t="s">
        <v>2180</v>
      </c>
      <c r="N839" s="19" t="s">
        <v>67</v>
      </c>
      <c r="O839" s="19" t="s">
        <v>3177</v>
      </c>
      <c r="P839" s="19"/>
      <c r="Q839" s="18" t="s">
        <v>69</v>
      </c>
      <c r="R839" s="16" t="s">
        <v>54</v>
      </c>
      <c r="S839" s="18" t="s">
        <v>3144</v>
      </c>
      <c r="T839" s="21" t="s">
        <v>55</v>
      </c>
    </row>
    <row r="840" spans="1:20" ht="16.5">
      <c r="A840" s="11" t="s">
        <v>2177</v>
      </c>
      <c r="B840" s="11" t="s">
        <v>60</v>
      </c>
      <c r="C840" s="11" t="s">
        <v>62</v>
      </c>
      <c r="D840" s="12" t="s">
        <v>3174</v>
      </c>
      <c r="E840" s="11" t="s">
        <v>71</v>
      </c>
      <c r="F840" s="11" t="s">
        <v>72</v>
      </c>
      <c r="G840" s="12" t="s">
        <v>3178</v>
      </c>
      <c r="H840" s="13" t="s">
        <v>3179</v>
      </c>
      <c r="I840" s="11" t="s">
        <v>65</v>
      </c>
      <c r="J840" s="14">
        <v>1</v>
      </c>
      <c r="K840" s="14" t="s">
        <v>3133</v>
      </c>
      <c r="L840" s="14" t="s">
        <v>3180</v>
      </c>
      <c r="M840" s="15" t="s">
        <v>3177</v>
      </c>
      <c r="N840" s="15" t="s">
        <v>76</v>
      </c>
      <c r="O840" s="15" t="s">
        <v>3181</v>
      </c>
      <c r="P840" s="15"/>
      <c r="Q840" s="12" t="s">
        <v>69</v>
      </c>
      <c r="R840" s="16" t="s">
        <v>54</v>
      </c>
      <c r="S840" s="12" t="s">
        <v>3144</v>
      </c>
      <c r="T840" s="14" t="s">
        <v>55</v>
      </c>
    </row>
    <row r="841" spans="1:20" ht="16.5">
      <c r="A841" s="17" t="s">
        <v>2177</v>
      </c>
      <c r="B841" s="17" t="s">
        <v>60</v>
      </c>
      <c r="C841" s="17" t="s">
        <v>62</v>
      </c>
      <c r="D841" s="18" t="s">
        <v>3174</v>
      </c>
      <c r="E841" s="17" t="s">
        <v>71</v>
      </c>
      <c r="F841" s="17" t="s">
        <v>72</v>
      </c>
      <c r="G841" s="18" t="s">
        <v>3182</v>
      </c>
      <c r="H841" s="20" t="s">
        <v>3179</v>
      </c>
      <c r="I841" s="17" t="s">
        <v>65</v>
      </c>
      <c r="J841" s="21">
        <v>1</v>
      </c>
      <c r="K841" s="21" t="s">
        <v>3133</v>
      </c>
      <c r="L841" s="21" t="s">
        <v>3183</v>
      </c>
      <c r="M841" s="19" t="s">
        <v>3177</v>
      </c>
      <c r="N841" s="19" t="s">
        <v>76</v>
      </c>
      <c r="O841" s="19" t="s">
        <v>3184</v>
      </c>
      <c r="P841" s="19"/>
      <c r="Q841" s="18" t="s">
        <v>69</v>
      </c>
      <c r="R841" s="16" t="s">
        <v>54</v>
      </c>
      <c r="S841" s="18" t="s">
        <v>3144</v>
      </c>
      <c r="T841" s="21" t="s">
        <v>55</v>
      </c>
    </row>
    <row r="842" spans="1:20" ht="16.5">
      <c r="A842" s="11" t="s">
        <v>2177</v>
      </c>
      <c r="B842" s="11" t="s">
        <v>60</v>
      </c>
      <c r="C842" s="11" t="s">
        <v>62</v>
      </c>
      <c r="D842" s="12" t="s">
        <v>3174</v>
      </c>
      <c r="E842" s="11" t="s">
        <v>71</v>
      </c>
      <c r="F842" s="11" t="s">
        <v>72</v>
      </c>
      <c r="G842" s="12" t="s">
        <v>3185</v>
      </c>
      <c r="H842" s="13" t="s">
        <v>3179</v>
      </c>
      <c r="I842" s="11" t="s">
        <v>65</v>
      </c>
      <c r="J842" s="14">
        <v>1</v>
      </c>
      <c r="K842" s="14" t="s">
        <v>3133</v>
      </c>
      <c r="L842" s="14" t="s">
        <v>3186</v>
      </c>
      <c r="M842" s="15" t="s">
        <v>3177</v>
      </c>
      <c r="N842" s="15" t="s">
        <v>76</v>
      </c>
      <c r="O842" s="15" t="s">
        <v>3187</v>
      </c>
      <c r="P842" s="15"/>
      <c r="Q842" s="12" t="s">
        <v>69</v>
      </c>
      <c r="R842" s="16" t="s">
        <v>54</v>
      </c>
      <c r="S842" s="12" t="s">
        <v>3144</v>
      </c>
      <c r="T842" s="14" t="s">
        <v>55</v>
      </c>
    </row>
    <row r="843" spans="1:20" ht="16.5">
      <c r="A843" s="17" t="s">
        <v>2177</v>
      </c>
      <c r="B843" s="17" t="s">
        <v>60</v>
      </c>
      <c r="C843" s="17" t="s">
        <v>62</v>
      </c>
      <c r="D843" s="18" t="s">
        <v>3174</v>
      </c>
      <c r="E843" s="17" t="s">
        <v>71</v>
      </c>
      <c r="F843" s="17" t="s">
        <v>72</v>
      </c>
      <c r="G843" s="18" t="s">
        <v>3188</v>
      </c>
      <c r="H843" s="20" t="s">
        <v>3179</v>
      </c>
      <c r="I843" s="17" t="s">
        <v>65</v>
      </c>
      <c r="J843" s="21">
        <v>1</v>
      </c>
      <c r="K843" s="21" t="s">
        <v>3133</v>
      </c>
      <c r="L843" s="21" t="s">
        <v>3189</v>
      </c>
      <c r="M843" s="19" t="s">
        <v>3177</v>
      </c>
      <c r="N843" s="19" t="s">
        <v>76</v>
      </c>
      <c r="O843" s="19" t="s">
        <v>3190</v>
      </c>
      <c r="P843" s="19"/>
      <c r="Q843" s="18" t="s">
        <v>69</v>
      </c>
      <c r="R843" s="16" t="s">
        <v>54</v>
      </c>
      <c r="S843" s="18" t="s">
        <v>3144</v>
      </c>
      <c r="T843" s="21" t="s">
        <v>55</v>
      </c>
    </row>
    <row r="844" spans="1:20" ht="16.5">
      <c r="A844" s="11" t="s">
        <v>2177</v>
      </c>
      <c r="B844" s="11" t="s">
        <v>60</v>
      </c>
      <c r="C844" s="11" t="s">
        <v>62</v>
      </c>
      <c r="D844" s="12" t="s">
        <v>3174</v>
      </c>
      <c r="E844" s="11" t="s">
        <v>81</v>
      </c>
      <c r="F844" s="11" t="s">
        <v>82</v>
      </c>
      <c r="G844" s="12" t="s">
        <v>3191</v>
      </c>
      <c r="H844" s="13" t="s">
        <v>3192</v>
      </c>
      <c r="I844" s="11" t="s">
        <v>65</v>
      </c>
      <c r="J844" s="14">
        <v>1</v>
      </c>
      <c r="K844" s="14" t="s">
        <v>3133</v>
      </c>
      <c r="L844" s="14" t="s">
        <v>3193</v>
      </c>
      <c r="M844" s="15" t="s">
        <v>3177</v>
      </c>
      <c r="N844" s="15" t="s">
        <v>86</v>
      </c>
      <c r="O844" s="15" t="s">
        <v>3194</v>
      </c>
      <c r="P844" s="15"/>
      <c r="Q844" s="12" t="s">
        <v>53</v>
      </c>
      <c r="R844" s="22" t="s">
        <v>88</v>
      </c>
      <c r="S844" s="12" t="s">
        <v>3144</v>
      </c>
      <c r="T844" s="14" t="s">
        <v>55</v>
      </c>
    </row>
    <row r="845" spans="1:20" ht="16.5">
      <c r="A845" s="17" t="s">
        <v>2177</v>
      </c>
      <c r="B845" s="17" t="s">
        <v>60</v>
      </c>
      <c r="C845" s="17" t="s">
        <v>44</v>
      </c>
      <c r="D845" s="18" t="s">
        <v>2177</v>
      </c>
      <c r="E845" s="17" t="s">
        <v>61</v>
      </c>
      <c r="F845" s="17" t="s">
        <v>62</v>
      </c>
      <c r="G845" s="18" t="s">
        <v>3195</v>
      </c>
      <c r="H845" s="20" t="s">
        <v>3196</v>
      </c>
      <c r="I845" s="17" t="s">
        <v>65</v>
      </c>
      <c r="J845" s="21">
        <v>1</v>
      </c>
      <c r="K845" s="21" t="s">
        <v>3133</v>
      </c>
      <c r="L845" s="21" t="s">
        <v>3197</v>
      </c>
      <c r="M845" s="19" t="s">
        <v>2180</v>
      </c>
      <c r="N845" s="19" t="s">
        <v>67</v>
      </c>
      <c r="O845" s="19" t="s">
        <v>3198</v>
      </c>
      <c r="P845" s="19"/>
      <c r="Q845" s="18" t="s">
        <v>69</v>
      </c>
      <c r="R845" s="16" t="s">
        <v>54</v>
      </c>
      <c r="S845" s="18" t="s">
        <v>3144</v>
      </c>
      <c r="T845" s="21" t="s">
        <v>55</v>
      </c>
    </row>
    <row r="846" spans="1:20" ht="16.5">
      <c r="A846" s="11" t="s">
        <v>2177</v>
      </c>
      <c r="B846" s="11" t="s">
        <v>60</v>
      </c>
      <c r="C846" s="11" t="s">
        <v>62</v>
      </c>
      <c r="D846" s="12" t="s">
        <v>3195</v>
      </c>
      <c r="E846" s="11" t="s">
        <v>71</v>
      </c>
      <c r="F846" s="11" t="s">
        <v>72</v>
      </c>
      <c r="G846" s="12" t="s">
        <v>3199</v>
      </c>
      <c r="H846" s="13" t="s">
        <v>3200</v>
      </c>
      <c r="I846" s="11" t="s">
        <v>65</v>
      </c>
      <c r="J846" s="14">
        <v>1</v>
      </c>
      <c r="K846" s="14" t="s">
        <v>3133</v>
      </c>
      <c r="L846" s="14" t="s">
        <v>3201</v>
      </c>
      <c r="M846" s="15" t="s">
        <v>3198</v>
      </c>
      <c r="N846" s="15" t="s">
        <v>76</v>
      </c>
      <c r="O846" s="15" t="s">
        <v>3202</v>
      </c>
      <c r="P846" s="15"/>
      <c r="Q846" s="12" t="s">
        <v>69</v>
      </c>
      <c r="R846" s="16" t="s">
        <v>54</v>
      </c>
      <c r="S846" s="12" t="s">
        <v>3144</v>
      </c>
      <c r="T846" s="14" t="s">
        <v>55</v>
      </c>
    </row>
    <row r="847" spans="1:20" ht="16.5">
      <c r="A847" s="17" t="s">
        <v>2177</v>
      </c>
      <c r="B847" s="17" t="s">
        <v>60</v>
      </c>
      <c r="C847" s="17" t="s">
        <v>62</v>
      </c>
      <c r="D847" s="18" t="s">
        <v>3195</v>
      </c>
      <c r="E847" s="17" t="s">
        <v>71</v>
      </c>
      <c r="F847" s="17" t="s">
        <v>72</v>
      </c>
      <c r="G847" s="18" t="s">
        <v>3203</v>
      </c>
      <c r="H847" s="20" t="s">
        <v>3200</v>
      </c>
      <c r="I847" s="17" t="s">
        <v>65</v>
      </c>
      <c r="J847" s="21">
        <v>1</v>
      </c>
      <c r="K847" s="21" t="s">
        <v>3133</v>
      </c>
      <c r="L847" s="21" t="s">
        <v>3204</v>
      </c>
      <c r="M847" s="19" t="s">
        <v>3198</v>
      </c>
      <c r="N847" s="19" t="s">
        <v>76</v>
      </c>
      <c r="O847" s="19" t="s">
        <v>3205</v>
      </c>
      <c r="P847" s="19"/>
      <c r="Q847" s="18" t="s">
        <v>69</v>
      </c>
      <c r="R847" s="16" t="s">
        <v>54</v>
      </c>
      <c r="S847" s="18" t="s">
        <v>3144</v>
      </c>
      <c r="T847" s="21" t="s">
        <v>55</v>
      </c>
    </row>
    <row r="848" spans="1:20" ht="16.5">
      <c r="A848" s="11" t="s">
        <v>2177</v>
      </c>
      <c r="B848" s="11" t="s">
        <v>60</v>
      </c>
      <c r="C848" s="11" t="s">
        <v>62</v>
      </c>
      <c r="D848" s="12" t="s">
        <v>3195</v>
      </c>
      <c r="E848" s="11" t="s">
        <v>71</v>
      </c>
      <c r="F848" s="11" t="s">
        <v>72</v>
      </c>
      <c r="G848" s="12" t="s">
        <v>3206</v>
      </c>
      <c r="H848" s="13" t="s">
        <v>3200</v>
      </c>
      <c r="I848" s="11" t="s">
        <v>65</v>
      </c>
      <c r="J848" s="14">
        <v>1</v>
      </c>
      <c r="K848" s="14" t="s">
        <v>3133</v>
      </c>
      <c r="L848" s="14" t="s">
        <v>3207</v>
      </c>
      <c r="M848" s="15" t="s">
        <v>3198</v>
      </c>
      <c r="N848" s="15" t="s">
        <v>76</v>
      </c>
      <c r="O848" s="15" t="s">
        <v>3208</v>
      </c>
      <c r="P848" s="15"/>
      <c r="Q848" s="12" t="s">
        <v>69</v>
      </c>
      <c r="R848" s="16" t="s">
        <v>54</v>
      </c>
      <c r="S848" s="12" t="s">
        <v>3144</v>
      </c>
      <c r="T848" s="14" t="s">
        <v>55</v>
      </c>
    </row>
    <row r="849" spans="1:20" ht="16.5">
      <c r="A849" s="17" t="s">
        <v>2177</v>
      </c>
      <c r="B849" s="17" t="s">
        <v>60</v>
      </c>
      <c r="C849" s="17" t="s">
        <v>62</v>
      </c>
      <c r="D849" s="18" t="s">
        <v>3195</v>
      </c>
      <c r="E849" s="17" t="s">
        <v>71</v>
      </c>
      <c r="F849" s="17" t="s">
        <v>72</v>
      </c>
      <c r="G849" s="18" t="s">
        <v>3209</v>
      </c>
      <c r="H849" s="20" t="s">
        <v>3200</v>
      </c>
      <c r="I849" s="17" t="s">
        <v>65</v>
      </c>
      <c r="J849" s="21">
        <v>1</v>
      </c>
      <c r="K849" s="21" t="s">
        <v>3133</v>
      </c>
      <c r="L849" s="21" t="s">
        <v>3210</v>
      </c>
      <c r="M849" s="19" t="s">
        <v>3198</v>
      </c>
      <c r="N849" s="19" t="s">
        <v>76</v>
      </c>
      <c r="O849" s="19" t="s">
        <v>3211</v>
      </c>
      <c r="P849" s="19"/>
      <c r="Q849" s="18" t="s">
        <v>69</v>
      </c>
      <c r="R849" s="16" t="s">
        <v>54</v>
      </c>
      <c r="S849" s="18" t="s">
        <v>3144</v>
      </c>
      <c r="T849" s="21" t="s">
        <v>55</v>
      </c>
    </row>
    <row r="850" spans="1:20" ht="16.5">
      <c r="A850" s="11" t="s">
        <v>2177</v>
      </c>
      <c r="B850" s="11" t="s">
        <v>60</v>
      </c>
      <c r="C850" s="11" t="s">
        <v>62</v>
      </c>
      <c r="D850" s="12" t="s">
        <v>3195</v>
      </c>
      <c r="E850" s="11" t="s">
        <v>81</v>
      </c>
      <c r="F850" s="11" t="s">
        <v>82</v>
      </c>
      <c r="G850" s="12" t="s">
        <v>3212</v>
      </c>
      <c r="H850" s="13" t="s">
        <v>3213</v>
      </c>
      <c r="I850" s="11" t="s">
        <v>65</v>
      </c>
      <c r="J850" s="14">
        <v>1</v>
      </c>
      <c r="K850" s="14" t="s">
        <v>3133</v>
      </c>
      <c r="L850" s="14" t="s">
        <v>3214</v>
      </c>
      <c r="M850" s="15" t="s">
        <v>3198</v>
      </c>
      <c r="N850" s="15" t="s">
        <v>86</v>
      </c>
      <c r="O850" s="15" t="s">
        <v>3215</v>
      </c>
      <c r="P850" s="15"/>
      <c r="Q850" s="12" t="s">
        <v>53</v>
      </c>
      <c r="R850" s="22" t="s">
        <v>88</v>
      </c>
      <c r="S850" s="12" t="s">
        <v>3144</v>
      </c>
      <c r="T850" s="14" t="s">
        <v>55</v>
      </c>
    </row>
    <row r="851" spans="1:20" ht="16.5">
      <c r="A851" s="17" t="s">
        <v>2177</v>
      </c>
      <c r="B851" s="17" t="s">
        <v>60</v>
      </c>
      <c r="C851" s="17" t="s">
        <v>44</v>
      </c>
      <c r="D851" s="18" t="s">
        <v>2177</v>
      </c>
      <c r="E851" s="17" t="s">
        <v>61</v>
      </c>
      <c r="F851" s="17" t="s">
        <v>62</v>
      </c>
      <c r="G851" s="18" t="s">
        <v>3216</v>
      </c>
      <c r="H851" s="20" t="s">
        <v>3217</v>
      </c>
      <c r="I851" s="17" t="s">
        <v>65</v>
      </c>
      <c r="J851" s="21">
        <v>1</v>
      </c>
      <c r="K851" s="21" t="s">
        <v>3133</v>
      </c>
      <c r="L851" s="21" t="s">
        <v>3218</v>
      </c>
      <c r="M851" s="19" t="s">
        <v>2180</v>
      </c>
      <c r="N851" s="19" t="s">
        <v>67</v>
      </c>
      <c r="O851" s="19" t="s">
        <v>3219</v>
      </c>
      <c r="P851" s="19"/>
      <c r="Q851" s="18" t="s">
        <v>69</v>
      </c>
      <c r="R851" s="16" t="s">
        <v>54</v>
      </c>
      <c r="S851" s="18" t="s">
        <v>3144</v>
      </c>
      <c r="T851" s="21" t="s">
        <v>55</v>
      </c>
    </row>
    <row r="852" spans="1:20" ht="16.5">
      <c r="A852" s="11" t="s">
        <v>2177</v>
      </c>
      <c r="B852" s="11" t="s">
        <v>60</v>
      </c>
      <c r="C852" s="11" t="s">
        <v>62</v>
      </c>
      <c r="D852" s="12" t="s">
        <v>3216</v>
      </c>
      <c r="E852" s="11" t="s">
        <v>71</v>
      </c>
      <c r="F852" s="11" t="s">
        <v>72</v>
      </c>
      <c r="G852" s="12" t="s">
        <v>3220</v>
      </c>
      <c r="H852" s="13" t="s">
        <v>3221</v>
      </c>
      <c r="I852" s="11" t="s">
        <v>65</v>
      </c>
      <c r="J852" s="14">
        <v>1</v>
      </c>
      <c r="K852" s="14" t="s">
        <v>3133</v>
      </c>
      <c r="L852" s="14" t="s">
        <v>3222</v>
      </c>
      <c r="M852" s="15" t="s">
        <v>3219</v>
      </c>
      <c r="N852" s="15" t="s">
        <v>76</v>
      </c>
      <c r="O852" s="15" t="s">
        <v>3223</v>
      </c>
      <c r="P852" s="15"/>
      <c r="Q852" s="12" t="s">
        <v>69</v>
      </c>
      <c r="R852" s="16" t="s">
        <v>54</v>
      </c>
      <c r="S852" s="12" t="s">
        <v>3144</v>
      </c>
      <c r="T852" s="14" t="s">
        <v>55</v>
      </c>
    </row>
    <row r="853" spans="1:20" ht="16.5">
      <c r="A853" s="17" t="s">
        <v>2177</v>
      </c>
      <c r="B853" s="17" t="s">
        <v>60</v>
      </c>
      <c r="C853" s="17" t="s">
        <v>62</v>
      </c>
      <c r="D853" s="18" t="s">
        <v>3216</v>
      </c>
      <c r="E853" s="17" t="s">
        <v>71</v>
      </c>
      <c r="F853" s="17" t="s">
        <v>72</v>
      </c>
      <c r="G853" s="18" t="s">
        <v>3224</v>
      </c>
      <c r="H853" s="20" t="s">
        <v>3221</v>
      </c>
      <c r="I853" s="17" t="s">
        <v>65</v>
      </c>
      <c r="J853" s="21">
        <v>1</v>
      </c>
      <c r="K853" s="21" t="s">
        <v>3133</v>
      </c>
      <c r="L853" s="21" t="s">
        <v>3225</v>
      </c>
      <c r="M853" s="19" t="s">
        <v>3219</v>
      </c>
      <c r="N853" s="19" t="s">
        <v>76</v>
      </c>
      <c r="O853" s="19" t="s">
        <v>3226</v>
      </c>
      <c r="P853" s="19"/>
      <c r="Q853" s="18" t="s">
        <v>69</v>
      </c>
      <c r="R853" s="16" t="s">
        <v>54</v>
      </c>
      <c r="S853" s="18" t="s">
        <v>3144</v>
      </c>
      <c r="T853" s="21" t="s">
        <v>55</v>
      </c>
    </row>
    <row r="854" spans="1:20" ht="16.5">
      <c r="A854" s="11" t="s">
        <v>2177</v>
      </c>
      <c r="B854" s="11" t="s">
        <v>60</v>
      </c>
      <c r="C854" s="11" t="s">
        <v>62</v>
      </c>
      <c r="D854" s="12" t="s">
        <v>3216</v>
      </c>
      <c r="E854" s="11" t="s">
        <v>71</v>
      </c>
      <c r="F854" s="11" t="s">
        <v>72</v>
      </c>
      <c r="G854" s="12" t="s">
        <v>3227</v>
      </c>
      <c r="H854" s="13" t="s">
        <v>3221</v>
      </c>
      <c r="I854" s="11" t="s">
        <v>65</v>
      </c>
      <c r="J854" s="14">
        <v>1</v>
      </c>
      <c r="K854" s="14" t="s">
        <v>3133</v>
      </c>
      <c r="L854" s="14" t="s">
        <v>3228</v>
      </c>
      <c r="M854" s="15" t="s">
        <v>3219</v>
      </c>
      <c r="N854" s="15" t="s">
        <v>76</v>
      </c>
      <c r="O854" s="15" t="s">
        <v>3229</v>
      </c>
      <c r="P854" s="15"/>
      <c r="Q854" s="12" t="s">
        <v>69</v>
      </c>
      <c r="R854" s="16" t="s">
        <v>54</v>
      </c>
      <c r="S854" s="12" t="s">
        <v>3144</v>
      </c>
      <c r="T854" s="14" t="s">
        <v>55</v>
      </c>
    </row>
    <row r="855" spans="1:20" ht="16.5">
      <c r="A855" s="17" t="s">
        <v>2177</v>
      </c>
      <c r="B855" s="17" t="s">
        <v>60</v>
      </c>
      <c r="C855" s="17" t="s">
        <v>62</v>
      </c>
      <c r="D855" s="18" t="s">
        <v>3216</v>
      </c>
      <c r="E855" s="17" t="s">
        <v>71</v>
      </c>
      <c r="F855" s="17" t="s">
        <v>72</v>
      </c>
      <c r="G855" s="18" t="s">
        <v>3230</v>
      </c>
      <c r="H855" s="20" t="s">
        <v>3221</v>
      </c>
      <c r="I855" s="17" t="s">
        <v>65</v>
      </c>
      <c r="J855" s="21">
        <v>1</v>
      </c>
      <c r="K855" s="21" t="s">
        <v>3133</v>
      </c>
      <c r="L855" s="21" t="s">
        <v>3231</v>
      </c>
      <c r="M855" s="19" t="s">
        <v>3219</v>
      </c>
      <c r="N855" s="19" t="s">
        <v>76</v>
      </c>
      <c r="O855" s="19" t="s">
        <v>3232</v>
      </c>
      <c r="P855" s="19"/>
      <c r="Q855" s="18" t="s">
        <v>69</v>
      </c>
      <c r="R855" s="16" t="s">
        <v>54</v>
      </c>
      <c r="S855" s="18" t="s">
        <v>3144</v>
      </c>
      <c r="T855" s="21" t="s">
        <v>55</v>
      </c>
    </row>
    <row r="856" spans="1:20" ht="16.5">
      <c r="A856" s="11" t="s">
        <v>2177</v>
      </c>
      <c r="B856" s="11" t="s">
        <v>60</v>
      </c>
      <c r="C856" s="11" t="s">
        <v>62</v>
      </c>
      <c r="D856" s="12" t="s">
        <v>3216</v>
      </c>
      <c r="E856" s="11" t="s">
        <v>81</v>
      </c>
      <c r="F856" s="11" t="s">
        <v>82</v>
      </c>
      <c r="G856" s="12" t="s">
        <v>3233</v>
      </c>
      <c r="H856" s="13" t="s">
        <v>3234</v>
      </c>
      <c r="I856" s="11" t="s">
        <v>65</v>
      </c>
      <c r="J856" s="14">
        <v>1</v>
      </c>
      <c r="K856" s="14" t="s">
        <v>3133</v>
      </c>
      <c r="L856" s="14" t="s">
        <v>3235</v>
      </c>
      <c r="M856" s="15" t="s">
        <v>3219</v>
      </c>
      <c r="N856" s="15" t="s">
        <v>86</v>
      </c>
      <c r="O856" s="15" t="s">
        <v>3236</v>
      </c>
      <c r="P856" s="15"/>
      <c r="Q856" s="12" t="s">
        <v>53</v>
      </c>
      <c r="R856" s="22" t="s">
        <v>88</v>
      </c>
      <c r="S856" s="12" t="s">
        <v>3144</v>
      </c>
      <c r="T856" s="14" t="s">
        <v>55</v>
      </c>
    </row>
    <row r="857" spans="1:20" ht="16.5">
      <c r="A857" s="17" t="s">
        <v>2177</v>
      </c>
      <c r="B857" s="17" t="s">
        <v>60</v>
      </c>
      <c r="C857" s="17" t="s">
        <v>44</v>
      </c>
      <c r="D857" s="18" t="s">
        <v>2177</v>
      </c>
      <c r="E857" s="17" t="s">
        <v>61</v>
      </c>
      <c r="F857" s="17" t="s">
        <v>62</v>
      </c>
      <c r="G857" s="18" t="s">
        <v>3237</v>
      </c>
      <c r="H857" s="20" t="s">
        <v>3238</v>
      </c>
      <c r="I857" s="17" t="s">
        <v>65</v>
      </c>
      <c r="J857" s="21">
        <v>1</v>
      </c>
      <c r="K857" s="21" t="s">
        <v>3133</v>
      </c>
      <c r="L857" s="21" t="s">
        <v>3239</v>
      </c>
      <c r="M857" s="19" t="s">
        <v>2180</v>
      </c>
      <c r="N857" s="19" t="s">
        <v>67</v>
      </c>
      <c r="O857" s="19" t="s">
        <v>3240</v>
      </c>
      <c r="P857" s="19"/>
      <c r="Q857" s="18" t="s">
        <v>69</v>
      </c>
      <c r="R857" s="16" t="s">
        <v>54</v>
      </c>
      <c r="S857" s="18" t="s">
        <v>3144</v>
      </c>
      <c r="T857" s="21" t="s">
        <v>55</v>
      </c>
    </row>
    <row r="858" spans="1:20" ht="16.5">
      <c r="A858" s="11" t="s">
        <v>2177</v>
      </c>
      <c r="B858" s="11" t="s">
        <v>60</v>
      </c>
      <c r="C858" s="11" t="s">
        <v>62</v>
      </c>
      <c r="D858" s="12" t="s">
        <v>3237</v>
      </c>
      <c r="E858" s="11" t="s">
        <v>81</v>
      </c>
      <c r="F858" s="11" t="s">
        <v>82</v>
      </c>
      <c r="G858" s="12" t="s">
        <v>3241</v>
      </c>
      <c r="H858" s="13" t="s">
        <v>3242</v>
      </c>
      <c r="I858" s="11" t="s">
        <v>65</v>
      </c>
      <c r="J858" s="14">
        <v>1</v>
      </c>
      <c r="K858" s="14" t="s">
        <v>3133</v>
      </c>
      <c r="L858" s="14" t="s">
        <v>3243</v>
      </c>
      <c r="M858" s="15" t="s">
        <v>3240</v>
      </c>
      <c r="N858" s="15" t="s">
        <v>86</v>
      </c>
      <c r="O858" s="15" t="s">
        <v>3244</v>
      </c>
      <c r="P858" s="15"/>
      <c r="Q858" s="12" t="s">
        <v>53</v>
      </c>
      <c r="R858" s="22" t="s">
        <v>88</v>
      </c>
      <c r="S858" s="12" t="s">
        <v>3144</v>
      </c>
      <c r="T858" s="14" t="s">
        <v>55</v>
      </c>
    </row>
    <row r="859" spans="1:20" ht="16.5">
      <c r="A859" s="17" t="s">
        <v>2177</v>
      </c>
      <c r="B859" s="17" t="s">
        <v>60</v>
      </c>
      <c r="C859" s="17" t="s">
        <v>44</v>
      </c>
      <c r="D859" s="18" t="s">
        <v>2177</v>
      </c>
      <c r="E859" s="17" t="s">
        <v>61</v>
      </c>
      <c r="F859" s="17" t="s">
        <v>62</v>
      </c>
      <c r="G859" s="19" t="s">
        <v>3245</v>
      </c>
      <c r="H859" s="20" t="s">
        <v>3246</v>
      </c>
      <c r="I859" s="17" t="s">
        <v>65</v>
      </c>
      <c r="J859" s="21">
        <v>1</v>
      </c>
      <c r="K859" s="21" t="s">
        <v>3133</v>
      </c>
      <c r="L859" s="21" t="s">
        <v>3247</v>
      </c>
      <c r="M859" s="19" t="s">
        <v>2180</v>
      </c>
      <c r="N859" s="19" t="s">
        <v>67</v>
      </c>
      <c r="O859" s="19" t="s">
        <v>3248</v>
      </c>
      <c r="P859" s="19"/>
      <c r="Q859" s="18" t="s">
        <v>69</v>
      </c>
      <c r="R859" s="16" t="s">
        <v>54</v>
      </c>
      <c r="S859" s="18" t="s">
        <v>3144</v>
      </c>
      <c r="T859" s="21" t="s">
        <v>55</v>
      </c>
    </row>
    <row r="860" spans="1:20" ht="16.5">
      <c r="A860" s="11" t="s">
        <v>2177</v>
      </c>
      <c r="B860" s="11" t="s">
        <v>60</v>
      </c>
      <c r="C860" s="11" t="s">
        <v>62</v>
      </c>
      <c r="D860" s="15" t="s">
        <v>3245</v>
      </c>
      <c r="E860" s="11" t="s">
        <v>71</v>
      </c>
      <c r="F860" s="11" t="s">
        <v>72</v>
      </c>
      <c r="G860" s="15" t="s">
        <v>3249</v>
      </c>
      <c r="H860" s="23" t="s">
        <v>3250</v>
      </c>
      <c r="I860" s="11" t="s">
        <v>65</v>
      </c>
      <c r="J860" s="14">
        <v>1</v>
      </c>
      <c r="K860" s="14" t="s">
        <v>3133</v>
      </c>
      <c r="L860" s="14" t="s">
        <v>3251</v>
      </c>
      <c r="M860" s="15" t="s">
        <v>3248</v>
      </c>
      <c r="N860" s="15" t="s">
        <v>76</v>
      </c>
      <c r="O860" s="15" t="s">
        <v>3252</v>
      </c>
      <c r="P860" s="15"/>
      <c r="Q860" s="12" t="s">
        <v>69</v>
      </c>
      <c r="R860" s="16" t="s">
        <v>54</v>
      </c>
      <c r="S860" s="12" t="s">
        <v>3144</v>
      </c>
      <c r="T860" s="14" t="s">
        <v>55</v>
      </c>
    </row>
    <row r="861" spans="1:20" ht="16.5">
      <c r="A861" s="17" t="s">
        <v>2177</v>
      </c>
      <c r="B861" s="17" t="s">
        <v>60</v>
      </c>
      <c r="C861" s="17" t="s">
        <v>62</v>
      </c>
      <c r="D861" s="19" t="s">
        <v>3245</v>
      </c>
      <c r="E861" s="17" t="s">
        <v>71</v>
      </c>
      <c r="F861" s="17" t="s">
        <v>72</v>
      </c>
      <c r="G861" s="19" t="s">
        <v>3253</v>
      </c>
      <c r="H861" s="24" t="s">
        <v>3250</v>
      </c>
      <c r="I861" s="17" t="s">
        <v>65</v>
      </c>
      <c r="J861" s="21">
        <v>1</v>
      </c>
      <c r="K861" s="21" t="s">
        <v>3133</v>
      </c>
      <c r="L861" s="21" t="s">
        <v>3254</v>
      </c>
      <c r="M861" s="19" t="s">
        <v>3248</v>
      </c>
      <c r="N861" s="19" t="s">
        <v>76</v>
      </c>
      <c r="O861" s="19" t="s">
        <v>3255</v>
      </c>
      <c r="P861" s="19"/>
      <c r="Q861" s="18" t="s">
        <v>69</v>
      </c>
      <c r="R861" s="16" t="s">
        <v>54</v>
      </c>
      <c r="S861" s="18" t="s">
        <v>3144</v>
      </c>
      <c r="T861" s="21" t="s">
        <v>55</v>
      </c>
    </row>
    <row r="862" spans="1:20" ht="16.5">
      <c r="A862" s="11" t="s">
        <v>2177</v>
      </c>
      <c r="B862" s="11" t="s">
        <v>60</v>
      </c>
      <c r="C862" s="11" t="s">
        <v>62</v>
      </c>
      <c r="D862" s="15" t="s">
        <v>3245</v>
      </c>
      <c r="E862" s="11" t="s">
        <v>81</v>
      </c>
      <c r="F862" s="11" t="s">
        <v>82</v>
      </c>
      <c r="G862" s="15" t="s">
        <v>3256</v>
      </c>
      <c r="H862" s="23" t="s">
        <v>3257</v>
      </c>
      <c r="I862" s="11" t="s">
        <v>65</v>
      </c>
      <c r="J862" s="14">
        <v>1</v>
      </c>
      <c r="K862" s="14" t="s">
        <v>3133</v>
      </c>
      <c r="L862" s="14" t="s">
        <v>3258</v>
      </c>
      <c r="M862" s="15" t="s">
        <v>3248</v>
      </c>
      <c r="N862" s="15" t="s">
        <v>86</v>
      </c>
      <c r="O862" s="15" t="s">
        <v>3259</v>
      </c>
      <c r="P862" s="15"/>
      <c r="Q862" s="12" t="s">
        <v>53</v>
      </c>
      <c r="R862" s="22" t="s">
        <v>88</v>
      </c>
      <c r="S862" s="12" t="s">
        <v>3144</v>
      </c>
      <c r="T862" s="14" t="s">
        <v>55</v>
      </c>
    </row>
    <row r="863" spans="1:20" ht="16.5">
      <c r="A863" s="17" t="s">
        <v>2177</v>
      </c>
      <c r="B863" s="17" t="s">
        <v>60</v>
      </c>
      <c r="C863" s="17" t="s">
        <v>62</v>
      </c>
      <c r="D863" s="19" t="s">
        <v>3245</v>
      </c>
      <c r="E863" s="17" t="s">
        <v>81</v>
      </c>
      <c r="F863" s="17" t="s">
        <v>82</v>
      </c>
      <c r="G863" s="19" t="s">
        <v>3260</v>
      </c>
      <c r="H863" s="24" t="s">
        <v>3261</v>
      </c>
      <c r="I863" s="17" t="s">
        <v>65</v>
      </c>
      <c r="J863" s="21">
        <v>1</v>
      </c>
      <c r="K863" s="21" t="s">
        <v>3133</v>
      </c>
      <c r="L863" s="21" t="s">
        <v>3262</v>
      </c>
      <c r="M863" s="19" t="s">
        <v>3248</v>
      </c>
      <c r="N863" s="19" t="s">
        <v>86</v>
      </c>
      <c r="O863" s="19" t="s">
        <v>3263</v>
      </c>
      <c r="P863" s="19"/>
      <c r="Q863" s="18" t="s">
        <v>53</v>
      </c>
      <c r="R863" s="22" t="s">
        <v>88</v>
      </c>
      <c r="S863" s="18" t="s">
        <v>3144</v>
      </c>
      <c r="T863" s="21" t="s">
        <v>55</v>
      </c>
    </row>
    <row r="864" spans="1:20" ht="16.5">
      <c r="A864" s="11" t="s">
        <v>2177</v>
      </c>
      <c r="B864" s="11" t="s">
        <v>60</v>
      </c>
      <c r="C864" s="11" t="s">
        <v>44</v>
      </c>
      <c r="D864" s="12" t="s">
        <v>2177</v>
      </c>
      <c r="E864" s="11" t="s">
        <v>61</v>
      </c>
      <c r="F864" s="11" t="s">
        <v>62</v>
      </c>
      <c r="G864" s="12" t="s">
        <v>3264</v>
      </c>
      <c r="H864" s="13" t="s">
        <v>3265</v>
      </c>
      <c r="I864" s="11" t="s">
        <v>65</v>
      </c>
      <c r="J864" s="14">
        <v>1</v>
      </c>
      <c r="K864" s="14" t="s">
        <v>3133</v>
      </c>
      <c r="L864" s="14" t="s">
        <v>3266</v>
      </c>
      <c r="M864" s="15" t="s">
        <v>2180</v>
      </c>
      <c r="N864" s="15" t="s">
        <v>67</v>
      </c>
      <c r="O864" s="15" t="s">
        <v>3267</v>
      </c>
      <c r="P864" s="15"/>
      <c r="Q864" s="12" t="s">
        <v>69</v>
      </c>
      <c r="R864" s="16" t="s">
        <v>54</v>
      </c>
      <c r="S864" s="12" t="s">
        <v>3144</v>
      </c>
      <c r="T864" s="14" t="s">
        <v>55</v>
      </c>
    </row>
    <row r="865" spans="1:20" ht="16.5">
      <c r="A865" s="17" t="s">
        <v>2177</v>
      </c>
      <c r="B865" s="17" t="s">
        <v>60</v>
      </c>
      <c r="C865" s="17" t="s">
        <v>62</v>
      </c>
      <c r="D865" s="18" t="s">
        <v>3264</v>
      </c>
      <c r="E865" s="17" t="s">
        <v>81</v>
      </c>
      <c r="F865" s="17" t="s">
        <v>82</v>
      </c>
      <c r="G865" s="18" t="s">
        <v>3268</v>
      </c>
      <c r="H865" s="20" t="s">
        <v>3269</v>
      </c>
      <c r="I865" s="17" t="s">
        <v>65</v>
      </c>
      <c r="J865" s="21">
        <v>1</v>
      </c>
      <c r="K865" s="21" t="s">
        <v>3133</v>
      </c>
      <c r="L865" s="21" t="s">
        <v>3270</v>
      </c>
      <c r="M865" s="19" t="s">
        <v>3267</v>
      </c>
      <c r="N865" s="19" t="s">
        <v>86</v>
      </c>
      <c r="O865" s="19" t="s">
        <v>3271</v>
      </c>
      <c r="P865" s="19"/>
      <c r="Q865" s="18" t="s">
        <v>53</v>
      </c>
      <c r="R865" s="22" t="s">
        <v>88</v>
      </c>
      <c r="S865" s="18" t="s">
        <v>3144</v>
      </c>
      <c r="T865" s="21" t="s">
        <v>55</v>
      </c>
    </row>
    <row r="866" spans="1:20" ht="16.5">
      <c r="A866" s="11" t="s">
        <v>2177</v>
      </c>
      <c r="B866" s="11" t="s">
        <v>60</v>
      </c>
      <c r="C866" s="11" t="s">
        <v>62</v>
      </c>
      <c r="D866" s="12" t="s">
        <v>3264</v>
      </c>
      <c r="E866" s="11" t="s">
        <v>81</v>
      </c>
      <c r="F866" s="11" t="s">
        <v>82</v>
      </c>
      <c r="G866" s="12" t="s">
        <v>3272</v>
      </c>
      <c r="H866" s="13" t="s">
        <v>3273</v>
      </c>
      <c r="I866" s="11" t="s">
        <v>65</v>
      </c>
      <c r="J866" s="14">
        <v>1</v>
      </c>
      <c r="K866" s="14" t="s">
        <v>3133</v>
      </c>
      <c r="L866" s="14" t="s">
        <v>3274</v>
      </c>
      <c r="M866" s="15" t="s">
        <v>3267</v>
      </c>
      <c r="N866" s="15" t="s">
        <v>86</v>
      </c>
      <c r="O866" s="15" t="s">
        <v>3275</v>
      </c>
      <c r="P866" s="15"/>
      <c r="Q866" s="12" t="s">
        <v>53</v>
      </c>
      <c r="R866" s="22" t="s">
        <v>88</v>
      </c>
      <c r="S866" s="12" t="s">
        <v>3144</v>
      </c>
      <c r="T866" s="14" t="s">
        <v>55</v>
      </c>
    </row>
    <row r="867" spans="1:20" ht="16.5">
      <c r="A867" s="17" t="s">
        <v>2177</v>
      </c>
      <c r="B867" s="17" t="s">
        <v>60</v>
      </c>
      <c r="C867" s="17" t="s">
        <v>62</v>
      </c>
      <c r="D867" s="18" t="s">
        <v>3264</v>
      </c>
      <c r="E867" s="17" t="s">
        <v>81</v>
      </c>
      <c r="F867" s="17" t="s">
        <v>82</v>
      </c>
      <c r="G867" s="18" t="s">
        <v>3276</v>
      </c>
      <c r="H867" s="20" t="s">
        <v>3277</v>
      </c>
      <c r="I867" s="17" t="s">
        <v>65</v>
      </c>
      <c r="J867" s="21">
        <v>1</v>
      </c>
      <c r="K867" s="21" t="s">
        <v>3133</v>
      </c>
      <c r="L867" s="21" t="s">
        <v>3278</v>
      </c>
      <c r="M867" s="19" t="s">
        <v>3267</v>
      </c>
      <c r="N867" s="19" t="s">
        <v>86</v>
      </c>
      <c r="O867" s="19" t="s">
        <v>3279</v>
      </c>
      <c r="P867" s="19"/>
      <c r="Q867" s="18" t="s">
        <v>53</v>
      </c>
      <c r="R867" s="22" t="s">
        <v>88</v>
      </c>
      <c r="S867" s="18" t="s">
        <v>3144</v>
      </c>
      <c r="T867" s="21" t="s">
        <v>55</v>
      </c>
    </row>
    <row r="868" spans="1:20" ht="16.5">
      <c r="A868" s="11" t="s">
        <v>2177</v>
      </c>
      <c r="B868" s="11" t="s">
        <v>60</v>
      </c>
      <c r="C868" s="11" t="s">
        <v>44</v>
      </c>
      <c r="D868" s="12" t="s">
        <v>2177</v>
      </c>
      <c r="E868" s="11" t="s">
        <v>61</v>
      </c>
      <c r="F868" s="11" t="s">
        <v>62</v>
      </c>
      <c r="G868" s="12" t="s">
        <v>3280</v>
      </c>
      <c r="H868" s="13" t="s">
        <v>3281</v>
      </c>
      <c r="I868" s="11" t="s">
        <v>65</v>
      </c>
      <c r="J868" s="14">
        <v>1</v>
      </c>
      <c r="K868" s="14" t="s">
        <v>3133</v>
      </c>
      <c r="L868" s="14" t="s">
        <v>3282</v>
      </c>
      <c r="M868" s="15" t="s">
        <v>2180</v>
      </c>
      <c r="N868" s="15" t="s">
        <v>67</v>
      </c>
      <c r="O868" s="15" t="s">
        <v>3283</v>
      </c>
      <c r="P868" s="15"/>
      <c r="Q868" s="12" t="s">
        <v>69</v>
      </c>
      <c r="R868" s="16" t="s">
        <v>54</v>
      </c>
      <c r="S868" s="12" t="s">
        <v>3144</v>
      </c>
      <c r="T868" s="14" t="s">
        <v>55</v>
      </c>
    </row>
    <row r="869" spans="1:20" ht="16.5">
      <c r="A869" s="17" t="s">
        <v>2177</v>
      </c>
      <c r="B869" s="17" t="s">
        <v>60</v>
      </c>
      <c r="C869" s="17" t="s">
        <v>62</v>
      </c>
      <c r="D869" s="18" t="s">
        <v>3280</v>
      </c>
      <c r="E869" s="17" t="s">
        <v>81</v>
      </c>
      <c r="F869" s="17" t="s">
        <v>82</v>
      </c>
      <c r="G869" s="18" t="s">
        <v>3284</v>
      </c>
      <c r="H869" s="20" t="s">
        <v>3285</v>
      </c>
      <c r="I869" s="17" t="s">
        <v>65</v>
      </c>
      <c r="J869" s="21">
        <v>1</v>
      </c>
      <c r="K869" s="21" t="s">
        <v>3133</v>
      </c>
      <c r="L869" s="21" t="s">
        <v>3286</v>
      </c>
      <c r="M869" s="19" t="s">
        <v>3283</v>
      </c>
      <c r="N869" s="19" t="s">
        <v>86</v>
      </c>
      <c r="O869" s="19" t="s">
        <v>3287</v>
      </c>
      <c r="P869" s="19"/>
      <c r="Q869" s="18" t="s">
        <v>53</v>
      </c>
      <c r="R869" s="22" t="s">
        <v>88</v>
      </c>
      <c r="S869" s="18" t="s">
        <v>3144</v>
      </c>
      <c r="T869" s="21" t="s">
        <v>55</v>
      </c>
    </row>
    <row r="870" spans="1:20" ht="16.5">
      <c r="A870" s="11" t="s">
        <v>2177</v>
      </c>
      <c r="B870" s="11" t="s">
        <v>60</v>
      </c>
      <c r="C870" s="11" t="s">
        <v>62</v>
      </c>
      <c r="D870" s="12" t="s">
        <v>3140</v>
      </c>
      <c r="E870" s="11" t="s">
        <v>203</v>
      </c>
      <c r="F870" s="11" t="s">
        <v>204</v>
      </c>
      <c r="G870" s="12" t="s">
        <v>3288</v>
      </c>
      <c r="H870" s="13" t="s">
        <v>3289</v>
      </c>
      <c r="I870" s="11" t="s">
        <v>65</v>
      </c>
      <c r="J870" s="14">
        <v>1</v>
      </c>
      <c r="K870" s="14" t="s">
        <v>3133</v>
      </c>
      <c r="L870" s="14" t="s">
        <v>3290</v>
      </c>
      <c r="M870" s="15" t="s">
        <v>3143</v>
      </c>
      <c r="N870" s="15" t="s">
        <v>208</v>
      </c>
      <c r="O870" s="15" t="s">
        <v>3291</v>
      </c>
      <c r="P870" s="15" t="s">
        <v>3292</v>
      </c>
      <c r="Q870" s="15" t="s">
        <v>211</v>
      </c>
      <c r="R870" s="16" t="s">
        <v>54</v>
      </c>
      <c r="S870" s="12" t="s">
        <v>3144</v>
      </c>
      <c r="T870" s="14" t="s">
        <v>55</v>
      </c>
    </row>
    <row r="871" spans="1:20" ht="16.5">
      <c r="A871" s="17" t="s">
        <v>2177</v>
      </c>
      <c r="B871" s="17" t="s">
        <v>60</v>
      </c>
      <c r="C871" s="17" t="s">
        <v>62</v>
      </c>
      <c r="D871" s="18" t="s">
        <v>3140</v>
      </c>
      <c r="E871" s="17" t="s">
        <v>203</v>
      </c>
      <c r="F871" s="17" t="s">
        <v>204</v>
      </c>
      <c r="G871" s="18" t="s">
        <v>3293</v>
      </c>
      <c r="H871" s="20" t="s">
        <v>3294</v>
      </c>
      <c r="I871" s="17" t="s">
        <v>65</v>
      </c>
      <c r="J871" s="21">
        <v>1</v>
      </c>
      <c r="K871" s="21" t="s">
        <v>3133</v>
      </c>
      <c r="L871" s="21" t="s">
        <v>3295</v>
      </c>
      <c r="M871" s="19" t="s">
        <v>3143</v>
      </c>
      <c r="N871" s="19" t="s">
        <v>208</v>
      </c>
      <c r="O871" s="19" t="s">
        <v>3296</v>
      </c>
      <c r="P871" s="19" t="s">
        <v>3297</v>
      </c>
      <c r="Q871" s="19" t="s">
        <v>211</v>
      </c>
      <c r="R871" s="16" t="s">
        <v>54</v>
      </c>
      <c r="S871" s="18" t="s">
        <v>3144</v>
      </c>
      <c r="T871" s="21" t="s">
        <v>55</v>
      </c>
    </row>
    <row r="872" spans="1:20" ht="16.5">
      <c r="A872" s="11" t="s">
        <v>2177</v>
      </c>
      <c r="B872" s="11" t="s">
        <v>60</v>
      </c>
      <c r="C872" s="11" t="s">
        <v>62</v>
      </c>
      <c r="D872" s="12" t="s">
        <v>3140</v>
      </c>
      <c r="E872" s="11" t="s">
        <v>203</v>
      </c>
      <c r="F872" s="11" t="s">
        <v>204</v>
      </c>
      <c r="G872" s="12" t="s">
        <v>3298</v>
      </c>
      <c r="H872" s="13" t="s">
        <v>3299</v>
      </c>
      <c r="I872" s="11" t="s">
        <v>65</v>
      </c>
      <c r="J872" s="14">
        <v>1</v>
      </c>
      <c r="K872" s="14" t="s">
        <v>3133</v>
      </c>
      <c r="L872" s="14" t="s">
        <v>3300</v>
      </c>
      <c r="M872" s="15" t="s">
        <v>3143</v>
      </c>
      <c r="N872" s="15" t="s">
        <v>208</v>
      </c>
      <c r="O872" s="15" t="s">
        <v>3301</v>
      </c>
      <c r="P872" s="15" t="s">
        <v>3302</v>
      </c>
      <c r="Q872" s="15" t="s">
        <v>211</v>
      </c>
      <c r="R872" s="16" t="s">
        <v>54</v>
      </c>
      <c r="S872" s="12" t="s">
        <v>3144</v>
      </c>
      <c r="T872" s="14" t="s">
        <v>55</v>
      </c>
    </row>
    <row r="873" spans="1:20" ht="16.5">
      <c r="A873" s="17" t="s">
        <v>2177</v>
      </c>
      <c r="B873" s="17" t="s">
        <v>60</v>
      </c>
      <c r="C873" s="17" t="s">
        <v>62</v>
      </c>
      <c r="D873" s="18" t="s">
        <v>3140</v>
      </c>
      <c r="E873" s="17" t="s">
        <v>203</v>
      </c>
      <c r="F873" s="17" t="s">
        <v>204</v>
      </c>
      <c r="G873" s="18" t="s">
        <v>3303</v>
      </c>
      <c r="H873" s="20" t="s">
        <v>3304</v>
      </c>
      <c r="I873" s="17" t="s">
        <v>65</v>
      </c>
      <c r="J873" s="21">
        <v>1</v>
      </c>
      <c r="K873" s="21" t="s">
        <v>3133</v>
      </c>
      <c r="L873" s="21" t="s">
        <v>3305</v>
      </c>
      <c r="M873" s="19" t="s">
        <v>3143</v>
      </c>
      <c r="N873" s="19" t="s">
        <v>208</v>
      </c>
      <c r="O873" s="19" t="s">
        <v>3306</v>
      </c>
      <c r="P873" s="19" t="s">
        <v>3307</v>
      </c>
      <c r="Q873" s="19" t="s">
        <v>211</v>
      </c>
      <c r="R873" s="16" t="s">
        <v>54</v>
      </c>
      <c r="S873" s="18" t="s">
        <v>3144</v>
      </c>
      <c r="T873" s="21" t="s">
        <v>55</v>
      </c>
    </row>
    <row r="874" spans="1:20" ht="16.5">
      <c r="A874" s="11" t="s">
        <v>2177</v>
      </c>
      <c r="B874" s="11" t="s">
        <v>60</v>
      </c>
      <c r="C874" s="11" t="s">
        <v>62</v>
      </c>
      <c r="D874" s="12" t="s">
        <v>3174</v>
      </c>
      <c r="E874" s="11" t="s">
        <v>203</v>
      </c>
      <c r="F874" s="11" t="s">
        <v>204</v>
      </c>
      <c r="G874" s="12" t="s">
        <v>3308</v>
      </c>
      <c r="H874" s="13" t="s">
        <v>3309</v>
      </c>
      <c r="I874" s="11" t="s">
        <v>65</v>
      </c>
      <c r="J874" s="14">
        <v>1</v>
      </c>
      <c r="K874" s="14" t="s">
        <v>3133</v>
      </c>
      <c r="L874" s="14" t="s">
        <v>3310</v>
      </c>
      <c r="M874" s="15" t="s">
        <v>3177</v>
      </c>
      <c r="N874" s="15" t="s">
        <v>208</v>
      </c>
      <c r="O874" s="15" t="s">
        <v>3311</v>
      </c>
      <c r="P874" s="15" t="s">
        <v>3312</v>
      </c>
      <c r="Q874" s="15" t="s">
        <v>211</v>
      </c>
      <c r="R874" s="16" t="s">
        <v>54</v>
      </c>
      <c r="S874" s="12" t="s">
        <v>3144</v>
      </c>
      <c r="T874" s="14" t="s">
        <v>55</v>
      </c>
    </row>
    <row r="875" spans="1:20" ht="16.5">
      <c r="A875" s="17" t="s">
        <v>2177</v>
      </c>
      <c r="B875" s="17" t="s">
        <v>60</v>
      </c>
      <c r="C875" s="17" t="s">
        <v>62</v>
      </c>
      <c r="D875" s="18" t="s">
        <v>3195</v>
      </c>
      <c r="E875" s="17" t="s">
        <v>203</v>
      </c>
      <c r="F875" s="17" t="s">
        <v>204</v>
      </c>
      <c r="G875" s="18" t="s">
        <v>3313</v>
      </c>
      <c r="H875" s="20" t="s">
        <v>3314</v>
      </c>
      <c r="I875" s="17" t="s">
        <v>65</v>
      </c>
      <c r="J875" s="21">
        <v>1</v>
      </c>
      <c r="K875" s="21" t="s">
        <v>3133</v>
      </c>
      <c r="L875" s="21" t="s">
        <v>3315</v>
      </c>
      <c r="M875" s="19" t="s">
        <v>3198</v>
      </c>
      <c r="N875" s="19" t="s">
        <v>208</v>
      </c>
      <c r="O875" s="19" t="s">
        <v>3316</v>
      </c>
      <c r="P875" s="19" t="s">
        <v>3317</v>
      </c>
      <c r="Q875" s="19" t="s">
        <v>211</v>
      </c>
      <c r="R875" s="16" t="s">
        <v>54</v>
      </c>
      <c r="S875" s="18" t="s">
        <v>3144</v>
      </c>
      <c r="T875" s="21" t="s">
        <v>55</v>
      </c>
    </row>
    <row r="876" spans="1:20" ht="16.5">
      <c r="A876" s="11" t="s">
        <v>2177</v>
      </c>
      <c r="B876" s="11" t="s">
        <v>60</v>
      </c>
      <c r="C876" s="11" t="s">
        <v>62</v>
      </c>
      <c r="D876" s="12" t="s">
        <v>3216</v>
      </c>
      <c r="E876" s="11" t="s">
        <v>203</v>
      </c>
      <c r="F876" s="11" t="s">
        <v>204</v>
      </c>
      <c r="G876" s="12" t="s">
        <v>3318</v>
      </c>
      <c r="H876" s="13" t="s">
        <v>3319</v>
      </c>
      <c r="I876" s="11" t="s">
        <v>65</v>
      </c>
      <c r="J876" s="14">
        <v>1</v>
      </c>
      <c r="K876" s="14" t="s">
        <v>3133</v>
      </c>
      <c r="L876" s="14" t="s">
        <v>3320</v>
      </c>
      <c r="M876" s="15" t="s">
        <v>3219</v>
      </c>
      <c r="N876" s="15" t="s">
        <v>208</v>
      </c>
      <c r="O876" s="15" t="s">
        <v>3321</v>
      </c>
      <c r="P876" s="15" t="s">
        <v>3322</v>
      </c>
      <c r="Q876" s="15" t="s">
        <v>211</v>
      </c>
      <c r="R876" s="16" t="s">
        <v>54</v>
      </c>
      <c r="S876" s="12" t="s">
        <v>3144</v>
      </c>
      <c r="T876" s="14" t="s">
        <v>55</v>
      </c>
    </row>
    <row r="877" spans="1:20" ht="16.5">
      <c r="A877" s="17" t="s">
        <v>2177</v>
      </c>
      <c r="B877" s="17" t="s">
        <v>60</v>
      </c>
      <c r="C877" s="17" t="s">
        <v>62</v>
      </c>
      <c r="D877" s="18" t="s">
        <v>3237</v>
      </c>
      <c r="E877" s="17" t="s">
        <v>203</v>
      </c>
      <c r="F877" s="17" t="s">
        <v>204</v>
      </c>
      <c r="G877" s="18" t="s">
        <v>3323</v>
      </c>
      <c r="H877" s="20" t="s">
        <v>3324</v>
      </c>
      <c r="I877" s="17" t="s">
        <v>65</v>
      </c>
      <c r="J877" s="21">
        <v>1</v>
      </c>
      <c r="K877" s="21" t="s">
        <v>3133</v>
      </c>
      <c r="L877" s="21" t="s">
        <v>3325</v>
      </c>
      <c r="M877" s="19" t="s">
        <v>3240</v>
      </c>
      <c r="N877" s="19" t="s">
        <v>208</v>
      </c>
      <c r="O877" s="19" t="s">
        <v>3326</v>
      </c>
      <c r="P877" s="19" t="s">
        <v>3327</v>
      </c>
      <c r="Q877" s="19" t="s">
        <v>211</v>
      </c>
      <c r="R877" s="16" t="s">
        <v>54</v>
      </c>
      <c r="S877" s="18" t="s">
        <v>3144</v>
      </c>
      <c r="T877" s="21" t="s">
        <v>55</v>
      </c>
    </row>
    <row r="878" spans="1:20" ht="16.5">
      <c r="A878" s="11" t="s">
        <v>2177</v>
      </c>
      <c r="B878" s="11" t="s">
        <v>60</v>
      </c>
      <c r="C878" s="11" t="s">
        <v>62</v>
      </c>
      <c r="D878" s="15" t="s">
        <v>3245</v>
      </c>
      <c r="E878" s="11" t="s">
        <v>203</v>
      </c>
      <c r="F878" s="11" t="s">
        <v>204</v>
      </c>
      <c r="G878" s="15" t="s">
        <v>3328</v>
      </c>
      <c r="H878" s="23" t="s">
        <v>3329</v>
      </c>
      <c r="I878" s="11" t="s">
        <v>65</v>
      </c>
      <c r="J878" s="14">
        <v>1</v>
      </c>
      <c r="K878" s="14" t="s">
        <v>3133</v>
      </c>
      <c r="L878" s="14" t="s">
        <v>3330</v>
      </c>
      <c r="M878" s="15" t="s">
        <v>3248</v>
      </c>
      <c r="N878" s="15" t="s">
        <v>208</v>
      </c>
      <c r="O878" s="15" t="s">
        <v>3331</v>
      </c>
      <c r="P878" s="15" t="s">
        <v>3332</v>
      </c>
      <c r="Q878" s="15" t="s">
        <v>211</v>
      </c>
      <c r="R878" s="16" t="s">
        <v>54</v>
      </c>
      <c r="S878" s="12" t="s">
        <v>3144</v>
      </c>
      <c r="T878" s="14" t="s">
        <v>55</v>
      </c>
    </row>
    <row r="879" spans="1:20" ht="16.5">
      <c r="A879" s="17" t="s">
        <v>2177</v>
      </c>
      <c r="B879" s="17" t="s">
        <v>60</v>
      </c>
      <c r="C879" s="17" t="s">
        <v>62</v>
      </c>
      <c r="D879" s="19" t="s">
        <v>3245</v>
      </c>
      <c r="E879" s="17" t="s">
        <v>203</v>
      </c>
      <c r="F879" s="17" t="s">
        <v>204</v>
      </c>
      <c r="G879" s="19" t="s">
        <v>3333</v>
      </c>
      <c r="H879" s="24" t="s">
        <v>3334</v>
      </c>
      <c r="I879" s="17" t="s">
        <v>65</v>
      </c>
      <c r="J879" s="21">
        <v>1</v>
      </c>
      <c r="K879" s="21" t="s">
        <v>3133</v>
      </c>
      <c r="L879" s="21" t="s">
        <v>3335</v>
      </c>
      <c r="M879" s="19" t="s">
        <v>3248</v>
      </c>
      <c r="N879" s="19" t="s">
        <v>208</v>
      </c>
      <c r="O879" s="19" t="s">
        <v>3336</v>
      </c>
      <c r="P879" s="19" t="s">
        <v>3337</v>
      </c>
      <c r="Q879" s="19" t="s">
        <v>211</v>
      </c>
      <c r="R879" s="16" t="s">
        <v>54</v>
      </c>
      <c r="S879" s="18" t="s">
        <v>3144</v>
      </c>
      <c r="T879" s="21" t="s">
        <v>55</v>
      </c>
    </row>
    <row r="880" spans="1:20" ht="16.5">
      <c r="A880" s="11" t="s">
        <v>2177</v>
      </c>
      <c r="B880" s="11" t="s">
        <v>60</v>
      </c>
      <c r="C880" s="11" t="s">
        <v>62</v>
      </c>
      <c r="D880" s="15" t="s">
        <v>3245</v>
      </c>
      <c r="E880" s="11" t="s">
        <v>203</v>
      </c>
      <c r="F880" s="11" t="s">
        <v>204</v>
      </c>
      <c r="G880" s="15" t="s">
        <v>3338</v>
      </c>
      <c r="H880" s="13" t="s">
        <v>3339</v>
      </c>
      <c r="I880" s="11" t="s">
        <v>65</v>
      </c>
      <c r="J880" s="14">
        <v>1</v>
      </c>
      <c r="K880" s="14" t="s">
        <v>3133</v>
      </c>
      <c r="L880" s="14" t="s">
        <v>3340</v>
      </c>
      <c r="M880" s="15" t="s">
        <v>3248</v>
      </c>
      <c r="N880" s="15" t="s">
        <v>208</v>
      </c>
      <c r="O880" s="15" t="s">
        <v>3341</v>
      </c>
      <c r="P880" s="15" t="s">
        <v>3342</v>
      </c>
      <c r="Q880" s="15" t="s">
        <v>211</v>
      </c>
      <c r="R880" s="16" t="s">
        <v>54</v>
      </c>
      <c r="S880" s="12" t="s">
        <v>3144</v>
      </c>
      <c r="T880" s="14" t="s">
        <v>55</v>
      </c>
    </row>
    <row r="881" spans="1:20" ht="16.5">
      <c r="A881" s="17" t="s">
        <v>2177</v>
      </c>
      <c r="B881" s="17" t="s">
        <v>60</v>
      </c>
      <c r="C881" s="17" t="s">
        <v>62</v>
      </c>
      <c r="D881" s="19" t="s">
        <v>3245</v>
      </c>
      <c r="E881" s="17" t="s">
        <v>203</v>
      </c>
      <c r="F881" s="17" t="s">
        <v>204</v>
      </c>
      <c r="G881" s="19" t="s">
        <v>3343</v>
      </c>
      <c r="H881" s="20" t="s">
        <v>3344</v>
      </c>
      <c r="I881" s="17" t="s">
        <v>65</v>
      </c>
      <c r="J881" s="21">
        <v>1</v>
      </c>
      <c r="K881" s="21" t="s">
        <v>3133</v>
      </c>
      <c r="L881" s="21" t="s">
        <v>3345</v>
      </c>
      <c r="M881" s="19" t="s">
        <v>3248</v>
      </c>
      <c r="N881" s="19" t="s">
        <v>208</v>
      </c>
      <c r="O881" s="19" t="s">
        <v>3346</v>
      </c>
      <c r="P881" s="19" t="s">
        <v>3347</v>
      </c>
      <c r="Q881" s="19" t="s">
        <v>211</v>
      </c>
      <c r="R881" s="16" t="s">
        <v>54</v>
      </c>
      <c r="S881" s="18" t="s">
        <v>3144</v>
      </c>
      <c r="T881" s="21" t="s">
        <v>55</v>
      </c>
    </row>
    <row r="882" spans="1:20" ht="16.5">
      <c r="A882" s="11" t="s">
        <v>2177</v>
      </c>
      <c r="B882" s="11" t="s">
        <v>60</v>
      </c>
      <c r="C882" s="11" t="s">
        <v>62</v>
      </c>
      <c r="D882" s="15" t="s">
        <v>3245</v>
      </c>
      <c r="E882" s="11" t="s">
        <v>203</v>
      </c>
      <c r="F882" s="11" t="s">
        <v>204</v>
      </c>
      <c r="G882" s="12" t="s">
        <v>3348</v>
      </c>
      <c r="H882" s="23" t="s">
        <v>3349</v>
      </c>
      <c r="I882" s="11" t="s">
        <v>65</v>
      </c>
      <c r="J882" s="14">
        <v>1</v>
      </c>
      <c r="K882" s="14" t="s">
        <v>3133</v>
      </c>
      <c r="L882" s="14" t="s">
        <v>3350</v>
      </c>
      <c r="M882" s="15" t="s">
        <v>3248</v>
      </c>
      <c r="N882" s="15" t="s">
        <v>208</v>
      </c>
      <c r="O882" s="15" t="s">
        <v>3351</v>
      </c>
      <c r="P882" s="15" t="s">
        <v>3352</v>
      </c>
      <c r="Q882" s="15" t="s">
        <v>211</v>
      </c>
      <c r="R882" s="16" t="s">
        <v>54</v>
      </c>
      <c r="S882" s="12" t="s">
        <v>3144</v>
      </c>
      <c r="T882" s="14" t="s">
        <v>55</v>
      </c>
    </row>
    <row r="883" spans="1:20" ht="16.5">
      <c r="A883" s="17" t="s">
        <v>2177</v>
      </c>
      <c r="B883" s="17" t="s">
        <v>60</v>
      </c>
      <c r="C883" s="17" t="s">
        <v>62</v>
      </c>
      <c r="D883" s="18" t="s">
        <v>3264</v>
      </c>
      <c r="E883" s="17" t="s">
        <v>203</v>
      </c>
      <c r="F883" s="17" t="s">
        <v>204</v>
      </c>
      <c r="G883" s="18" t="s">
        <v>3353</v>
      </c>
      <c r="H883" s="20" t="s">
        <v>3354</v>
      </c>
      <c r="I883" s="17" t="s">
        <v>65</v>
      </c>
      <c r="J883" s="21">
        <v>1</v>
      </c>
      <c r="K883" s="21" t="s">
        <v>3133</v>
      </c>
      <c r="L883" s="21" t="s">
        <v>3355</v>
      </c>
      <c r="M883" s="19" t="s">
        <v>3267</v>
      </c>
      <c r="N883" s="19" t="s">
        <v>208</v>
      </c>
      <c r="O883" s="19" t="s">
        <v>3356</v>
      </c>
      <c r="P883" s="19" t="s">
        <v>3357</v>
      </c>
      <c r="Q883" s="19" t="s">
        <v>211</v>
      </c>
      <c r="R883" s="16" t="s">
        <v>54</v>
      </c>
      <c r="S883" s="18" t="s">
        <v>3144</v>
      </c>
      <c r="T883" s="21" t="s">
        <v>55</v>
      </c>
    </row>
    <row r="884" spans="1:20" ht="16.5">
      <c r="A884" s="11" t="s">
        <v>2177</v>
      </c>
      <c r="B884" s="11" t="s">
        <v>60</v>
      </c>
      <c r="C884" s="11" t="s">
        <v>62</v>
      </c>
      <c r="D884" s="12" t="s">
        <v>3264</v>
      </c>
      <c r="E884" s="11" t="s">
        <v>203</v>
      </c>
      <c r="F884" s="11" t="s">
        <v>204</v>
      </c>
      <c r="G884" s="12" t="s">
        <v>3358</v>
      </c>
      <c r="H884" s="13" t="s">
        <v>3359</v>
      </c>
      <c r="I884" s="11" t="s">
        <v>65</v>
      </c>
      <c r="J884" s="14">
        <v>1</v>
      </c>
      <c r="K884" s="14" t="s">
        <v>3133</v>
      </c>
      <c r="L884" s="14" t="s">
        <v>3360</v>
      </c>
      <c r="M884" s="15" t="s">
        <v>3267</v>
      </c>
      <c r="N884" s="15" t="s">
        <v>208</v>
      </c>
      <c r="O884" s="15" t="s">
        <v>3361</v>
      </c>
      <c r="P884" s="15" t="s">
        <v>3362</v>
      </c>
      <c r="Q884" s="15" t="s">
        <v>211</v>
      </c>
      <c r="R884" s="16" t="s">
        <v>54</v>
      </c>
      <c r="S884" s="12" t="s">
        <v>3144</v>
      </c>
      <c r="T884" s="14" t="s">
        <v>55</v>
      </c>
    </row>
    <row r="885" spans="1:20" ht="16.5">
      <c r="A885" s="17" t="s">
        <v>2177</v>
      </c>
      <c r="B885" s="17" t="s">
        <v>60</v>
      </c>
      <c r="C885" s="17" t="s">
        <v>62</v>
      </c>
      <c r="D885" s="18" t="s">
        <v>3140</v>
      </c>
      <c r="E885" s="17" t="s">
        <v>203</v>
      </c>
      <c r="F885" s="17" t="s">
        <v>204</v>
      </c>
      <c r="G885" s="18" t="s">
        <v>3363</v>
      </c>
      <c r="H885" s="20" t="s">
        <v>3364</v>
      </c>
      <c r="I885" s="17" t="s">
        <v>65</v>
      </c>
      <c r="J885" s="21">
        <v>1</v>
      </c>
      <c r="K885" s="21" t="s">
        <v>3133</v>
      </c>
      <c r="L885" s="21" t="s">
        <v>3365</v>
      </c>
      <c r="M885" s="19" t="s">
        <v>3143</v>
      </c>
      <c r="N885" s="19" t="s">
        <v>208</v>
      </c>
      <c r="O885" s="19" t="s">
        <v>3366</v>
      </c>
      <c r="P885" s="19" t="s">
        <v>3367</v>
      </c>
      <c r="Q885" s="19" t="s">
        <v>211</v>
      </c>
      <c r="R885" s="16" t="s">
        <v>54</v>
      </c>
      <c r="S885" s="18" t="s">
        <v>3144</v>
      </c>
      <c r="T885" s="21" t="s">
        <v>55</v>
      </c>
    </row>
    <row r="886" spans="1:20" ht="16.5">
      <c r="A886" s="11" t="s">
        <v>2177</v>
      </c>
      <c r="B886" s="11" t="s">
        <v>60</v>
      </c>
      <c r="C886" s="11" t="s">
        <v>62</v>
      </c>
      <c r="D886" s="15" t="s">
        <v>3245</v>
      </c>
      <c r="E886" s="11" t="s">
        <v>203</v>
      </c>
      <c r="F886" s="11" t="s">
        <v>295</v>
      </c>
      <c r="G886" s="15" t="s">
        <v>3368</v>
      </c>
      <c r="H886" s="13" t="s">
        <v>3369</v>
      </c>
      <c r="I886" s="11" t="s">
        <v>65</v>
      </c>
      <c r="J886" s="14">
        <v>1</v>
      </c>
      <c r="K886" s="14" t="s">
        <v>3133</v>
      </c>
      <c r="L886" s="14" t="s">
        <v>3370</v>
      </c>
      <c r="M886" s="15" t="s">
        <v>3248</v>
      </c>
      <c r="N886" s="15" t="s">
        <v>208</v>
      </c>
      <c r="O886" s="15" t="s">
        <v>3371</v>
      </c>
      <c r="P886" s="15"/>
      <c r="Q886" s="12" t="s">
        <v>286</v>
      </c>
      <c r="R886" s="22" t="s">
        <v>88</v>
      </c>
      <c r="S886" s="12" t="s">
        <v>3144</v>
      </c>
      <c r="T886" s="14" t="s">
        <v>55</v>
      </c>
    </row>
    <row r="887" spans="1:20" ht="16.5">
      <c r="A887" s="17" t="s">
        <v>2177</v>
      </c>
      <c r="B887" s="17" t="s">
        <v>60</v>
      </c>
      <c r="C887" s="17" t="s">
        <v>62</v>
      </c>
      <c r="D887" s="18" t="s">
        <v>3140</v>
      </c>
      <c r="E887" s="17" t="s">
        <v>203</v>
      </c>
      <c r="F887" s="17" t="s">
        <v>295</v>
      </c>
      <c r="G887" s="19" t="s">
        <v>2801</v>
      </c>
      <c r="H887" s="20" t="s">
        <v>3372</v>
      </c>
      <c r="I887" s="17" t="s">
        <v>65</v>
      </c>
      <c r="J887" s="21">
        <v>1</v>
      </c>
      <c r="K887" s="21" t="s">
        <v>3133</v>
      </c>
      <c r="L887" s="21" t="s">
        <v>3373</v>
      </c>
      <c r="M887" s="19" t="s">
        <v>3143</v>
      </c>
      <c r="N887" s="19" t="s">
        <v>208</v>
      </c>
      <c r="O887" s="19" t="s">
        <v>2804</v>
      </c>
      <c r="P887" s="19"/>
      <c r="Q887" s="18" t="s">
        <v>286</v>
      </c>
      <c r="R887" s="22" t="s">
        <v>88</v>
      </c>
      <c r="S887" s="18" t="s">
        <v>3144</v>
      </c>
      <c r="T887" s="21" t="s">
        <v>55</v>
      </c>
    </row>
    <row r="888" spans="1:20" ht="16.5">
      <c r="A888" s="11" t="s">
        <v>2177</v>
      </c>
      <c r="B888" s="11" t="s">
        <v>60</v>
      </c>
      <c r="C888" s="11" t="s">
        <v>62</v>
      </c>
      <c r="D888" s="12" t="s">
        <v>3140</v>
      </c>
      <c r="E888" s="11" t="s">
        <v>203</v>
      </c>
      <c r="F888" s="11" t="s">
        <v>204</v>
      </c>
      <c r="G888" s="12" t="s">
        <v>3374</v>
      </c>
      <c r="H888" s="13" t="s">
        <v>3375</v>
      </c>
      <c r="I888" s="11" t="s">
        <v>65</v>
      </c>
      <c r="J888" s="14">
        <v>1</v>
      </c>
      <c r="K888" s="14" t="s">
        <v>3133</v>
      </c>
      <c r="L888" s="14" t="s">
        <v>3376</v>
      </c>
      <c r="M888" s="15" t="s">
        <v>3143</v>
      </c>
      <c r="N888" s="15" t="s">
        <v>208</v>
      </c>
      <c r="O888" s="15" t="s">
        <v>3377</v>
      </c>
      <c r="P888" s="15"/>
      <c r="Q888" s="12" t="s">
        <v>286</v>
      </c>
      <c r="R888" s="22" t="s">
        <v>88</v>
      </c>
      <c r="S888" s="12" t="s">
        <v>3144</v>
      </c>
      <c r="T888" s="14" t="s">
        <v>55</v>
      </c>
    </row>
    <row r="889" spans="1:20" ht="16.5">
      <c r="A889" s="17" t="s">
        <v>2177</v>
      </c>
      <c r="B889" s="17" t="s">
        <v>60</v>
      </c>
      <c r="C889" s="17" t="s">
        <v>300</v>
      </c>
      <c r="D889" s="18" t="s">
        <v>3378</v>
      </c>
      <c r="E889" s="17" t="s">
        <v>203</v>
      </c>
      <c r="F889" s="17" t="s">
        <v>204</v>
      </c>
      <c r="G889" s="19" t="s">
        <v>3379</v>
      </c>
      <c r="H889" s="20" t="s">
        <v>3380</v>
      </c>
      <c r="I889" s="17" t="s">
        <v>65</v>
      </c>
      <c r="J889" s="21">
        <v>1</v>
      </c>
      <c r="K889" s="21" t="s">
        <v>3133</v>
      </c>
      <c r="L889" s="21" t="s">
        <v>3381</v>
      </c>
      <c r="M889" s="19" t="s">
        <v>3382</v>
      </c>
      <c r="N889" s="19" t="s">
        <v>208</v>
      </c>
      <c r="O889" s="19" t="s">
        <v>3383</v>
      </c>
      <c r="P889" s="19" t="s">
        <v>3384</v>
      </c>
      <c r="Q889" s="19" t="s">
        <v>211</v>
      </c>
      <c r="R889" s="16" t="s">
        <v>54</v>
      </c>
      <c r="S889" s="18" t="s">
        <v>3144</v>
      </c>
      <c r="T889" s="26" t="s">
        <v>673</v>
      </c>
    </row>
    <row r="890" spans="1:20" ht="16.5">
      <c r="A890" s="11" t="s">
        <v>2177</v>
      </c>
      <c r="B890" s="11" t="s">
        <v>60</v>
      </c>
      <c r="C890" s="11" t="s">
        <v>300</v>
      </c>
      <c r="D890" s="12" t="s">
        <v>3378</v>
      </c>
      <c r="E890" s="11" t="s">
        <v>203</v>
      </c>
      <c r="F890" s="11" t="s">
        <v>204</v>
      </c>
      <c r="G890" s="15" t="s">
        <v>3385</v>
      </c>
      <c r="H890" s="13" t="s">
        <v>3386</v>
      </c>
      <c r="I890" s="11" t="s">
        <v>65</v>
      </c>
      <c r="J890" s="14">
        <v>1</v>
      </c>
      <c r="K890" s="14" t="s">
        <v>3133</v>
      </c>
      <c r="L890" s="14" t="s">
        <v>3387</v>
      </c>
      <c r="M890" s="15" t="s">
        <v>3382</v>
      </c>
      <c r="N890" s="15" t="s">
        <v>208</v>
      </c>
      <c r="O890" s="15" t="s">
        <v>3388</v>
      </c>
      <c r="P890" s="15" t="s">
        <v>3389</v>
      </c>
      <c r="Q890" s="15" t="s">
        <v>211</v>
      </c>
      <c r="R890" s="16" t="s">
        <v>54</v>
      </c>
      <c r="S890" s="12" t="s">
        <v>3144</v>
      </c>
      <c r="T890" s="26" t="s">
        <v>673</v>
      </c>
    </row>
    <row r="891" spans="1:20" ht="16.5">
      <c r="A891" s="17" t="s">
        <v>2177</v>
      </c>
      <c r="B891" s="17" t="s">
        <v>60</v>
      </c>
      <c r="C891" s="17" t="s">
        <v>300</v>
      </c>
      <c r="D891" s="18" t="s">
        <v>3378</v>
      </c>
      <c r="E891" s="17" t="s">
        <v>203</v>
      </c>
      <c r="F891" s="17" t="s">
        <v>204</v>
      </c>
      <c r="G891" s="19" t="s">
        <v>3338</v>
      </c>
      <c r="H891" s="20" t="s">
        <v>3390</v>
      </c>
      <c r="I891" s="17" t="s">
        <v>65</v>
      </c>
      <c r="J891" s="21">
        <v>1</v>
      </c>
      <c r="K891" s="21" t="s">
        <v>3133</v>
      </c>
      <c r="L891" s="21" t="s">
        <v>3391</v>
      </c>
      <c r="M891" s="19" t="s">
        <v>3382</v>
      </c>
      <c r="N891" s="19" t="s">
        <v>208</v>
      </c>
      <c r="O891" s="19" t="s">
        <v>3341</v>
      </c>
      <c r="P891" s="19" t="s">
        <v>3342</v>
      </c>
      <c r="Q891" s="19" t="s">
        <v>211</v>
      </c>
      <c r="R891" s="16" t="s">
        <v>54</v>
      </c>
      <c r="S891" s="18" t="s">
        <v>3144</v>
      </c>
      <c r="T891" s="21" t="s">
        <v>55</v>
      </c>
    </row>
    <row r="892" spans="1:20" ht="16.5">
      <c r="A892" s="11" t="s">
        <v>2177</v>
      </c>
      <c r="B892" s="11" t="s">
        <v>60</v>
      </c>
      <c r="C892" s="11" t="s">
        <v>300</v>
      </c>
      <c r="D892" s="12" t="s">
        <v>3378</v>
      </c>
      <c r="E892" s="11" t="s">
        <v>203</v>
      </c>
      <c r="F892" s="11" t="s">
        <v>204</v>
      </c>
      <c r="G892" s="15" t="s">
        <v>3343</v>
      </c>
      <c r="H892" s="13" t="s">
        <v>3392</v>
      </c>
      <c r="I892" s="11" t="s">
        <v>65</v>
      </c>
      <c r="J892" s="14">
        <v>1</v>
      </c>
      <c r="K892" s="14" t="s">
        <v>3133</v>
      </c>
      <c r="L892" s="14" t="s">
        <v>3393</v>
      </c>
      <c r="M892" s="15" t="s">
        <v>3382</v>
      </c>
      <c r="N892" s="15" t="s">
        <v>208</v>
      </c>
      <c r="O892" s="15" t="s">
        <v>3346</v>
      </c>
      <c r="P892" s="15" t="s">
        <v>3347</v>
      </c>
      <c r="Q892" s="15" t="s">
        <v>211</v>
      </c>
      <c r="R892" s="16" t="s">
        <v>54</v>
      </c>
      <c r="S892" s="12" t="s">
        <v>3144</v>
      </c>
      <c r="T892" s="14" t="s">
        <v>55</v>
      </c>
    </row>
    <row r="893" spans="1:20" ht="16.5">
      <c r="A893" s="17" t="s">
        <v>2177</v>
      </c>
      <c r="B893" s="17" t="s">
        <v>60</v>
      </c>
      <c r="C893" s="17" t="s">
        <v>300</v>
      </c>
      <c r="D893" s="18" t="s">
        <v>3378</v>
      </c>
      <c r="E893" s="17" t="s">
        <v>203</v>
      </c>
      <c r="F893" s="17" t="s">
        <v>295</v>
      </c>
      <c r="G893" s="19" t="s">
        <v>3368</v>
      </c>
      <c r="H893" s="20" t="s">
        <v>3394</v>
      </c>
      <c r="I893" s="17" t="s">
        <v>65</v>
      </c>
      <c r="J893" s="21">
        <v>1</v>
      </c>
      <c r="K893" s="21" t="s">
        <v>3133</v>
      </c>
      <c r="L893" s="21" t="s">
        <v>3395</v>
      </c>
      <c r="M893" s="19" t="s">
        <v>3382</v>
      </c>
      <c r="N893" s="19" t="s">
        <v>208</v>
      </c>
      <c r="O893" s="19" t="s">
        <v>3371</v>
      </c>
      <c r="P893" s="19"/>
      <c r="Q893" s="18" t="s">
        <v>286</v>
      </c>
      <c r="R893" s="22" t="s">
        <v>88</v>
      </c>
      <c r="S893" s="18" t="s">
        <v>3144</v>
      </c>
      <c r="T893" s="21" t="s">
        <v>55</v>
      </c>
    </row>
    <row r="894" spans="1:20" ht="16.5">
      <c r="A894" s="11" t="s">
        <v>2177</v>
      </c>
      <c r="B894" s="11" t="s">
        <v>311</v>
      </c>
      <c r="C894" s="11" t="s">
        <v>204</v>
      </c>
      <c r="D894" s="12" t="s">
        <v>3288</v>
      </c>
      <c r="E894" s="11" t="s">
        <v>312</v>
      </c>
      <c r="F894" s="14" t="s">
        <v>313</v>
      </c>
      <c r="G894" s="15" t="s">
        <v>3396</v>
      </c>
      <c r="H894" s="23" t="s">
        <v>3397</v>
      </c>
      <c r="I894" s="11" t="s">
        <v>65</v>
      </c>
      <c r="J894" s="14">
        <v>1</v>
      </c>
      <c r="K894" s="14" t="s">
        <v>3133</v>
      </c>
      <c r="L894" s="14" t="s">
        <v>3398</v>
      </c>
      <c r="M894" s="15" t="s">
        <v>3291</v>
      </c>
      <c r="N894" s="15" t="s">
        <v>316</v>
      </c>
      <c r="O894" s="15" t="s">
        <v>3399</v>
      </c>
      <c r="P894" s="15" t="s">
        <v>3396</v>
      </c>
      <c r="Q894" s="15" t="s">
        <v>211</v>
      </c>
      <c r="R894" s="16" t="s">
        <v>54</v>
      </c>
      <c r="S894" s="12" t="s">
        <v>3144</v>
      </c>
      <c r="T894" s="14" t="s">
        <v>55</v>
      </c>
    </row>
    <row r="895" spans="1:20" ht="16.5">
      <c r="A895" s="17" t="s">
        <v>2177</v>
      </c>
      <c r="B895" s="17" t="s">
        <v>311</v>
      </c>
      <c r="C895" s="17" t="s">
        <v>204</v>
      </c>
      <c r="D895" s="18" t="s">
        <v>3288</v>
      </c>
      <c r="E895" s="17" t="s">
        <v>312</v>
      </c>
      <c r="F895" s="21" t="s">
        <v>313</v>
      </c>
      <c r="G895" s="19" t="s">
        <v>3400</v>
      </c>
      <c r="H895" s="24" t="s">
        <v>3401</v>
      </c>
      <c r="I895" s="17" t="s">
        <v>65</v>
      </c>
      <c r="J895" s="21">
        <v>1</v>
      </c>
      <c r="K895" s="21" t="s">
        <v>3133</v>
      </c>
      <c r="L895" s="21" t="s">
        <v>3402</v>
      </c>
      <c r="M895" s="19" t="s">
        <v>3291</v>
      </c>
      <c r="N895" s="19" t="s">
        <v>316</v>
      </c>
      <c r="O895" s="19" t="s">
        <v>3403</v>
      </c>
      <c r="P895" s="19" t="s">
        <v>3400</v>
      </c>
      <c r="Q895" s="19" t="s">
        <v>211</v>
      </c>
      <c r="R895" s="16" t="s">
        <v>54</v>
      </c>
      <c r="S895" s="18" t="s">
        <v>3144</v>
      </c>
      <c r="T895" s="21" t="s">
        <v>55</v>
      </c>
    </row>
    <row r="896" spans="1:20" ht="16.5">
      <c r="A896" s="11" t="s">
        <v>2177</v>
      </c>
      <c r="B896" s="11" t="s">
        <v>311</v>
      </c>
      <c r="C896" s="11" t="s">
        <v>204</v>
      </c>
      <c r="D896" s="12" t="s">
        <v>3288</v>
      </c>
      <c r="E896" s="11" t="s">
        <v>312</v>
      </c>
      <c r="F896" s="14" t="s">
        <v>313</v>
      </c>
      <c r="G896" s="15" t="s">
        <v>3404</v>
      </c>
      <c r="H896" s="23" t="s">
        <v>3405</v>
      </c>
      <c r="I896" s="11" t="s">
        <v>65</v>
      </c>
      <c r="J896" s="14">
        <v>1</v>
      </c>
      <c r="K896" s="14" t="s">
        <v>3133</v>
      </c>
      <c r="L896" s="14" t="s">
        <v>3406</v>
      </c>
      <c r="M896" s="15" t="s">
        <v>3291</v>
      </c>
      <c r="N896" s="15" t="s">
        <v>316</v>
      </c>
      <c r="O896" s="15" t="s">
        <v>3407</v>
      </c>
      <c r="P896" s="15" t="s">
        <v>3404</v>
      </c>
      <c r="Q896" s="15" t="s">
        <v>211</v>
      </c>
      <c r="R896" s="16" t="s">
        <v>54</v>
      </c>
      <c r="S896" s="12" t="s">
        <v>3144</v>
      </c>
      <c r="T896" s="14" t="s">
        <v>55</v>
      </c>
    </row>
    <row r="897" spans="1:20" ht="16.5">
      <c r="A897" s="17" t="s">
        <v>2177</v>
      </c>
      <c r="B897" s="17" t="s">
        <v>311</v>
      </c>
      <c r="C897" s="17" t="s">
        <v>204</v>
      </c>
      <c r="D897" s="18" t="s">
        <v>3288</v>
      </c>
      <c r="E897" s="17" t="s">
        <v>312</v>
      </c>
      <c r="F897" s="21" t="s">
        <v>313</v>
      </c>
      <c r="G897" s="19" t="s">
        <v>3408</v>
      </c>
      <c r="H897" s="24" t="s">
        <v>3409</v>
      </c>
      <c r="I897" s="17" t="s">
        <v>65</v>
      </c>
      <c r="J897" s="21">
        <v>1</v>
      </c>
      <c r="K897" s="21" t="s">
        <v>3133</v>
      </c>
      <c r="L897" s="21" t="s">
        <v>3410</v>
      </c>
      <c r="M897" s="19" t="s">
        <v>3291</v>
      </c>
      <c r="N897" s="19" t="s">
        <v>316</v>
      </c>
      <c r="O897" s="19" t="s">
        <v>3411</v>
      </c>
      <c r="P897" s="19" t="s">
        <v>3408</v>
      </c>
      <c r="Q897" s="19" t="s">
        <v>211</v>
      </c>
      <c r="R897" s="16" t="s">
        <v>54</v>
      </c>
      <c r="S897" s="18" t="s">
        <v>3144</v>
      </c>
      <c r="T897" s="21" t="s">
        <v>55</v>
      </c>
    </row>
    <row r="898" spans="1:20" ht="16.5">
      <c r="A898" s="11" t="s">
        <v>2177</v>
      </c>
      <c r="B898" s="11" t="s">
        <v>311</v>
      </c>
      <c r="C898" s="11" t="s">
        <v>204</v>
      </c>
      <c r="D898" s="12" t="s">
        <v>3293</v>
      </c>
      <c r="E898" s="11" t="s">
        <v>312</v>
      </c>
      <c r="F898" s="14" t="s">
        <v>313</v>
      </c>
      <c r="G898" s="15" t="s">
        <v>3412</v>
      </c>
      <c r="H898" s="23" t="s">
        <v>3413</v>
      </c>
      <c r="I898" s="11" t="s">
        <v>65</v>
      </c>
      <c r="J898" s="14">
        <v>1</v>
      </c>
      <c r="K898" s="14" t="s">
        <v>3133</v>
      </c>
      <c r="L898" s="14" t="s">
        <v>3414</v>
      </c>
      <c r="M898" s="15" t="s">
        <v>3296</v>
      </c>
      <c r="N898" s="15" t="s">
        <v>316</v>
      </c>
      <c r="O898" s="15" t="s">
        <v>3415</v>
      </c>
      <c r="P898" s="15" t="s">
        <v>3412</v>
      </c>
      <c r="Q898" s="15" t="s">
        <v>211</v>
      </c>
      <c r="R898" s="16" t="s">
        <v>54</v>
      </c>
      <c r="S898" s="12" t="s">
        <v>3144</v>
      </c>
      <c r="T898" s="14" t="s">
        <v>55</v>
      </c>
    </row>
    <row r="899" spans="1:20" ht="16.5">
      <c r="A899" s="17" t="s">
        <v>2177</v>
      </c>
      <c r="B899" s="17" t="s">
        <v>311</v>
      </c>
      <c r="C899" s="17" t="s">
        <v>204</v>
      </c>
      <c r="D899" s="18" t="s">
        <v>3293</v>
      </c>
      <c r="E899" s="17" t="s">
        <v>312</v>
      </c>
      <c r="F899" s="21" t="s">
        <v>313</v>
      </c>
      <c r="G899" s="19" t="s">
        <v>3416</v>
      </c>
      <c r="H899" s="24" t="s">
        <v>3417</v>
      </c>
      <c r="I899" s="17" t="s">
        <v>65</v>
      </c>
      <c r="J899" s="21">
        <v>1</v>
      </c>
      <c r="K899" s="21" t="s">
        <v>3133</v>
      </c>
      <c r="L899" s="21" t="s">
        <v>3418</v>
      </c>
      <c r="M899" s="19" t="s">
        <v>3296</v>
      </c>
      <c r="N899" s="19" t="s">
        <v>316</v>
      </c>
      <c r="O899" s="19" t="s">
        <v>3419</v>
      </c>
      <c r="P899" s="19" t="s">
        <v>3416</v>
      </c>
      <c r="Q899" s="19" t="s">
        <v>211</v>
      </c>
      <c r="R899" s="16" t="s">
        <v>54</v>
      </c>
      <c r="S899" s="18" t="s">
        <v>3144</v>
      </c>
      <c r="T899" s="21" t="s">
        <v>55</v>
      </c>
    </row>
    <row r="900" spans="1:20" ht="16.5">
      <c r="A900" s="11" t="s">
        <v>2177</v>
      </c>
      <c r="B900" s="11" t="s">
        <v>311</v>
      </c>
      <c r="C900" s="11" t="s">
        <v>204</v>
      </c>
      <c r="D900" s="12" t="s">
        <v>3293</v>
      </c>
      <c r="E900" s="11" t="s">
        <v>312</v>
      </c>
      <c r="F900" s="14" t="s">
        <v>313</v>
      </c>
      <c r="G900" s="15" t="s">
        <v>3420</v>
      </c>
      <c r="H900" s="23" t="s">
        <v>3421</v>
      </c>
      <c r="I900" s="11" t="s">
        <v>65</v>
      </c>
      <c r="J900" s="14">
        <v>1</v>
      </c>
      <c r="K900" s="14" t="s">
        <v>3133</v>
      </c>
      <c r="L900" s="14" t="s">
        <v>3422</v>
      </c>
      <c r="M900" s="15" t="s">
        <v>3296</v>
      </c>
      <c r="N900" s="15" t="s">
        <v>316</v>
      </c>
      <c r="O900" s="15" t="s">
        <v>3423</v>
      </c>
      <c r="P900" s="15" t="s">
        <v>3420</v>
      </c>
      <c r="Q900" s="15" t="s">
        <v>211</v>
      </c>
      <c r="R900" s="16" t="s">
        <v>54</v>
      </c>
      <c r="S900" s="12" t="s">
        <v>3144</v>
      </c>
      <c r="T900" s="14" t="s">
        <v>55</v>
      </c>
    </row>
    <row r="901" spans="1:20" ht="16.5">
      <c r="A901" s="17" t="s">
        <v>2177</v>
      </c>
      <c r="B901" s="17" t="s">
        <v>311</v>
      </c>
      <c r="C901" s="17" t="s">
        <v>204</v>
      </c>
      <c r="D901" s="18" t="s">
        <v>3293</v>
      </c>
      <c r="E901" s="17" t="s">
        <v>312</v>
      </c>
      <c r="F901" s="21" t="s">
        <v>313</v>
      </c>
      <c r="G901" s="19" t="s">
        <v>3424</v>
      </c>
      <c r="H901" s="24" t="s">
        <v>3425</v>
      </c>
      <c r="I901" s="17" t="s">
        <v>65</v>
      </c>
      <c r="J901" s="21">
        <v>1</v>
      </c>
      <c r="K901" s="21" t="s">
        <v>3133</v>
      </c>
      <c r="L901" s="21" t="s">
        <v>3426</v>
      </c>
      <c r="M901" s="19" t="s">
        <v>3296</v>
      </c>
      <c r="N901" s="19" t="s">
        <v>316</v>
      </c>
      <c r="O901" s="19" t="s">
        <v>3427</v>
      </c>
      <c r="P901" s="19" t="s">
        <v>3424</v>
      </c>
      <c r="Q901" s="19" t="s">
        <v>211</v>
      </c>
      <c r="R901" s="16" t="s">
        <v>54</v>
      </c>
      <c r="S901" s="18" t="s">
        <v>3144</v>
      </c>
      <c r="T901" s="21" t="s">
        <v>55</v>
      </c>
    </row>
    <row r="902" spans="1:20" ht="16.5">
      <c r="A902" s="11" t="s">
        <v>2177</v>
      </c>
      <c r="B902" s="11" t="s">
        <v>311</v>
      </c>
      <c r="C902" s="11" t="s">
        <v>204</v>
      </c>
      <c r="D902" s="12" t="s">
        <v>3298</v>
      </c>
      <c r="E902" s="11" t="s">
        <v>312</v>
      </c>
      <c r="F902" s="14" t="s">
        <v>313</v>
      </c>
      <c r="G902" s="15" t="s">
        <v>3428</v>
      </c>
      <c r="H902" s="23" t="s">
        <v>3429</v>
      </c>
      <c r="I902" s="11" t="s">
        <v>65</v>
      </c>
      <c r="J902" s="14">
        <v>1</v>
      </c>
      <c r="K902" s="14" t="s">
        <v>3133</v>
      </c>
      <c r="L902" s="14" t="s">
        <v>3430</v>
      </c>
      <c r="M902" s="15" t="s">
        <v>3301</v>
      </c>
      <c r="N902" s="15" t="s">
        <v>316</v>
      </c>
      <c r="O902" s="15" t="s">
        <v>3431</v>
      </c>
      <c r="P902" s="15" t="s">
        <v>3428</v>
      </c>
      <c r="Q902" s="15" t="s">
        <v>211</v>
      </c>
      <c r="R902" s="16" t="s">
        <v>54</v>
      </c>
      <c r="S902" s="12" t="s">
        <v>3144</v>
      </c>
      <c r="T902" s="14" t="s">
        <v>55</v>
      </c>
    </row>
    <row r="903" spans="1:20" ht="16.5">
      <c r="A903" s="17" t="s">
        <v>2177</v>
      </c>
      <c r="B903" s="17" t="s">
        <v>311</v>
      </c>
      <c r="C903" s="17" t="s">
        <v>204</v>
      </c>
      <c r="D903" s="18" t="s">
        <v>3298</v>
      </c>
      <c r="E903" s="17" t="s">
        <v>312</v>
      </c>
      <c r="F903" s="21" t="s">
        <v>313</v>
      </c>
      <c r="G903" s="19" t="s">
        <v>3432</v>
      </c>
      <c r="H903" s="24" t="s">
        <v>3433</v>
      </c>
      <c r="I903" s="17" t="s">
        <v>65</v>
      </c>
      <c r="J903" s="21">
        <v>1</v>
      </c>
      <c r="K903" s="21" t="s">
        <v>3133</v>
      </c>
      <c r="L903" s="21" t="s">
        <v>3434</v>
      </c>
      <c r="M903" s="19" t="s">
        <v>3301</v>
      </c>
      <c r="N903" s="19" t="s">
        <v>316</v>
      </c>
      <c r="O903" s="19" t="s">
        <v>3435</v>
      </c>
      <c r="P903" s="19" t="s">
        <v>3432</v>
      </c>
      <c r="Q903" s="19" t="s">
        <v>211</v>
      </c>
      <c r="R903" s="16" t="s">
        <v>54</v>
      </c>
      <c r="S903" s="18" t="s">
        <v>3144</v>
      </c>
      <c r="T903" s="21" t="s">
        <v>55</v>
      </c>
    </row>
    <row r="904" spans="1:20" ht="16.5">
      <c r="A904" s="11" t="s">
        <v>2177</v>
      </c>
      <c r="B904" s="11" t="s">
        <v>311</v>
      </c>
      <c r="C904" s="11" t="s">
        <v>204</v>
      </c>
      <c r="D904" s="12" t="s">
        <v>3298</v>
      </c>
      <c r="E904" s="11" t="s">
        <v>312</v>
      </c>
      <c r="F904" s="14" t="s">
        <v>313</v>
      </c>
      <c r="G904" s="15" t="s">
        <v>3436</v>
      </c>
      <c r="H904" s="23" t="s">
        <v>3437</v>
      </c>
      <c r="I904" s="11" t="s">
        <v>65</v>
      </c>
      <c r="J904" s="14">
        <v>1</v>
      </c>
      <c r="K904" s="14" t="s">
        <v>3133</v>
      </c>
      <c r="L904" s="14" t="s">
        <v>3438</v>
      </c>
      <c r="M904" s="15" t="s">
        <v>3301</v>
      </c>
      <c r="N904" s="15" t="s">
        <v>316</v>
      </c>
      <c r="O904" s="15" t="s">
        <v>3439</v>
      </c>
      <c r="P904" s="15" t="s">
        <v>3436</v>
      </c>
      <c r="Q904" s="15" t="s">
        <v>211</v>
      </c>
      <c r="R904" s="16" t="s">
        <v>54</v>
      </c>
      <c r="S904" s="12" t="s">
        <v>3144</v>
      </c>
      <c r="T904" s="14" t="s">
        <v>55</v>
      </c>
    </row>
    <row r="905" spans="1:20" ht="16.5">
      <c r="A905" s="17" t="s">
        <v>2177</v>
      </c>
      <c r="B905" s="17" t="s">
        <v>311</v>
      </c>
      <c r="C905" s="17" t="s">
        <v>204</v>
      </c>
      <c r="D905" s="18" t="s">
        <v>3298</v>
      </c>
      <c r="E905" s="17" t="s">
        <v>312</v>
      </c>
      <c r="F905" s="21" t="s">
        <v>313</v>
      </c>
      <c r="G905" s="19" t="s">
        <v>3440</v>
      </c>
      <c r="H905" s="24" t="s">
        <v>3441</v>
      </c>
      <c r="I905" s="17" t="s">
        <v>65</v>
      </c>
      <c r="J905" s="21">
        <v>1</v>
      </c>
      <c r="K905" s="21" t="s">
        <v>3133</v>
      </c>
      <c r="L905" s="21" t="s">
        <v>3442</v>
      </c>
      <c r="M905" s="19" t="s">
        <v>3301</v>
      </c>
      <c r="N905" s="19" t="s">
        <v>316</v>
      </c>
      <c r="O905" s="19" t="s">
        <v>3443</v>
      </c>
      <c r="P905" s="19" t="s">
        <v>3440</v>
      </c>
      <c r="Q905" s="19" t="s">
        <v>211</v>
      </c>
      <c r="R905" s="16" t="s">
        <v>54</v>
      </c>
      <c r="S905" s="18" t="s">
        <v>3144</v>
      </c>
      <c r="T905" s="21" t="s">
        <v>55</v>
      </c>
    </row>
    <row r="906" spans="1:20" ht="16.5">
      <c r="A906" s="11" t="s">
        <v>2177</v>
      </c>
      <c r="B906" s="11" t="s">
        <v>311</v>
      </c>
      <c r="C906" s="11" t="s">
        <v>204</v>
      </c>
      <c r="D906" s="12" t="s">
        <v>3303</v>
      </c>
      <c r="E906" s="11" t="s">
        <v>312</v>
      </c>
      <c r="F906" s="14" t="s">
        <v>313</v>
      </c>
      <c r="G906" s="15" t="s">
        <v>3444</v>
      </c>
      <c r="H906" s="23" t="s">
        <v>3445</v>
      </c>
      <c r="I906" s="11" t="s">
        <v>65</v>
      </c>
      <c r="J906" s="14">
        <v>1</v>
      </c>
      <c r="K906" s="14" t="s">
        <v>3133</v>
      </c>
      <c r="L906" s="14" t="s">
        <v>3446</v>
      </c>
      <c r="M906" s="15" t="s">
        <v>3306</v>
      </c>
      <c r="N906" s="15" t="s">
        <v>316</v>
      </c>
      <c r="O906" s="15" t="s">
        <v>3447</v>
      </c>
      <c r="P906" s="15" t="s">
        <v>3444</v>
      </c>
      <c r="Q906" s="15" t="s">
        <v>211</v>
      </c>
      <c r="R906" s="16" t="s">
        <v>54</v>
      </c>
      <c r="S906" s="12" t="s">
        <v>3144</v>
      </c>
      <c r="T906" s="14" t="s">
        <v>55</v>
      </c>
    </row>
    <row r="907" spans="1:20" ht="16.5">
      <c r="A907" s="17" t="s">
        <v>2177</v>
      </c>
      <c r="B907" s="17" t="s">
        <v>311</v>
      </c>
      <c r="C907" s="17" t="s">
        <v>204</v>
      </c>
      <c r="D907" s="18" t="s">
        <v>3303</v>
      </c>
      <c r="E907" s="17" t="s">
        <v>312</v>
      </c>
      <c r="F907" s="21" t="s">
        <v>313</v>
      </c>
      <c r="G907" s="19" t="s">
        <v>3448</v>
      </c>
      <c r="H907" s="24" t="s">
        <v>3449</v>
      </c>
      <c r="I907" s="17" t="s">
        <v>65</v>
      </c>
      <c r="J907" s="21">
        <v>1</v>
      </c>
      <c r="K907" s="21" t="s">
        <v>3133</v>
      </c>
      <c r="L907" s="21" t="s">
        <v>3450</v>
      </c>
      <c r="M907" s="19" t="s">
        <v>3306</v>
      </c>
      <c r="N907" s="19" t="s">
        <v>316</v>
      </c>
      <c r="O907" s="19" t="s">
        <v>3451</v>
      </c>
      <c r="P907" s="19" t="s">
        <v>3448</v>
      </c>
      <c r="Q907" s="19" t="s">
        <v>211</v>
      </c>
      <c r="R907" s="16" t="s">
        <v>54</v>
      </c>
      <c r="S907" s="18" t="s">
        <v>3144</v>
      </c>
      <c r="T907" s="21" t="s">
        <v>55</v>
      </c>
    </row>
    <row r="908" spans="1:20" ht="16.5">
      <c r="A908" s="11" t="s">
        <v>2177</v>
      </c>
      <c r="B908" s="11" t="s">
        <v>311</v>
      </c>
      <c r="C908" s="11" t="s">
        <v>204</v>
      </c>
      <c r="D908" s="12" t="s">
        <v>3303</v>
      </c>
      <c r="E908" s="11" t="s">
        <v>312</v>
      </c>
      <c r="F908" s="14" t="s">
        <v>313</v>
      </c>
      <c r="G908" s="15" t="s">
        <v>3452</v>
      </c>
      <c r="H908" s="23" t="s">
        <v>3453</v>
      </c>
      <c r="I908" s="11" t="s">
        <v>65</v>
      </c>
      <c r="J908" s="14">
        <v>1</v>
      </c>
      <c r="K908" s="14" t="s">
        <v>3133</v>
      </c>
      <c r="L908" s="14" t="s">
        <v>3454</v>
      </c>
      <c r="M908" s="15" t="s">
        <v>3306</v>
      </c>
      <c r="N908" s="15" t="s">
        <v>316</v>
      </c>
      <c r="O908" s="15" t="s">
        <v>3455</v>
      </c>
      <c r="P908" s="15" t="s">
        <v>3452</v>
      </c>
      <c r="Q908" s="15" t="s">
        <v>211</v>
      </c>
      <c r="R908" s="16" t="s">
        <v>54</v>
      </c>
      <c r="S908" s="12" t="s">
        <v>3144</v>
      </c>
      <c r="T908" s="14" t="s">
        <v>55</v>
      </c>
    </row>
    <row r="909" spans="1:20" ht="16.5">
      <c r="A909" s="17" t="s">
        <v>2177</v>
      </c>
      <c r="B909" s="17" t="s">
        <v>311</v>
      </c>
      <c r="C909" s="17" t="s">
        <v>204</v>
      </c>
      <c r="D909" s="18" t="s">
        <v>3303</v>
      </c>
      <c r="E909" s="17" t="s">
        <v>312</v>
      </c>
      <c r="F909" s="21" t="s">
        <v>313</v>
      </c>
      <c r="G909" s="19" t="s">
        <v>3456</v>
      </c>
      <c r="H909" s="24" t="s">
        <v>3457</v>
      </c>
      <c r="I909" s="17" t="s">
        <v>65</v>
      </c>
      <c r="J909" s="21">
        <v>1</v>
      </c>
      <c r="K909" s="21" t="s">
        <v>3133</v>
      </c>
      <c r="L909" s="21" t="s">
        <v>3458</v>
      </c>
      <c r="M909" s="19" t="s">
        <v>3306</v>
      </c>
      <c r="N909" s="19" t="s">
        <v>316</v>
      </c>
      <c r="O909" s="19" t="s">
        <v>3459</v>
      </c>
      <c r="P909" s="19" t="s">
        <v>3456</v>
      </c>
      <c r="Q909" s="19" t="s">
        <v>211</v>
      </c>
      <c r="R909" s="16" t="s">
        <v>54</v>
      </c>
      <c r="S909" s="18" t="s">
        <v>3144</v>
      </c>
      <c r="T909" s="21" t="s">
        <v>55</v>
      </c>
    </row>
    <row r="910" spans="1:20" ht="16.5">
      <c r="A910" s="11" t="s">
        <v>2177</v>
      </c>
      <c r="B910" s="11" t="s">
        <v>311</v>
      </c>
      <c r="C910" s="11" t="s">
        <v>204</v>
      </c>
      <c r="D910" s="12" t="s">
        <v>3308</v>
      </c>
      <c r="E910" s="11" t="s">
        <v>312</v>
      </c>
      <c r="F910" s="14" t="s">
        <v>313</v>
      </c>
      <c r="G910" s="15" t="s">
        <v>3460</v>
      </c>
      <c r="H910" s="23" t="s">
        <v>3461</v>
      </c>
      <c r="I910" s="11" t="s">
        <v>65</v>
      </c>
      <c r="J910" s="14">
        <v>1</v>
      </c>
      <c r="K910" s="14" t="s">
        <v>3133</v>
      </c>
      <c r="L910" s="14" t="s">
        <v>3462</v>
      </c>
      <c r="M910" s="15" t="s">
        <v>3311</v>
      </c>
      <c r="N910" s="15" t="s">
        <v>316</v>
      </c>
      <c r="O910" s="15" t="s">
        <v>3463</v>
      </c>
      <c r="P910" s="15" t="s">
        <v>3460</v>
      </c>
      <c r="Q910" s="15" t="s">
        <v>211</v>
      </c>
      <c r="R910" s="16" t="s">
        <v>54</v>
      </c>
      <c r="S910" s="12" t="s">
        <v>3144</v>
      </c>
      <c r="T910" s="14" t="s">
        <v>55</v>
      </c>
    </row>
    <row r="911" spans="1:20" ht="16.5">
      <c r="A911" s="17" t="s">
        <v>2177</v>
      </c>
      <c r="B911" s="17" t="s">
        <v>311</v>
      </c>
      <c r="C911" s="17" t="s">
        <v>204</v>
      </c>
      <c r="D911" s="18" t="s">
        <v>3308</v>
      </c>
      <c r="E911" s="17" t="s">
        <v>312</v>
      </c>
      <c r="F911" s="21" t="s">
        <v>313</v>
      </c>
      <c r="G911" s="19" t="s">
        <v>3464</v>
      </c>
      <c r="H911" s="24" t="s">
        <v>3465</v>
      </c>
      <c r="I911" s="17" t="s">
        <v>65</v>
      </c>
      <c r="J911" s="21">
        <v>1</v>
      </c>
      <c r="K911" s="21" t="s">
        <v>3133</v>
      </c>
      <c r="L911" s="21" t="s">
        <v>3466</v>
      </c>
      <c r="M911" s="19" t="s">
        <v>3311</v>
      </c>
      <c r="N911" s="19" t="s">
        <v>316</v>
      </c>
      <c r="O911" s="19" t="s">
        <v>3467</v>
      </c>
      <c r="P911" s="19" t="s">
        <v>3464</v>
      </c>
      <c r="Q911" s="19" t="s">
        <v>211</v>
      </c>
      <c r="R911" s="16" t="s">
        <v>54</v>
      </c>
      <c r="S911" s="18" t="s">
        <v>3144</v>
      </c>
      <c r="T911" s="21" t="s">
        <v>55</v>
      </c>
    </row>
    <row r="912" spans="1:20" ht="16.5">
      <c r="A912" s="11" t="s">
        <v>2177</v>
      </c>
      <c r="B912" s="11" t="s">
        <v>311</v>
      </c>
      <c r="C912" s="11" t="s">
        <v>204</v>
      </c>
      <c r="D912" s="12" t="s">
        <v>3308</v>
      </c>
      <c r="E912" s="11" t="s">
        <v>312</v>
      </c>
      <c r="F912" s="14" t="s">
        <v>313</v>
      </c>
      <c r="G912" s="15" t="s">
        <v>3468</v>
      </c>
      <c r="H912" s="23" t="s">
        <v>3469</v>
      </c>
      <c r="I912" s="11" t="s">
        <v>65</v>
      </c>
      <c r="J912" s="14">
        <v>1</v>
      </c>
      <c r="K912" s="14" t="s">
        <v>3133</v>
      </c>
      <c r="L912" s="14" t="s">
        <v>3470</v>
      </c>
      <c r="M912" s="15" t="s">
        <v>3311</v>
      </c>
      <c r="N912" s="15" t="s">
        <v>316</v>
      </c>
      <c r="O912" s="15" t="s">
        <v>3471</v>
      </c>
      <c r="P912" s="15" t="s">
        <v>3468</v>
      </c>
      <c r="Q912" s="15" t="s">
        <v>211</v>
      </c>
      <c r="R912" s="16" t="s">
        <v>54</v>
      </c>
      <c r="S912" s="12" t="s">
        <v>3144</v>
      </c>
      <c r="T912" s="14" t="s">
        <v>55</v>
      </c>
    </row>
    <row r="913" spans="1:20" ht="16.5">
      <c r="A913" s="17" t="s">
        <v>2177</v>
      </c>
      <c r="B913" s="17" t="s">
        <v>311</v>
      </c>
      <c r="C913" s="17" t="s">
        <v>204</v>
      </c>
      <c r="D913" s="18" t="s">
        <v>3308</v>
      </c>
      <c r="E913" s="17" t="s">
        <v>312</v>
      </c>
      <c r="F913" s="21" t="s">
        <v>313</v>
      </c>
      <c r="G913" s="19" t="s">
        <v>3472</v>
      </c>
      <c r="H913" s="24" t="s">
        <v>3473</v>
      </c>
      <c r="I913" s="17" t="s">
        <v>65</v>
      </c>
      <c r="J913" s="21">
        <v>1</v>
      </c>
      <c r="K913" s="21" t="s">
        <v>3133</v>
      </c>
      <c r="L913" s="21" t="s">
        <v>3474</v>
      </c>
      <c r="M913" s="19" t="s">
        <v>3311</v>
      </c>
      <c r="N913" s="19" t="s">
        <v>316</v>
      </c>
      <c r="O913" s="19" t="s">
        <v>3475</v>
      </c>
      <c r="P913" s="19" t="s">
        <v>3472</v>
      </c>
      <c r="Q913" s="19" t="s">
        <v>211</v>
      </c>
      <c r="R913" s="16" t="s">
        <v>54</v>
      </c>
      <c r="S913" s="18" t="s">
        <v>3144</v>
      </c>
      <c r="T913" s="21" t="s">
        <v>55</v>
      </c>
    </row>
    <row r="914" spans="1:20" ht="16.5">
      <c r="A914" s="11" t="s">
        <v>2177</v>
      </c>
      <c r="B914" s="11" t="s">
        <v>311</v>
      </c>
      <c r="C914" s="11" t="s">
        <v>204</v>
      </c>
      <c r="D914" s="12" t="s">
        <v>3313</v>
      </c>
      <c r="E914" s="11" t="s">
        <v>312</v>
      </c>
      <c r="F914" s="14" t="s">
        <v>313</v>
      </c>
      <c r="G914" s="15" t="s">
        <v>3476</v>
      </c>
      <c r="H914" s="23" t="s">
        <v>3477</v>
      </c>
      <c r="I914" s="11" t="s">
        <v>65</v>
      </c>
      <c r="J914" s="14">
        <v>1</v>
      </c>
      <c r="K914" s="14" t="s">
        <v>3133</v>
      </c>
      <c r="L914" s="14" t="s">
        <v>3478</v>
      </c>
      <c r="M914" s="15" t="s">
        <v>3316</v>
      </c>
      <c r="N914" s="15" t="s">
        <v>316</v>
      </c>
      <c r="O914" s="15" t="s">
        <v>3479</v>
      </c>
      <c r="P914" s="15" t="s">
        <v>3476</v>
      </c>
      <c r="Q914" s="15" t="s">
        <v>211</v>
      </c>
      <c r="R914" s="16" t="s">
        <v>54</v>
      </c>
      <c r="S914" s="12" t="s">
        <v>3144</v>
      </c>
      <c r="T914" s="14" t="s">
        <v>55</v>
      </c>
    </row>
    <row r="915" spans="1:20" ht="16.5">
      <c r="A915" s="17" t="s">
        <v>2177</v>
      </c>
      <c r="B915" s="17" t="s">
        <v>311</v>
      </c>
      <c r="C915" s="17" t="s">
        <v>204</v>
      </c>
      <c r="D915" s="18" t="s">
        <v>3313</v>
      </c>
      <c r="E915" s="17" t="s">
        <v>312</v>
      </c>
      <c r="F915" s="21" t="s">
        <v>313</v>
      </c>
      <c r="G915" s="19" t="s">
        <v>3480</v>
      </c>
      <c r="H915" s="24" t="s">
        <v>3481</v>
      </c>
      <c r="I915" s="17" t="s">
        <v>65</v>
      </c>
      <c r="J915" s="21">
        <v>1</v>
      </c>
      <c r="K915" s="21" t="s">
        <v>3133</v>
      </c>
      <c r="L915" s="21" t="s">
        <v>3482</v>
      </c>
      <c r="M915" s="19" t="s">
        <v>3316</v>
      </c>
      <c r="N915" s="19" t="s">
        <v>316</v>
      </c>
      <c r="O915" s="19" t="s">
        <v>3483</v>
      </c>
      <c r="P915" s="19" t="s">
        <v>3480</v>
      </c>
      <c r="Q915" s="19" t="s">
        <v>211</v>
      </c>
      <c r="R915" s="16" t="s">
        <v>54</v>
      </c>
      <c r="S915" s="18" t="s">
        <v>3144</v>
      </c>
      <c r="T915" s="21" t="s">
        <v>55</v>
      </c>
    </row>
    <row r="916" spans="1:20" ht="16.5">
      <c r="A916" s="11" t="s">
        <v>2177</v>
      </c>
      <c r="B916" s="11" t="s">
        <v>311</v>
      </c>
      <c r="C916" s="11" t="s">
        <v>204</v>
      </c>
      <c r="D916" s="12" t="s">
        <v>3313</v>
      </c>
      <c r="E916" s="11" t="s">
        <v>312</v>
      </c>
      <c r="F916" s="14" t="s">
        <v>313</v>
      </c>
      <c r="G916" s="15" t="s">
        <v>3484</v>
      </c>
      <c r="H916" s="23" t="s">
        <v>3485</v>
      </c>
      <c r="I916" s="11" t="s">
        <v>65</v>
      </c>
      <c r="J916" s="14">
        <v>1</v>
      </c>
      <c r="K916" s="14" t="s">
        <v>3133</v>
      </c>
      <c r="L916" s="14" t="s">
        <v>3486</v>
      </c>
      <c r="M916" s="15" t="s">
        <v>3316</v>
      </c>
      <c r="N916" s="15" t="s">
        <v>316</v>
      </c>
      <c r="O916" s="15" t="s">
        <v>3487</v>
      </c>
      <c r="P916" s="15" t="s">
        <v>3484</v>
      </c>
      <c r="Q916" s="15" t="s">
        <v>211</v>
      </c>
      <c r="R916" s="16" t="s">
        <v>54</v>
      </c>
      <c r="S916" s="12" t="s">
        <v>3144</v>
      </c>
      <c r="T916" s="14" t="s">
        <v>55</v>
      </c>
    </row>
    <row r="917" spans="1:20" ht="16.5">
      <c r="A917" s="17" t="s">
        <v>2177</v>
      </c>
      <c r="B917" s="17" t="s">
        <v>311</v>
      </c>
      <c r="C917" s="17" t="s">
        <v>204</v>
      </c>
      <c r="D917" s="18" t="s">
        <v>3313</v>
      </c>
      <c r="E917" s="17" t="s">
        <v>312</v>
      </c>
      <c r="F917" s="21" t="s">
        <v>313</v>
      </c>
      <c r="G917" s="19" t="s">
        <v>3488</v>
      </c>
      <c r="H917" s="24" t="s">
        <v>3489</v>
      </c>
      <c r="I917" s="17" t="s">
        <v>65</v>
      </c>
      <c r="J917" s="21">
        <v>1</v>
      </c>
      <c r="K917" s="21" t="s">
        <v>3133</v>
      </c>
      <c r="L917" s="21" t="s">
        <v>3490</v>
      </c>
      <c r="M917" s="19" t="s">
        <v>3316</v>
      </c>
      <c r="N917" s="19" t="s">
        <v>316</v>
      </c>
      <c r="O917" s="19" t="s">
        <v>3491</v>
      </c>
      <c r="P917" s="19" t="s">
        <v>3488</v>
      </c>
      <c r="Q917" s="19" t="s">
        <v>211</v>
      </c>
      <c r="R917" s="16" t="s">
        <v>54</v>
      </c>
      <c r="S917" s="18" t="s">
        <v>3144</v>
      </c>
      <c r="T917" s="21" t="s">
        <v>55</v>
      </c>
    </row>
    <row r="918" spans="1:20" ht="16.5">
      <c r="A918" s="11" t="s">
        <v>2177</v>
      </c>
      <c r="B918" s="11" t="s">
        <v>311</v>
      </c>
      <c r="C918" s="11" t="s">
        <v>204</v>
      </c>
      <c r="D918" s="12" t="s">
        <v>3318</v>
      </c>
      <c r="E918" s="11" t="s">
        <v>312</v>
      </c>
      <c r="F918" s="14" t="s">
        <v>313</v>
      </c>
      <c r="G918" s="15" t="s">
        <v>3492</v>
      </c>
      <c r="H918" s="23" t="s">
        <v>3493</v>
      </c>
      <c r="I918" s="11" t="s">
        <v>65</v>
      </c>
      <c r="J918" s="14">
        <v>1</v>
      </c>
      <c r="K918" s="14" t="s">
        <v>3133</v>
      </c>
      <c r="L918" s="14" t="s">
        <v>3494</v>
      </c>
      <c r="M918" s="15" t="s">
        <v>3321</v>
      </c>
      <c r="N918" s="15" t="s">
        <v>316</v>
      </c>
      <c r="O918" s="15" t="s">
        <v>3495</v>
      </c>
      <c r="P918" s="15" t="s">
        <v>3492</v>
      </c>
      <c r="Q918" s="15" t="s">
        <v>211</v>
      </c>
      <c r="R918" s="16" t="s">
        <v>54</v>
      </c>
      <c r="S918" s="12" t="s">
        <v>3144</v>
      </c>
      <c r="T918" s="14" t="s">
        <v>55</v>
      </c>
    </row>
    <row r="919" spans="1:20" ht="16.5">
      <c r="A919" s="17" t="s">
        <v>2177</v>
      </c>
      <c r="B919" s="17" t="s">
        <v>311</v>
      </c>
      <c r="C919" s="17" t="s">
        <v>204</v>
      </c>
      <c r="D919" s="18" t="s">
        <v>3318</v>
      </c>
      <c r="E919" s="17" t="s">
        <v>312</v>
      </c>
      <c r="F919" s="21" t="s">
        <v>313</v>
      </c>
      <c r="G919" s="19" t="s">
        <v>3496</v>
      </c>
      <c r="H919" s="24" t="s">
        <v>3497</v>
      </c>
      <c r="I919" s="17" t="s">
        <v>65</v>
      </c>
      <c r="J919" s="21">
        <v>1</v>
      </c>
      <c r="K919" s="21" t="s">
        <v>3133</v>
      </c>
      <c r="L919" s="21" t="s">
        <v>3498</v>
      </c>
      <c r="M919" s="19" t="s">
        <v>3321</v>
      </c>
      <c r="N919" s="19" t="s">
        <v>316</v>
      </c>
      <c r="O919" s="19" t="s">
        <v>3499</v>
      </c>
      <c r="P919" s="19" t="s">
        <v>3496</v>
      </c>
      <c r="Q919" s="19" t="s">
        <v>211</v>
      </c>
      <c r="R919" s="16" t="s">
        <v>54</v>
      </c>
      <c r="S919" s="18" t="s">
        <v>3144</v>
      </c>
      <c r="T919" s="21" t="s">
        <v>55</v>
      </c>
    </row>
    <row r="920" spans="1:20" ht="16.5">
      <c r="A920" s="11" t="s">
        <v>2177</v>
      </c>
      <c r="B920" s="11" t="s">
        <v>311</v>
      </c>
      <c r="C920" s="11" t="s">
        <v>204</v>
      </c>
      <c r="D920" s="12" t="s">
        <v>3318</v>
      </c>
      <c r="E920" s="11" t="s">
        <v>312</v>
      </c>
      <c r="F920" s="14" t="s">
        <v>313</v>
      </c>
      <c r="G920" s="15" t="s">
        <v>3500</v>
      </c>
      <c r="H920" s="23" t="s">
        <v>3501</v>
      </c>
      <c r="I920" s="11" t="s">
        <v>65</v>
      </c>
      <c r="J920" s="14">
        <v>1</v>
      </c>
      <c r="K920" s="14" t="s">
        <v>3133</v>
      </c>
      <c r="L920" s="14" t="s">
        <v>3502</v>
      </c>
      <c r="M920" s="15" t="s">
        <v>3321</v>
      </c>
      <c r="N920" s="15" t="s">
        <v>316</v>
      </c>
      <c r="O920" s="15" t="s">
        <v>3503</v>
      </c>
      <c r="P920" s="15" t="s">
        <v>3500</v>
      </c>
      <c r="Q920" s="15" t="s">
        <v>211</v>
      </c>
      <c r="R920" s="16" t="s">
        <v>54</v>
      </c>
      <c r="S920" s="12" t="s">
        <v>3144</v>
      </c>
      <c r="T920" s="14" t="s">
        <v>55</v>
      </c>
    </row>
    <row r="921" spans="1:20" ht="16.5">
      <c r="A921" s="17" t="s">
        <v>2177</v>
      </c>
      <c r="B921" s="17" t="s">
        <v>311</v>
      </c>
      <c r="C921" s="17" t="s">
        <v>204</v>
      </c>
      <c r="D921" s="18" t="s">
        <v>3318</v>
      </c>
      <c r="E921" s="17" t="s">
        <v>312</v>
      </c>
      <c r="F921" s="21" t="s">
        <v>313</v>
      </c>
      <c r="G921" s="19" t="s">
        <v>3504</v>
      </c>
      <c r="H921" s="24" t="s">
        <v>3505</v>
      </c>
      <c r="I921" s="17" t="s">
        <v>65</v>
      </c>
      <c r="J921" s="21">
        <v>1</v>
      </c>
      <c r="K921" s="21" t="s">
        <v>3133</v>
      </c>
      <c r="L921" s="21" t="s">
        <v>3506</v>
      </c>
      <c r="M921" s="19" t="s">
        <v>3321</v>
      </c>
      <c r="N921" s="19" t="s">
        <v>316</v>
      </c>
      <c r="O921" s="19" t="s">
        <v>3507</v>
      </c>
      <c r="P921" s="19" t="s">
        <v>3504</v>
      </c>
      <c r="Q921" s="19" t="s">
        <v>211</v>
      </c>
      <c r="R921" s="16" t="s">
        <v>54</v>
      </c>
      <c r="S921" s="18" t="s">
        <v>3144</v>
      </c>
      <c r="T921" s="21" t="s">
        <v>55</v>
      </c>
    </row>
    <row r="922" spans="1:20" ht="16.5">
      <c r="A922" s="11" t="s">
        <v>2177</v>
      </c>
      <c r="B922" s="11" t="s">
        <v>311</v>
      </c>
      <c r="C922" s="11" t="s">
        <v>204</v>
      </c>
      <c r="D922" s="12" t="s">
        <v>3323</v>
      </c>
      <c r="E922" s="11" t="s">
        <v>312</v>
      </c>
      <c r="F922" s="14" t="s">
        <v>313</v>
      </c>
      <c r="G922" s="15" t="s">
        <v>3327</v>
      </c>
      <c r="H922" s="23" t="s">
        <v>3508</v>
      </c>
      <c r="I922" s="11" t="s">
        <v>65</v>
      </c>
      <c r="J922" s="14">
        <v>1</v>
      </c>
      <c r="K922" s="14" t="s">
        <v>3133</v>
      </c>
      <c r="L922" s="14" t="s">
        <v>3509</v>
      </c>
      <c r="M922" s="15" t="s">
        <v>3326</v>
      </c>
      <c r="N922" s="15" t="s">
        <v>316</v>
      </c>
      <c r="O922" s="15" t="s">
        <v>3510</v>
      </c>
      <c r="P922" s="15" t="s">
        <v>3327</v>
      </c>
      <c r="Q922" s="15" t="s">
        <v>211</v>
      </c>
      <c r="R922" s="16" t="s">
        <v>54</v>
      </c>
      <c r="S922" s="12" t="s">
        <v>3144</v>
      </c>
      <c r="T922" s="14" t="s">
        <v>55</v>
      </c>
    </row>
    <row r="923" spans="1:20" ht="16.5">
      <c r="A923" s="17" t="s">
        <v>2177</v>
      </c>
      <c r="B923" s="17" t="s">
        <v>311</v>
      </c>
      <c r="C923" s="17" t="s">
        <v>204</v>
      </c>
      <c r="D923" s="19" t="s">
        <v>3328</v>
      </c>
      <c r="E923" s="17" t="s">
        <v>312</v>
      </c>
      <c r="F923" s="21" t="s">
        <v>313</v>
      </c>
      <c r="G923" s="19" t="s">
        <v>3511</v>
      </c>
      <c r="H923" s="24" t="s">
        <v>3512</v>
      </c>
      <c r="I923" s="17" t="s">
        <v>65</v>
      </c>
      <c r="J923" s="21">
        <v>1</v>
      </c>
      <c r="K923" s="21" t="s">
        <v>3133</v>
      </c>
      <c r="L923" s="21" t="s">
        <v>3513</v>
      </c>
      <c r="M923" s="19" t="s">
        <v>3331</v>
      </c>
      <c r="N923" s="19" t="s">
        <v>316</v>
      </c>
      <c r="O923" s="19" t="s">
        <v>3514</v>
      </c>
      <c r="P923" s="19" t="s">
        <v>3511</v>
      </c>
      <c r="Q923" s="19" t="s">
        <v>211</v>
      </c>
      <c r="R923" s="16" t="s">
        <v>54</v>
      </c>
      <c r="S923" s="18" t="s">
        <v>3144</v>
      </c>
      <c r="T923" s="21" t="s">
        <v>55</v>
      </c>
    </row>
    <row r="924" spans="1:20" ht="16.5">
      <c r="A924" s="11" t="s">
        <v>2177</v>
      </c>
      <c r="B924" s="11" t="s">
        <v>311</v>
      </c>
      <c r="C924" s="11" t="s">
        <v>204</v>
      </c>
      <c r="D924" s="15" t="s">
        <v>3328</v>
      </c>
      <c r="E924" s="11" t="s">
        <v>312</v>
      </c>
      <c r="F924" s="14" t="s">
        <v>313</v>
      </c>
      <c r="G924" s="15" t="s">
        <v>3515</v>
      </c>
      <c r="H924" s="23" t="s">
        <v>3516</v>
      </c>
      <c r="I924" s="11" t="s">
        <v>65</v>
      </c>
      <c r="J924" s="14">
        <v>1</v>
      </c>
      <c r="K924" s="14" t="s">
        <v>3133</v>
      </c>
      <c r="L924" s="14" t="s">
        <v>3517</v>
      </c>
      <c r="M924" s="15" t="s">
        <v>3331</v>
      </c>
      <c r="N924" s="15" t="s">
        <v>316</v>
      </c>
      <c r="O924" s="15" t="s">
        <v>3518</v>
      </c>
      <c r="P924" s="15" t="s">
        <v>3515</v>
      </c>
      <c r="Q924" s="15" t="s">
        <v>211</v>
      </c>
      <c r="R924" s="16" t="s">
        <v>54</v>
      </c>
      <c r="S924" s="12" t="s">
        <v>3144</v>
      </c>
      <c r="T924" s="14" t="s">
        <v>55</v>
      </c>
    </row>
    <row r="925" spans="1:20" ht="16.5">
      <c r="A925" s="17" t="s">
        <v>2177</v>
      </c>
      <c r="B925" s="17" t="s">
        <v>311</v>
      </c>
      <c r="C925" s="17" t="s">
        <v>204</v>
      </c>
      <c r="D925" s="19" t="s">
        <v>3333</v>
      </c>
      <c r="E925" s="17" t="s">
        <v>312</v>
      </c>
      <c r="F925" s="21" t="s">
        <v>313</v>
      </c>
      <c r="G925" s="19" t="s">
        <v>3519</v>
      </c>
      <c r="H925" s="24" t="s">
        <v>3520</v>
      </c>
      <c r="I925" s="17" t="s">
        <v>65</v>
      </c>
      <c r="J925" s="21">
        <v>1</v>
      </c>
      <c r="K925" s="21" t="s">
        <v>3133</v>
      </c>
      <c r="L925" s="21" t="s">
        <v>3521</v>
      </c>
      <c r="M925" s="19" t="s">
        <v>3336</v>
      </c>
      <c r="N925" s="19" t="s">
        <v>316</v>
      </c>
      <c r="O925" s="19" t="s">
        <v>3522</v>
      </c>
      <c r="P925" s="19" t="s">
        <v>3519</v>
      </c>
      <c r="Q925" s="19" t="s">
        <v>211</v>
      </c>
      <c r="R925" s="16" t="s">
        <v>54</v>
      </c>
      <c r="S925" s="18" t="s">
        <v>3144</v>
      </c>
      <c r="T925" s="21" t="s">
        <v>55</v>
      </c>
    </row>
    <row r="926" spans="1:20" ht="16.5">
      <c r="A926" s="11" t="s">
        <v>2177</v>
      </c>
      <c r="B926" s="11" t="s">
        <v>311</v>
      </c>
      <c r="C926" s="11" t="s">
        <v>204</v>
      </c>
      <c r="D926" s="15" t="s">
        <v>3333</v>
      </c>
      <c r="E926" s="11" t="s">
        <v>312</v>
      </c>
      <c r="F926" s="14" t="s">
        <v>313</v>
      </c>
      <c r="G926" s="15" t="s">
        <v>3523</v>
      </c>
      <c r="H926" s="23" t="s">
        <v>3524</v>
      </c>
      <c r="I926" s="11" t="s">
        <v>65</v>
      </c>
      <c r="J926" s="14">
        <v>1</v>
      </c>
      <c r="K926" s="14" t="s">
        <v>3133</v>
      </c>
      <c r="L926" s="14" t="s">
        <v>3525</v>
      </c>
      <c r="M926" s="15" t="s">
        <v>3336</v>
      </c>
      <c r="N926" s="15" t="s">
        <v>316</v>
      </c>
      <c r="O926" s="15" t="s">
        <v>3526</v>
      </c>
      <c r="P926" s="15" t="s">
        <v>3523</v>
      </c>
      <c r="Q926" s="15" t="s">
        <v>211</v>
      </c>
      <c r="R926" s="16" t="s">
        <v>54</v>
      </c>
      <c r="S926" s="12" t="s">
        <v>3144</v>
      </c>
      <c r="T926" s="14" t="s">
        <v>55</v>
      </c>
    </row>
    <row r="927" spans="1:20" ht="16.5">
      <c r="A927" s="17" t="s">
        <v>2177</v>
      </c>
      <c r="B927" s="17" t="s">
        <v>311</v>
      </c>
      <c r="C927" s="17" t="s">
        <v>204</v>
      </c>
      <c r="D927" s="19" t="s">
        <v>3338</v>
      </c>
      <c r="E927" s="17" t="s">
        <v>312</v>
      </c>
      <c r="F927" s="21" t="s">
        <v>313</v>
      </c>
      <c r="G927" s="19" t="s">
        <v>3342</v>
      </c>
      <c r="H927" s="24" t="s">
        <v>3527</v>
      </c>
      <c r="I927" s="17" t="s">
        <v>65</v>
      </c>
      <c r="J927" s="21">
        <v>1</v>
      </c>
      <c r="K927" s="21" t="s">
        <v>3133</v>
      </c>
      <c r="L927" s="21" t="s">
        <v>3528</v>
      </c>
      <c r="M927" s="19" t="s">
        <v>3341</v>
      </c>
      <c r="N927" s="19" t="s">
        <v>316</v>
      </c>
      <c r="O927" s="19" t="s">
        <v>3529</v>
      </c>
      <c r="P927" s="19" t="s">
        <v>3342</v>
      </c>
      <c r="Q927" s="19" t="s">
        <v>211</v>
      </c>
      <c r="R927" s="16" t="s">
        <v>54</v>
      </c>
      <c r="S927" s="18" t="s">
        <v>3144</v>
      </c>
      <c r="T927" s="21" t="s">
        <v>55</v>
      </c>
    </row>
    <row r="928" spans="1:20" ht="16.5">
      <c r="A928" s="11" t="s">
        <v>2177</v>
      </c>
      <c r="B928" s="11" t="s">
        <v>311</v>
      </c>
      <c r="C928" s="11" t="s">
        <v>204</v>
      </c>
      <c r="D928" s="15" t="s">
        <v>3343</v>
      </c>
      <c r="E928" s="11" t="s">
        <v>312</v>
      </c>
      <c r="F928" s="14" t="s">
        <v>313</v>
      </c>
      <c r="G928" s="15" t="s">
        <v>3347</v>
      </c>
      <c r="H928" s="23" t="s">
        <v>3530</v>
      </c>
      <c r="I928" s="11" t="s">
        <v>65</v>
      </c>
      <c r="J928" s="14">
        <v>1</v>
      </c>
      <c r="K928" s="14" t="s">
        <v>3133</v>
      </c>
      <c r="L928" s="14" t="s">
        <v>3531</v>
      </c>
      <c r="M928" s="15" t="s">
        <v>3346</v>
      </c>
      <c r="N928" s="15" t="s">
        <v>316</v>
      </c>
      <c r="O928" s="15" t="s">
        <v>3532</v>
      </c>
      <c r="P928" s="15" t="s">
        <v>3347</v>
      </c>
      <c r="Q928" s="15" t="s">
        <v>211</v>
      </c>
      <c r="R928" s="16" t="s">
        <v>54</v>
      </c>
      <c r="S928" s="12" t="s">
        <v>3144</v>
      </c>
      <c r="T928" s="14" t="s">
        <v>55</v>
      </c>
    </row>
    <row r="929" spans="1:20" ht="16.5">
      <c r="A929" s="17" t="s">
        <v>2177</v>
      </c>
      <c r="B929" s="17" t="s">
        <v>311</v>
      </c>
      <c r="C929" s="17" t="s">
        <v>204</v>
      </c>
      <c r="D929" s="18" t="s">
        <v>3348</v>
      </c>
      <c r="E929" s="17" t="s">
        <v>312</v>
      </c>
      <c r="F929" s="21" t="s">
        <v>313</v>
      </c>
      <c r="G929" s="19" t="s">
        <v>3352</v>
      </c>
      <c r="H929" s="24" t="s">
        <v>3533</v>
      </c>
      <c r="I929" s="17" t="s">
        <v>65</v>
      </c>
      <c r="J929" s="21">
        <v>1</v>
      </c>
      <c r="K929" s="21" t="s">
        <v>3133</v>
      </c>
      <c r="L929" s="21" t="s">
        <v>3534</v>
      </c>
      <c r="M929" s="19" t="s">
        <v>3351</v>
      </c>
      <c r="N929" s="19" t="s">
        <v>316</v>
      </c>
      <c r="O929" s="19" t="s">
        <v>3535</v>
      </c>
      <c r="P929" s="19" t="s">
        <v>3352</v>
      </c>
      <c r="Q929" s="19" t="s">
        <v>211</v>
      </c>
      <c r="R929" s="16" t="s">
        <v>54</v>
      </c>
      <c r="S929" s="18" t="s">
        <v>3144</v>
      </c>
      <c r="T929" s="21" t="s">
        <v>55</v>
      </c>
    </row>
    <row r="930" spans="1:20" ht="16.5">
      <c r="A930" s="11" t="s">
        <v>2177</v>
      </c>
      <c r="B930" s="11" t="s">
        <v>311</v>
      </c>
      <c r="C930" s="11" t="s">
        <v>204</v>
      </c>
      <c r="D930" s="12" t="s">
        <v>3353</v>
      </c>
      <c r="E930" s="11" t="s">
        <v>312</v>
      </c>
      <c r="F930" s="14" t="s">
        <v>313</v>
      </c>
      <c r="G930" s="15" t="s">
        <v>3357</v>
      </c>
      <c r="H930" s="23" t="s">
        <v>3536</v>
      </c>
      <c r="I930" s="11" t="s">
        <v>65</v>
      </c>
      <c r="J930" s="14">
        <v>1</v>
      </c>
      <c r="K930" s="14" t="s">
        <v>3133</v>
      </c>
      <c r="L930" s="14" t="s">
        <v>3537</v>
      </c>
      <c r="M930" s="15" t="s">
        <v>3356</v>
      </c>
      <c r="N930" s="15" t="s">
        <v>316</v>
      </c>
      <c r="O930" s="15" t="s">
        <v>3538</v>
      </c>
      <c r="P930" s="15" t="s">
        <v>3357</v>
      </c>
      <c r="Q930" s="15" t="s">
        <v>211</v>
      </c>
      <c r="R930" s="16" t="s">
        <v>54</v>
      </c>
      <c r="S930" s="12" t="s">
        <v>3144</v>
      </c>
      <c r="T930" s="14" t="s">
        <v>55</v>
      </c>
    </row>
    <row r="931" spans="1:20" ht="16.5">
      <c r="A931" s="17" t="s">
        <v>2177</v>
      </c>
      <c r="B931" s="17" t="s">
        <v>311</v>
      </c>
      <c r="C931" s="17" t="s">
        <v>204</v>
      </c>
      <c r="D931" s="18" t="s">
        <v>3358</v>
      </c>
      <c r="E931" s="17" t="s">
        <v>312</v>
      </c>
      <c r="F931" s="21" t="s">
        <v>313</v>
      </c>
      <c r="G931" s="19" t="s">
        <v>3539</v>
      </c>
      <c r="H931" s="24" t="s">
        <v>3540</v>
      </c>
      <c r="I931" s="17" t="s">
        <v>65</v>
      </c>
      <c r="J931" s="21">
        <v>1</v>
      </c>
      <c r="K931" s="21" t="s">
        <v>3133</v>
      </c>
      <c r="L931" s="21" t="s">
        <v>3541</v>
      </c>
      <c r="M931" s="19" t="s">
        <v>3361</v>
      </c>
      <c r="N931" s="19" t="s">
        <v>316</v>
      </c>
      <c r="O931" s="19" t="s">
        <v>3542</v>
      </c>
      <c r="P931" s="19" t="s">
        <v>3539</v>
      </c>
      <c r="Q931" s="19" t="s">
        <v>211</v>
      </c>
      <c r="R931" s="16" t="s">
        <v>54</v>
      </c>
      <c r="S931" s="18" t="s">
        <v>3144</v>
      </c>
      <c r="T931" s="21" t="s">
        <v>55</v>
      </c>
    </row>
    <row r="932" spans="1:20" ht="16.5">
      <c r="A932" s="11" t="s">
        <v>2177</v>
      </c>
      <c r="B932" s="11" t="s">
        <v>311</v>
      </c>
      <c r="C932" s="11" t="s">
        <v>204</v>
      </c>
      <c r="D932" s="12" t="s">
        <v>3358</v>
      </c>
      <c r="E932" s="11" t="s">
        <v>312</v>
      </c>
      <c r="F932" s="14" t="s">
        <v>313</v>
      </c>
      <c r="G932" s="15" t="s">
        <v>3543</v>
      </c>
      <c r="H932" s="23" t="s">
        <v>3544</v>
      </c>
      <c r="I932" s="11" t="s">
        <v>65</v>
      </c>
      <c r="J932" s="14">
        <v>1</v>
      </c>
      <c r="K932" s="14" t="s">
        <v>3133</v>
      </c>
      <c r="L932" s="14" t="s">
        <v>3545</v>
      </c>
      <c r="M932" s="15" t="s">
        <v>3361</v>
      </c>
      <c r="N932" s="15" t="s">
        <v>316</v>
      </c>
      <c r="O932" s="15" t="s">
        <v>3546</v>
      </c>
      <c r="P932" s="15" t="s">
        <v>3543</v>
      </c>
      <c r="Q932" s="15" t="s">
        <v>211</v>
      </c>
      <c r="R932" s="16" t="s">
        <v>54</v>
      </c>
      <c r="S932" s="12" t="s">
        <v>3144</v>
      </c>
      <c r="T932" s="14" t="s">
        <v>55</v>
      </c>
    </row>
    <row r="933" spans="1:20" ht="16.5">
      <c r="A933" s="17" t="s">
        <v>2177</v>
      </c>
      <c r="B933" s="17" t="s">
        <v>311</v>
      </c>
      <c r="C933" s="17" t="s">
        <v>204</v>
      </c>
      <c r="D933" s="18" t="s">
        <v>3363</v>
      </c>
      <c r="E933" s="17" t="s">
        <v>312</v>
      </c>
      <c r="F933" s="21" t="s">
        <v>313</v>
      </c>
      <c r="G933" s="19" t="s">
        <v>3367</v>
      </c>
      <c r="H933" s="24" t="s">
        <v>3547</v>
      </c>
      <c r="I933" s="17" t="s">
        <v>65</v>
      </c>
      <c r="J933" s="21">
        <v>1</v>
      </c>
      <c r="K933" s="21" t="s">
        <v>3133</v>
      </c>
      <c r="L933" s="21" t="s">
        <v>3548</v>
      </c>
      <c r="M933" s="19" t="s">
        <v>3366</v>
      </c>
      <c r="N933" s="19" t="s">
        <v>316</v>
      </c>
      <c r="O933" s="19" t="s">
        <v>3549</v>
      </c>
      <c r="P933" s="19" t="s">
        <v>3367</v>
      </c>
      <c r="Q933" s="19" t="s">
        <v>211</v>
      </c>
      <c r="R933" s="16" t="s">
        <v>54</v>
      </c>
      <c r="S933" s="18" t="s">
        <v>3144</v>
      </c>
      <c r="T933" s="21" t="s">
        <v>55</v>
      </c>
    </row>
    <row r="934" spans="1:20" ht="16.5">
      <c r="A934" s="11" t="s">
        <v>2177</v>
      </c>
      <c r="B934" s="11" t="s">
        <v>487</v>
      </c>
      <c r="C934" s="11" t="s">
        <v>488</v>
      </c>
      <c r="D934" s="12" t="s">
        <v>3550</v>
      </c>
      <c r="E934" s="11" t="s">
        <v>490</v>
      </c>
      <c r="F934" s="11" t="s">
        <v>491</v>
      </c>
      <c r="G934" s="12" t="s">
        <v>3551</v>
      </c>
      <c r="H934" s="23" t="s">
        <v>584</v>
      </c>
      <c r="I934" s="11" t="s">
        <v>494</v>
      </c>
      <c r="J934" s="14">
        <v>1</v>
      </c>
      <c r="K934" s="14" t="s">
        <v>3133</v>
      </c>
      <c r="L934" s="14" t="s">
        <v>3552</v>
      </c>
      <c r="M934" s="15" t="s">
        <v>3553</v>
      </c>
      <c r="N934" s="15" t="s">
        <v>497</v>
      </c>
      <c r="O934" s="15" t="s">
        <v>3554</v>
      </c>
      <c r="P934" s="15" t="s">
        <v>3555</v>
      </c>
      <c r="Q934" s="15" t="s">
        <v>500</v>
      </c>
      <c r="R934" s="16" t="s">
        <v>54</v>
      </c>
      <c r="S934" s="12" t="s">
        <v>3144</v>
      </c>
      <c r="T934" s="14" t="s">
        <v>55</v>
      </c>
    </row>
    <row r="935" spans="1:20" ht="16.5">
      <c r="A935" s="17" t="s">
        <v>2177</v>
      </c>
      <c r="B935" s="17" t="s">
        <v>487</v>
      </c>
      <c r="C935" s="17" t="s">
        <v>204</v>
      </c>
      <c r="D935" s="18" t="s">
        <v>3288</v>
      </c>
      <c r="E935" s="17" t="s">
        <v>501</v>
      </c>
      <c r="F935" s="17" t="s">
        <v>488</v>
      </c>
      <c r="G935" s="18" t="s">
        <v>3550</v>
      </c>
      <c r="H935" s="20" t="s">
        <v>3556</v>
      </c>
      <c r="I935" s="17" t="s">
        <v>494</v>
      </c>
      <c r="J935" s="21">
        <v>1</v>
      </c>
      <c r="K935" s="21" t="s">
        <v>3133</v>
      </c>
      <c r="L935" s="21" t="s">
        <v>3557</v>
      </c>
      <c r="M935" s="19" t="s">
        <v>3291</v>
      </c>
      <c r="N935" s="19" t="s">
        <v>504</v>
      </c>
      <c r="O935" s="19" t="s">
        <v>3553</v>
      </c>
      <c r="P935" s="19"/>
      <c r="Q935" s="19" t="s">
        <v>211</v>
      </c>
      <c r="R935" s="16" t="s">
        <v>54</v>
      </c>
      <c r="S935" s="18" t="s">
        <v>3144</v>
      </c>
      <c r="T935" s="21" t="s">
        <v>55</v>
      </c>
    </row>
    <row r="936" spans="1:20" ht="29.25">
      <c r="A936" s="11" t="s">
        <v>2177</v>
      </c>
      <c r="B936" s="11" t="s">
        <v>487</v>
      </c>
      <c r="C936" s="11" t="s">
        <v>491</v>
      </c>
      <c r="D936" s="12" t="s">
        <v>3551</v>
      </c>
      <c r="E936" s="11" t="s">
        <v>505</v>
      </c>
      <c r="F936" s="11" t="s">
        <v>204</v>
      </c>
      <c r="G936" s="12" t="s">
        <v>3288</v>
      </c>
      <c r="H936" s="13" t="s">
        <v>3558</v>
      </c>
      <c r="I936" s="11" t="s">
        <v>507</v>
      </c>
      <c r="J936" s="14">
        <v>1</v>
      </c>
      <c r="K936" s="14" t="s">
        <v>3133</v>
      </c>
      <c r="L936" s="14" t="s">
        <v>3559</v>
      </c>
      <c r="M936" s="15" t="s">
        <v>3554</v>
      </c>
      <c r="N936" s="15" t="s">
        <v>509</v>
      </c>
      <c r="O936" s="15" t="s">
        <v>3291</v>
      </c>
      <c r="P936" s="15" t="s">
        <v>3555</v>
      </c>
      <c r="Q936" s="12" t="s">
        <v>286</v>
      </c>
      <c r="R936" s="22" t="s">
        <v>88</v>
      </c>
      <c r="S936" s="12" t="s">
        <v>3144</v>
      </c>
      <c r="T936" s="14" t="s">
        <v>55</v>
      </c>
    </row>
    <row r="937" spans="1:20" ht="16.5">
      <c r="A937" s="17" t="s">
        <v>2177</v>
      </c>
      <c r="B937" s="17" t="s">
        <v>487</v>
      </c>
      <c r="C937" s="17" t="s">
        <v>488</v>
      </c>
      <c r="D937" s="18" t="s">
        <v>3560</v>
      </c>
      <c r="E937" s="17" t="s">
        <v>490</v>
      </c>
      <c r="F937" s="17" t="s">
        <v>491</v>
      </c>
      <c r="G937" s="18" t="s">
        <v>3561</v>
      </c>
      <c r="H937" s="24" t="s">
        <v>584</v>
      </c>
      <c r="I937" s="17" t="s">
        <v>494</v>
      </c>
      <c r="J937" s="21">
        <v>1</v>
      </c>
      <c r="K937" s="21" t="s">
        <v>3133</v>
      </c>
      <c r="L937" s="21" t="s">
        <v>3562</v>
      </c>
      <c r="M937" s="19" t="s">
        <v>3563</v>
      </c>
      <c r="N937" s="19" t="s">
        <v>497</v>
      </c>
      <c r="O937" s="19" t="s">
        <v>3564</v>
      </c>
      <c r="P937" s="19" t="s">
        <v>3565</v>
      </c>
      <c r="Q937" s="19" t="s">
        <v>500</v>
      </c>
      <c r="R937" s="16" t="s">
        <v>54</v>
      </c>
      <c r="S937" s="18" t="s">
        <v>3144</v>
      </c>
      <c r="T937" s="21" t="s">
        <v>55</v>
      </c>
    </row>
    <row r="938" spans="1:20" ht="16.5">
      <c r="A938" s="11" t="s">
        <v>2177</v>
      </c>
      <c r="B938" s="11" t="s">
        <v>487</v>
      </c>
      <c r="C938" s="11" t="s">
        <v>204</v>
      </c>
      <c r="D938" s="12" t="s">
        <v>3313</v>
      </c>
      <c r="E938" s="11" t="s">
        <v>501</v>
      </c>
      <c r="F938" s="11" t="s">
        <v>488</v>
      </c>
      <c r="G938" s="12" t="s">
        <v>3560</v>
      </c>
      <c r="H938" s="13" t="s">
        <v>3566</v>
      </c>
      <c r="I938" s="11" t="s">
        <v>494</v>
      </c>
      <c r="J938" s="14">
        <v>1</v>
      </c>
      <c r="K938" s="14" t="s">
        <v>3133</v>
      </c>
      <c r="L938" s="14" t="s">
        <v>3567</v>
      </c>
      <c r="M938" s="15" t="s">
        <v>3316</v>
      </c>
      <c r="N938" s="15" t="s">
        <v>504</v>
      </c>
      <c r="O938" s="15" t="s">
        <v>3563</v>
      </c>
      <c r="P938" s="15"/>
      <c r="Q938" s="15" t="s">
        <v>211</v>
      </c>
      <c r="R938" s="16" t="s">
        <v>54</v>
      </c>
      <c r="S938" s="12" t="s">
        <v>3144</v>
      </c>
      <c r="T938" s="14" t="s">
        <v>55</v>
      </c>
    </row>
    <row r="939" spans="1:20" ht="29.25">
      <c r="A939" s="17" t="s">
        <v>2177</v>
      </c>
      <c r="B939" s="17" t="s">
        <v>487</v>
      </c>
      <c r="C939" s="17" t="s">
        <v>491</v>
      </c>
      <c r="D939" s="18" t="s">
        <v>3561</v>
      </c>
      <c r="E939" s="17" t="s">
        <v>505</v>
      </c>
      <c r="F939" s="17" t="s">
        <v>204</v>
      </c>
      <c r="G939" s="18" t="s">
        <v>3313</v>
      </c>
      <c r="H939" s="20" t="s">
        <v>3568</v>
      </c>
      <c r="I939" s="17" t="s">
        <v>507</v>
      </c>
      <c r="J939" s="21">
        <v>1</v>
      </c>
      <c r="K939" s="21" t="s">
        <v>3133</v>
      </c>
      <c r="L939" s="21" t="s">
        <v>3569</v>
      </c>
      <c r="M939" s="19" t="s">
        <v>3564</v>
      </c>
      <c r="N939" s="19" t="s">
        <v>509</v>
      </c>
      <c r="O939" s="19" t="s">
        <v>3316</v>
      </c>
      <c r="P939" s="19" t="s">
        <v>3565</v>
      </c>
      <c r="Q939" s="18" t="s">
        <v>286</v>
      </c>
      <c r="R939" s="22" t="s">
        <v>88</v>
      </c>
      <c r="S939" s="18" t="s">
        <v>3144</v>
      </c>
      <c r="T939" s="21" t="s">
        <v>55</v>
      </c>
    </row>
    <row r="940" spans="1:20" ht="16.5">
      <c r="A940" s="11" t="s">
        <v>2177</v>
      </c>
      <c r="B940" s="11" t="s">
        <v>487</v>
      </c>
      <c r="C940" s="11" t="s">
        <v>488</v>
      </c>
      <c r="D940" s="12" t="s">
        <v>3570</v>
      </c>
      <c r="E940" s="11" t="s">
        <v>490</v>
      </c>
      <c r="F940" s="11" t="s">
        <v>491</v>
      </c>
      <c r="G940" s="12" t="s">
        <v>3571</v>
      </c>
      <c r="H940" s="23" t="s">
        <v>584</v>
      </c>
      <c r="I940" s="11" t="s">
        <v>494</v>
      </c>
      <c r="J940" s="14">
        <v>1</v>
      </c>
      <c r="K940" s="14" t="s">
        <v>3133</v>
      </c>
      <c r="L940" s="14" t="s">
        <v>3572</v>
      </c>
      <c r="M940" s="15" t="s">
        <v>3573</v>
      </c>
      <c r="N940" s="15" t="s">
        <v>497</v>
      </c>
      <c r="O940" s="15" t="s">
        <v>3574</v>
      </c>
      <c r="P940" s="15" t="s">
        <v>3575</v>
      </c>
      <c r="Q940" s="15" t="s">
        <v>500</v>
      </c>
      <c r="R940" s="16" t="s">
        <v>54</v>
      </c>
      <c r="S940" s="12" t="s">
        <v>3144</v>
      </c>
      <c r="T940" s="14" t="s">
        <v>55</v>
      </c>
    </row>
    <row r="941" spans="1:20" ht="16.5">
      <c r="A941" s="17" t="s">
        <v>2177</v>
      </c>
      <c r="B941" s="17" t="s">
        <v>487</v>
      </c>
      <c r="C941" s="17" t="s">
        <v>204</v>
      </c>
      <c r="D941" s="18" t="s">
        <v>3308</v>
      </c>
      <c r="E941" s="17" t="s">
        <v>501</v>
      </c>
      <c r="F941" s="17" t="s">
        <v>488</v>
      </c>
      <c r="G941" s="18" t="s">
        <v>3570</v>
      </c>
      <c r="H941" s="20" t="s">
        <v>3576</v>
      </c>
      <c r="I941" s="17" t="s">
        <v>494</v>
      </c>
      <c r="J941" s="21">
        <v>1</v>
      </c>
      <c r="K941" s="21" t="s">
        <v>3133</v>
      </c>
      <c r="L941" s="21" t="s">
        <v>3577</v>
      </c>
      <c r="M941" s="19" t="s">
        <v>3311</v>
      </c>
      <c r="N941" s="19" t="s">
        <v>504</v>
      </c>
      <c r="O941" s="19" t="s">
        <v>3573</v>
      </c>
      <c r="P941" s="19"/>
      <c r="Q941" s="19" t="s">
        <v>211</v>
      </c>
      <c r="R941" s="16" t="s">
        <v>54</v>
      </c>
      <c r="S941" s="18" t="s">
        <v>3144</v>
      </c>
      <c r="T941" s="21" t="s">
        <v>55</v>
      </c>
    </row>
    <row r="942" spans="1:20" ht="29.25">
      <c r="A942" s="11" t="s">
        <v>2177</v>
      </c>
      <c r="B942" s="11" t="s">
        <v>487</v>
      </c>
      <c r="C942" s="11" t="s">
        <v>491</v>
      </c>
      <c r="D942" s="12" t="s">
        <v>3571</v>
      </c>
      <c r="E942" s="11" t="s">
        <v>505</v>
      </c>
      <c r="F942" s="11" t="s">
        <v>204</v>
      </c>
      <c r="G942" s="12" t="s">
        <v>3308</v>
      </c>
      <c r="H942" s="13" t="s">
        <v>3578</v>
      </c>
      <c r="I942" s="11" t="s">
        <v>507</v>
      </c>
      <c r="J942" s="14">
        <v>1</v>
      </c>
      <c r="K942" s="14" t="s">
        <v>3133</v>
      </c>
      <c r="L942" s="14" t="s">
        <v>3579</v>
      </c>
      <c r="M942" s="15" t="s">
        <v>3574</v>
      </c>
      <c r="N942" s="15" t="s">
        <v>509</v>
      </c>
      <c r="O942" s="15" t="s">
        <v>3311</v>
      </c>
      <c r="P942" s="15" t="s">
        <v>3575</v>
      </c>
      <c r="Q942" s="12" t="s">
        <v>286</v>
      </c>
      <c r="R942" s="22" t="s">
        <v>88</v>
      </c>
      <c r="S942" s="12" t="s">
        <v>3144</v>
      </c>
      <c r="T942" s="14" t="s">
        <v>55</v>
      </c>
    </row>
    <row r="943" spans="1:20" ht="16.5">
      <c r="A943" s="17" t="s">
        <v>2177</v>
      </c>
      <c r="B943" s="17" t="s">
        <v>487</v>
      </c>
      <c r="C943" s="17" t="s">
        <v>62</v>
      </c>
      <c r="D943" s="18" t="s">
        <v>3140</v>
      </c>
      <c r="E943" s="17" t="s">
        <v>555</v>
      </c>
      <c r="F943" s="17" t="s">
        <v>556</v>
      </c>
      <c r="G943" s="18" t="s">
        <v>3580</v>
      </c>
      <c r="H943" s="24" t="s">
        <v>584</v>
      </c>
      <c r="I943" s="17" t="s">
        <v>559</v>
      </c>
      <c r="J943" s="21">
        <v>1</v>
      </c>
      <c r="K943" s="21" t="s">
        <v>3133</v>
      </c>
      <c r="L943" s="21" t="s">
        <v>3581</v>
      </c>
      <c r="M943" s="19" t="s">
        <v>3143</v>
      </c>
      <c r="N943" s="19" t="s">
        <v>561</v>
      </c>
      <c r="O943" s="19" t="s">
        <v>3582</v>
      </c>
      <c r="P943" s="19"/>
      <c r="Q943" s="18" t="s">
        <v>53</v>
      </c>
      <c r="R943" s="16" t="s">
        <v>54</v>
      </c>
      <c r="S943" s="18" t="s">
        <v>3144</v>
      </c>
      <c r="T943" s="21" t="s">
        <v>55</v>
      </c>
    </row>
    <row r="944" spans="1:20" ht="16.5">
      <c r="A944" s="11" t="s">
        <v>2177</v>
      </c>
      <c r="B944" s="11" t="s">
        <v>564</v>
      </c>
      <c r="C944" s="11" t="s">
        <v>204</v>
      </c>
      <c r="D944" s="15" t="s">
        <v>3583</v>
      </c>
      <c r="E944" s="11" t="s">
        <v>565</v>
      </c>
      <c r="F944" s="11" t="s">
        <v>566</v>
      </c>
      <c r="G944" s="15" t="s">
        <v>3584</v>
      </c>
      <c r="H944" s="13" t="s">
        <v>3585</v>
      </c>
      <c r="I944" s="11" t="s">
        <v>569</v>
      </c>
      <c r="J944" s="14">
        <v>1</v>
      </c>
      <c r="K944" s="14" t="s">
        <v>3133</v>
      </c>
      <c r="L944" s="14" t="s">
        <v>3586</v>
      </c>
      <c r="M944" s="15" t="s">
        <v>3587</v>
      </c>
      <c r="N944" s="15" t="s">
        <v>571</v>
      </c>
      <c r="O944" s="15" t="s">
        <v>3588</v>
      </c>
      <c r="P944" s="15" t="s">
        <v>3589</v>
      </c>
      <c r="Q944" s="12" t="s">
        <v>53</v>
      </c>
      <c r="R944" s="16" t="s">
        <v>54</v>
      </c>
      <c r="S944" s="12" t="s">
        <v>3144</v>
      </c>
      <c r="T944" s="14" t="s">
        <v>55</v>
      </c>
    </row>
    <row r="945" spans="1:20" ht="16.5">
      <c r="A945" s="17" t="s">
        <v>2177</v>
      </c>
      <c r="B945" s="17" t="s">
        <v>578</v>
      </c>
      <c r="C945" s="17" t="s">
        <v>300</v>
      </c>
      <c r="D945" s="19" t="s">
        <v>2486</v>
      </c>
      <c r="E945" s="17" t="s">
        <v>579</v>
      </c>
      <c r="F945" s="17" t="s">
        <v>62</v>
      </c>
      <c r="G945" s="18" t="s">
        <v>3140</v>
      </c>
      <c r="H945" s="24" t="s">
        <v>3590</v>
      </c>
      <c r="I945" s="17" t="s">
        <v>3591</v>
      </c>
      <c r="J945" s="21">
        <v>1</v>
      </c>
      <c r="K945" s="21" t="s">
        <v>3133</v>
      </c>
      <c r="L945" s="21" t="s">
        <v>3592</v>
      </c>
      <c r="M945" s="19" t="s">
        <v>2489</v>
      </c>
      <c r="N945" s="19" t="s">
        <v>583</v>
      </c>
      <c r="O945" s="19" t="s">
        <v>3143</v>
      </c>
      <c r="P945" s="19"/>
      <c r="Q945" s="18" t="s">
        <v>53</v>
      </c>
      <c r="R945" s="16" t="s">
        <v>54</v>
      </c>
      <c r="S945" s="18" t="s">
        <v>3144</v>
      </c>
      <c r="T945" s="21" t="s">
        <v>55</v>
      </c>
    </row>
    <row r="946" spans="1:20" ht="16.5">
      <c r="A946" s="11" t="s">
        <v>2177</v>
      </c>
      <c r="B946" s="11" t="s">
        <v>578</v>
      </c>
      <c r="C946" s="11" t="s">
        <v>1250</v>
      </c>
      <c r="D946" s="12" t="s">
        <v>3593</v>
      </c>
      <c r="E946" s="11" t="s">
        <v>1386</v>
      </c>
      <c r="F946" s="11" t="s">
        <v>62</v>
      </c>
      <c r="G946" s="12" t="s">
        <v>3140</v>
      </c>
      <c r="H946" s="13" t="s">
        <v>3594</v>
      </c>
      <c r="I946" s="11" t="s">
        <v>3591</v>
      </c>
      <c r="J946" s="14">
        <v>1</v>
      </c>
      <c r="K946" s="14" t="s">
        <v>3133</v>
      </c>
      <c r="L946" s="14" t="s">
        <v>3595</v>
      </c>
      <c r="M946" s="15" t="s">
        <v>3596</v>
      </c>
      <c r="N946" s="15" t="s">
        <v>1390</v>
      </c>
      <c r="O946" s="15" t="s">
        <v>3143</v>
      </c>
      <c r="P946" s="15"/>
      <c r="Q946" s="12" t="s">
        <v>53</v>
      </c>
      <c r="R946" s="16" t="s">
        <v>54</v>
      </c>
      <c r="S946" s="12" t="s">
        <v>3144</v>
      </c>
      <c r="T946" s="14" t="s">
        <v>55</v>
      </c>
    </row>
    <row r="947" spans="1:20" ht="16.5">
      <c r="A947" s="17" t="s">
        <v>2177</v>
      </c>
      <c r="B947" s="17" t="s">
        <v>578</v>
      </c>
      <c r="C947" s="17" t="s">
        <v>1250</v>
      </c>
      <c r="D947" s="18" t="s">
        <v>2151</v>
      </c>
      <c r="E947" s="17" t="s">
        <v>1386</v>
      </c>
      <c r="F947" s="17" t="s">
        <v>62</v>
      </c>
      <c r="G947" s="18" t="s">
        <v>3140</v>
      </c>
      <c r="H947" s="20" t="s">
        <v>3280</v>
      </c>
      <c r="I947" s="17" t="s">
        <v>3591</v>
      </c>
      <c r="J947" s="21">
        <v>1</v>
      </c>
      <c r="K947" s="21" t="s">
        <v>3133</v>
      </c>
      <c r="L947" s="21" t="s">
        <v>3597</v>
      </c>
      <c r="M947" s="19" t="s">
        <v>2153</v>
      </c>
      <c r="N947" s="19" t="s">
        <v>1390</v>
      </c>
      <c r="O947" s="19" t="s">
        <v>3143</v>
      </c>
      <c r="P947" s="19"/>
      <c r="Q947" s="18" t="s">
        <v>53</v>
      </c>
      <c r="R947" s="16" t="s">
        <v>54</v>
      </c>
      <c r="S947" s="18" t="s">
        <v>3144</v>
      </c>
      <c r="T947" s="21" t="s">
        <v>55</v>
      </c>
    </row>
    <row r="948" spans="1:20" ht="16.5">
      <c r="A948" s="11" t="s">
        <v>2177</v>
      </c>
      <c r="B948" s="11" t="s">
        <v>578</v>
      </c>
      <c r="C948" s="11" t="s">
        <v>62</v>
      </c>
      <c r="D948" s="12" t="s">
        <v>3140</v>
      </c>
      <c r="E948" s="11" t="s">
        <v>635</v>
      </c>
      <c r="F948" s="11" t="s">
        <v>300</v>
      </c>
      <c r="G948" s="12" t="s">
        <v>3378</v>
      </c>
      <c r="H948" s="13" t="s">
        <v>3598</v>
      </c>
      <c r="I948" s="11" t="s">
        <v>3591</v>
      </c>
      <c r="J948" s="14">
        <v>1</v>
      </c>
      <c r="K948" s="14" t="s">
        <v>3133</v>
      </c>
      <c r="L948" s="14" t="s">
        <v>3599</v>
      </c>
      <c r="M948" s="15" t="s">
        <v>3143</v>
      </c>
      <c r="N948" s="15" t="s">
        <v>640</v>
      </c>
      <c r="O948" s="15" t="s">
        <v>3382</v>
      </c>
      <c r="P948" s="15"/>
      <c r="Q948" s="12" t="s">
        <v>53</v>
      </c>
      <c r="R948" s="16" t="s">
        <v>54</v>
      </c>
      <c r="S948" s="12" t="s">
        <v>3144</v>
      </c>
      <c r="T948" s="14" t="s">
        <v>55</v>
      </c>
    </row>
    <row r="949" spans="1:20" ht="16.5">
      <c r="A949" s="17" t="s">
        <v>2177</v>
      </c>
      <c r="B949" s="17" t="s">
        <v>578</v>
      </c>
      <c r="C949" s="17" t="s">
        <v>62</v>
      </c>
      <c r="D949" s="18" t="s">
        <v>3140</v>
      </c>
      <c r="E949" s="17" t="s">
        <v>635</v>
      </c>
      <c r="F949" s="17" t="s">
        <v>300</v>
      </c>
      <c r="G949" s="18" t="s">
        <v>3600</v>
      </c>
      <c r="H949" s="20" t="s">
        <v>3601</v>
      </c>
      <c r="I949" s="17" t="s">
        <v>3591</v>
      </c>
      <c r="J949" s="21">
        <v>1</v>
      </c>
      <c r="K949" s="21" t="s">
        <v>3133</v>
      </c>
      <c r="L949" s="21" t="s">
        <v>3602</v>
      </c>
      <c r="M949" s="19" t="s">
        <v>3143</v>
      </c>
      <c r="N949" s="19" t="s">
        <v>640</v>
      </c>
      <c r="O949" s="19" t="s">
        <v>3603</v>
      </c>
      <c r="P949" s="19"/>
      <c r="Q949" s="18" t="s">
        <v>53</v>
      </c>
      <c r="R949" s="16" t="s">
        <v>54</v>
      </c>
      <c r="S949" s="18" t="s">
        <v>3144</v>
      </c>
      <c r="T949" s="21" t="s">
        <v>55</v>
      </c>
    </row>
    <row r="950" spans="1:20" ht="16.5">
      <c r="A950" s="11" t="s">
        <v>2177</v>
      </c>
      <c r="B950" s="11" t="s">
        <v>578</v>
      </c>
      <c r="C950" s="11" t="s">
        <v>300</v>
      </c>
      <c r="D950" s="12" t="s">
        <v>3600</v>
      </c>
      <c r="E950" s="11" t="s">
        <v>579</v>
      </c>
      <c r="F950" s="11" t="s">
        <v>62</v>
      </c>
      <c r="G950" s="12" t="s">
        <v>3174</v>
      </c>
      <c r="H950" s="23" t="s">
        <v>584</v>
      </c>
      <c r="I950" s="11" t="s">
        <v>3604</v>
      </c>
      <c r="J950" s="14">
        <v>1</v>
      </c>
      <c r="K950" s="14" t="s">
        <v>3133</v>
      </c>
      <c r="L950" s="14" t="s">
        <v>3605</v>
      </c>
      <c r="M950" s="15" t="s">
        <v>3603</v>
      </c>
      <c r="N950" s="15" t="s">
        <v>583</v>
      </c>
      <c r="O950" s="15" t="s">
        <v>3177</v>
      </c>
      <c r="P950" s="15"/>
      <c r="Q950" s="12" t="s">
        <v>53</v>
      </c>
      <c r="R950" s="16" t="s">
        <v>54</v>
      </c>
      <c r="S950" s="12" t="s">
        <v>3144</v>
      </c>
      <c r="T950" s="14" t="s">
        <v>55</v>
      </c>
    </row>
    <row r="951" spans="1:20" ht="16.5">
      <c r="A951" s="17" t="s">
        <v>2177</v>
      </c>
      <c r="B951" s="17" t="s">
        <v>578</v>
      </c>
      <c r="C951" s="17" t="s">
        <v>1250</v>
      </c>
      <c r="D951" s="18" t="s">
        <v>3606</v>
      </c>
      <c r="E951" s="17" t="s">
        <v>1386</v>
      </c>
      <c r="F951" s="17" t="s">
        <v>62</v>
      </c>
      <c r="G951" s="18" t="s">
        <v>3174</v>
      </c>
      <c r="H951" s="24" t="s">
        <v>3607</v>
      </c>
      <c r="I951" s="17" t="s">
        <v>3604</v>
      </c>
      <c r="J951" s="21">
        <v>1</v>
      </c>
      <c r="K951" s="21" t="s">
        <v>3133</v>
      </c>
      <c r="L951" s="21" t="s">
        <v>3608</v>
      </c>
      <c r="M951" s="19" t="s">
        <v>3609</v>
      </c>
      <c r="N951" s="19" t="s">
        <v>1390</v>
      </c>
      <c r="O951" s="19" t="s">
        <v>3177</v>
      </c>
      <c r="P951" s="19"/>
      <c r="Q951" s="18" t="s">
        <v>53</v>
      </c>
      <c r="R951" s="16" t="s">
        <v>54</v>
      </c>
      <c r="S951" s="18" t="s">
        <v>3144</v>
      </c>
      <c r="T951" s="21" t="s">
        <v>55</v>
      </c>
    </row>
    <row r="952" spans="1:20" ht="16.5">
      <c r="A952" s="11" t="s">
        <v>2177</v>
      </c>
      <c r="B952" s="11" t="s">
        <v>578</v>
      </c>
      <c r="C952" s="11" t="s">
        <v>62</v>
      </c>
      <c r="D952" s="12" t="s">
        <v>3174</v>
      </c>
      <c r="E952" s="11" t="s">
        <v>45</v>
      </c>
      <c r="F952" s="11" t="s">
        <v>62</v>
      </c>
      <c r="G952" s="12" t="s">
        <v>3216</v>
      </c>
      <c r="H952" s="23" t="s">
        <v>584</v>
      </c>
      <c r="I952" s="11" t="s">
        <v>3604</v>
      </c>
      <c r="J952" s="14">
        <v>1</v>
      </c>
      <c r="K952" s="14" t="s">
        <v>3133</v>
      </c>
      <c r="L952" s="14" t="s">
        <v>3610</v>
      </c>
      <c r="M952" s="15" t="s">
        <v>3177</v>
      </c>
      <c r="N952" s="15" t="s">
        <v>51</v>
      </c>
      <c r="O952" s="15" t="s">
        <v>3219</v>
      </c>
      <c r="P952" s="15"/>
      <c r="Q952" s="12" t="s">
        <v>53</v>
      </c>
      <c r="R952" s="16" t="s">
        <v>54</v>
      </c>
      <c r="S952" s="12" t="s">
        <v>3144</v>
      </c>
      <c r="T952" s="14" t="s">
        <v>55</v>
      </c>
    </row>
    <row r="953" spans="1:20" ht="16.5">
      <c r="A953" s="17" t="s">
        <v>2177</v>
      </c>
      <c r="B953" s="17" t="s">
        <v>578</v>
      </c>
      <c r="C953" s="17" t="s">
        <v>62</v>
      </c>
      <c r="D953" s="18" t="s">
        <v>3216</v>
      </c>
      <c r="E953" s="17" t="s">
        <v>45</v>
      </c>
      <c r="F953" s="17" t="s">
        <v>62</v>
      </c>
      <c r="G953" s="18" t="s">
        <v>3237</v>
      </c>
      <c r="H953" s="24" t="s">
        <v>3611</v>
      </c>
      <c r="I953" s="17" t="s">
        <v>645</v>
      </c>
      <c r="J953" s="21">
        <v>1</v>
      </c>
      <c r="K953" s="21" t="s">
        <v>3133</v>
      </c>
      <c r="L953" s="21" t="s">
        <v>3612</v>
      </c>
      <c r="M953" s="19" t="s">
        <v>3219</v>
      </c>
      <c r="N953" s="19" t="s">
        <v>51</v>
      </c>
      <c r="O953" s="19" t="s">
        <v>3240</v>
      </c>
      <c r="P953" s="19"/>
      <c r="Q953" s="18" t="s">
        <v>649</v>
      </c>
      <c r="R953" s="22" t="s">
        <v>88</v>
      </c>
      <c r="S953" s="18" t="s">
        <v>3144</v>
      </c>
      <c r="T953" s="21" t="s">
        <v>55</v>
      </c>
    </row>
    <row r="954" spans="1:20" ht="16.5">
      <c r="A954" s="11" t="s">
        <v>2177</v>
      </c>
      <c r="B954" s="11" t="s">
        <v>578</v>
      </c>
      <c r="C954" s="11" t="s">
        <v>300</v>
      </c>
      <c r="D954" s="12" t="s">
        <v>3378</v>
      </c>
      <c r="E954" s="11" t="s">
        <v>579</v>
      </c>
      <c r="F954" s="11" t="s">
        <v>62</v>
      </c>
      <c r="G954" s="12" t="s">
        <v>3195</v>
      </c>
      <c r="H954" s="23" t="s">
        <v>584</v>
      </c>
      <c r="I954" s="11" t="s">
        <v>3613</v>
      </c>
      <c r="J954" s="14">
        <v>1</v>
      </c>
      <c r="K954" s="14" t="s">
        <v>3133</v>
      </c>
      <c r="L954" s="14" t="s">
        <v>3614</v>
      </c>
      <c r="M954" s="15" t="s">
        <v>3382</v>
      </c>
      <c r="N954" s="15" t="s">
        <v>583</v>
      </c>
      <c r="O954" s="15" t="s">
        <v>3198</v>
      </c>
      <c r="P954" s="15"/>
      <c r="Q954" s="12" t="s">
        <v>53</v>
      </c>
      <c r="R954" s="16" t="s">
        <v>54</v>
      </c>
      <c r="S954" s="12" t="s">
        <v>3144</v>
      </c>
      <c r="T954" s="14" t="s">
        <v>55</v>
      </c>
    </row>
    <row r="955" spans="1:20" ht="16.5">
      <c r="A955" s="17" t="s">
        <v>2177</v>
      </c>
      <c r="B955" s="17" t="s">
        <v>578</v>
      </c>
      <c r="C955" s="17" t="s">
        <v>62</v>
      </c>
      <c r="D955" s="18" t="s">
        <v>3195</v>
      </c>
      <c r="E955" s="17" t="s">
        <v>45</v>
      </c>
      <c r="F955" s="17" t="s">
        <v>62</v>
      </c>
      <c r="G955" s="19" t="s">
        <v>3245</v>
      </c>
      <c r="H955" s="20" t="s">
        <v>3615</v>
      </c>
      <c r="I955" s="17" t="s">
        <v>3613</v>
      </c>
      <c r="J955" s="21">
        <v>1</v>
      </c>
      <c r="K955" s="21" t="s">
        <v>3133</v>
      </c>
      <c r="L955" s="21" t="s">
        <v>3616</v>
      </c>
      <c r="M955" s="19" t="s">
        <v>3198</v>
      </c>
      <c r="N955" s="19" t="s">
        <v>51</v>
      </c>
      <c r="O955" s="19" t="s">
        <v>3248</v>
      </c>
      <c r="P955" s="19"/>
      <c r="Q955" s="18" t="s">
        <v>53</v>
      </c>
      <c r="R955" s="16" t="s">
        <v>54</v>
      </c>
      <c r="S955" s="18" t="s">
        <v>3144</v>
      </c>
      <c r="T955" s="21" t="s">
        <v>55</v>
      </c>
    </row>
    <row r="956" spans="1:20" ht="16.5">
      <c r="A956" s="11" t="s">
        <v>2177</v>
      </c>
      <c r="B956" s="11" t="s">
        <v>578</v>
      </c>
      <c r="C956" s="11" t="s">
        <v>62</v>
      </c>
      <c r="D956" s="15" t="s">
        <v>3245</v>
      </c>
      <c r="E956" s="11" t="s">
        <v>45</v>
      </c>
      <c r="F956" s="11" t="s">
        <v>62</v>
      </c>
      <c r="G956" s="15" t="s">
        <v>3617</v>
      </c>
      <c r="H956" s="13" t="s">
        <v>3618</v>
      </c>
      <c r="I956" s="11" t="s">
        <v>43</v>
      </c>
      <c r="J956" s="14">
        <v>1</v>
      </c>
      <c r="K956" s="14" t="s">
        <v>3133</v>
      </c>
      <c r="L956" s="14" t="s">
        <v>3619</v>
      </c>
      <c r="M956" s="15" t="s">
        <v>3248</v>
      </c>
      <c r="N956" s="15" t="s">
        <v>51</v>
      </c>
      <c r="O956" s="15" t="s">
        <v>3620</v>
      </c>
      <c r="P956" s="15"/>
      <c r="Q956" s="12" t="s">
        <v>53</v>
      </c>
      <c r="R956" s="16" t="s">
        <v>54</v>
      </c>
      <c r="S956" s="12" t="s">
        <v>3144</v>
      </c>
      <c r="T956" s="14" t="s">
        <v>55</v>
      </c>
    </row>
    <row r="957" spans="1:20" ht="16.5">
      <c r="A957" s="17" t="s">
        <v>2177</v>
      </c>
      <c r="B957" s="17" t="s">
        <v>578</v>
      </c>
      <c r="C957" s="17" t="s">
        <v>62</v>
      </c>
      <c r="D957" s="18" t="s">
        <v>3264</v>
      </c>
      <c r="E957" s="17" t="s">
        <v>45</v>
      </c>
      <c r="F957" s="17" t="s">
        <v>62</v>
      </c>
      <c r="G957" s="18" t="s">
        <v>3140</v>
      </c>
      <c r="H957" s="20" t="s">
        <v>3621</v>
      </c>
      <c r="I957" s="17" t="s">
        <v>1023</v>
      </c>
      <c r="J957" s="21">
        <v>1</v>
      </c>
      <c r="K957" s="21" t="s">
        <v>3133</v>
      </c>
      <c r="L957" s="21" t="s">
        <v>3622</v>
      </c>
      <c r="M957" s="19" t="s">
        <v>3267</v>
      </c>
      <c r="N957" s="19" t="s">
        <v>51</v>
      </c>
      <c r="O957" s="19" t="s">
        <v>3143</v>
      </c>
      <c r="P957" s="19"/>
      <c r="Q957" s="18" t="s">
        <v>53</v>
      </c>
      <c r="R957" s="16" t="s">
        <v>54</v>
      </c>
      <c r="S957" s="18" t="s">
        <v>3144</v>
      </c>
      <c r="T957" s="21" t="s">
        <v>55</v>
      </c>
    </row>
    <row r="958" spans="1:20" ht="16.5">
      <c r="A958" s="11" t="s">
        <v>2177</v>
      </c>
      <c r="B958" s="11" t="s">
        <v>578</v>
      </c>
      <c r="C958" s="11" t="s">
        <v>62</v>
      </c>
      <c r="D958" s="12" t="s">
        <v>3280</v>
      </c>
      <c r="E958" s="11" t="s">
        <v>635</v>
      </c>
      <c r="F958" s="11" t="s">
        <v>1250</v>
      </c>
      <c r="G958" s="12" t="s">
        <v>2151</v>
      </c>
      <c r="H958" s="13" t="s">
        <v>3623</v>
      </c>
      <c r="I958" s="11" t="s">
        <v>1023</v>
      </c>
      <c r="J958" s="14">
        <v>1</v>
      </c>
      <c r="K958" s="14" t="s">
        <v>3133</v>
      </c>
      <c r="L958" s="14" t="s">
        <v>3624</v>
      </c>
      <c r="M958" s="15" t="s">
        <v>3283</v>
      </c>
      <c r="N958" s="15" t="s">
        <v>640</v>
      </c>
      <c r="O958" s="15" t="s">
        <v>2153</v>
      </c>
      <c r="P958" s="15"/>
      <c r="Q958" s="12" t="s">
        <v>53</v>
      </c>
      <c r="R958" s="16" t="s">
        <v>54</v>
      </c>
      <c r="S958" s="12" t="s">
        <v>3144</v>
      </c>
      <c r="T958" s="14" t="s">
        <v>55</v>
      </c>
    </row>
    <row r="959" spans="1:20" ht="16.5">
      <c r="A959" s="17" t="s">
        <v>2177</v>
      </c>
      <c r="B959" s="17" t="s">
        <v>650</v>
      </c>
      <c r="C959" s="17" t="s">
        <v>204</v>
      </c>
      <c r="D959" s="18" t="s">
        <v>3353</v>
      </c>
      <c r="E959" s="17" t="s">
        <v>667</v>
      </c>
      <c r="F959" s="17" t="s">
        <v>204</v>
      </c>
      <c r="G959" s="18" t="s">
        <v>3293</v>
      </c>
      <c r="H959" s="20" t="s">
        <v>3625</v>
      </c>
      <c r="I959" s="17" t="s">
        <v>680</v>
      </c>
      <c r="J959" s="21">
        <v>1</v>
      </c>
      <c r="K959" s="21" t="s">
        <v>3133</v>
      </c>
      <c r="L959" s="21" t="s">
        <v>3626</v>
      </c>
      <c r="M959" s="19" t="s">
        <v>3356</v>
      </c>
      <c r="N959" s="19" t="s">
        <v>670</v>
      </c>
      <c r="O959" s="19" t="s">
        <v>3296</v>
      </c>
      <c r="P959" s="19" t="s">
        <v>3627</v>
      </c>
      <c r="Q959" s="18" t="s">
        <v>286</v>
      </c>
      <c r="R959" s="22" t="s">
        <v>88</v>
      </c>
      <c r="S959" s="18" t="s">
        <v>3144</v>
      </c>
      <c r="T959" s="21" t="s">
        <v>55</v>
      </c>
    </row>
    <row r="960" spans="1:20" ht="16.5">
      <c r="A960" s="11" t="s">
        <v>2177</v>
      </c>
      <c r="B960" s="11" t="s">
        <v>650</v>
      </c>
      <c r="C960" s="11" t="s">
        <v>204</v>
      </c>
      <c r="D960" s="12" t="s">
        <v>3298</v>
      </c>
      <c r="E960" s="11" t="s">
        <v>667</v>
      </c>
      <c r="F960" s="11" t="s">
        <v>204</v>
      </c>
      <c r="G960" s="12" t="s">
        <v>3293</v>
      </c>
      <c r="H960" s="13" t="s">
        <v>3628</v>
      </c>
      <c r="I960" s="11" t="s">
        <v>652</v>
      </c>
      <c r="J960" s="14">
        <v>1</v>
      </c>
      <c r="K960" s="14" t="s">
        <v>3133</v>
      </c>
      <c r="L960" s="14" t="s">
        <v>3629</v>
      </c>
      <c r="M960" s="15" t="s">
        <v>3301</v>
      </c>
      <c r="N960" s="15" t="s">
        <v>670</v>
      </c>
      <c r="O960" s="15" t="s">
        <v>3296</v>
      </c>
      <c r="P960" s="15" t="s">
        <v>3630</v>
      </c>
      <c r="Q960" s="12" t="s">
        <v>286</v>
      </c>
      <c r="R960" s="22" t="s">
        <v>88</v>
      </c>
      <c r="S960" s="12" t="s">
        <v>3144</v>
      </c>
      <c r="T960" s="14" t="s">
        <v>55</v>
      </c>
    </row>
    <row r="961" spans="1:20" ht="16.5">
      <c r="A961" s="17" t="s">
        <v>2177</v>
      </c>
      <c r="B961" s="17" t="s">
        <v>650</v>
      </c>
      <c r="C961" s="17" t="s">
        <v>204</v>
      </c>
      <c r="D961" s="18" t="s">
        <v>3293</v>
      </c>
      <c r="E961" s="17" t="s">
        <v>654</v>
      </c>
      <c r="F961" s="17" t="s">
        <v>295</v>
      </c>
      <c r="G961" s="19" t="s">
        <v>3368</v>
      </c>
      <c r="H961" s="20" t="s">
        <v>3631</v>
      </c>
      <c r="I961" s="17" t="s">
        <v>652</v>
      </c>
      <c r="J961" s="21">
        <v>1</v>
      </c>
      <c r="K961" s="21" t="s">
        <v>3133</v>
      </c>
      <c r="L961" s="21" t="s">
        <v>3632</v>
      </c>
      <c r="M961" s="19" t="s">
        <v>3296</v>
      </c>
      <c r="N961" s="19" t="s">
        <v>657</v>
      </c>
      <c r="O961" s="19" t="s">
        <v>3371</v>
      </c>
      <c r="P961" s="19" t="s">
        <v>3297</v>
      </c>
      <c r="Q961" s="18" t="s">
        <v>286</v>
      </c>
      <c r="R961" s="22" t="s">
        <v>88</v>
      </c>
      <c r="S961" s="18" t="s">
        <v>3144</v>
      </c>
      <c r="T961" s="21" t="s">
        <v>55</v>
      </c>
    </row>
    <row r="962" spans="1:20" ht="16.5">
      <c r="A962" s="11" t="s">
        <v>2177</v>
      </c>
      <c r="B962" s="11" t="s">
        <v>650</v>
      </c>
      <c r="C962" s="11" t="s">
        <v>204</v>
      </c>
      <c r="D962" s="12" t="s">
        <v>3293</v>
      </c>
      <c r="E962" s="11" t="s">
        <v>667</v>
      </c>
      <c r="F962" s="11" t="s">
        <v>295</v>
      </c>
      <c r="G962" s="15" t="s">
        <v>2801</v>
      </c>
      <c r="H962" s="13" t="s">
        <v>3633</v>
      </c>
      <c r="I962" s="11" t="s">
        <v>652</v>
      </c>
      <c r="J962" s="14">
        <v>1</v>
      </c>
      <c r="K962" s="14" t="s">
        <v>3133</v>
      </c>
      <c r="L962" s="14" t="s">
        <v>3634</v>
      </c>
      <c r="M962" s="15" t="s">
        <v>3296</v>
      </c>
      <c r="N962" s="15" t="s">
        <v>670</v>
      </c>
      <c r="O962" s="15" t="s">
        <v>2804</v>
      </c>
      <c r="P962" s="15" t="s">
        <v>3297</v>
      </c>
      <c r="Q962" s="12" t="s">
        <v>286</v>
      </c>
      <c r="R962" s="22" t="s">
        <v>88</v>
      </c>
      <c r="S962" s="12" t="s">
        <v>3144</v>
      </c>
      <c r="T962" s="14" t="s">
        <v>55</v>
      </c>
    </row>
    <row r="963" spans="1:20" ht="16.5">
      <c r="A963" s="17" t="s">
        <v>2177</v>
      </c>
      <c r="B963" s="17" t="s">
        <v>650</v>
      </c>
      <c r="C963" s="17" t="s">
        <v>204</v>
      </c>
      <c r="D963" s="18" t="s">
        <v>3288</v>
      </c>
      <c r="E963" s="17" t="s">
        <v>654</v>
      </c>
      <c r="F963" s="17" t="s">
        <v>204</v>
      </c>
      <c r="G963" s="18" t="s">
        <v>3374</v>
      </c>
      <c r="H963" s="24" t="s">
        <v>584</v>
      </c>
      <c r="I963" s="17" t="s">
        <v>680</v>
      </c>
      <c r="J963" s="21">
        <v>1</v>
      </c>
      <c r="K963" s="21" t="s">
        <v>3133</v>
      </c>
      <c r="L963" s="21" t="s">
        <v>3635</v>
      </c>
      <c r="M963" s="19" t="s">
        <v>3291</v>
      </c>
      <c r="N963" s="19" t="s">
        <v>657</v>
      </c>
      <c r="O963" s="19" t="s">
        <v>3377</v>
      </c>
      <c r="P963" s="19" t="s">
        <v>3292</v>
      </c>
      <c r="Q963" s="18" t="s">
        <v>286</v>
      </c>
      <c r="R963" s="22" t="s">
        <v>88</v>
      </c>
      <c r="S963" s="18" t="s">
        <v>3144</v>
      </c>
      <c r="T963" s="21" t="s">
        <v>55</v>
      </c>
    </row>
    <row r="964" spans="1:20" ht="16.5">
      <c r="A964" s="11" t="s">
        <v>2177</v>
      </c>
      <c r="B964" s="11" t="s">
        <v>650</v>
      </c>
      <c r="C964" s="11" t="s">
        <v>204</v>
      </c>
      <c r="D964" s="12" t="s">
        <v>3374</v>
      </c>
      <c r="E964" s="11" t="s">
        <v>654</v>
      </c>
      <c r="F964" s="11" t="s">
        <v>295</v>
      </c>
      <c r="G964" s="15" t="s">
        <v>3368</v>
      </c>
      <c r="H964" s="23" t="s">
        <v>584</v>
      </c>
      <c r="I964" s="11" t="s">
        <v>652</v>
      </c>
      <c r="J964" s="14">
        <v>1</v>
      </c>
      <c r="K964" s="14" t="s">
        <v>3133</v>
      </c>
      <c r="L964" s="14" t="s">
        <v>3636</v>
      </c>
      <c r="M964" s="15" t="s">
        <v>3377</v>
      </c>
      <c r="N964" s="15" t="s">
        <v>657</v>
      </c>
      <c r="O964" s="15" t="s">
        <v>3371</v>
      </c>
      <c r="P964" s="15"/>
      <c r="Q964" s="12" t="s">
        <v>286</v>
      </c>
      <c r="R964" s="22" t="s">
        <v>88</v>
      </c>
      <c r="S964" s="12" t="s">
        <v>3144</v>
      </c>
      <c r="T964" s="14" t="s">
        <v>55</v>
      </c>
    </row>
    <row r="965" spans="1:20" ht="16.5">
      <c r="A965" s="17" t="s">
        <v>2177</v>
      </c>
      <c r="B965" s="17" t="s">
        <v>650</v>
      </c>
      <c r="C965" s="17" t="s">
        <v>204</v>
      </c>
      <c r="D965" s="18" t="s">
        <v>3374</v>
      </c>
      <c r="E965" s="17" t="s">
        <v>667</v>
      </c>
      <c r="F965" s="17" t="s">
        <v>295</v>
      </c>
      <c r="G965" s="19" t="s">
        <v>2801</v>
      </c>
      <c r="H965" s="24" t="s">
        <v>584</v>
      </c>
      <c r="I965" s="17" t="s">
        <v>652</v>
      </c>
      <c r="J965" s="21">
        <v>2</v>
      </c>
      <c r="K965" s="21" t="s">
        <v>3133</v>
      </c>
      <c r="L965" s="21" t="s">
        <v>3637</v>
      </c>
      <c r="M965" s="19" t="s">
        <v>3377</v>
      </c>
      <c r="N965" s="19" t="s">
        <v>670</v>
      </c>
      <c r="O965" s="19" t="s">
        <v>2804</v>
      </c>
      <c r="P965" s="19"/>
      <c r="Q965" s="18" t="s">
        <v>286</v>
      </c>
      <c r="R965" s="22" t="s">
        <v>88</v>
      </c>
      <c r="S965" s="18" t="s">
        <v>3144</v>
      </c>
      <c r="T965" s="21" t="s">
        <v>55</v>
      </c>
    </row>
    <row r="966" spans="1:20" ht="16.5">
      <c r="A966" s="11" t="s">
        <v>2177</v>
      </c>
      <c r="B966" s="11" t="s">
        <v>650</v>
      </c>
      <c r="C966" s="11" t="s">
        <v>204</v>
      </c>
      <c r="D966" s="12" t="s">
        <v>3308</v>
      </c>
      <c r="E966" s="11" t="s">
        <v>654</v>
      </c>
      <c r="F966" s="11" t="s">
        <v>698</v>
      </c>
      <c r="G966" s="12" t="s">
        <v>3638</v>
      </c>
      <c r="H966" s="13" t="s">
        <v>3639</v>
      </c>
      <c r="I966" s="11" t="s">
        <v>652</v>
      </c>
      <c r="J966" s="14">
        <v>2</v>
      </c>
      <c r="K966" s="14" t="s">
        <v>3133</v>
      </c>
      <c r="L966" s="14" t="s">
        <v>3640</v>
      </c>
      <c r="M966" s="15" t="s">
        <v>3311</v>
      </c>
      <c r="N966" s="15" t="s">
        <v>657</v>
      </c>
      <c r="O966" s="15" t="s">
        <v>3641</v>
      </c>
      <c r="P966" s="15" t="s">
        <v>3312</v>
      </c>
      <c r="Q966" s="12" t="s">
        <v>286</v>
      </c>
      <c r="R966" s="22" t="s">
        <v>88</v>
      </c>
      <c r="S966" s="12" t="s">
        <v>3144</v>
      </c>
      <c r="T966" s="14" t="s">
        <v>55</v>
      </c>
    </row>
    <row r="967" spans="1:20" ht="16.5">
      <c r="A967" s="17" t="s">
        <v>2177</v>
      </c>
      <c r="B967" s="17" t="s">
        <v>650</v>
      </c>
      <c r="C967" s="17" t="s">
        <v>295</v>
      </c>
      <c r="D967" s="19" t="s">
        <v>3368</v>
      </c>
      <c r="E967" s="17" t="s">
        <v>654</v>
      </c>
      <c r="F967" s="17" t="s">
        <v>204</v>
      </c>
      <c r="G967" s="18" t="s">
        <v>3642</v>
      </c>
      <c r="H967" s="20" t="s">
        <v>3643</v>
      </c>
      <c r="I967" s="17" t="s">
        <v>3644</v>
      </c>
      <c r="J967" s="21">
        <v>1</v>
      </c>
      <c r="K967" s="21" t="s">
        <v>3133</v>
      </c>
      <c r="L967" s="21" t="s">
        <v>3645</v>
      </c>
      <c r="M967" s="19" t="s">
        <v>3371</v>
      </c>
      <c r="N967" s="19" t="s">
        <v>657</v>
      </c>
      <c r="O967" s="19" t="s">
        <v>3646</v>
      </c>
      <c r="P967" s="19"/>
      <c r="Q967" s="18" t="s">
        <v>286</v>
      </c>
      <c r="R967" s="22" t="s">
        <v>88</v>
      </c>
      <c r="S967" s="18" t="s">
        <v>3144</v>
      </c>
      <c r="T967" s="21" t="s">
        <v>55</v>
      </c>
    </row>
    <row r="968" spans="1:20" ht="16.5">
      <c r="A968" s="11" t="s">
        <v>2177</v>
      </c>
      <c r="B968" s="11" t="s">
        <v>695</v>
      </c>
      <c r="C968" s="11" t="s">
        <v>295</v>
      </c>
      <c r="D968" s="15" t="s">
        <v>2801</v>
      </c>
      <c r="E968" s="11" t="s">
        <v>654</v>
      </c>
      <c r="F968" s="11" t="s">
        <v>204</v>
      </c>
      <c r="G968" s="15" t="s">
        <v>3338</v>
      </c>
      <c r="H968" s="23" t="s">
        <v>584</v>
      </c>
      <c r="I968" s="11" t="s">
        <v>696</v>
      </c>
      <c r="J968" s="14">
        <v>1</v>
      </c>
      <c r="K968" s="14" t="s">
        <v>3133</v>
      </c>
      <c r="L968" s="14" t="s">
        <v>3647</v>
      </c>
      <c r="M968" s="15" t="s">
        <v>2804</v>
      </c>
      <c r="N968" s="15" t="s">
        <v>657</v>
      </c>
      <c r="O968" s="15" t="s">
        <v>3341</v>
      </c>
      <c r="P968" s="15" t="s">
        <v>3342</v>
      </c>
      <c r="Q968" s="12" t="s">
        <v>286</v>
      </c>
      <c r="R968" s="22" t="s">
        <v>88</v>
      </c>
      <c r="S968" s="12" t="s">
        <v>3144</v>
      </c>
      <c r="T968" s="14" t="s">
        <v>55</v>
      </c>
    </row>
    <row r="969" spans="1:20" ht="16.5">
      <c r="A969" s="17" t="s">
        <v>2177</v>
      </c>
      <c r="B969" s="17" t="s">
        <v>695</v>
      </c>
      <c r="C969" s="17" t="s">
        <v>204</v>
      </c>
      <c r="D969" s="19" t="s">
        <v>3338</v>
      </c>
      <c r="E969" s="17" t="s">
        <v>667</v>
      </c>
      <c r="F969" s="17" t="s">
        <v>295</v>
      </c>
      <c r="G969" s="18" t="s">
        <v>3648</v>
      </c>
      <c r="H969" s="20" t="s">
        <v>3649</v>
      </c>
      <c r="I969" s="17" t="s">
        <v>696</v>
      </c>
      <c r="J969" s="21">
        <v>2</v>
      </c>
      <c r="K969" s="21" t="s">
        <v>3133</v>
      </c>
      <c r="L969" s="21" t="s">
        <v>3650</v>
      </c>
      <c r="M969" s="19" t="s">
        <v>3341</v>
      </c>
      <c r="N969" s="19" t="s">
        <v>670</v>
      </c>
      <c r="O969" s="19" t="s">
        <v>3651</v>
      </c>
      <c r="P969" s="19" t="s">
        <v>3342</v>
      </c>
      <c r="Q969" s="18" t="s">
        <v>286</v>
      </c>
      <c r="R969" s="22" t="s">
        <v>88</v>
      </c>
      <c r="S969" s="18" t="s">
        <v>3144</v>
      </c>
      <c r="T969" s="21" t="s">
        <v>55</v>
      </c>
    </row>
    <row r="970" spans="1:20" ht="16.5">
      <c r="A970" s="11" t="s">
        <v>2177</v>
      </c>
      <c r="B970" s="11" t="s">
        <v>695</v>
      </c>
      <c r="C970" s="11" t="s">
        <v>204</v>
      </c>
      <c r="D970" s="15" t="s">
        <v>3343</v>
      </c>
      <c r="E970" s="11" t="s">
        <v>667</v>
      </c>
      <c r="F970" s="11" t="s">
        <v>295</v>
      </c>
      <c r="G970" s="15" t="s">
        <v>2170</v>
      </c>
      <c r="H970" s="23" t="s">
        <v>584</v>
      </c>
      <c r="I970" s="11" t="s">
        <v>696</v>
      </c>
      <c r="J970" s="14">
        <v>2</v>
      </c>
      <c r="K970" s="14" t="s">
        <v>3133</v>
      </c>
      <c r="L970" s="14" t="s">
        <v>3652</v>
      </c>
      <c r="M970" s="15" t="s">
        <v>3346</v>
      </c>
      <c r="N970" s="15" t="s">
        <v>670</v>
      </c>
      <c r="O970" s="15" t="s">
        <v>2173</v>
      </c>
      <c r="P970" s="15" t="s">
        <v>3347</v>
      </c>
      <c r="Q970" s="12" t="s">
        <v>286</v>
      </c>
      <c r="R970" s="22" t="s">
        <v>88</v>
      </c>
      <c r="S970" s="12" t="s">
        <v>3144</v>
      </c>
      <c r="T970" s="14" t="s">
        <v>55</v>
      </c>
    </row>
    <row r="971" spans="1:20" ht="29.25">
      <c r="A971" s="17" t="s">
        <v>3653</v>
      </c>
      <c r="B971" s="17" t="s">
        <v>43</v>
      </c>
      <c r="C971" s="17" t="s">
        <v>44</v>
      </c>
      <c r="D971" s="18" t="s">
        <v>3653</v>
      </c>
      <c r="E971" s="17" t="s">
        <v>45</v>
      </c>
      <c r="F971" s="17" t="s">
        <v>44</v>
      </c>
      <c r="G971" s="18" t="s">
        <v>3131</v>
      </c>
      <c r="H971" s="20" t="s">
        <v>3654</v>
      </c>
      <c r="I971" s="17" t="s">
        <v>43</v>
      </c>
      <c r="J971" s="21">
        <v>1</v>
      </c>
      <c r="K971" s="21" t="s">
        <v>3655</v>
      </c>
      <c r="L971" s="21" t="s">
        <v>3656</v>
      </c>
      <c r="M971" s="19" t="s">
        <v>3657</v>
      </c>
      <c r="N971" s="19" t="s">
        <v>51</v>
      </c>
      <c r="O971" s="19" t="s">
        <v>3135</v>
      </c>
      <c r="P971" s="19"/>
      <c r="Q971" s="18" t="s">
        <v>53</v>
      </c>
      <c r="R971" s="16" t="s">
        <v>54</v>
      </c>
      <c r="S971" s="19"/>
      <c r="T971" s="21" t="s">
        <v>55</v>
      </c>
    </row>
    <row r="972" spans="1:20" ht="16.5">
      <c r="A972" s="11" t="s">
        <v>3653</v>
      </c>
      <c r="B972" s="11" t="s">
        <v>43</v>
      </c>
      <c r="C972" s="11" t="s">
        <v>44</v>
      </c>
      <c r="D972" s="12" t="s">
        <v>3653</v>
      </c>
      <c r="E972" s="11" t="s">
        <v>45</v>
      </c>
      <c r="F972" s="11" t="s">
        <v>44</v>
      </c>
      <c r="G972" s="12" t="s">
        <v>3658</v>
      </c>
      <c r="H972" s="13" t="s">
        <v>3659</v>
      </c>
      <c r="I972" s="11" t="s">
        <v>43</v>
      </c>
      <c r="J972" s="14">
        <v>1</v>
      </c>
      <c r="K972" s="14" t="s">
        <v>3655</v>
      </c>
      <c r="L972" s="14" t="s">
        <v>3660</v>
      </c>
      <c r="M972" s="15" t="s">
        <v>3657</v>
      </c>
      <c r="N972" s="15" t="s">
        <v>51</v>
      </c>
      <c r="O972" s="15" t="s">
        <v>3661</v>
      </c>
      <c r="P972" s="15"/>
      <c r="Q972" s="12" t="s">
        <v>53</v>
      </c>
      <c r="R972" s="16" t="s">
        <v>54</v>
      </c>
      <c r="S972" s="15"/>
      <c r="T972" s="14" t="s">
        <v>55</v>
      </c>
    </row>
    <row r="973" spans="1:20" ht="16.5">
      <c r="A973" s="17" t="s">
        <v>3653</v>
      </c>
      <c r="B973" s="17" t="s">
        <v>43</v>
      </c>
      <c r="C973" s="17" t="s">
        <v>44</v>
      </c>
      <c r="D973" s="18" t="s">
        <v>3653</v>
      </c>
      <c r="E973" s="17" t="s">
        <v>45</v>
      </c>
      <c r="F973" s="17" t="s">
        <v>44</v>
      </c>
      <c r="G973" s="19" t="s">
        <v>1740</v>
      </c>
      <c r="H973" s="20" t="s">
        <v>3662</v>
      </c>
      <c r="I973" s="17" t="s">
        <v>43</v>
      </c>
      <c r="J973" s="21">
        <v>1</v>
      </c>
      <c r="K973" s="21" t="s">
        <v>3655</v>
      </c>
      <c r="L973" s="21" t="s">
        <v>3663</v>
      </c>
      <c r="M973" s="19" t="s">
        <v>3657</v>
      </c>
      <c r="N973" s="19" t="s">
        <v>51</v>
      </c>
      <c r="O973" s="19" t="s">
        <v>1744</v>
      </c>
      <c r="P973" s="19"/>
      <c r="Q973" s="18" t="s">
        <v>53</v>
      </c>
      <c r="R973" s="22" t="s">
        <v>88</v>
      </c>
      <c r="S973" s="19"/>
      <c r="T973" s="21" t="s">
        <v>55</v>
      </c>
    </row>
    <row r="974" spans="1:20" ht="16.5">
      <c r="A974" s="11" t="s">
        <v>3653</v>
      </c>
      <c r="B974" s="11" t="s">
        <v>60</v>
      </c>
      <c r="C974" s="11" t="s">
        <v>44</v>
      </c>
      <c r="D974" s="12" t="s">
        <v>3653</v>
      </c>
      <c r="E974" s="11" t="s">
        <v>61</v>
      </c>
      <c r="F974" s="11" t="s">
        <v>62</v>
      </c>
      <c r="G974" s="12" t="s">
        <v>3664</v>
      </c>
      <c r="H974" s="13" t="s">
        <v>3665</v>
      </c>
      <c r="I974" s="11" t="s">
        <v>65</v>
      </c>
      <c r="J974" s="14">
        <v>1</v>
      </c>
      <c r="K974" s="14" t="s">
        <v>3655</v>
      </c>
      <c r="L974" s="14" t="s">
        <v>3666</v>
      </c>
      <c r="M974" s="15" t="s">
        <v>3657</v>
      </c>
      <c r="N974" s="15" t="s">
        <v>67</v>
      </c>
      <c r="O974" s="15" t="s">
        <v>3667</v>
      </c>
      <c r="P974" s="15"/>
      <c r="Q974" s="12" t="s">
        <v>69</v>
      </c>
      <c r="R974" s="16" t="s">
        <v>54</v>
      </c>
      <c r="S974" s="12" t="s">
        <v>3668</v>
      </c>
      <c r="T974" s="14" t="s">
        <v>55</v>
      </c>
    </row>
    <row r="975" spans="1:20" ht="16.5">
      <c r="A975" s="17" t="s">
        <v>3653</v>
      </c>
      <c r="B975" s="17" t="s">
        <v>60</v>
      </c>
      <c r="C975" s="17" t="s">
        <v>62</v>
      </c>
      <c r="D975" s="18" t="s">
        <v>3664</v>
      </c>
      <c r="E975" s="17" t="s">
        <v>81</v>
      </c>
      <c r="F975" s="17" t="s">
        <v>82</v>
      </c>
      <c r="G975" s="18" t="s">
        <v>3669</v>
      </c>
      <c r="H975" s="20" t="s">
        <v>3670</v>
      </c>
      <c r="I975" s="17" t="s">
        <v>65</v>
      </c>
      <c r="J975" s="21">
        <v>1</v>
      </c>
      <c r="K975" s="21" t="s">
        <v>3655</v>
      </c>
      <c r="L975" s="21" t="s">
        <v>3671</v>
      </c>
      <c r="M975" s="19" t="s">
        <v>3667</v>
      </c>
      <c r="N975" s="19" t="s">
        <v>86</v>
      </c>
      <c r="O975" s="19" t="s">
        <v>3672</v>
      </c>
      <c r="P975" s="19"/>
      <c r="Q975" s="18" t="s">
        <v>53</v>
      </c>
      <c r="R975" s="22" t="s">
        <v>88</v>
      </c>
      <c r="S975" s="18" t="s">
        <v>3668</v>
      </c>
      <c r="T975" s="21" t="s">
        <v>55</v>
      </c>
    </row>
    <row r="976" spans="1:20" ht="16.5">
      <c r="A976" s="11" t="s">
        <v>3653</v>
      </c>
      <c r="B976" s="11" t="s">
        <v>60</v>
      </c>
      <c r="C976" s="11" t="s">
        <v>44</v>
      </c>
      <c r="D976" s="12" t="s">
        <v>3653</v>
      </c>
      <c r="E976" s="11" t="s">
        <v>61</v>
      </c>
      <c r="F976" s="11" t="s">
        <v>62</v>
      </c>
      <c r="G976" s="12" t="s">
        <v>3673</v>
      </c>
      <c r="H976" s="13" t="s">
        <v>3674</v>
      </c>
      <c r="I976" s="11" t="s">
        <v>65</v>
      </c>
      <c r="J976" s="14">
        <v>1</v>
      </c>
      <c r="K976" s="14" t="s">
        <v>3655</v>
      </c>
      <c r="L976" s="14" t="s">
        <v>3675</v>
      </c>
      <c r="M976" s="15" t="s">
        <v>3657</v>
      </c>
      <c r="N976" s="15" t="s">
        <v>67</v>
      </c>
      <c r="O976" s="15" t="s">
        <v>3676</v>
      </c>
      <c r="P976" s="15"/>
      <c r="Q976" s="12" t="s">
        <v>69</v>
      </c>
      <c r="R976" s="16" t="s">
        <v>54</v>
      </c>
      <c r="S976" s="12" t="s">
        <v>3668</v>
      </c>
      <c r="T976" s="14" t="s">
        <v>55</v>
      </c>
    </row>
    <row r="977" spans="1:20" ht="16.5">
      <c r="A977" s="17" t="s">
        <v>3653</v>
      </c>
      <c r="B977" s="17" t="s">
        <v>60</v>
      </c>
      <c r="C977" s="17" t="s">
        <v>62</v>
      </c>
      <c r="D977" s="18" t="s">
        <v>3673</v>
      </c>
      <c r="E977" s="17" t="s">
        <v>71</v>
      </c>
      <c r="F977" s="17" t="s">
        <v>72</v>
      </c>
      <c r="G977" s="18" t="s">
        <v>3677</v>
      </c>
      <c r="H977" s="20" t="s">
        <v>3678</v>
      </c>
      <c r="I977" s="17" t="s">
        <v>65</v>
      </c>
      <c r="J977" s="21">
        <v>1</v>
      </c>
      <c r="K977" s="21" t="s">
        <v>3655</v>
      </c>
      <c r="L977" s="21" t="s">
        <v>3679</v>
      </c>
      <c r="M977" s="19" t="s">
        <v>3676</v>
      </c>
      <c r="N977" s="19" t="s">
        <v>76</v>
      </c>
      <c r="O977" s="19" t="s">
        <v>3680</v>
      </c>
      <c r="P977" s="19"/>
      <c r="Q977" s="18" t="s">
        <v>69</v>
      </c>
      <c r="R977" s="16" t="s">
        <v>54</v>
      </c>
      <c r="S977" s="18" t="s">
        <v>3668</v>
      </c>
      <c r="T977" s="21" t="s">
        <v>55</v>
      </c>
    </row>
    <row r="978" spans="1:20" ht="16.5">
      <c r="A978" s="11" t="s">
        <v>3653</v>
      </c>
      <c r="B978" s="11" t="s">
        <v>60</v>
      </c>
      <c r="C978" s="11" t="s">
        <v>62</v>
      </c>
      <c r="D978" s="12" t="s">
        <v>3673</v>
      </c>
      <c r="E978" s="11" t="s">
        <v>71</v>
      </c>
      <c r="F978" s="11" t="s">
        <v>72</v>
      </c>
      <c r="G978" s="12" t="s">
        <v>3681</v>
      </c>
      <c r="H978" s="13" t="s">
        <v>3678</v>
      </c>
      <c r="I978" s="11" t="s">
        <v>65</v>
      </c>
      <c r="J978" s="14">
        <v>1</v>
      </c>
      <c r="K978" s="14" t="s">
        <v>3655</v>
      </c>
      <c r="L978" s="14" t="s">
        <v>3682</v>
      </c>
      <c r="M978" s="15" t="s">
        <v>3676</v>
      </c>
      <c r="N978" s="15" t="s">
        <v>76</v>
      </c>
      <c r="O978" s="15" t="s">
        <v>3683</v>
      </c>
      <c r="P978" s="15"/>
      <c r="Q978" s="12" t="s">
        <v>69</v>
      </c>
      <c r="R978" s="16" t="s">
        <v>54</v>
      </c>
      <c r="S978" s="12" t="s">
        <v>3668</v>
      </c>
      <c r="T978" s="14" t="s">
        <v>55</v>
      </c>
    </row>
    <row r="979" spans="1:20" ht="16.5">
      <c r="A979" s="17" t="s">
        <v>3653</v>
      </c>
      <c r="B979" s="17" t="s">
        <v>60</v>
      </c>
      <c r="C979" s="17" t="s">
        <v>62</v>
      </c>
      <c r="D979" s="18" t="s">
        <v>3673</v>
      </c>
      <c r="E979" s="17" t="s">
        <v>81</v>
      </c>
      <c r="F979" s="17" t="s">
        <v>82</v>
      </c>
      <c r="G979" s="18" t="s">
        <v>3684</v>
      </c>
      <c r="H979" s="20" t="s">
        <v>3685</v>
      </c>
      <c r="I979" s="17" t="s">
        <v>65</v>
      </c>
      <c r="J979" s="21">
        <v>1</v>
      </c>
      <c r="K979" s="21" t="s">
        <v>3655</v>
      </c>
      <c r="L979" s="21" t="s">
        <v>3686</v>
      </c>
      <c r="M979" s="19" t="s">
        <v>3676</v>
      </c>
      <c r="N979" s="19" t="s">
        <v>86</v>
      </c>
      <c r="O979" s="19" t="s">
        <v>3687</v>
      </c>
      <c r="P979" s="19"/>
      <c r="Q979" s="18" t="s">
        <v>53</v>
      </c>
      <c r="R979" s="22" t="s">
        <v>88</v>
      </c>
      <c r="S979" s="18" t="s">
        <v>3668</v>
      </c>
      <c r="T979" s="21" t="s">
        <v>55</v>
      </c>
    </row>
    <row r="980" spans="1:20" ht="16.5">
      <c r="A980" s="11" t="s">
        <v>3653</v>
      </c>
      <c r="B980" s="11" t="s">
        <v>60</v>
      </c>
      <c r="C980" s="11" t="s">
        <v>44</v>
      </c>
      <c r="D980" s="12" t="s">
        <v>3653</v>
      </c>
      <c r="E980" s="11" t="s">
        <v>61</v>
      </c>
      <c r="F980" s="11" t="s">
        <v>62</v>
      </c>
      <c r="G980" s="12" t="s">
        <v>3688</v>
      </c>
      <c r="H980" s="13" t="s">
        <v>3689</v>
      </c>
      <c r="I980" s="11" t="s">
        <v>65</v>
      </c>
      <c r="J980" s="14">
        <v>1</v>
      </c>
      <c r="K980" s="14" t="s">
        <v>3655</v>
      </c>
      <c r="L980" s="14" t="s">
        <v>3690</v>
      </c>
      <c r="M980" s="15" t="s">
        <v>3657</v>
      </c>
      <c r="N980" s="15" t="s">
        <v>67</v>
      </c>
      <c r="O980" s="15" t="s">
        <v>3691</v>
      </c>
      <c r="P980" s="15"/>
      <c r="Q980" s="12" t="s">
        <v>69</v>
      </c>
      <c r="R980" s="16" t="s">
        <v>54</v>
      </c>
      <c r="S980" s="12" t="s">
        <v>3668</v>
      </c>
      <c r="T980" s="14" t="s">
        <v>55</v>
      </c>
    </row>
    <row r="981" spans="1:20" ht="16.5">
      <c r="A981" s="17" t="s">
        <v>3653</v>
      </c>
      <c r="B981" s="17" t="s">
        <v>60</v>
      </c>
      <c r="C981" s="17" t="s">
        <v>62</v>
      </c>
      <c r="D981" s="18" t="s">
        <v>3688</v>
      </c>
      <c r="E981" s="17" t="s">
        <v>81</v>
      </c>
      <c r="F981" s="17" t="s">
        <v>82</v>
      </c>
      <c r="G981" s="18" t="s">
        <v>3692</v>
      </c>
      <c r="H981" s="20" t="s">
        <v>3693</v>
      </c>
      <c r="I981" s="17" t="s">
        <v>65</v>
      </c>
      <c r="J981" s="21">
        <v>1</v>
      </c>
      <c r="K981" s="21" t="s">
        <v>3655</v>
      </c>
      <c r="L981" s="21" t="s">
        <v>3694</v>
      </c>
      <c r="M981" s="19" t="s">
        <v>3691</v>
      </c>
      <c r="N981" s="19" t="s">
        <v>86</v>
      </c>
      <c r="O981" s="19" t="s">
        <v>3695</v>
      </c>
      <c r="P981" s="19"/>
      <c r="Q981" s="18" t="s">
        <v>53</v>
      </c>
      <c r="R981" s="22" t="s">
        <v>88</v>
      </c>
      <c r="S981" s="18" t="s">
        <v>3668</v>
      </c>
      <c r="T981" s="21" t="s">
        <v>55</v>
      </c>
    </row>
    <row r="982" spans="1:20" ht="16.5">
      <c r="A982" s="11" t="s">
        <v>3653</v>
      </c>
      <c r="B982" s="11" t="s">
        <v>60</v>
      </c>
      <c r="C982" s="11" t="s">
        <v>44</v>
      </c>
      <c r="D982" s="12" t="s">
        <v>3653</v>
      </c>
      <c r="E982" s="11" t="s">
        <v>61</v>
      </c>
      <c r="F982" s="11" t="s">
        <v>62</v>
      </c>
      <c r="G982" s="12" t="s">
        <v>3696</v>
      </c>
      <c r="H982" s="13" t="s">
        <v>3697</v>
      </c>
      <c r="I982" s="11" t="s">
        <v>65</v>
      </c>
      <c r="J982" s="14">
        <v>1</v>
      </c>
      <c r="K982" s="14" t="s">
        <v>3655</v>
      </c>
      <c r="L982" s="14" t="s">
        <v>3698</v>
      </c>
      <c r="M982" s="15" t="s">
        <v>3657</v>
      </c>
      <c r="N982" s="15" t="s">
        <v>67</v>
      </c>
      <c r="O982" s="15" t="s">
        <v>3699</v>
      </c>
      <c r="P982" s="15"/>
      <c r="Q982" s="12" t="s">
        <v>69</v>
      </c>
      <c r="R982" s="16" t="s">
        <v>54</v>
      </c>
      <c r="S982" s="12" t="s">
        <v>3668</v>
      </c>
      <c r="T982" s="14" t="s">
        <v>55</v>
      </c>
    </row>
    <row r="983" spans="1:20" ht="16.5">
      <c r="A983" s="17" t="s">
        <v>3653</v>
      </c>
      <c r="B983" s="17" t="s">
        <v>60</v>
      </c>
      <c r="C983" s="17" t="s">
        <v>62</v>
      </c>
      <c r="D983" s="18" t="s">
        <v>3696</v>
      </c>
      <c r="E983" s="17" t="s">
        <v>81</v>
      </c>
      <c r="F983" s="17" t="s">
        <v>82</v>
      </c>
      <c r="G983" s="18" t="s">
        <v>3700</v>
      </c>
      <c r="H983" s="20" t="s">
        <v>3701</v>
      </c>
      <c r="I983" s="17" t="s">
        <v>65</v>
      </c>
      <c r="J983" s="21">
        <v>1</v>
      </c>
      <c r="K983" s="21" t="s">
        <v>3655</v>
      </c>
      <c r="L983" s="21" t="s">
        <v>3702</v>
      </c>
      <c r="M983" s="19" t="s">
        <v>3699</v>
      </c>
      <c r="N983" s="19" t="s">
        <v>86</v>
      </c>
      <c r="O983" s="19" t="s">
        <v>3703</v>
      </c>
      <c r="P983" s="19"/>
      <c r="Q983" s="18" t="s">
        <v>53</v>
      </c>
      <c r="R983" s="22" t="s">
        <v>88</v>
      </c>
      <c r="S983" s="18" t="s">
        <v>3668</v>
      </c>
      <c r="T983" s="21" t="s">
        <v>55</v>
      </c>
    </row>
    <row r="984" spans="1:20" ht="16.5">
      <c r="A984" s="11" t="s">
        <v>3653</v>
      </c>
      <c r="B984" s="11" t="s">
        <v>60</v>
      </c>
      <c r="C984" s="11" t="s">
        <v>62</v>
      </c>
      <c r="D984" s="12" t="s">
        <v>3696</v>
      </c>
      <c r="E984" s="11" t="s">
        <v>81</v>
      </c>
      <c r="F984" s="11" t="s">
        <v>82</v>
      </c>
      <c r="G984" s="12" t="s">
        <v>3704</v>
      </c>
      <c r="H984" s="13" t="s">
        <v>3705</v>
      </c>
      <c r="I984" s="11" t="s">
        <v>65</v>
      </c>
      <c r="J984" s="14">
        <v>1</v>
      </c>
      <c r="K984" s="14" t="s">
        <v>3655</v>
      </c>
      <c r="L984" s="14" t="s">
        <v>3706</v>
      </c>
      <c r="M984" s="15" t="s">
        <v>3699</v>
      </c>
      <c r="N984" s="15" t="s">
        <v>86</v>
      </c>
      <c r="O984" s="15" t="s">
        <v>3707</v>
      </c>
      <c r="P984" s="15"/>
      <c r="Q984" s="12" t="s">
        <v>53</v>
      </c>
      <c r="R984" s="22" t="s">
        <v>88</v>
      </c>
      <c r="S984" s="12" t="s">
        <v>3668</v>
      </c>
      <c r="T984" s="14" t="s">
        <v>55</v>
      </c>
    </row>
    <row r="985" spans="1:20" ht="16.5">
      <c r="A985" s="17" t="s">
        <v>3653</v>
      </c>
      <c r="B985" s="17" t="s">
        <v>60</v>
      </c>
      <c r="C985" s="17" t="s">
        <v>62</v>
      </c>
      <c r="D985" s="18" t="s">
        <v>3696</v>
      </c>
      <c r="E985" s="17" t="s">
        <v>81</v>
      </c>
      <c r="F985" s="17" t="s">
        <v>82</v>
      </c>
      <c r="G985" s="18" t="s">
        <v>3708</v>
      </c>
      <c r="H985" s="20" t="s">
        <v>3709</v>
      </c>
      <c r="I985" s="17" t="s">
        <v>65</v>
      </c>
      <c r="J985" s="21">
        <v>1</v>
      </c>
      <c r="K985" s="21" t="s">
        <v>3655</v>
      </c>
      <c r="L985" s="21" t="s">
        <v>3710</v>
      </c>
      <c r="M985" s="19" t="s">
        <v>3699</v>
      </c>
      <c r="N985" s="19" t="s">
        <v>86</v>
      </c>
      <c r="O985" s="19" t="s">
        <v>3711</v>
      </c>
      <c r="P985" s="19"/>
      <c r="Q985" s="18" t="s">
        <v>53</v>
      </c>
      <c r="R985" s="22" t="s">
        <v>88</v>
      </c>
      <c r="S985" s="18" t="s">
        <v>3668</v>
      </c>
      <c r="T985" s="21" t="s">
        <v>55</v>
      </c>
    </row>
    <row r="986" spans="1:20" ht="16.5">
      <c r="A986" s="11" t="s">
        <v>3653</v>
      </c>
      <c r="B986" s="11" t="s">
        <v>60</v>
      </c>
      <c r="C986" s="11" t="s">
        <v>44</v>
      </c>
      <c r="D986" s="12" t="s">
        <v>3653</v>
      </c>
      <c r="E986" s="11" t="s">
        <v>61</v>
      </c>
      <c r="F986" s="11" t="s">
        <v>62</v>
      </c>
      <c r="G986" s="12" t="s">
        <v>3712</v>
      </c>
      <c r="H986" s="13" t="s">
        <v>3713</v>
      </c>
      <c r="I986" s="11" t="s">
        <v>65</v>
      </c>
      <c r="J986" s="14">
        <v>1</v>
      </c>
      <c r="K986" s="14" t="s">
        <v>3655</v>
      </c>
      <c r="L986" s="14" t="s">
        <v>3714</v>
      </c>
      <c r="M986" s="15" t="s">
        <v>3657</v>
      </c>
      <c r="N986" s="15" t="s">
        <v>67</v>
      </c>
      <c r="O986" s="15" t="s">
        <v>3715</v>
      </c>
      <c r="P986" s="15"/>
      <c r="Q986" s="12" t="s">
        <v>69</v>
      </c>
      <c r="R986" s="16" t="s">
        <v>54</v>
      </c>
      <c r="S986" s="12" t="s">
        <v>3668</v>
      </c>
      <c r="T986" s="14" t="s">
        <v>55</v>
      </c>
    </row>
    <row r="987" spans="1:20" ht="16.5">
      <c r="A987" s="17" t="s">
        <v>3653</v>
      </c>
      <c r="B987" s="17" t="s">
        <v>60</v>
      </c>
      <c r="C987" s="17" t="s">
        <v>62</v>
      </c>
      <c r="D987" s="18" t="s">
        <v>3712</v>
      </c>
      <c r="E987" s="17" t="s">
        <v>81</v>
      </c>
      <c r="F987" s="17" t="s">
        <v>82</v>
      </c>
      <c r="G987" s="18" t="s">
        <v>3716</v>
      </c>
      <c r="H987" s="20" t="s">
        <v>3717</v>
      </c>
      <c r="I987" s="17" t="s">
        <v>65</v>
      </c>
      <c r="J987" s="21">
        <v>1</v>
      </c>
      <c r="K987" s="21" t="s">
        <v>3655</v>
      </c>
      <c r="L987" s="21" t="s">
        <v>3718</v>
      </c>
      <c r="M987" s="19" t="s">
        <v>3715</v>
      </c>
      <c r="N987" s="19" t="s">
        <v>86</v>
      </c>
      <c r="O987" s="19" t="s">
        <v>3719</v>
      </c>
      <c r="P987" s="19"/>
      <c r="Q987" s="18" t="s">
        <v>53</v>
      </c>
      <c r="R987" s="22" t="s">
        <v>88</v>
      </c>
      <c r="S987" s="18" t="s">
        <v>3668</v>
      </c>
      <c r="T987" s="21" t="s">
        <v>55</v>
      </c>
    </row>
    <row r="988" spans="1:20" ht="16.5">
      <c r="A988" s="11" t="s">
        <v>3653</v>
      </c>
      <c r="B988" s="11" t="s">
        <v>60</v>
      </c>
      <c r="C988" s="11" t="s">
        <v>44</v>
      </c>
      <c r="D988" s="12" t="s">
        <v>3653</v>
      </c>
      <c r="E988" s="11" t="s">
        <v>61</v>
      </c>
      <c r="F988" s="11" t="s">
        <v>62</v>
      </c>
      <c r="G988" s="12" t="s">
        <v>2787</v>
      </c>
      <c r="H988" s="13" t="s">
        <v>3720</v>
      </c>
      <c r="I988" s="11" t="s">
        <v>65</v>
      </c>
      <c r="J988" s="14">
        <v>1</v>
      </c>
      <c r="K988" s="14" t="s">
        <v>3655</v>
      </c>
      <c r="L988" s="14" t="s">
        <v>3721</v>
      </c>
      <c r="M988" s="15" t="s">
        <v>3657</v>
      </c>
      <c r="N988" s="15" t="s">
        <v>67</v>
      </c>
      <c r="O988" s="15" t="s">
        <v>2791</v>
      </c>
      <c r="P988" s="15"/>
      <c r="Q988" s="12" t="s">
        <v>69</v>
      </c>
      <c r="R988" s="16" t="s">
        <v>54</v>
      </c>
      <c r="S988" s="12" t="s">
        <v>3668</v>
      </c>
      <c r="T988" s="14" t="s">
        <v>55</v>
      </c>
    </row>
    <row r="989" spans="1:20" ht="16.5">
      <c r="A989" s="17" t="s">
        <v>3653</v>
      </c>
      <c r="B989" s="17" t="s">
        <v>60</v>
      </c>
      <c r="C989" s="17" t="s">
        <v>62</v>
      </c>
      <c r="D989" s="18" t="s">
        <v>2787</v>
      </c>
      <c r="E989" s="17" t="s">
        <v>81</v>
      </c>
      <c r="F989" s="17" t="s">
        <v>82</v>
      </c>
      <c r="G989" s="18" t="s">
        <v>3722</v>
      </c>
      <c r="H989" s="20" t="s">
        <v>3723</v>
      </c>
      <c r="I989" s="17" t="s">
        <v>65</v>
      </c>
      <c r="J989" s="21">
        <v>1</v>
      </c>
      <c r="K989" s="21" t="s">
        <v>3655</v>
      </c>
      <c r="L989" s="21" t="s">
        <v>3724</v>
      </c>
      <c r="M989" s="19" t="s">
        <v>2791</v>
      </c>
      <c r="N989" s="19" t="s">
        <v>86</v>
      </c>
      <c r="O989" s="19" t="s">
        <v>3725</v>
      </c>
      <c r="P989" s="19"/>
      <c r="Q989" s="18" t="s">
        <v>53</v>
      </c>
      <c r="R989" s="22" t="s">
        <v>88</v>
      </c>
      <c r="S989" s="18" t="s">
        <v>3668</v>
      </c>
      <c r="T989" s="21" t="s">
        <v>55</v>
      </c>
    </row>
    <row r="990" spans="1:20" ht="16.5">
      <c r="A990" s="11" t="s">
        <v>3653</v>
      </c>
      <c r="B990" s="11" t="s">
        <v>60</v>
      </c>
      <c r="C990" s="11" t="s">
        <v>44</v>
      </c>
      <c r="D990" s="12" t="s">
        <v>3653</v>
      </c>
      <c r="E990" s="11" t="s">
        <v>61</v>
      </c>
      <c r="F990" s="11" t="s">
        <v>62</v>
      </c>
      <c r="G990" s="12" t="s">
        <v>3726</v>
      </c>
      <c r="H990" s="13" t="s">
        <v>3727</v>
      </c>
      <c r="I990" s="11" t="s">
        <v>65</v>
      </c>
      <c r="J990" s="14">
        <v>1</v>
      </c>
      <c r="K990" s="14" t="s">
        <v>3655</v>
      </c>
      <c r="L990" s="14" t="s">
        <v>3728</v>
      </c>
      <c r="M990" s="15" t="s">
        <v>3657</v>
      </c>
      <c r="N990" s="15" t="s">
        <v>67</v>
      </c>
      <c r="O990" s="15" t="s">
        <v>3729</v>
      </c>
      <c r="P990" s="15"/>
      <c r="Q990" s="12" t="s">
        <v>69</v>
      </c>
      <c r="R990" s="16" t="s">
        <v>54</v>
      </c>
      <c r="S990" s="12" t="s">
        <v>3668</v>
      </c>
      <c r="T990" s="14" t="s">
        <v>55</v>
      </c>
    </row>
    <row r="991" spans="1:20" ht="16.5">
      <c r="A991" s="17" t="s">
        <v>3653</v>
      </c>
      <c r="B991" s="17" t="s">
        <v>60</v>
      </c>
      <c r="C991" s="17" t="s">
        <v>62</v>
      </c>
      <c r="D991" s="18" t="s">
        <v>3726</v>
      </c>
      <c r="E991" s="17" t="s">
        <v>71</v>
      </c>
      <c r="F991" s="17" t="s">
        <v>72</v>
      </c>
      <c r="G991" s="18" t="s">
        <v>3730</v>
      </c>
      <c r="H991" s="20" t="s">
        <v>3731</v>
      </c>
      <c r="I991" s="17" t="s">
        <v>65</v>
      </c>
      <c r="J991" s="21">
        <v>1</v>
      </c>
      <c r="K991" s="21" t="s">
        <v>3655</v>
      </c>
      <c r="L991" s="21" t="s">
        <v>3732</v>
      </c>
      <c r="M991" s="19" t="s">
        <v>3729</v>
      </c>
      <c r="N991" s="19" t="s">
        <v>76</v>
      </c>
      <c r="O991" s="19" t="s">
        <v>3733</v>
      </c>
      <c r="P991" s="19"/>
      <c r="Q991" s="18" t="s">
        <v>69</v>
      </c>
      <c r="R991" s="16" t="s">
        <v>54</v>
      </c>
      <c r="S991" s="18" t="s">
        <v>3668</v>
      </c>
      <c r="T991" s="21" t="s">
        <v>55</v>
      </c>
    </row>
    <row r="992" spans="1:20" ht="16.5">
      <c r="A992" s="11" t="s">
        <v>3653</v>
      </c>
      <c r="B992" s="11" t="s">
        <v>60</v>
      </c>
      <c r="C992" s="11" t="s">
        <v>62</v>
      </c>
      <c r="D992" s="12" t="s">
        <v>3726</v>
      </c>
      <c r="E992" s="11" t="s">
        <v>71</v>
      </c>
      <c r="F992" s="11" t="s">
        <v>72</v>
      </c>
      <c r="G992" s="12" t="s">
        <v>3734</v>
      </c>
      <c r="H992" s="13" t="s">
        <v>3731</v>
      </c>
      <c r="I992" s="11" t="s">
        <v>65</v>
      </c>
      <c r="J992" s="14">
        <v>1</v>
      </c>
      <c r="K992" s="14" t="s">
        <v>3655</v>
      </c>
      <c r="L992" s="14" t="s">
        <v>3735</v>
      </c>
      <c r="M992" s="15" t="s">
        <v>3729</v>
      </c>
      <c r="N992" s="15" t="s">
        <v>76</v>
      </c>
      <c r="O992" s="15" t="s">
        <v>3736</v>
      </c>
      <c r="P992" s="15"/>
      <c r="Q992" s="12" t="s">
        <v>69</v>
      </c>
      <c r="R992" s="16" t="s">
        <v>54</v>
      </c>
      <c r="S992" s="12" t="s">
        <v>3668</v>
      </c>
      <c r="T992" s="14" t="s">
        <v>55</v>
      </c>
    </row>
    <row r="993" spans="1:20" ht="16.5">
      <c r="A993" s="17" t="s">
        <v>3653</v>
      </c>
      <c r="B993" s="17" t="s">
        <v>60</v>
      </c>
      <c r="C993" s="17" t="s">
        <v>62</v>
      </c>
      <c r="D993" s="18" t="s">
        <v>3726</v>
      </c>
      <c r="E993" s="17" t="s">
        <v>81</v>
      </c>
      <c r="F993" s="17" t="s">
        <v>82</v>
      </c>
      <c r="G993" s="18" t="s">
        <v>3737</v>
      </c>
      <c r="H993" s="20" t="s">
        <v>3738</v>
      </c>
      <c r="I993" s="17" t="s">
        <v>65</v>
      </c>
      <c r="J993" s="21">
        <v>1</v>
      </c>
      <c r="K993" s="21" t="s">
        <v>3655</v>
      </c>
      <c r="L993" s="21" t="s">
        <v>3739</v>
      </c>
      <c r="M993" s="19" t="s">
        <v>3729</v>
      </c>
      <c r="N993" s="19" t="s">
        <v>86</v>
      </c>
      <c r="O993" s="19" t="s">
        <v>3740</v>
      </c>
      <c r="P993" s="19"/>
      <c r="Q993" s="18" t="s">
        <v>53</v>
      </c>
      <c r="R993" s="22" t="s">
        <v>88</v>
      </c>
      <c r="S993" s="18" t="s">
        <v>3668</v>
      </c>
      <c r="T993" s="21" t="s">
        <v>55</v>
      </c>
    </row>
    <row r="994" spans="1:20" ht="16.5">
      <c r="A994" s="11" t="s">
        <v>3653</v>
      </c>
      <c r="B994" s="11" t="s">
        <v>60</v>
      </c>
      <c r="C994" s="11" t="s">
        <v>62</v>
      </c>
      <c r="D994" s="12" t="s">
        <v>3726</v>
      </c>
      <c r="E994" s="11" t="s">
        <v>81</v>
      </c>
      <c r="F994" s="11" t="s">
        <v>82</v>
      </c>
      <c r="G994" s="12" t="s">
        <v>3741</v>
      </c>
      <c r="H994" s="13" t="s">
        <v>3742</v>
      </c>
      <c r="I994" s="11" t="s">
        <v>65</v>
      </c>
      <c r="J994" s="14">
        <v>1</v>
      </c>
      <c r="K994" s="14" t="s">
        <v>3655</v>
      </c>
      <c r="L994" s="14" t="s">
        <v>3743</v>
      </c>
      <c r="M994" s="15" t="s">
        <v>3729</v>
      </c>
      <c r="N994" s="15" t="s">
        <v>86</v>
      </c>
      <c r="O994" s="15" t="s">
        <v>3744</v>
      </c>
      <c r="P994" s="15"/>
      <c r="Q994" s="12" t="s">
        <v>53</v>
      </c>
      <c r="R994" s="22" t="s">
        <v>88</v>
      </c>
      <c r="S994" s="12" t="s">
        <v>3668</v>
      </c>
      <c r="T994" s="14" t="s">
        <v>55</v>
      </c>
    </row>
    <row r="995" spans="1:20" ht="16.5">
      <c r="A995" s="17" t="s">
        <v>3653</v>
      </c>
      <c r="B995" s="17" t="s">
        <v>60</v>
      </c>
      <c r="C995" s="17" t="s">
        <v>62</v>
      </c>
      <c r="D995" s="18" t="s">
        <v>3726</v>
      </c>
      <c r="E995" s="17" t="s">
        <v>81</v>
      </c>
      <c r="F995" s="17" t="s">
        <v>82</v>
      </c>
      <c r="G995" s="18" t="s">
        <v>3745</v>
      </c>
      <c r="H995" s="20" t="s">
        <v>3746</v>
      </c>
      <c r="I995" s="17" t="s">
        <v>65</v>
      </c>
      <c r="J995" s="21">
        <v>1</v>
      </c>
      <c r="K995" s="21" t="s">
        <v>3655</v>
      </c>
      <c r="L995" s="21" t="s">
        <v>3747</v>
      </c>
      <c r="M995" s="19" t="s">
        <v>3729</v>
      </c>
      <c r="N995" s="19" t="s">
        <v>86</v>
      </c>
      <c r="O995" s="19" t="s">
        <v>3748</v>
      </c>
      <c r="P995" s="19"/>
      <c r="Q995" s="18" t="s">
        <v>53</v>
      </c>
      <c r="R995" s="22" t="s">
        <v>88</v>
      </c>
      <c r="S995" s="18" t="s">
        <v>3668</v>
      </c>
      <c r="T995" s="21" t="s">
        <v>55</v>
      </c>
    </row>
    <row r="996" spans="1:20" ht="16.5">
      <c r="A996" s="11" t="s">
        <v>3653</v>
      </c>
      <c r="B996" s="11" t="s">
        <v>60</v>
      </c>
      <c r="C996" s="11" t="s">
        <v>44</v>
      </c>
      <c r="D996" s="12" t="s">
        <v>3653</v>
      </c>
      <c r="E996" s="11" t="s">
        <v>61</v>
      </c>
      <c r="F996" s="11" t="s">
        <v>62</v>
      </c>
      <c r="G996" s="12" t="s">
        <v>3749</v>
      </c>
      <c r="H996" s="13" t="s">
        <v>3750</v>
      </c>
      <c r="I996" s="11" t="s">
        <v>65</v>
      </c>
      <c r="J996" s="14">
        <v>1</v>
      </c>
      <c r="K996" s="14" t="s">
        <v>3655</v>
      </c>
      <c r="L996" s="14" t="s">
        <v>3751</v>
      </c>
      <c r="M996" s="15" t="s">
        <v>3657</v>
      </c>
      <c r="N996" s="15" t="s">
        <v>67</v>
      </c>
      <c r="O996" s="15" t="s">
        <v>3752</v>
      </c>
      <c r="P996" s="15"/>
      <c r="Q996" s="12" t="s">
        <v>69</v>
      </c>
      <c r="R996" s="16" t="s">
        <v>54</v>
      </c>
      <c r="S996" s="12" t="s">
        <v>3668</v>
      </c>
      <c r="T996" s="14" t="s">
        <v>55</v>
      </c>
    </row>
    <row r="997" spans="1:20" ht="16.5">
      <c r="A997" s="17" t="s">
        <v>3653</v>
      </c>
      <c r="B997" s="17" t="s">
        <v>60</v>
      </c>
      <c r="C997" s="17" t="s">
        <v>62</v>
      </c>
      <c r="D997" s="18" t="s">
        <v>3749</v>
      </c>
      <c r="E997" s="17" t="s">
        <v>71</v>
      </c>
      <c r="F997" s="17" t="s">
        <v>72</v>
      </c>
      <c r="G997" s="18" t="s">
        <v>3753</v>
      </c>
      <c r="H997" s="20" t="s">
        <v>3754</v>
      </c>
      <c r="I997" s="17" t="s">
        <v>65</v>
      </c>
      <c r="J997" s="21">
        <v>1</v>
      </c>
      <c r="K997" s="21" t="s">
        <v>3655</v>
      </c>
      <c r="L997" s="21" t="s">
        <v>3755</v>
      </c>
      <c r="M997" s="19" t="s">
        <v>3752</v>
      </c>
      <c r="N997" s="19" t="s">
        <v>76</v>
      </c>
      <c r="O997" s="19" t="s">
        <v>3756</v>
      </c>
      <c r="P997" s="19"/>
      <c r="Q997" s="18" t="s">
        <v>69</v>
      </c>
      <c r="R997" s="16" t="s">
        <v>54</v>
      </c>
      <c r="S997" s="18" t="s">
        <v>3668</v>
      </c>
      <c r="T997" s="21" t="s">
        <v>55</v>
      </c>
    </row>
    <row r="998" spans="1:20" ht="16.5">
      <c r="A998" s="11" t="s">
        <v>3653</v>
      </c>
      <c r="B998" s="11" t="s">
        <v>60</v>
      </c>
      <c r="C998" s="11" t="s">
        <v>62</v>
      </c>
      <c r="D998" s="12" t="s">
        <v>3749</v>
      </c>
      <c r="E998" s="11" t="s">
        <v>71</v>
      </c>
      <c r="F998" s="11" t="s">
        <v>72</v>
      </c>
      <c r="G998" s="12" t="s">
        <v>3757</v>
      </c>
      <c r="H998" s="13" t="s">
        <v>3754</v>
      </c>
      <c r="I998" s="11" t="s">
        <v>65</v>
      </c>
      <c r="J998" s="14">
        <v>1</v>
      </c>
      <c r="K998" s="14" t="s">
        <v>3655</v>
      </c>
      <c r="L998" s="14" t="s">
        <v>3758</v>
      </c>
      <c r="M998" s="15" t="s">
        <v>3752</v>
      </c>
      <c r="N998" s="15" t="s">
        <v>76</v>
      </c>
      <c r="O998" s="15" t="s">
        <v>3759</v>
      </c>
      <c r="P998" s="15"/>
      <c r="Q998" s="12" t="s">
        <v>69</v>
      </c>
      <c r="R998" s="16" t="s">
        <v>54</v>
      </c>
      <c r="S998" s="12" t="s">
        <v>3668</v>
      </c>
      <c r="T998" s="14" t="s">
        <v>55</v>
      </c>
    </row>
    <row r="999" spans="1:20" ht="16.5">
      <c r="A999" s="17" t="s">
        <v>3653</v>
      </c>
      <c r="B999" s="17" t="s">
        <v>60</v>
      </c>
      <c r="C999" s="17" t="s">
        <v>62</v>
      </c>
      <c r="D999" s="18" t="s">
        <v>3749</v>
      </c>
      <c r="E999" s="17" t="s">
        <v>81</v>
      </c>
      <c r="F999" s="17" t="s">
        <v>82</v>
      </c>
      <c r="G999" s="18" t="s">
        <v>3760</v>
      </c>
      <c r="H999" s="20" t="s">
        <v>3761</v>
      </c>
      <c r="I999" s="17" t="s">
        <v>65</v>
      </c>
      <c r="J999" s="21">
        <v>1</v>
      </c>
      <c r="K999" s="21" t="s">
        <v>3655</v>
      </c>
      <c r="L999" s="21" t="s">
        <v>3762</v>
      </c>
      <c r="M999" s="19" t="s">
        <v>3752</v>
      </c>
      <c r="N999" s="19" t="s">
        <v>86</v>
      </c>
      <c r="O999" s="19" t="s">
        <v>3763</v>
      </c>
      <c r="P999" s="19"/>
      <c r="Q999" s="18" t="s">
        <v>53</v>
      </c>
      <c r="R999" s="22" t="s">
        <v>88</v>
      </c>
      <c r="S999" s="18" t="s">
        <v>3668</v>
      </c>
      <c r="T999" s="21" t="s">
        <v>55</v>
      </c>
    </row>
    <row r="1000" spans="1:20" ht="16.5">
      <c r="A1000" s="11" t="s">
        <v>3653</v>
      </c>
      <c r="B1000" s="11" t="s">
        <v>60</v>
      </c>
      <c r="C1000" s="11" t="s">
        <v>62</v>
      </c>
      <c r="D1000" s="12" t="s">
        <v>3749</v>
      </c>
      <c r="E1000" s="11" t="s">
        <v>81</v>
      </c>
      <c r="F1000" s="11" t="s">
        <v>82</v>
      </c>
      <c r="G1000" s="12" t="s">
        <v>3764</v>
      </c>
      <c r="H1000" s="13" t="s">
        <v>3765</v>
      </c>
      <c r="I1000" s="11" t="s">
        <v>65</v>
      </c>
      <c r="J1000" s="14">
        <v>1</v>
      </c>
      <c r="K1000" s="14" t="s">
        <v>3655</v>
      </c>
      <c r="L1000" s="14" t="s">
        <v>3766</v>
      </c>
      <c r="M1000" s="15" t="s">
        <v>3752</v>
      </c>
      <c r="N1000" s="15" t="s">
        <v>86</v>
      </c>
      <c r="O1000" s="15" t="s">
        <v>3767</v>
      </c>
      <c r="P1000" s="15"/>
      <c r="Q1000" s="12" t="s">
        <v>53</v>
      </c>
      <c r="R1000" s="22" t="s">
        <v>88</v>
      </c>
      <c r="S1000" s="12" t="s">
        <v>3668</v>
      </c>
      <c r="T1000" s="14" t="s">
        <v>55</v>
      </c>
    </row>
    <row r="1001" spans="1:20" ht="16.5">
      <c r="A1001" s="17" t="s">
        <v>3653</v>
      </c>
      <c r="B1001" s="17" t="s">
        <v>60</v>
      </c>
      <c r="C1001" s="17" t="s">
        <v>44</v>
      </c>
      <c r="D1001" s="18" t="s">
        <v>3653</v>
      </c>
      <c r="E1001" s="17" t="s">
        <v>61</v>
      </c>
      <c r="F1001" s="17" t="s">
        <v>62</v>
      </c>
      <c r="G1001" s="18" t="s">
        <v>3768</v>
      </c>
      <c r="H1001" s="20" t="s">
        <v>3769</v>
      </c>
      <c r="I1001" s="17" t="s">
        <v>65</v>
      </c>
      <c r="J1001" s="21">
        <v>1</v>
      </c>
      <c r="K1001" s="21" t="s">
        <v>3655</v>
      </c>
      <c r="L1001" s="21" t="s">
        <v>3770</v>
      </c>
      <c r="M1001" s="19" t="s">
        <v>3657</v>
      </c>
      <c r="N1001" s="19" t="s">
        <v>67</v>
      </c>
      <c r="O1001" s="19" t="s">
        <v>3771</v>
      </c>
      <c r="P1001" s="19"/>
      <c r="Q1001" s="18" t="s">
        <v>69</v>
      </c>
      <c r="R1001" s="16" t="s">
        <v>54</v>
      </c>
      <c r="S1001" s="18" t="s">
        <v>3668</v>
      </c>
      <c r="T1001" s="21" t="s">
        <v>55</v>
      </c>
    </row>
    <row r="1002" spans="1:20" ht="16.5">
      <c r="A1002" s="11" t="s">
        <v>3653</v>
      </c>
      <c r="B1002" s="11" t="s">
        <v>60</v>
      </c>
      <c r="C1002" s="11" t="s">
        <v>62</v>
      </c>
      <c r="D1002" s="12" t="s">
        <v>3768</v>
      </c>
      <c r="E1002" s="11" t="s">
        <v>81</v>
      </c>
      <c r="F1002" s="11" t="s">
        <v>82</v>
      </c>
      <c r="G1002" s="12" t="s">
        <v>3772</v>
      </c>
      <c r="H1002" s="13" t="s">
        <v>3773</v>
      </c>
      <c r="I1002" s="11" t="s">
        <v>65</v>
      </c>
      <c r="J1002" s="14">
        <v>1</v>
      </c>
      <c r="K1002" s="14" t="s">
        <v>3655</v>
      </c>
      <c r="L1002" s="14" t="s">
        <v>3774</v>
      </c>
      <c r="M1002" s="15" t="s">
        <v>3771</v>
      </c>
      <c r="N1002" s="15" t="s">
        <v>86</v>
      </c>
      <c r="O1002" s="15" t="s">
        <v>3775</v>
      </c>
      <c r="P1002" s="15"/>
      <c r="Q1002" s="12" t="s">
        <v>53</v>
      </c>
      <c r="R1002" s="22" t="s">
        <v>88</v>
      </c>
      <c r="S1002" s="12" t="s">
        <v>3668</v>
      </c>
      <c r="T1002" s="14" t="s">
        <v>55</v>
      </c>
    </row>
    <row r="1003" spans="1:20" ht="16.5">
      <c r="A1003" s="17" t="s">
        <v>3653</v>
      </c>
      <c r="B1003" s="17" t="s">
        <v>60</v>
      </c>
      <c r="C1003" s="17" t="s">
        <v>62</v>
      </c>
      <c r="D1003" s="18" t="s">
        <v>3768</v>
      </c>
      <c r="E1003" s="17" t="s">
        <v>81</v>
      </c>
      <c r="F1003" s="17" t="s">
        <v>82</v>
      </c>
      <c r="G1003" s="18" t="s">
        <v>3776</v>
      </c>
      <c r="H1003" s="20" t="s">
        <v>3777</v>
      </c>
      <c r="I1003" s="17" t="s">
        <v>65</v>
      </c>
      <c r="J1003" s="21">
        <v>1</v>
      </c>
      <c r="K1003" s="21" t="s">
        <v>3655</v>
      </c>
      <c r="L1003" s="21" t="s">
        <v>3778</v>
      </c>
      <c r="M1003" s="19" t="s">
        <v>3771</v>
      </c>
      <c r="N1003" s="19" t="s">
        <v>86</v>
      </c>
      <c r="O1003" s="19" t="s">
        <v>3779</v>
      </c>
      <c r="P1003" s="19"/>
      <c r="Q1003" s="18" t="s">
        <v>53</v>
      </c>
      <c r="R1003" s="22" t="s">
        <v>88</v>
      </c>
      <c r="S1003" s="18" t="s">
        <v>3668</v>
      </c>
      <c r="T1003" s="21" t="s">
        <v>55</v>
      </c>
    </row>
    <row r="1004" spans="1:20" ht="16.5">
      <c r="A1004" s="11" t="s">
        <v>3653</v>
      </c>
      <c r="B1004" s="11" t="s">
        <v>60</v>
      </c>
      <c r="C1004" s="11" t="s">
        <v>62</v>
      </c>
      <c r="D1004" s="12" t="s">
        <v>3664</v>
      </c>
      <c r="E1004" s="11" t="s">
        <v>203</v>
      </c>
      <c r="F1004" s="11" t="s">
        <v>204</v>
      </c>
      <c r="G1004" s="12" t="s">
        <v>3780</v>
      </c>
      <c r="H1004" s="13" t="s">
        <v>3781</v>
      </c>
      <c r="I1004" s="11" t="s">
        <v>65</v>
      </c>
      <c r="J1004" s="14">
        <v>1</v>
      </c>
      <c r="K1004" s="14" t="s">
        <v>3655</v>
      </c>
      <c r="L1004" s="14" t="s">
        <v>3782</v>
      </c>
      <c r="M1004" s="15" t="s">
        <v>3667</v>
      </c>
      <c r="N1004" s="15" t="s">
        <v>208</v>
      </c>
      <c r="O1004" s="15" t="s">
        <v>3783</v>
      </c>
      <c r="P1004" s="15" t="s">
        <v>3784</v>
      </c>
      <c r="Q1004" s="15" t="s">
        <v>211</v>
      </c>
      <c r="R1004" s="16" t="s">
        <v>54</v>
      </c>
      <c r="S1004" s="12" t="s">
        <v>3668</v>
      </c>
      <c r="T1004" s="14" t="s">
        <v>55</v>
      </c>
    </row>
    <row r="1005" spans="1:20" ht="16.5">
      <c r="A1005" s="17" t="s">
        <v>3653</v>
      </c>
      <c r="B1005" s="17" t="s">
        <v>60</v>
      </c>
      <c r="C1005" s="17" t="s">
        <v>62</v>
      </c>
      <c r="D1005" s="18" t="s">
        <v>3673</v>
      </c>
      <c r="E1005" s="17" t="s">
        <v>203</v>
      </c>
      <c r="F1005" s="17" t="s">
        <v>204</v>
      </c>
      <c r="G1005" s="18" t="s">
        <v>3785</v>
      </c>
      <c r="H1005" s="20" t="s">
        <v>3786</v>
      </c>
      <c r="I1005" s="17" t="s">
        <v>65</v>
      </c>
      <c r="J1005" s="21">
        <v>1</v>
      </c>
      <c r="K1005" s="21" t="s">
        <v>3655</v>
      </c>
      <c r="L1005" s="21" t="s">
        <v>3787</v>
      </c>
      <c r="M1005" s="19" t="s">
        <v>3676</v>
      </c>
      <c r="N1005" s="19" t="s">
        <v>208</v>
      </c>
      <c r="O1005" s="19" t="s">
        <v>3788</v>
      </c>
      <c r="P1005" s="19" t="s">
        <v>3789</v>
      </c>
      <c r="Q1005" s="19" t="s">
        <v>211</v>
      </c>
      <c r="R1005" s="16" t="s">
        <v>54</v>
      </c>
      <c r="S1005" s="18" t="s">
        <v>3668</v>
      </c>
      <c r="T1005" s="21" t="s">
        <v>55</v>
      </c>
    </row>
    <row r="1006" spans="1:20" ht="16.5">
      <c r="A1006" s="11" t="s">
        <v>3653</v>
      </c>
      <c r="B1006" s="11" t="s">
        <v>60</v>
      </c>
      <c r="C1006" s="11" t="s">
        <v>62</v>
      </c>
      <c r="D1006" s="12" t="s">
        <v>3673</v>
      </c>
      <c r="E1006" s="11" t="s">
        <v>203</v>
      </c>
      <c r="F1006" s="11" t="s">
        <v>204</v>
      </c>
      <c r="G1006" s="12" t="s">
        <v>3790</v>
      </c>
      <c r="H1006" s="13" t="s">
        <v>3791</v>
      </c>
      <c r="I1006" s="11" t="s">
        <v>65</v>
      </c>
      <c r="J1006" s="14">
        <v>1</v>
      </c>
      <c r="K1006" s="14" t="s">
        <v>3655</v>
      </c>
      <c r="L1006" s="14" t="s">
        <v>3792</v>
      </c>
      <c r="M1006" s="15" t="s">
        <v>3676</v>
      </c>
      <c r="N1006" s="15" t="s">
        <v>208</v>
      </c>
      <c r="O1006" s="15" t="s">
        <v>3793</v>
      </c>
      <c r="P1006" s="15" t="s">
        <v>3794</v>
      </c>
      <c r="Q1006" s="15" t="s">
        <v>211</v>
      </c>
      <c r="R1006" s="16" t="s">
        <v>54</v>
      </c>
      <c r="S1006" s="12" t="s">
        <v>3668</v>
      </c>
      <c r="T1006" s="14" t="s">
        <v>55</v>
      </c>
    </row>
    <row r="1007" spans="1:20" ht="16.5">
      <c r="A1007" s="17" t="s">
        <v>3653</v>
      </c>
      <c r="B1007" s="17" t="s">
        <v>60</v>
      </c>
      <c r="C1007" s="17" t="s">
        <v>62</v>
      </c>
      <c r="D1007" s="18" t="s">
        <v>3688</v>
      </c>
      <c r="E1007" s="17" t="s">
        <v>203</v>
      </c>
      <c r="F1007" s="17" t="s">
        <v>204</v>
      </c>
      <c r="G1007" s="18" t="s">
        <v>3795</v>
      </c>
      <c r="H1007" s="20" t="s">
        <v>3796</v>
      </c>
      <c r="I1007" s="17" t="s">
        <v>65</v>
      </c>
      <c r="J1007" s="21">
        <v>1</v>
      </c>
      <c r="K1007" s="21" t="s">
        <v>3655</v>
      </c>
      <c r="L1007" s="21" t="s">
        <v>3797</v>
      </c>
      <c r="M1007" s="19" t="s">
        <v>3691</v>
      </c>
      <c r="N1007" s="19" t="s">
        <v>208</v>
      </c>
      <c r="O1007" s="19" t="s">
        <v>3798</v>
      </c>
      <c r="P1007" s="19" t="s">
        <v>3799</v>
      </c>
      <c r="Q1007" s="19" t="s">
        <v>211</v>
      </c>
      <c r="R1007" s="16" t="s">
        <v>54</v>
      </c>
      <c r="S1007" s="18" t="s">
        <v>3668</v>
      </c>
      <c r="T1007" s="21" t="s">
        <v>55</v>
      </c>
    </row>
    <row r="1008" spans="1:20" ht="16.5">
      <c r="A1008" s="11" t="s">
        <v>3653</v>
      </c>
      <c r="B1008" s="11" t="s">
        <v>60</v>
      </c>
      <c r="C1008" s="11" t="s">
        <v>62</v>
      </c>
      <c r="D1008" s="12" t="s">
        <v>3696</v>
      </c>
      <c r="E1008" s="11" t="s">
        <v>203</v>
      </c>
      <c r="F1008" s="11" t="s">
        <v>204</v>
      </c>
      <c r="G1008" s="12" t="s">
        <v>3800</v>
      </c>
      <c r="H1008" s="13" t="s">
        <v>3801</v>
      </c>
      <c r="I1008" s="11" t="s">
        <v>65</v>
      </c>
      <c r="J1008" s="14">
        <v>1</v>
      </c>
      <c r="K1008" s="14" t="s">
        <v>3655</v>
      </c>
      <c r="L1008" s="14" t="s">
        <v>3802</v>
      </c>
      <c r="M1008" s="15" t="s">
        <v>3699</v>
      </c>
      <c r="N1008" s="15" t="s">
        <v>208</v>
      </c>
      <c r="O1008" s="15" t="s">
        <v>3803</v>
      </c>
      <c r="P1008" s="15" t="s">
        <v>3804</v>
      </c>
      <c r="Q1008" s="15" t="s">
        <v>211</v>
      </c>
      <c r="R1008" s="16" t="s">
        <v>54</v>
      </c>
      <c r="S1008" s="12" t="s">
        <v>3668</v>
      </c>
      <c r="T1008" s="14" t="s">
        <v>55</v>
      </c>
    </row>
    <row r="1009" spans="1:20" ht="16.5">
      <c r="A1009" s="17" t="s">
        <v>3653</v>
      </c>
      <c r="B1009" s="17" t="s">
        <v>60</v>
      </c>
      <c r="C1009" s="17" t="s">
        <v>62</v>
      </c>
      <c r="D1009" s="18" t="s">
        <v>3696</v>
      </c>
      <c r="E1009" s="17" t="s">
        <v>203</v>
      </c>
      <c r="F1009" s="17" t="s">
        <v>204</v>
      </c>
      <c r="G1009" s="18" t="s">
        <v>3805</v>
      </c>
      <c r="H1009" s="20" t="s">
        <v>3806</v>
      </c>
      <c r="I1009" s="17" t="s">
        <v>65</v>
      </c>
      <c r="J1009" s="21">
        <v>1</v>
      </c>
      <c r="K1009" s="21" t="s">
        <v>3655</v>
      </c>
      <c r="L1009" s="21" t="s">
        <v>3807</v>
      </c>
      <c r="M1009" s="19" t="s">
        <v>3699</v>
      </c>
      <c r="N1009" s="19" t="s">
        <v>208</v>
      </c>
      <c r="O1009" s="19" t="s">
        <v>3808</v>
      </c>
      <c r="P1009" s="19" t="s">
        <v>3809</v>
      </c>
      <c r="Q1009" s="19" t="s">
        <v>211</v>
      </c>
      <c r="R1009" s="16" t="s">
        <v>54</v>
      </c>
      <c r="S1009" s="18" t="s">
        <v>3668</v>
      </c>
      <c r="T1009" s="21" t="s">
        <v>55</v>
      </c>
    </row>
    <row r="1010" spans="1:20" ht="16.5">
      <c r="A1010" s="11" t="s">
        <v>3653</v>
      </c>
      <c r="B1010" s="11" t="s">
        <v>60</v>
      </c>
      <c r="C1010" s="11" t="s">
        <v>62</v>
      </c>
      <c r="D1010" s="12" t="s">
        <v>3712</v>
      </c>
      <c r="E1010" s="11" t="s">
        <v>203</v>
      </c>
      <c r="F1010" s="11" t="s">
        <v>204</v>
      </c>
      <c r="G1010" s="12" t="s">
        <v>3810</v>
      </c>
      <c r="H1010" s="13" t="s">
        <v>3811</v>
      </c>
      <c r="I1010" s="11" t="s">
        <v>65</v>
      </c>
      <c r="J1010" s="14">
        <v>1</v>
      </c>
      <c r="K1010" s="14" t="s">
        <v>3655</v>
      </c>
      <c r="L1010" s="14" t="s">
        <v>3812</v>
      </c>
      <c r="M1010" s="15" t="s">
        <v>3715</v>
      </c>
      <c r="N1010" s="15" t="s">
        <v>208</v>
      </c>
      <c r="O1010" s="15" t="s">
        <v>3813</v>
      </c>
      <c r="P1010" s="15" t="s">
        <v>3814</v>
      </c>
      <c r="Q1010" s="15" t="s">
        <v>211</v>
      </c>
      <c r="R1010" s="16" t="s">
        <v>54</v>
      </c>
      <c r="S1010" s="12" t="s">
        <v>3668</v>
      </c>
      <c r="T1010" s="14" t="s">
        <v>55</v>
      </c>
    </row>
    <row r="1011" spans="1:20" ht="16.5">
      <c r="A1011" s="17" t="s">
        <v>3653</v>
      </c>
      <c r="B1011" s="17" t="s">
        <v>60</v>
      </c>
      <c r="C1011" s="17" t="s">
        <v>62</v>
      </c>
      <c r="D1011" s="18" t="s">
        <v>2787</v>
      </c>
      <c r="E1011" s="17" t="s">
        <v>203</v>
      </c>
      <c r="F1011" s="17" t="s">
        <v>204</v>
      </c>
      <c r="G1011" s="18" t="s">
        <v>3815</v>
      </c>
      <c r="H1011" s="20" t="s">
        <v>3816</v>
      </c>
      <c r="I1011" s="17" t="s">
        <v>65</v>
      </c>
      <c r="J1011" s="21">
        <v>1</v>
      </c>
      <c r="K1011" s="21" t="s">
        <v>3655</v>
      </c>
      <c r="L1011" s="21" t="s">
        <v>3817</v>
      </c>
      <c r="M1011" s="19" t="s">
        <v>2791</v>
      </c>
      <c r="N1011" s="19" t="s">
        <v>208</v>
      </c>
      <c r="O1011" s="19" t="s">
        <v>3818</v>
      </c>
      <c r="P1011" s="19" t="s">
        <v>3819</v>
      </c>
      <c r="Q1011" s="19" t="s">
        <v>211</v>
      </c>
      <c r="R1011" s="16" t="s">
        <v>54</v>
      </c>
      <c r="S1011" s="18" t="s">
        <v>3668</v>
      </c>
      <c r="T1011" s="21" t="s">
        <v>55</v>
      </c>
    </row>
    <row r="1012" spans="1:20" ht="16.5">
      <c r="A1012" s="11" t="s">
        <v>3653</v>
      </c>
      <c r="B1012" s="11" t="s">
        <v>60</v>
      </c>
      <c r="C1012" s="11" t="s">
        <v>62</v>
      </c>
      <c r="D1012" s="12" t="s">
        <v>3726</v>
      </c>
      <c r="E1012" s="11" t="s">
        <v>203</v>
      </c>
      <c r="F1012" s="11" t="s">
        <v>204</v>
      </c>
      <c r="G1012" s="12" t="s">
        <v>3820</v>
      </c>
      <c r="H1012" s="13" t="s">
        <v>3821</v>
      </c>
      <c r="I1012" s="11" t="s">
        <v>65</v>
      </c>
      <c r="J1012" s="14">
        <v>1</v>
      </c>
      <c r="K1012" s="14" t="s">
        <v>3655</v>
      </c>
      <c r="L1012" s="14" t="s">
        <v>3822</v>
      </c>
      <c r="M1012" s="15" t="s">
        <v>3729</v>
      </c>
      <c r="N1012" s="15" t="s">
        <v>208</v>
      </c>
      <c r="O1012" s="15" t="s">
        <v>3823</v>
      </c>
      <c r="P1012" s="15" t="s">
        <v>3824</v>
      </c>
      <c r="Q1012" s="15" t="s">
        <v>211</v>
      </c>
      <c r="R1012" s="16" t="s">
        <v>54</v>
      </c>
      <c r="S1012" s="12" t="s">
        <v>3668</v>
      </c>
      <c r="T1012" s="14" t="s">
        <v>55</v>
      </c>
    </row>
    <row r="1013" spans="1:20" ht="16.5">
      <c r="A1013" s="17" t="s">
        <v>3653</v>
      </c>
      <c r="B1013" s="17" t="s">
        <v>60</v>
      </c>
      <c r="C1013" s="17" t="s">
        <v>62</v>
      </c>
      <c r="D1013" s="18" t="s">
        <v>3749</v>
      </c>
      <c r="E1013" s="17" t="s">
        <v>203</v>
      </c>
      <c r="F1013" s="17" t="s">
        <v>204</v>
      </c>
      <c r="G1013" s="18" t="s">
        <v>3825</v>
      </c>
      <c r="H1013" s="20" t="s">
        <v>3826</v>
      </c>
      <c r="I1013" s="17" t="s">
        <v>65</v>
      </c>
      <c r="J1013" s="21">
        <v>1</v>
      </c>
      <c r="K1013" s="21" t="s">
        <v>3655</v>
      </c>
      <c r="L1013" s="21" t="s">
        <v>3827</v>
      </c>
      <c r="M1013" s="19" t="s">
        <v>3752</v>
      </c>
      <c r="N1013" s="19" t="s">
        <v>208</v>
      </c>
      <c r="O1013" s="19" t="s">
        <v>3828</v>
      </c>
      <c r="P1013" s="19" t="s">
        <v>3829</v>
      </c>
      <c r="Q1013" s="19" t="s">
        <v>211</v>
      </c>
      <c r="R1013" s="16" t="s">
        <v>54</v>
      </c>
      <c r="S1013" s="18" t="s">
        <v>3668</v>
      </c>
      <c r="T1013" s="21" t="s">
        <v>55</v>
      </c>
    </row>
    <row r="1014" spans="1:20" ht="16.5">
      <c r="A1014" s="11" t="s">
        <v>3653</v>
      </c>
      <c r="B1014" s="11" t="s">
        <v>60</v>
      </c>
      <c r="C1014" s="11" t="s">
        <v>62</v>
      </c>
      <c r="D1014" s="12" t="s">
        <v>3749</v>
      </c>
      <c r="E1014" s="11" t="s">
        <v>203</v>
      </c>
      <c r="F1014" s="11" t="s">
        <v>204</v>
      </c>
      <c r="G1014" s="12" t="s">
        <v>3830</v>
      </c>
      <c r="H1014" s="13" t="s">
        <v>3831</v>
      </c>
      <c r="I1014" s="11" t="s">
        <v>65</v>
      </c>
      <c r="J1014" s="14">
        <v>1</v>
      </c>
      <c r="K1014" s="14" t="s">
        <v>3655</v>
      </c>
      <c r="L1014" s="14" t="s">
        <v>3832</v>
      </c>
      <c r="M1014" s="15" t="s">
        <v>3752</v>
      </c>
      <c r="N1014" s="15" t="s">
        <v>208</v>
      </c>
      <c r="O1014" s="15" t="s">
        <v>3833</v>
      </c>
      <c r="P1014" s="15" t="s">
        <v>3834</v>
      </c>
      <c r="Q1014" s="15" t="s">
        <v>211</v>
      </c>
      <c r="R1014" s="16" t="s">
        <v>54</v>
      </c>
      <c r="S1014" s="12" t="s">
        <v>3668</v>
      </c>
      <c r="T1014" s="14" t="s">
        <v>55</v>
      </c>
    </row>
    <row r="1015" spans="1:20" ht="16.5">
      <c r="A1015" s="17" t="s">
        <v>3653</v>
      </c>
      <c r="B1015" s="17" t="s">
        <v>60</v>
      </c>
      <c r="C1015" s="17" t="s">
        <v>62</v>
      </c>
      <c r="D1015" s="18" t="s">
        <v>3768</v>
      </c>
      <c r="E1015" s="17" t="s">
        <v>203</v>
      </c>
      <c r="F1015" s="17" t="s">
        <v>204</v>
      </c>
      <c r="G1015" s="18" t="s">
        <v>3835</v>
      </c>
      <c r="H1015" s="20" t="s">
        <v>3836</v>
      </c>
      <c r="I1015" s="17" t="s">
        <v>65</v>
      </c>
      <c r="J1015" s="21">
        <v>1</v>
      </c>
      <c r="K1015" s="21" t="s">
        <v>3655</v>
      </c>
      <c r="L1015" s="21" t="s">
        <v>3837</v>
      </c>
      <c r="M1015" s="19" t="s">
        <v>3771</v>
      </c>
      <c r="N1015" s="19" t="s">
        <v>208</v>
      </c>
      <c r="O1015" s="19" t="s">
        <v>3838</v>
      </c>
      <c r="P1015" s="19" t="s">
        <v>3839</v>
      </c>
      <c r="Q1015" s="19" t="s">
        <v>211</v>
      </c>
      <c r="R1015" s="16" t="s">
        <v>54</v>
      </c>
      <c r="S1015" s="18" t="s">
        <v>3668</v>
      </c>
      <c r="T1015" s="21" t="s">
        <v>55</v>
      </c>
    </row>
    <row r="1016" spans="1:20" ht="16.5">
      <c r="A1016" s="11" t="s">
        <v>3653</v>
      </c>
      <c r="B1016" s="11" t="s">
        <v>60</v>
      </c>
      <c r="C1016" s="11" t="s">
        <v>62</v>
      </c>
      <c r="D1016" s="12" t="s">
        <v>3749</v>
      </c>
      <c r="E1016" s="11" t="s">
        <v>203</v>
      </c>
      <c r="F1016" s="11" t="s">
        <v>204</v>
      </c>
      <c r="G1016" s="12" t="s">
        <v>3840</v>
      </c>
      <c r="H1016" s="13" t="s">
        <v>3841</v>
      </c>
      <c r="I1016" s="11" t="s">
        <v>65</v>
      </c>
      <c r="J1016" s="14">
        <v>1</v>
      </c>
      <c r="K1016" s="14" t="s">
        <v>3655</v>
      </c>
      <c r="L1016" s="14" t="s">
        <v>3842</v>
      </c>
      <c r="M1016" s="15" t="s">
        <v>3752</v>
      </c>
      <c r="N1016" s="15" t="s">
        <v>208</v>
      </c>
      <c r="O1016" s="15" t="s">
        <v>3843</v>
      </c>
      <c r="P1016" s="15"/>
      <c r="Q1016" s="12" t="s">
        <v>286</v>
      </c>
      <c r="R1016" s="22" t="s">
        <v>88</v>
      </c>
      <c r="S1016" s="12" t="s">
        <v>3668</v>
      </c>
      <c r="T1016" s="14" t="s">
        <v>55</v>
      </c>
    </row>
    <row r="1017" spans="1:20" ht="16.5">
      <c r="A1017" s="17" t="s">
        <v>3653</v>
      </c>
      <c r="B1017" s="17" t="s">
        <v>60</v>
      </c>
      <c r="C1017" s="17" t="s">
        <v>300</v>
      </c>
      <c r="D1017" s="18" t="s">
        <v>3844</v>
      </c>
      <c r="E1017" s="17" t="s">
        <v>203</v>
      </c>
      <c r="F1017" s="17" t="s">
        <v>204</v>
      </c>
      <c r="G1017" s="18" t="s">
        <v>3830</v>
      </c>
      <c r="H1017" s="20" t="s">
        <v>3845</v>
      </c>
      <c r="I1017" s="17" t="s">
        <v>65</v>
      </c>
      <c r="J1017" s="21">
        <v>1</v>
      </c>
      <c r="K1017" s="21" t="s">
        <v>3655</v>
      </c>
      <c r="L1017" s="21" t="s">
        <v>3846</v>
      </c>
      <c r="M1017" s="19" t="s">
        <v>3847</v>
      </c>
      <c r="N1017" s="19" t="s">
        <v>208</v>
      </c>
      <c r="O1017" s="19" t="s">
        <v>3833</v>
      </c>
      <c r="P1017" s="19" t="s">
        <v>3834</v>
      </c>
      <c r="Q1017" s="19" t="s">
        <v>211</v>
      </c>
      <c r="R1017" s="16" t="s">
        <v>54</v>
      </c>
      <c r="S1017" s="18" t="s">
        <v>3668</v>
      </c>
      <c r="T1017" s="26" t="s">
        <v>3848</v>
      </c>
    </row>
    <row r="1018" spans="1:20" ht="16.5">
      <c r="A1018" s="11" t="s">
        <v>3653</v>
      </c>
      <c r="B1018" s="11" t="s">
        <v>60</v>
      </c>
      <c r="C1018" s="11" t="s">
        <v>300</v>
      </c>
      <c r="D1018" s="12" t="s">
        <v>3844</v>
      </c>
      <c r="E1018" s="11" t="s">
        <v>203</v>
      </c>
      <c r="F1018" s="11" t="s">
        <v>204</v>
      </c>
      <c r="G1018" s="12" t="s">
        <v>3849</v>
      </c>
      <c r="H1018" s="13" t="s">
        <v>3850</v>
      </c>
      <c r="I1018" s="11" t="s">
        <v>65</v>
      </c>
      <c r="J1018" s="14">
        <v>1</v>
      </c>
      <c r="K1018" s="14" t="s">
        <v>3655</v>
      </c>
      <c r="L1018" s="14" t="s">
        <v>3851</v>
      </c>
      <c r="M1018" s="15" t="s">
        <v>3847</v>
      </c>
      <c r="N1018" s="15" t="s">
        <v>208</v>
      </c>
      <c r="O1018" s="15" t="s">
        <v>3852</v>
      </c>
      <c r="P1018" s="15" t="s">
        <v>3853</v>
      </c>
      <c r="Q1018" s="15" t="s">
        <v>211</v>
      </c>
      <c r="R1018" s="16" t="s">
        <v>54</v>
      </c>
      <c r="S1018" s="12" t="s">
        <v>3668</v>
      </c>
      <c r="T1018" s="26" t="s">
        <v>3848</v>
      </c>
    </row>
    <row r="1019" spans="1:20" ht="16.5">
      <c r="A1019" s="17" t="s">
        <v>3653</v>
      </c>
      <c r="B1019" s="17" t="s">
        <v>60</v>
      </c>
      <c r="C1019" s="17" t="s">
        <v>300</v>
      </c>
      <c r="D1019" s="18" t="s">
        <v>3854</v>
      </c>
      <c r="E1019" s="17" t="s">
        <v>203</v>
      </c>
      <c r="F1019" s="17" t="s">
        <v>204</v>
      </c>
      <c r="G1019" s="18" t="s">
        <v>3855</v>
      </c>
      <c r="H1019" s="20" t="s">
        <v>3856</v>
      </c>
      <c r="I1019" s="17" t="s">
        <v>65</v>
      </c>
      <c r="J1019" s="21">
        <v>1</v>
      </c>
      <c r="K1019" s="21" t="s">
        <v>3655</v>
      </c>
      <c r="L1019" s="21" t="s">
        <v>3857</v>
      </c>
      <c r="M1019" s="19" t="s">
        <v>3858</v>
      </c>
      <c r="N1019" s="19" t="s">
        <v>208</v>
      </c>
      <c r="O1019" s="19" t="s">
        <v>3859</v>
      </c>
      <c r="P1019" s="19"/>
      <c r="Q1019" s="18" t="s">
        <v>286</v>
      </c>
      <c r="R1019" s="22" t="s">
        <v>88</v>
      </c>
      <c r="S1019" s="18" t="s">
        <v>3668</v>
      </c>
      <c r="T1019" s="26" t="s">
        <v>673</v>
      </c>
    </row>
    <row r="1020" spans="1:20" ht="16.5">
      <c r="A1020" s="11" t="s">
        <v>3653</v>
      </c>
      <c r="B1020" s="11" t="s">
        <v>311</v>
      </c>
      <c r="C1020" s="11" t="s">
        <v>204</v>
      </c>
      <c r="D1020" s="12" t="s">
        <v>3780</v>
      </c>
      <c r="E1020" s="11" t="s">
        <v>312</v>
      </c>
      <c r="F1020" s="14" t="s">
        <v>313</v>
      </c>
      <c r="G1020" s="15" t="s">
        <v>3784</v>
      </c>
      <c r="H1020" s="23" t="s">
        <v>3860</v>
      </c>
      <c r="I1020" s="11" t="s">
        <v>65</v>
      </c>
      <c r="J1020" s="14">
        <v>1</v>
      </c>
      <c r="K1020" s="14" t="s">
        <v>3655</v>
      </c>
      <c r="L1020" s="14" t="s">
        <v>3861</v>
      </c>
      <c r="M1020" s="15" t="s">
        <v>3783</v>
      </c>
      <c r="N1020" s="15" t="s">
        <v>316</v>
      </c>
      <c r="O1020" s="15" t="s">
        <v>3862</v>
      </c>
      <c r="P1020" s="15" t="s">
        <v>3784</v>
      </c>
      <c r="Q1020" s="15" t="s">
        <v>211</v>
      </c>
      <c r="R1020" s="16" t="s">
        <v>54</v>
      </c>
      <c r="S1020" s="12" t="s">
        <v>3668</v>
      </c>
      <c r="T1020" s="14" t="s">
        <v>55</v>
      </c>
    </row>
    <row r="1021" spans="1:20" ht="16.5">
      <c r="A1021" s="17" t="s">
        <v>3653</v>
      </c>
      <c r="B1021" s="17" t="s">
        <v>311</v>
      </c>
      <c r="C1021" s="17" t="s">
        <v>204</v>
      </c>
      <c r="D1021" s="18" t="s">
        <v>3785</v>
      </c>
      <c r="E1021" s="17" t="s">
        <v>312</v>
      </c>
      <c r="F1021" s="21" t="s">
        <v>313</v>
      </c>
      <c r="G1021" s="19" t="s">
        <v>3863</v>
      </c>
      <c r="H1021" s="24" t="s">
        <v>3864</v>
      </c>
      <c r="I1021" s="17" t="s">
        <v>65</v>
      </c>
      <c r="J1021" s="21">
        <v>1</v>
      </c>
      <c r="K1021" s="21" t="s">
        <v>3655</v>
      </c>
      <c r="L1021" s="21" t="s">
        <v>3865</v>
      </c>
      <c r="M1021" s="19" t="s">
        <v>3788</v>
      </c>
      <c r="N1021" s="19" t="s">
        <v>316</v>
      </c>
      <c r="O1021" s="19" t="s">
        <v>3866</v>
      </c>
      <c r="P1021" s="19" t="s">
        <v>3863</v>
      </c>
      <c r="Q1021" s="19" t="s">
        <v>211</v>
      </c>
      <c r="R1021" s="16" t="s">
        <v>54</v>
      </c>
      <c r="S1021" s="18" t="s">
        <v>3668</v>
      </c>
      <c r="T1021" s="21" t="s">
        <v>55</v>
      </c>
    </row>
    <row r="1022" spans="1:20" ht="16.5">
      <c r="A1022" s="11" t="s">
        <v>3653</v>
      </c>
      <c r="B1022" s="11" t="s">
        <v>311</v>
      </c>
      <c r="C1022" s="11" t="s">
        <v>204</v>
      </c>
      <c r="D1022" s="12" t="s">
        <v>3785</v>
      </c>
      <c r="E1022" s="11" t="s">
        <v>312</v>
      </c>
      <c r="F1022" s="14" t="s">
        <v>313</v>
      </c>
      <c r="G1022" s="15" t="s">
        <v>3867</v>
      </c>
      <c r="H1022" s="23" t="s">
        <v>3868</v>
      </c>
      <c r="I1022" s="11" t="s">
        <v>65</v>
      </c>
      <c r="J1022" s="14">
        <v>1</v>
      </c>
      <c r="K1022" s="14" t="s">
        <v>3655</v>
      </c>
      <c r="L1022" s="14" t="s">
        <v>3869</v>
      </c>
      <c r="M1022" s="15" t="s">
        <v>3788</v>
      </c>
      <c r="N1022" s="15" t="s">
        <v>316</v>
      </c>
      <c r="O1022" s="15" t="s">
        <v>3870</v>
      </c>
      <c r="P1022" s="15" t="s">
        <v>3867</v>
      </c>
      <c r="Q1022" s="15" t="s">
        <v>211</v>
      </c>
      <c r="R1022" s="16" t="s">
        <v>54</v>
      </c>
      <c r="S1022" s="12" t="s">
        <v>3668</v>
      </c>
      <c r="T1022" s="14" t="s">
        <v>55</v>
      </c>
    </row>
    <row r="1023" spans="1:20" ht="16.5">
      <c r="A1023" s="17" t="s">
        <v>3653</v>
      </c>
      <c r="B1023" s="17" t="s">
        <v>311</v>
      </c>
      <c r="C1023" s="17" t="s">
        <v>204</v>
      </c>
      <c r="D1023" s="18" t="s">
        <v>3790</v>
      </c>
      <c r="E1023" s="17" t="s">
        <v>312</v>
      </c>
      <c r="F1023" s="21" t="s">
        <v>313</v>
      </c>
      <c r="G1023" s="19" t="s">
        <v>3794</v>
      </c>
      <c r="H1023" s="24" t="s">
        <v>3871</v>
      </c>
      <c r="I1023" s="17" t="s">
        <v>65</v>
      </c>
      <c r="J1023" s="21">
        <v>1</v>
      </c>
      <c r="K1023" s="21" t="s">
        <v>3655</v>
      </c>
      <c r="L1023" s="21" t="s">
        <v>3872</v>
      </c>
      <c r="M1023" s="19" t="s">
        <v>3793</v>
      </c>
      <c r="N1023" s="19" t="s">
        <v>316</v>
      </c>
      <c r="O1023" s="19" t="s">
        <v>3873</v>
      </c>
      <c r="P1023" s="19" t="s">
        <v>3794</v>
      </c>
      <c r="Q1023" s="19" t="s">
        <v>211</v>
      </c>
      <c r="R1023" s="16" t="s">
        <v>54</v>
      </c>
      <c r="S1023" s="18" t="s">
        <v>3668</v>
      </c>
      <c r="T1023" s="21" t="s">
        <v>55</v>
      </c>
    </row>
    <row r="1024" spans="1:20" ht="16.5">
      <c r="A1024" s="11" t="s">
        <v>3653</v>
      </c>
      <c r="B1024" s="11" t="s">
        <v>311</v>
      </c>
      <c r="C1024" s="11" t="s">
        <v>204</v>
      </c>
      <c r="D1024" s="12" t="s">
        <v>3795</v>
      </c>
      <c r="E1024" s="11" t="s">
        <v>312</v>
      </c>
      <c r="F1024" s="14" t="s">
        <v>313</v>
      </c>
      <c r="G1024" s="15" t="s">
        <v>3799</v>
      </c>
      <c r="H1024" s="23" t="s">
        <v>3874</v>
      </c>
      <c r="I1024" s="11" t="s">
        <v>65</v>
      </c>
      <c r="J1024" s="14">
        <v>1</v>
      </c>
      <c r="K1024" s="14" t="s">
        <v>3655</v>
      </c>
      <c r="L1024" s="14" t="s">
        <v>3875</v>
      </c>
      <c r="M1024" s="15" t="s">
        <v>3798</v>
      </c>
      <c r="N1024" s="15" t="s">
        <v>316</v>
      </c>
      <c r="O1024" s="15" t="s">
        <v>3876</v>
      </c>
      <c r="P1024" s="15" t="s">
        <v>3799</v>
      </c>
      <c r="Q1024" s="15" t="s">
        <v>211</v>
      </c>
      <c r="R1024" s="16" t="s">
        <v>54</v>
      </c>
      <c r="S1024" s="12" t="s">
        <v>3668</v>
      </c>
      <c r="T1024" s="14" t="s">
        <v>55</v>
      </c>
    </row>
    <row r="1025" spans="1:20" ht="16.5">
      <c r="A1025" s="17" t="s">
        <v>3653</v>
      </c>
      <c r="B1025" s="17" t="s">
        <v>311</v>
      </c>
      <c r="C1025" s="17" t="s">
        <v>204</v>
      </c>
      <c r="D1025" s="18" t="s">
        <v>3800</v>
      </c>
      <c r="E1025" s="17" t="s">
        <v>312</v>
      </c>
      <c r="F1025" s="21" t="s">
        <v>313</v>
      </c>
      <c r="G1025" s="19" t="s">
        <v>3804</v>
      </c>
      <c r="H1025" s="24" t="s">
        <v>3877</v>
      </c>
      <c r="I1025" s="17" t="s">
        <v>65</v>
      </c>
      <c r="J1025" s="21">
        <v>1</v>
      </c>
      <c r="K1025" s="21" t="s">
        <v>3655</v>
      </c>
      <c r="L1025" s="21" t="s">
        <v>3878</v>
      </c>
      <c r="M1025" s="19" t="s">
        <v>3803</v>
      </c>
      <c r="N1025" s="19" t="s">
        <v>316</v>
      </c>
      <c r="O1025" s="19" t="s">
        <v>3879</v>
      </c>
      <c r="P1025" s="19" t="s">
        <v>3804</v>
      </c>
      <c r="Q1025" s="19" t="s">
        <v>211</v>
      </c>
      <c r="R1025" s="16" t="s">
        <v>54</v>
      </c>
      <c r="S1025" s="18" t="s">
        <v>3668</v>
      </c>
      <c r="T1025" s="21" t="s">
        <v>55</v>
      </c>
    </row>
    <row r="1026" spans="1:20" ht="16.5">
      <c r="A1026" s="11" t="s">
        <v>3653</v>
      </c>
      <c r="B1026" s="11" t="s">
        <v>311</v>
      </c>
      <c r="C1026" s="11" t="s">
        <v>204</v>
      </c>
      <c r="D1026" s="12" t="s">
        <v>3805</v>
      </c>
      <c r="E1026" s="11" t="s">
        <v>312</v>
      </c>
      <c r="F1026" s="14" t="s">
        <v>313</v>
      </c>
      <c r="G1026" s="15" t="s">
        <v>3809</v>
      </c>
      <c r="H1026" s="23" t="s">
        <v>3880</v>
      </c>
      <c r="I1026" s="11" t="s">
        <v>65</v>
      </c>
      <c r="J1026" s="14">
        <v>1</v>
      </c>
      <c r="K1026" s="14" t="s">
        <v>3655</v>
      </c>
      <c r="L1026" s="14" t="s">
        <v>3881</v>
      </c>
      <c r="M1026" s="15" t="s">
        <v>3808</v>
      </c>
      <c r="N1026" s="15" t="s">
        <v>316</v>
      </c>
      <c r="O1026" s="15" t="s">
        <v>3882</v>
      </c>
      <c r="P1026" s="15" t="s">
        <v>3809</v>
      </c>
      <c r="Q1026" s="15" t="s">
        <v>211</v>
      </c>
      <c r="R1026" s="16" t="s">
        <v>54</v>
      </c>
      <c r="S1026" s="12" t="s">
        <v>3668</v>
      </c>
      <c r="T1026" s="14" t="s">
        <v>55</v>
      </c>
    </row>
    <row r="1027" spans="1:20" ht="16.5">
      <c r="A1027" s="17" t="s">
        <v>3653</v>
      </c>
      <c r="B1027" s="17" t="s">
        <v>311</v>
      </c>
      <c r="C1027" s="17" t="s">
        <v>204</v>
      </c>
      <c r="D1027" s="18" t="s">
        <v>3810</v>
      </c>
      <c r="E1027" s="17" t="s">
        <v>312</v>
      </c>
      <c r="F1027" s="21" t="s">
        <v>313</v>
      </c>
      <c r="G1027" s="19" t="s">
        <v>3814</v>
      </c>
      <c r="H1027" s="24" t="s">
        <v>3883</v>
      </c>
      <c r="I1027" s="17" t="s">
        <v>65</v>
      </c>
      <c r="J1027" s="21">
        <v>1</v>
      </c>
      <c r="K1027" s="21" t="s">
        <v>3655</v>
      </c>
      <c r="L1027" s="21" t="s">
        <v>3884</v>
      </c>
      <c r="M1027" s="19" t="s">
        <v>3813</v>
      </c>
      <c r="N1027" s="19" t="s">
        <v>316</v>
      </c>
      <c r="O1027" s="19" t="s">
        <v>3885</v>
      </c>
      <c r="P1027" s="19" t="s">
        <v>3814</v>
      </c>
      <c r="Q1027" s="19" t="s">
        <v>211</v>
      </c>
      <c r="R1027" s="16" t="s">
        <v>54</v>
      </c>
      <c r="S1027" s="18" t="s">
        <v>3668</v>
      </c>
      <c r="T1027" s="21" t="s">
        <v>55</v>
      </c>
    </row>
    <row r="1028" spans="1:20" ht="16.5">
      <c r="A1028" s="11" t="s">
        <v>3653</v>
      </c>
      <c r="B1028" s="11" t="s">
        <v>311</v>
      </c>
      <c r="C1028" s="11" t="s">
        <v>204</v>
      </c>
      <c r="D1028" s="12" t="s">
        <v>3815</v>
      </c>
      <c r="E1028" s="11" t="s">
        <v>312</v>
      </c>
      <c r="F1028" s="14" t="s">
        <v>313</v>
      </c>
      <c r="G1028" s="15" t="s">
        <v>3819</v>
      </c>
      <c r="H1028" s="23" t="s">
        <v>3886</v>
      </c>
      <c r="I1028" s="11" t="s">
        <v>65</v>
      </c>
      <c r="J1028" s="14">
        <v>1</v>
      </c>
      <c r="K1028" s="14" t="s">
        <v>3655</v>
      </c>
      <c r="L1028" s="14" t="s">
        <v>3887</v>
      </c>
      <c r="M1028" s="15" t="s">
        <v>3818</v>
      </c>
      <c r="N1028" s="15" t="s">
        <v>316</v>
      </c>
      <c r="O1028" s="15" t="s">
        <v>3888</v>
      </c>
      <c r="P1028" s="15" t="s">
        <v>3819</v>
      </c>
      <c r="Q1028" s="15" t="s">
        <v>211</v>
      </c>
      <c r="R1028" s="16" t="s">
        <v>54</v>
      </c>
      <c r="S1028" s="12" t="s">
        <v>3668</v>
      </c>
      <c r="T1028" s="14" t="s">
        <v>55</v>
      </c>
    </row>
    <row r="1029" spans="1:20" ht="16.5">
      <c r="A1029" s="17" t="s">
        <v>3653</v>
      </c>
      <c r="B1029" s="17" t="s">
        <v>311</v>
      </c>
      <c r="C1029" s="17" t="s">
        <v>204</v>
      </c>
      <c r="D1029" s="18" t="s">
        <v>3820</v>
      </c>
      <c r="E1029" s="17" t="s">
        <v>312</v>
      </c>
      <c r="F1029" s="21" t="s">
        <v>313</v>
      </c>
      <c r="G1029" s="19" t="s">
        <v>3824</v>
      </c>
      <c r="H1029" s="24" t="s">
        <v>3889</v>
      </c>
      <c r="I1029" s="17" t="s">
        <v>65</v>
      </c>
      <c r="J1029" s="21">
        <v>1</v>
      </c>
      <c r="K1029" s="21" t="s">
        <v>3655</v>
      </c>
      <c r="L1029" s="21" t="s">
        <v>3890</v>
      </c>
      <c r="M1029" s="19" t="s">
        <v>3823</v>
      </c>
      <c r="N1029" s="19" t="s">
        <v>316</v>
      </c>
      <c r="O1029" s="19" t="s">
        <v>3891</v>
      </c>
      <c r="P1029" s="19" t="s">
        <v>3824</v>
      </c>
      <c r="Q1029" s="19" t="s">
        <v>211</v>
      </c>
      <c r="R1029" s="16" t="s">
        <v>54</v>
      </c>
      <c r="S1029" s="18" t="s">
        <v>3668</v>
      </c>
      <c r="T1029" s="21" t="s">
        <v>55</v>
      </c>
    </row>
    <row r="1030" spans="1:20" ht="16.5">
      <c r="A1030" s="11" t="s">
        <v>3653</v>
      </c>
      <c r="B1030" s="11" t="s">
        <v>311</v>
      </c>
      <c r="C1030" s="11" t="s">
        <v>204</v>
      </c>
      <c r="D1030" s="12" t="s">
        <v>3825</v>
      </c>
      <c r="E1030" s="11" t="s">
        <v>312</v>
      </c>
      <c r="F1030" s="14" t="s">
        <v>313</v>
      </c>
      <c r="G1030" s="15" t="s">
        <v>3892</v>
      </c>
      <c r="H1030" s="23" t="s">
        <v>3893</v>
      </c>
      <c r="I1030" s="11" t="s">
        <v>65</v>
      </c>
      <c r="J1030" s="14">
        <v>1</v>
      </c>
      <c r="K1030" s="14" t="s">
        <v>3655</v>
      </c>
      <c r="L1030" s="14" t="s">
        <v>3894</v>
      </c>
      <c r="M1030" s="15" t="s">
        <v>3828</v>
      </c>
      <c r="N1030" s="15" t="s">
        <v>316</v>
      </c>
      <c r="O1030" s="15" t="s">
        <v>3895</v>
      </c>
      <c r="P1030" s="15" t="s">
        <v>3892</v>
      </c>
      <c r="Q1030" s="15" t="s">
        <v>211</v>
      </c>
      <c r="R1030" s="16" t="s">
        <v>54</v>
      </c>
      <c r="S1030" s="12" t="s">
        <v>3668</v>
      </c>
      <c r="T1030" s="14" t="s">
        <v>55</v>
      </c>
    </row>
    <row r="1031" spans="1:20" ht="16.5">
      <c r="A1031" s="17" t="s">
        <v>3653</v>
      </c>
      <c r="B1031" s="17" t="s">
        <v>311</v>
      </c>
      <c r="C1031" s="17" t="s">
        <v>204</v>
      </c>
      <c r="D1031" s="18" t="s">
        <v>3825</v>
      </c>
      <c r="E1031" s="17" t="s">
        <v>312</v>
      </c>
      <c r="F1031" s="21" t="s">
        <v>313</v>
      </c>
      <c r="G1031" s="19" t="s">
        <v>3896</v>
      </c>
      <c r="H1031" s="24" t="s">
        <v>3897</v>
      </c>
      <c r="I1031" s="17" t="s">
        <v>65</v>
      </c>
      <c r="J1031" s="21">
        <v>1</v>
      </c>
      <c r="K1031" s="21" t="s">
        <v>3655</v>
      </c>
      <c r="L1031" s="21" t="s">
        <v>3898</v>
      </c>
      <c r="M1031" s="19" t="s">
        <v>3828</v>
      </c>
      <c r="N1031" s="19" t="s">
        <v>316</v>
      </c>
      <c r="O1031" s="19" t="s">
        <v>3899</v>
      </c>
      <c r="P1031" s="19" t="s">
        <v>3896</v>
      </c>
      <c r="Q1031" s="19" t="s">
        <v>211</v>
      </c>
      <c r="R1031" s="16" t="s">
        <v>54</v>
      </c>
      <c r="S1031" s="18" t="s">
        <v>3668</v>
      </c>
      <c r="T1031" s="21" t="s">
        <v>55</v>
      </c>
    </row>
    <row r="1032" spans="1:20" ht="16.5">
      <c r="A1032" s="11" t="s">
        <v>3653</v>
      </c>
      <c r="B1032" s="11" t="s">
        <v>311</v>
      </c>
      <c r="C1032" s="11" t="s">
        <v>204</v>
      </c>
      <c r="D1032" s="12" t="s">
        <v>3830</v>
      </c>
      <c r="E1032" s="11" t="s">
        <v>312</v>
      </c>
      <c r="F1032" s="14" t="s">
        <v>313</v>
      </c>
      <c r="G1032" s="15" t="s">
        <v>3834</v>
      </c>
      <c r="H1032" s="23" t="s">
        <v>3900</v>
      </c>
      <c r="I1032" s="11" t="s">
        <v>65</v>
      </c>
      <c r="J1032" s="14">
        <v>1</v>
      </c>
      <c r="K1032" s="14" t="s">
        <v>3655</v>
      </c>
      <c r="L1032" s="14" t="s">
        <v>3901</v>
      </c>
      <c r="M1032" s="15" t="s">
        <v>3833</v>
      </c>
      <c r="N1032" s="15" t="s">
        <v>316</v>
      </c>
      <c r="O1032" s="15" t="s">
        <v>3902</v>
      </c>
      <c r="P1032" s="15" t="s">
        <v>3834</v>
      </c>
      <c r="Q1032" s="15" t="s">
        <v>211</v>
      </c>
      <c r="R1032" s="16" t="s">
        <v>54</v>
      </c>
      <c r="S1032" s="12" t="s">
        <v>3668</v>
      </c>
      <c r="T1032" s="14" t="s">
        <v>55</v>
      </c>
    </row>
    <row r="1033" spans="1:20" ht="16.5">
      <c r="A1033" s="17" t="s">
        <v>3653</v>
      </c>
      <c r="B1033" s="17" t="s">
        <v>311</v>
      </c>
      <c r="C1033" s="17" t="s">
        <v>204</v>
      </c>
      <c r="D1033" s="18" t="s">
        <v>3835</v>
      </c>
      <c r="E1033" s="17" t="s">
        <v>312</v>
      </c>
      <c r="F1033" s="21" t="s">
        <v>313</v>
      </c>
      <c r="G1033" s="19" t="s">
        <v>3839</v>
      </c>
      <c r="H1033" s="24" t="s">
        <v>3903</v>
      </c>
      <c r="I1033" s="17" t="s">
        <v>65</v>
      </c>
      <c r="J1033" s="21">
        <v>1</v>
      </c>
      <c r="K1033" s="21" t="s">
        <v>3655</v>
      </c>
      <c r="L1033" s="21" t="s">
        <v>3904</v>
      </c>
      <c r="M1033" s="19" t="s">
        <v>3838</v>
      </c>
      <c r="N1033" s="19" t="s">
        <v>316</v>
      </c>
      <c r="O1033" s="19" t="s">
        <v>3905</v>
      </c>
      <c r="P1033" s="19" t="s">
        <v>3839</v>
      </c>
      <c r="Q1033" s="19" t="s">
        <v>211</v>
      </c>
      <c r="R1033" s="16" t="s">
        <v>54</v>
      </c>
      <c r="S1033" s="18" t="s">
        <v>3668</v>
      </c>
      <c r="T1033" s="21" t="s">
        <v>55</v>
      </c>
    </row>
    <row r="1034" spans="1:20" ht="16.5">
      <c r="A1034" s="11" t="s">
        <v>3653</v>
      </c>
      <c r="B1034" s="11" t="s">
        <v>578</v>
      </c>
      <c r="C1034" s="11" t="s">
        <v>1250</v>
      </c>
      <c r="D1034" s="12" t="s">
        <v>2751</v>
      </c>
      <c r="E1034" s="11" t="s">
        <v>579</v>
      </c>
      <c r="F1034" s="11" t="s">
        <v>62</v>
      </c>
      <c r="G1034" s="12" t="s">
        <v>3664</v>
      </c>
      <c r="H1034" s="13" t="s">
        <v>3906</v>
      </c>
      <c r="I1034" s="11" t="s">
        <v>1246</v>
      </c>
      <c r="J1034" s="14">
        <v>1</v>
      </c>
      <c r="K1034" s="14" t="s">
        <v>3655</v>
      </c>
      <c r="L1034" s="14" t="s">
        <v>3907</v>
      </c>
      <c r="M1034" s="15" t="s">
        <v>2753</v>
      </c>
      <c r="N1034" s="15" t="s">
        <v>583</v>
      </c>
      <c r="O1034" s="15" t="s">
        <v>3667</v>
      </c>
      <c r="P1034" s="15"/>
      <c r="Q1034" s="12" t="s">
        <v>53</v>
      </c>
      <c r="R1034" s="16" t="s">
        <v>54</v>
      </c>
      <c r="S1034" s="12" t="s">
        <v>3668</v>
      </c>
      <c r="T1034" s="14" t="s">
        <v>55</v>
      </c>
    </row>
    <row r="1035" spans="1:20" ht="16.5">
      <c r="A1035" s="17" t="s">
        <v>3653</v>
      </c>
      <c r="B1035" s="17" t="s">
        <v>578</v>
      </c>
      <c r="C1035" s="17" t="s">
        <v>62</v>
      </c>
      <c r="D1035" s="18" t="s">
        <v>3664</v>
      </c>
      <c r="E1035" s="17" t="s">
        <v>45</v>
      </c>
      <c r="F1035" s="17" t="s">
        <v>62</v>
      </c>
      <c r="G1035" s="18" t="s">
        <v>3673</v>
      </c>
      <c r="H1035" s="24" t="s">
        <v>584</v>
      </c>
      <c r="I1035" s="17" t="s">
        <v>1246</v>
      </c>
      <c r="J1035" s="21">
        <v>1</v>
      </c>
      <c r="K1035" s="21" t="s">
        <v>3655</v>
      </c>
      <c r="L1035" s="21" t="s">
        <v>3908</v>
      </c>
      <c r="M1035" s="19" t="s">
        <v>3667</v>
      </c>
      <c r="N1035" s="19" t="s">
        <v>51</v>
      </c>
      <c r="O1035" s="19" t="s">
        <v>3676</v>
      </c>
      <c r="P1035" s="19"/>
      <c r="Q1035" s="18" t="s">
        <v>53</v>
      </c>
      <c r="R1035" s="16" t="s">
        <v>54</v>
      </c>
      <c r="S1035" s="18" t="s">
        <v>3668</v>
      </c>
      <c r="T1035" s="21" t="s">
        <v>55</v>
      </c>
    </row>
    <row r="1036" spans="1:20" ht="16.5">
      <c r="A1036" s="11" t="s">
        <v>3653</v>
      </c>
      <c r="B1036" s="11" t="s">
        <v>578</v>
      </c>
      <c r="C1036" s="11" t="s">
        <v>62</v>
      </c>
      <c r="D1036" s="12" t="s">
        <v>1464</v>
      </c>
      <c r="E1036" s="11" t="s">
        <v>45</v>
      </c>
      <c r="F1036" s="11" t="s">
        <v>62</v>
      </c>
      <c r="G1036" s="12" t="s">
        <v>3673</v>
      </c>
      <c r="H1036" s="13" t="s">
        <v>3909</v>
      </c>
      <c r="I1036" s="11" t="s">
        <v>1246</v>
      </c>
      <c r="J1036" s="14">
        <v>1</v>
      </c>
      <c r="K1036" s="14" t="s">
        <v>3655</v>
      </c>
      <c r="L1036" s="14" t="s">
        <v>3910</v>
      </c>
      <c r="M1036" s="15" t="s">
        <v>1467</v>
      </c>
      <c r="N1036" s="15" t="s">
        <v>51</v>
      </c>
      <c r="O1036" s="15" t="s">
        <v>3676</v>
      </c>
      <c r="P1036" s="15"/>
      <c r="Q1036" s="12" t="s">
        <v>53</v>
      </c>
      <c r="R1036" s="16" t="s">
        <v>54</v>
      </c>
      <c r="S1036" s="12" t="s">
        <v>3668</v>
      </c>
      <c r="T1036" s="14" t="s">
        <v>55</v>
      </c>
    </row>
    <row r="1037" spans="1:20" ht="16.5">
      <c r="A1037" s="17" t="s">
        <v>3653</v>
      </c>
      <c r="B1037" s="17" t="s">
        <v>578</v>
      </c>
      <c r="C1037" s="17" t="s">
        <v>62</v>
      </c>
      <c r="D1037" s="18" t="s">
        <v>3673</v>
      </c>
      <c r="E1037" s="17" t="s">
        <v>635</v>
      </c>
      <c r="F1037" s="17" t="s">
        <v>300</v>
      </c>
      <c r="G1037" s="18" t="s">
        <v>630</v>
      </c>
      <c r="H1037" s="20" t="s">
        <v>3911</v>
      </c>
      <c r="I1037" s="17" t="s">
        <v>1246</v>
      </c>
      <c r="J1037" s="21">
        <v>1</v>
      </c>
      <c r="K1037" s="21" t="s">
        <v>3655</v>
      </c>
      <c r="L1037" s="21" t="s">
        <v>3912</v>
      </c>
      <c r="M1037" s="19" t="s">
        <v>3676</v>
      </c>
      <c r="N1037" s="19" t="s">
        <v>640</v>
      </c>
      <c r="O1037" s="19" t="s">
        <v>634</v>
      </c>
      <c r="P1037" s="19"/>
      <c r="Q1037" s="18" t="s">
        <v>53</v>
      </c>
      <c r="R1037" s="16" t="s">
        <v>54</v>
      </c>
      <c r="S1037" s="18" t="s">
        <v>3668</v>
      </c>
      <c r="T1037" s="21" t="s">
        <v>55</v>
      </c>
    </row>
    <row r="1038" spans="1:20" ht="16.5">
      <c r="A1038" s="11" t="s">
        <v>3653</v>
      </c>
      <c r="B1038" s="11" t="s">
        <v>578</v>
      </c>
      <c r="C1038" s="11" t="s">
        <v>62</v>
      </c>
      <c r="D1038" s="12" t="s">
        <v>3688</v>
      </c>
      <c r="E1038" s="11" t="s">
        <v>45</v>
      </c>
      <c r="F1038" s="11" t="s">
        <v>62</v>
      </c>
      <c r="G1038" s="12" t="s">
        <v>3696</v>
      </c>
      <c r="H1038" s="23" t="s">
        <v>584</v>
      </c>
      <c r="I1038" s="11" t="s">
        <v>1246</v>
      </c>
      <c r="J1038" s="14">
        <v>1</v>
      </c>
      <c r="K1038" s="14" t="s">
        <v>3655</v>
      </c>
      <c r="L1038" s="14" t="s">
        <v>3913</v>
      </c>
      <c r="M1038" s="15" t="s">
        <v>3691</v>
      </c>
      <c r="N1038" s="15" t="s">
        <v>51</v>
      </c>
      <c r="O1038" s="15" t="s">
        <v>3699</v>
      </c>
      <c r="P1038" s="15"/>
      <c r="Q1038" s="12" t="s">
        <v>53</v>
      </c>
      <c r="R1038" s="16" t="s">
        <v>54</v>
      </c>
      <c r="S1038" s="12" t="s">
        <v>3668</v>
      </c>
      <c r="T1038" s="14" t="s">
        <v>55</v>
      </c>
    </row>
    <row r="1039" spans="1:20" ht="16.5">
      <c r="A1039" s="17" t="s">
        <v>3653</v>
      </c>
      <c r="B1039" s="17" t="s">
        <v>578</v>
      </c>
      <c r="C1039" s="17" t="s">
        <v>1250</v>
      </c>
      <c r="D1039" s="18" t="s">
        <v>2751</v>
      </c>
      <c r="E1039" s="17" t="s">
        <v>579</v>
      </c>
      <c r="F1039" s="17" t="s">
        <v>62</v>
      </c>
      <c r="G1039" s="18" t="s">
        <v>3696</v>
      </c>
      <c r="H1039" s="24" t="s">
        <v>3809</v>
      </c>
      <c r="I1039" s="17" t="s">
        <v>1246</v>
      </c>
      <c r="J1039" s="21">
        <v>1</v>
      </c>
      <c r="K1039" s="21" t="s">
        <v>3655</v>
      </c>
      <c r="L1039" s="21" t="s">
        <v>3914</v>
      </c>
      <c r="M1039" s="19" t="s">
        <v>2753</v>
      </c>
      <c r="N1039" s="19" t="s">
        <v>583</v>
      </c>
      <c r="O1039" s="19" t="s">
        <v>3699</v>
      </c>
      <c r="P1039" s="19"/>
      <c r="Q1039" s="18" t="s">
        <v>53</v>
      </c>
      <c r="R1039" s="16" t="s">
        <v>54</v>
      </c>
      <c r="S1039" s="18" t="s">
        <v>3668</v>
      </c>
      <c r="T1039" s="21" t="s">
        <v>55</v>
      </c>
    </row>
    <row r="1040" spans="1:20" ht="16.5">
      <c r="A1040" s="11" t="s">
        <v>3653</v>
      </c>
      <c r="B1040" s="11" t="s">
        <v>578</v>
      </c>
      <c r="C1040" s="11" t="s">
        <v>62</v>
      </c>
      <c r="D1040" s="12" t="s">
        <v>3696</v>
      </c>
      <c r="E1040" s="11" t="s">
        <v>635</v>
      </c>
      <c r="F1040" s="11" t="s">
        <v>300</v>
      </c>
      <c r="G1040" s="12" t="s">
        <v>3854</v>
      </c>
      <c r="H1040" s="23" t="s">
        <v>584</v>
      </c>
      <c r="I1040" s="11" t="s">
        <v>1246</v>
      </c>
      <c r="J1040" s="14">
        <v>1</v>
      </c>
      <c r="K1040" s="14" t="s">
        <v>3655</v>
      </c>
      <c r="L1040" s="14" t="s">
        <v>3915</v>
      </c>
      <c r="M1040" s="15" t="s">
        <v>3699</v>
      </c>
      <c r="N1040" s="15" t="s">
        <v>640</v>
      </c>
      <c r="O1040" s="15" t="s">
        <v>3858</v>
      </c>
      <c r="P1040" s="15"/>
      <c r="Q1040" s="12" t="s">
        <v>53</v>
      </c>
      <c r="R1040" s="16" t="s">
        <v>54</v>
      </c>
      <c r="S1040" s="12" t="s">
        <v>3668</v>
      </c>
      <c r="T1040" s="14" t="s">
        <v>55</v>
      </c>
    </row>
    <row r="1041" spans="1:20" ht="16.5">
      <c r="A1041" s="17" t="s">
        <v>3653</v>
      </c>
      <c r="B1041" s="17" t="s">
        <v>578</v>
      </c>
      <c r="C1041" s="17" t="s">
        <v>300</v>
      </c>
      <c r="D1041" s="18" t="s">
        <v>3854</v>
      </c>
      <c r="E1041" s="17" t="s">
        <v>579</v>
      </c>
      <c r="F1041" s="17" t="s">
        <v>62</v>
      </c>
      <c r="G1041" s="18" t="s">
        <v>3712</v>
      </c>
      <c r="H1041" s="20" t="s">
        <v>3916</v>
      </c>
      <c r="I1041" s="17" t="s">
        <v>1257</v>
      </c>
      <c r="J1041" s="21">
        <v>1</v>
      </c>
      <c r="K1041" s="21" t="s">
        <v>3655</v>
      </c>
      <c r="L1041" s="21" t="s">
        <v>3917</v>
      </c>
      <c r="M1041" s="19" t="s">
        <v>3858</v>
      </c>
      <c r="N1041" s="19" t="s">
        <v>583</v>
      </c>
      <c r="O1041" s="19" t="s">
        <v>3715</v>
      </c>
      <c r="P1041" s="19"/>
      <c r="Q1041" s="18" t="s">
        <v>53</v>
      </c>
      <c r="R1041" s="16" t="s">
        <v>54</v>
      </c>
      <c r="S1041" s="18" t="s">
        <v>3668</v>
      </c>
      <c r="T1041" s="21" t="s">
        <v>55</v>
      </c>
    </row>
    <row r="1042" spans="1:20" ht="16.5">
      <c r="A1042" s="11" t="s">
        <v>3653</v>
      </c>
      <c r="B1042" s="11" t="s">
        <v>578</v>
      </c>
      <c r="C1042" s="11" t="s">
        <v>300</v>
      </c>
      <c r="D1042" s="12" t="s">
        <v>3854</v>
      </c>
      <c r="E1042" s="11" t="s">
        <v>579</v>
      </c>
      <c r="F1042" s="11" t="s">
        <v>62</v>
      </c>
      <c r="G1042" s="12" t="s">
        <v>2787</v>
      </c>
      <c r="H1042" s="13" t="s">
        <v>3918</v>
      </c>
      <c r="I1042" s="11" t="s">
        <v>1257</v>
      </c>
      <c r="J1042" s="14">
        <v>1</v>
      </c>
      <c r="K1042" s="14" t="s">
        <v>3655</v>
      </c>
      <c r="L1042" s="14" t="s">
        <v>3919</v>
      </c>
      <c r="M1042" s="15" t="s">
        <v>3858</v>
      </c>
      <c r="N1042" s="15" t="s">
        <v>583</v>
      </c>
      <c r="O1042" s="15" t="s">
        <v>2791</v>
      </c>
      <c r="P1042" s="15"/>
      <c r="Q1042" s="12" t="s">
        <v>53</v>
      </c>
      <c r="R1042" s="16" t="s">
        <v>54</v>
      </c>
      <c r="S1042" s="12" t="s">
        <v>3668</v>
      </c>
      <c r="T1042" s="14" t="s">
        <v>55</v>
      </c>
    </row>
    <row r="1043" spans="1:20" ht="16.5">
      <c r="A1043" s="17" t="s">
        <v>3653</v>
      </c>
      <c r="B1043" s="17" t="s">
        <v>578</v>
      </c>
      <c r="C1043" s="17" t="s">
        <v>62</v>
      </c>
      <c r="D1043" s="18" t="s">
        <v>3712</v>
      </c>
      <c r="E1043" s="17" t="s">
        <v>45</v>
      </c>
      <c r="F1043" s="17" t="s">
        <v>62</v>
      </c>
      <c r="G1043" s="18" t="s">
        <v>3920</v>
      </c>
      <c r="H1043" s="24" t="s">
        <v>584</v>
      </c>
      <c r="I1043" s="17" t="s">
        <v>1257</v>
      </c>
      <c r="J1043" s="21">
        <v>1</v>
      </c>
      <c r="K1043" s="21" t="s">
        <v>3655</v>
      </c>
      <c r="L1043" s="21" t="s">
        <v>3921</v>
      </c>
      <c r="M1043" s="19" t="s">
        <v>3715</v>
      </c>
      <c r="N1043" s="19" t="s">
        <v>51</v>
      </c>
      <c r="O1043" s="19" t="s">
        <v>3922</v>
      </c>
      <c r="P1043" s="19"/>
      <c r="Q1043" s="18" t="s">
        <v>53</v>
      </c>
      <c r="R1043" s="16" t="s">
        <v>54</v>
      </c>
      <c r="S1043" s="18" t="s">
        <v>3668</v>
      </c>
      <c r="T1043" s="21" t="s">
        <v>55</v>
      </c>
    </row>
    <row r="1044" spans="1:20" ht="16.5">
      <c r="A1044" s="11" t="s">
        <v>3653</v>
      </c>
      <c r="B1044" s="11" t="s">
        <v>578</v>
      </c>
      <c r="C1044" s="11" t="s">
        <v>62</v>
      </c>
      <c r="D1044" s="12" t="s">
        <v>3768</v>
      </c>
      <c r="E1044" s="11" t="s">
        <v>45</v>
      </c>
      <c r="F1044" s="11" t="s">
        <v>62</v>
      </c>
      <c r="G1044" s="12" t="s">
        <v>3749</v>
      </c>
      <c r="H1044" s="13" t="s">
        <v>3923</v>
      </c>
      <c r="I1044" s="11" t="s">
        <v>1246</v>
      </c>
      <c r="J1044" s="14">
        <v>1</v>
      </c>
      <c r="K1044" s="14" t="s">
        <v>3655</v>
      </c>
      <c r="L1044" s="14" t="s">
        <v>3924</v>
      </c>
      <c r="M1044" s="15" t="s">
        <v>3771</v>
      </c>
      <c r="N1044" s="15" t="s">
        <v>51</v>
      </c>
      <c r="O1044" s="15" t="s">
        <v>3752</v>
      </c>
      <c r="P1044" s="15"/>
      <c r="Q1044" s="12" t="s">
        <v>53</v>
      </c>
      <c r="R1044" s="16" t="s">
        <v>54</v>
      </c>
      <c r="S1044" s="12" t="s">
        <v>3668</v>
      </c>
      <c r="T1044" s="14" t="s">
        <v>55</v>
      </c>
    </row>
    <row r="1045" spans="1:20" ht="16.5">
      <c r="A1045" s="17" t="s">
        <v>3653</v>
      </c>
      <c r="B1045" s="17" t="s">
        <v>578</v>
      </c>
      <c r="C1045" s="17" t="s">
        <v>1250</v>
      </c>
      <c r="D1045" s="18" t="s">
        <v>1385</v>
      </c>
      <c r="E1045" s="17" t="s">
        <v>1386</v>
      </c>
      <c r="F1045" s="17" t="s">
        <v>62</v>
      </c>
      <c r="G1045" s="18" t="s">
        <v>3768</v>
      </c>
      <c r="H1045" s="24" t="s">
        <v>584</v>
      </c>
      <c r="I1045" s="17" t="s">
        <v>1023</v>
      </c>
      <c r="J1045" s="21">
        <v>1</v>
      </c>
      <c r="K1045" s="21" t="s">
        <v>3655</v>
      </c>
      <c r="L1045" s="21" t="s">
        <v>3925</v>
      </c>
      <c r="M1045" s="19" t="s">
        <v>1389</v>
      </c>
      <c r="N1045" s="19" t="s">
        <v>1390</v>
      </c>
      <c r="O1045" s="19" t="s">
        <v>3771</v>
      </c>
      <c r="P1045" s="19"/>
      <c r="Q1045" s="18" t="s">
        <v>53</v>
      </c>
      <c r="R1045" s="16" t="s">
        <v>54</v>
      </c>
      <c r="S1045" s="18" t="s">
        <v>3668</v>
      </c>
      <c r="T1045" s="21" t="s">
        <v>55</v>
      </c>
    </row>
    <row r="1046" spans="1:20" ht="16.5">
      <c r="A1046" s="11" t="s">
        <v>3653</v>
      </c>
      <c r="B1046" s="11" t="s">
        <v>578</v>
      </c>
      <c r="C1046" s="11" t="s">
        <v>62</v>
      </c>
      <c r="D1046" s="12" t="s">
        <v>3726</v>
      </c>
      <c r="E1046" s="11" t="s">
        <v>635</v>
      </c>
      <c r="F1046" s="11" t="s">
        <v>300</v>
      </c>
      <c r="G1046" s="12" t="s">
        <v>3844</v>
      </c>
      <c r="H1046" s="23" t="s">
        <v>584</v>
      </c>
      <c r="I1046" s="11" t="s">
        <v>1246</v>
      </c>
      <c r="J1046" s="14">
        <v>1</v>
      </c>
      <c r="K1046" s="14" t="s">
        <v>3655</v>
      </c>
      <c r="L1046" s="14" t="s">
        <v>3926</v>
      </c>
      <c r="M1046" s="15" t="s">
        <v>3729</v>
      </c>
      <c r="N1046" s="15" t="s">
        <v>640</v>
      </c>
      <c r="O1046" s="15" t="s">
        <v>3847</v>
      </c>
      <c r="P1046" s="15"/>
      <c r="Q1046" s="12" t="s">
        <v>53</v>
      </c>
      <c r="R1046" s="16" t="s">
        <v>54</v>
      </c>
      <c r="S1046" s="12" t="s">
        <v>3668</v>
      </c>
      <c r="T1046" s="14" t="s">
        <v>55</v>
      </c>
    </row>
    <row r="1047" spans="1:20" ht="16.5">
      <c r="A1047" s="17" t="s">
        <v>3653</v>
      </c>
      <c r="B1047" s="17" t="s">
        <v>578</v>
      </c>
      <c r="C1047" s="17" t="s">
        <v>300</v>
      </c>
      <c r="D1047" s="18" t="s">
        <v>3844</v>
      </c>
      <c r="E1047" s="17" t="s">
        <v>579</v>
      </c>
      <c r="F1047" s="17" t="s">
        <v>62</v>
      </c>
      <c r="G1047" s="18" t="s">
        <v>3749</v>
      </c>
      <c r="H1047" s="24" t="s">
        <v>584</v>
      </c>
      <c r="I1047" s="17" t="s">
        <v>1257</v>
      </c>
      <c r="J1047" s="21">
        <v>1</v>
      </c>
      <c r="K1047" s="21" t="s">
        <v>3655</v>
      </c>
      <c r="L1047" s="21" t="s">
        <v>3927</v>
      </c>
      <c r="M1047" s="19" t="s">
        <v>3847</v>
      </c>
      <c r="N1047" s="19" t="s">
        <v>583</v>
      </c>
      <c r="O1047" s="19" t="s">
        <v>3752</v>
      </c>
      <c r="P1047" s="19"/>
      <c r="Q1047" s="18" t="s">
        <v>53</v>
      </c>
      <c r="R1047" s="16" t="s">
        <v>54</v>
      </c>
      <c r="S1047" s="18" t="s">
        <v>3668</v>
      </c>
      <c r="T1047" s="21" t="s">
        <v>55</v>
      </c>
    </row>
    <row r="1048" spans="1:20" ht="16.5">
      <c r="A1048" s="11" t="s">
        <v>3653</v>
      </c>
      <c r="B1048" s="11" t="s">
        <v>578</v>
      </c>
      <c r="C1048" s="11" t="s">
        <v>62</v>
      </c>
      <c r="D1048" s="12" t="s">
        <v>3749</v>
      </c>
      <c r="E1048" s="11" t="s">
        <v>45</v>
      </c>
      <c r="F1048" s="11" t="s">
        <v>62</v>
      </c>
      <c r="G1048" s="12" t="s">
        <v>3928</v>
      </c>
      <c r="H1048" s="13" t="s">
        <v>3929</v>
      </c>
      <c r="I1048" s="11" t="s">
        <v>43</v>
      </c>
      <c r="J1048" s="14">
        <v>1</v>
      </c>
      <c r="K1048" s="14" t="s">
        <v>3655</v>
      </c>
      <c r="L1048" s="14" t="s">
        <v>3930</v>
      </c>
      <c r="M1048" s="15" t="s">
        <v>3752</v>
      </c>
      <c r="N1048" s="15" t="s">
        <v>51</v>
      </c>
      <c r="O1048" s="15" t="s">
        <v>3931</v>
      </c>
      <c r="P1048" s="15"/>
      <c r="Q1048" s="12" t="s">
        <v>53</v>
      </c>
      <c r="R1048" s="16" t="s">
        <v>54</v>
      </c>
      <c r="S1048" s="12" t="s">
        <v>3668</v>
      </c>
      <c r="T1048" s="14" t="s">
        <v>55</v>
      </c>
    </row>
    <row r="1049" spans="1:20" ht="16.5">
      <c r="A1049" s="17" t="s">
        <v>3653</v>
      </c>
      <c r="B1049" s="17" t="s">
        <v>650</v>
      </c>
      <c r="C1049" s="17" t="s">
        <v>204</v>
      </c>
      <c r="D1049" s="18" t="s">
        <v>3830</v>
      </c>
      <c r="E1049" s="17" t="s">
        <v>667</v>
      </c>
      <c r="F1049" s="17" t="s">
        <v>204</v>
      </c>
      <c r="G1049" s="18" t="s">
        <v>3932</v>
      </c>
      <c r="H1049" s="20" t="s">
        <v>3933</v>
      </c>
      <c r="I1049" s="17" t="s">
        <v>680</v>
      </c>
      <c r="J1049" s="21">
        <v>2</v>
      </c>
      <c r="K1049" s="21" t="s">
        <v>3655</v>
      </c>
      <c r="L1049" s="21" t="s">
        <v>3934</v>
      </c>
      <c r="M1049" s="19" t="s">
        <v>3833</v>
      </c>
      <c r="N1049" s="19" t="s">
        <v>670</v>
      </c>
      <c r="O1049" s="19" t="s">
        <v>3935</v>
      </c>
      <c r="P1049" s="19" t="s">
        <v>3936</v>
      </c>
      <c r="Q1049" s="19" t="s">
        <v>661</v>
      </c>
      <c r="R1049" s="16" t="s">
        <v>54</v>
      </c>
      <c r="S1049" s="18" t="s">
        <v>3668</v>
      </c>
      <c r="T1049" s="26" t="s">
        <v>3848</v>
      </c>
    </row>
    <row r="1050" spans="1:20" ht="16.5">
      <c r="A1050" s="11" t="s">
        <v>3653</v>
      </c>
      <c r="B1050" s="11" t="s">
        <v>650</v>
      </c>
      <c r="C1050" s="11" t="s">
        <v>204</v>
      </c>
      <c r="D1050" s="12" t="s">
        <v>3840</v>
      </c>
      <c r="E1050" s="11" t="s">
        <v>654</v>
      </c>
      <c r="F1050" s="11" t="s">
        <v>204</v>
      </c>
      <c r="G1050" s="12" t="s">
        <v>3937</v>
      </c>
      <c r="H1050" s="13" t="s">
        <v>3938</v>
      </c>
      <c r="I1050" s="11" t="s">
        <v>652</v>
      </c>
      <c r="J1050" s="14">
        <v>2</v>
      </c>
      <c r="K1050" s="14" t="s">
        <v>3655</v>
      </c>
      <c r="L1050" s="14" t="s">
        <v>3939</v>
      </c>
      <c r="M1050" s="15" t="s">
        <v>3843</v>
      </c>
      <c r="N1050" s="15" t="s">
        <v>657</v>
      </c>
      <c r="O1050" s="15" t="s">
        <v>3940</v>
      </c>
      <c r="P1050" s="15" t="s">
        <v>3941</v>
      </c>
      <c r="Q1050" s="12" t="s">
        <v>286</v>
      </c>
      <c r="R1050" s="22" t="s">
        <v>88</v>
      </c>
      <c r="S1050" s="12" t="s">
        <v>3668</v>
      </c>
      <c r="T1050" s="14" t="s">
        <v>55</v>
      </c>
    </row>
    <row r="1051" spans="1:20" ht="16.5">
      <c r="A1051" s="17" t="s">
        <v>3653</v>
      </c>
      <c r="B1051" s="17" t="s">
        <v>650</v>
      </c>
      <c r="C1051" s="17" t="s">
        <v>204</v>
      </c>
      <c r="D1051" s="18" t="s">
        <v>3835</v>
      </c>
      <c r="E1051" s="17" t="s">
        <v>667</v>
      </c>
      <c r="F1051" s="17" t="s">
        <v>204</v>
      </c>
      <c r="G1051" s="18" t="s">
        <v>3830</v>
      </c>
      <c r="H1051" s="24" t="s">
        <v>584</v>
      </c>
      <c r="I1051" s="17" t="s">
        <v>680</v>
      </c>
      <c r="J1051" s="21">
        <v>2</v>
      </c>
      <c r="K1051" s="21" t="s">
        <v>3655</v>
      </c>
      <c r="L1051" s="21" t="s">
        <v>3942</v>
      </c>
      <c r="M1051" s="19" t="s">
        <v>3838</v>
      </c>
      <c r="N1051" s="19" t="s">
        <v>670</v>
      </c>
      <c r="O1051" s="19" t="s">
        <v>3833</v>
      </c>
      <c r="P1051" s="19" t="s">
        <v>3943</v>
      </c>
      <c r="Q1051" s="18" t="s">
        <v>286</v>
      </c>
      <c r="R1051" s="22" t="s">
        <v>88</v>
      </c>
      <c r="S1051" s="18" t="s">
        <v>3668</v>
      </c>
      <c r="T1051" s="21" t="s">
        <v>55</v>
      </c>
    </row>
    <row r="1052" spans="1:20" ht="16.5">
      <c r="A1052" s="11" t="s">
        <v>3131</v>
      </c>
      <c r="B1052" s="11" t="s">
        <v>43</v>
      </c>
      <c r="C1052" s="11" t="s">
        <v>44</v>
      </c>
      <c r="D1052" s="12" t="s">
        <v>3131</v>
      </c>
      <c r="E1052" s="11" t="s">
        <v>45</v>
      </c>
      <c r="F1052" s="11" t="s">
        <v>44</v>
      </c>
      <c r="G1052" s="12" t="s">
        <v>3658</v>
      </c>
      <c r="H1052" s="13" t="s">
        <v>3944</v>
      </c>
      <c r="I1052" s="11" t="s">
        <v>43</v>
      </c>
      <c r="J1052" s="14">
        <v>1</v>
      </c>
      <c r="K1052" s="14" t="s">
        <v>3945</v>
      </c>
      <c r="L1052" s="14" t="s">
        <v>3946</v>
      </c>
      <c r="M1052" s="15" t="s">
        <v>3135</v>
      </c>
      <c r="N1052" s="15" t="s">
        <v>51</v>
      </c>
      <c r="O1052" s="15" t="s">
        <v>3661</v>
      </c>
      <c r="P1052" s="15"/>
      <c r="Q1052" s="12" t="s">
        <v>53</v>
      </c>
      <c r="R1052" s="16" t="s">
        <v>54</v>
      </c>
      <c r="S1052" s="15"/>
      <c r="T1052" s="14" t="s">
        <v>55</v>
      </c>
    </row>
    <row r="1053" spans="1:20" ht="16.5">
      <c r="A1053" s="17" t="s">
        <v>3131</v>
      </c>
      <c r="B1053" s="17" t="s">
        <v>60</v>
      </c>
      <c r="C1053" s="17" t="s">
        <v>44</v>
      </c>
      <c r="D1053" s="18" t="s">
        <v>3131</v>
      </c>
      <c r="E1053" s="17" t="s">
        <v>61</v>
      </c>
      <c r="F1053" s="17" t="s">
        <v>62</v>
      </c>
      <c r="G1053" s="18" t="s">
        <v>3928</v>
      </c>
      <c r="H1053" s="20" t="s">
        <v>3947</v>
      </c>
      <c r="I1053" s="17" t="s">
        <v>65</v>
      </c>
      <c r="J1053" s="21">
        <v>1</v>
      </c>
      <c r="K1053" s="21" t="s">
        <v>3945</v>
      </c>
      <c r="L1053" s="21" t="s">
        <v>3948</v>
      </c>
      <c r="M1053" s="19" t="s">
        <v>3135</v>
      </c>
      <c r="N1053" s="19" t="s">
        <v>67</v>
      </c>
      <c r="O1053" s="19" t="s">
        <v>3931</v>
      </c>
      <c r="P1053" s="19"/>
      <c r="Q1053" s="18" t="s">
        <v>69</v>
      </c>
      <c r="R1053" s="16" t="s">
        <v>54</v>
      </c>
      <c r="S1053" s="18" t="s">
        <v>3949</v>
      </c>
      <c r="T1053" s="21" t="s">
        <v>55</v>
      </c>
    </row>
    <row r="1054" spans="1:20" ht="16.5">
      <c r="A1054" s="11" t="s">
        <v>3131</v>
      </c>
      <c r="B1054" s="11" t="s">
        <v>60</v>
      </c>
      <c r="C1054" s="11" t="s">
        <v>62</v>
      </c>
      <c r="D1054" s="12" t="s">
        <v>3928</v>
      </c>
      <c r="E1054" s="11" t="s">
        <v>71</v>
      </c>
      <c r="F1054" s="11" t="s">
        <v>72</v>
      </c>
      <c r="G1054" s="12" t="s">
        <v>3950</v>
      </c>
      <c r="H1054" s="13" t="s">
        <v>3951</v>
      </c>
      <c r="I1054" s="11" t="s">
        <v>65</v>
      </c>
      <c r="J1054" s="14">
        <v>1</v>
      </c>
      <c r="K1054" s="14" t="s">
        <v>3945</v>
      </c>
      <c r="L1054" s="14" t="s">
        <v>3952</v>
      </c>
      <c r="M1054" s="15" t="s">
        <v>3931</v>
      </c>
      <c r="N1054" s="15" t="s">
        <v>76</v>
      </c>
      <c r="O1054" s="15" t="s">
        <v>3953</v>
      </c>
      <c r="P1054" s="15"/>
      <c r="Q1054" s="12" t="s">
        <v>69</v>
      </c>
      <c r="R1054" s="16" t="s">
        <v>54</v>
      </c>
      <c r="S1054" s="12" t="s">
        <v>3949</v>
      </c>
      <c r="T1054" s="14" t="s">
        <v>55</v>
      </c>
    </row>
    <row r="1055" spans="1:20" ht="16.5">
      <c r="A1055" s="17" t="s">
        <v>3131</v>
      </c>
      <c r="B1055" s="17" t="s">
        <v>60</v>
      </c>
      <c r="C1055" s="17" t="s">
        <v>62</v>
      </c>
      <c r="D1055" s="18" t="s">
        <v>3928</v>
      </c>
      <c r="E1055" s="17" t="s">
        <v>71</v>
      </c>
      <c r="F1055" s="17" t="s">
        <v>72</v>
      </c>
      <c r="G1055" s="18" t="s">
        <v>3954</v>
      </c>
      <c r="H1055" s="20" t="s">
        <v>3951</v>
      </c>
      <c r="I1055" s="17" t="s">
        <v>65</v>
      </c>
      <c r="J1055" s="21">
        <v>1</v>
      </c>
      <c r="K1055" s="21" t="s">
        <v>3945</v>
      </c>
      <c r="L1055" s="21" t="s">
        <v>3955</v>
      </c>
      <c r="M1055" s="19" t="s">
        <v>3931</v>
      </c>
      <c r="N1055" s="19" t="s">
        <v>76</v>
      </c>
      <c r="O1055" s="19" t="s">
        <v>3956</v>
      </c>
      <c r="P1055" s="19"/>
      <c r="Q1055" s="18" t="s">
        <v>69</v>
      </c>
      <c r="R1055" s="16" t="s">
        <v>54</v>
      </c>
      <c r="S1055" s="18" t="s">
        <v>3949</v>
      </c>
      <c r="T1055" s="21" t="s">
        <v>55</v>
      </c>
    </row>
    <row r="1056" spans="1:20" ht="16.5">
      <c r="A1056" s="11" t="s">
        <v>3131</v>
      </c>
      <c r="B1056" s="11" t="s">
        <v>60</v>
      </c>
      <c r="C1056" s="11" t="s">
        <v>62</v>
      </c>
      <c r="D1056" s="12" t="s">
        <v>3928</v>
      </c>
      <c r="E1056" s="11" t="s">
        <v>71</v>
      </c>
      <c r="F1056" s="11" t="s">
        <v>72</v>
      </c>
      <c r="G1056" s="12" t="s">
        <v>3957</v>
      </c>
      <c r="H1056" s="13" t="s">
        <v>3951</v>
      </c>
      <c r="I1056" s="11" t="s">
        <v>65</v>
      </c>
      <c r="J1056" s="14">
        <v>1</v>
      </c>
      <c r="K1056" s="14" t="s">
        <v>3945</v>
      </c>
      <c r="L1056" s="14" t="s">
        <v>3958</v>
      </c>
      <c r="M1056" s="15" t="s">
        <v>3931</v>
      </c>
      <c r="N1056" s="15" t="s">
        <v>76</v>
      </c>
      <c r="O1056" s="15" t="s">
        <v>3959</v>
      </c>
      <c r="P1056" s="15"/>
      <c r="Q1056" s="12" t="s">
        <v>69</v>
      </c>
      <c r="R1056" s="16" t="s">
        <v>54</v>
      </c>
      <c r="S1056" s="12" t="s">
        <v>3949</v>
      </c>
      <c r="T1056" s="14" t="s">
        <v>55</v>
      </c>
    </row>
    <row r="1057" spans="1:20" ht="16.5">
      <c r="A1057" s="17" t="s">
        <v>3131</v>
      </c>
      <c r="B1057" s="17" t="s">
        <v>60</v>
      </c>
      <c r="C1057" s="17" t="s">
        <v>62</v>
      </c>
      <c r="D1057" s="18" t="s">
        <v>3928</v>
      </c>
      <c r="E1057" s="17" t="s">
        <v>71</v>
      </c>
      <c r="F1057" s="17" t="s">
        <v>72</v>
      </c>
      <c r="G1057" s="18" t="s">
        <v>3960</v>
      </c>
      <c r="H1057" s="20" t="s">
        <v>3951</v>
      </c>
      <c r="I1057" s="17" t="s">
        <v>65</v>
      </c>
      <c r="J1057" s="21">
        <v>1</v>
      </c>
      <c r="K1057" s="21" t="s">
        <v>3945</v>
      </c>
      <c r="L1057" s="21" t="s">
        <v>3961</v>
      </c>
      <c r="M1057" s="19" t="s">
        <v>3931</v>
      </c>
      <c r="N1057" s="19" t="s">
        <v>76</v>
      </c>
      <c r="O1057" s="19" t="s">
        <v>3962</v>
      </c>
      <c r="P1057" s="19"/>
      <c r="Q1057" s="18" t="s">
        <v>69</v>
      </c>
      <c r="R1057" s="16" t="s">
        <v>54</v>
      </c>
      <c r="S1057" s="18" t="s">
        <v>3949</v>
      </c>
      <c r="T1057" s="21" t="s">
        <v>55</v>
      </c>
    </row>
    <row r="1058" spans="1:20" ht="16.5">
      <c r="A1058" s="11" t="s">
        <v>3131</v>
      </c>
      <c r="B1058" s="11" t="s">
        <v>60</v>
      </c>
      <c r="C1058" s="11" t="s">
        <v>62</v>
      </c>
      <c r="D1058" s="12" t="s">
        <v>3928</v>
      </c>
      <c r="E1058" s="11" t="s">
        <v>71</v>
      </c>
      <c r="F1058" s="11" t="s">
        <v>72</v>
      </c>
      <c r="G1058" s="12" t="s">
        <v>3963</v>
      </c>
      <c r="H1058" s="13" t="s">
        <v>3951</v>
      </c>
      <c r="I1058" s="11" t="s">
        <v>65</v>
      </c>
      <c r="J1058" s="14">
        <v>1</v>
      </c>
      <c r="K1058" s="14" t="s">
        <v>3945</v>
      </c>
      <c r="L1058" s="14" t="s">
        <v>3964</v>
      </c>
      <c r="M1058" s="15" t="s">
        <v>3931</v>
      </c>
      <c r="N1058" s="15" t="s">
        <v>76</v>
      </c>
      <c r="O1058" s="15" t="s">
        <v>3965</v>
      </c>
      <c r="P1058" s="15"/>
      <c r="Q1058" s="12" t="s">
        <v>69</v>
      </c>
      <c r="R1058" s="16" t="s">
        <v>54</v>
      </c>
      <c r="S1058" s="12" t="s">
        <v>3949</v>
      </c>
      <c r="T1058" s="14" t="s">
        <v>55</v>
      </c>
    </row>
    <row r="1059" spans="1:20" ht="16.5">
      <c r="A1059" s="17" t="s">
        <v>3131</v>
      </c>
      <c r="B1059" s="17" t="s">
        <v>60</v>
      </c>
      <c r="C1059" s="17" t="s">
        <v>62</v>
      </c>
      <c r="D1059" s="18" t="s">
        <v>3928</v>
      </c>
      <c r="E1059" s="17" t="s">
        <v>71</v>
      </c>
      <c r="F1059" s="17" t="s">
        <v>72</v>
      </c>
      <c r="G1059" s="18" t="s">
        <v>3966</v>
      </c>
      <c r="H1059" s="20" t="s">
        <v>3951</v>
      </c>
      <c r="I1059" s="17" t="s">
        <v>65</v>
      </c>
      <c r="J1059" s="21">
        <v>1</v>
      </c>
      <c r="K1059" s="21" t="s">
        <v>3945</v>
      </c>
      <c r="L1059" s="21" t="s">
        <v>3967</v>
      </c>
      <c r="M1059" s="19" t="s">
        <v>3931</v>
      </c>
      <c r="N1059" s="19" t="s">
        <v>76</v>
      </c>
      <c r="O1059" s="19" t="s">
        <v>3968</v>
      </c>
      <c r="P1059" s="19"/>
      <c r="Q1059" s="18" t="s">
        <v>69</v>
      </c>
      <c r="R1059" s="16" t="s">
        <v>54</v>
      </c>
      <c r="S1059" s="18" t="s">
        <v>3949</v>
      </c>
      <c r="T1059" s="21" t="s">
        <v>55</v>
      </c>
    </row>
    <row r="1060" spans="1:20" ht="16.5">
      <c r="A1060" s="11" t="s">
        <v>3131</v>
      </c>
      <c r="B1060" s="11" t="s">
        <v>60</v>
      </c>
      <c r="C1060" s="11" t="s">
        <v>62</v>
      </c>
      <c r="D1060" s="12" t="s">
        <v>3928</v>
      </c>
      <c r="E1060" s="11" t="s">
        <v>71</v>
      </c>
      <c r="F1060" s="11" t="s">
        <v>72</v>
      </c>
      <c r="G1060" s="12" t="s">
        <v>3969</v>
      </c>
      <c r="H1060" s="13" t="s">
        <v>3951</v>
      </c>
      <c r="I1060" s="11" t="s">
        <v>65</v>
      </c>
      <c r="J1060" s="14">
        <v>1</v>
      </c>
      <c r="K1060" s="14" t="s">
        <v>3945</v>
      </c>
      <c r="L1060" s="14" t="s">
        <v>3970</v>
      </c>
      <c r="M1060" s="15" t="s">
        <v>3931</v>
      </c>
      <c r="N1060" s="15" t="s">
        <v>76</v>
      </c>
      <c r="O1060" s="15" t="s">
        <v>3971</v>
      </c>
      <c r="P1060" s="15"/>
      <c r="Q1060" s="12" t="s">
        <v>69</v>
      </c>
      <c r="R1060" s="16" t="s">
        <v>54</v>
      </c>
      <c r="S1060" s="12" t="s">
        <v>3949</v>
      </c>
      <c r="T1060" s="14" t="s">
        <v>55</v>
      </c>
    </row>
    <row r="1061" spans="1:20" ht="16.5">
      <c r="A1061" s="17" t="s">
        <v>3131</v>
      </c>
      <c r="B1061" s="17" t="s">
        <v>60</v>
      </c>
      <c r="C1061" s="17" t="s">
        <v>62</v>
      </c>
      <c r="D1061" s="18" t="s">
        <v>3928</v>
      </c>
      <c r="E1061" s="17" t="s">
        <v>71</v>
      </c>
      <c r="F1061" s="17" t="s">
        <v>72</v>
      </c>
      <c r="G1061" s="18" t="s">
        <v>3972</v>
      </c>
      <c r="H1061" s="20" t="s">
        <v>3951</v>
      </c>
      <c r="I1061" s="17" t="s">
        <v>65</v>
      </c>
      <c r="J1061" s="21">
        <v>1</v>
      </c>
      <c r="K1061" s="21" t="s">
        <v>3945</v>
      </c>
      <c r="L1061" s="21" t="s">
        <v>3973</v>
      </c>
      <c r="M1061" s="19" t="s">
        <v>3931</v>
      </c>
      <c r="N1061" s="19" t="s">
        <v>76</v>
      </c>
      <c r="O1061" s="19" t="s">
        <v>3974</v>
      </c>
      <c r="P1061" s="19"/>
      <c r="Q1061" s="18" t="s">
        <v>69</v>
      </c>
      <c r="R1061" s="16" t="s">
        <v>54</v>
      </c>
      <c r="S1061" s="18" t="s">
        <v>3949</v>
      </c>
      <c r="T1061" s="21" t="s">
        <v>55</v>
      </c>
    </row>
    <row r="1062" spans="1:20" ht="16.5">
      <c r="A1062" s="11" t="s">
        <v>3131</v>
      </c>
      <c r="B1062" s="11" t="s">
        <v>60</v>
      </c>
      <c r="C1062" s="11" t="s">
        <v>62</v>
      </c>
      <c r="D1062" s="12" t="s">
        <v>3928</v>
      </c>
      <c r="E1062" s="11" t="s">
        <v>71</v>
      </c>
      <c r="F1062" s="11" t="s">
        <v>72</v>
      </c>
      <c r="G1062" s="12" t="s">
        <v>3975</v>
      </c>
      <c r="H1062" s="13" t="s">
        <v>3951</v>
      </c>
      <c r="I1062" s="11" t="s">
        <v>65</v>
      </c>
      <c r="J1062" s="14">
        <v>1</v>
      </c>
      <c r="K1062" s="14" t="s">
        <v>3945</v>
      </c>
      <c r="L1062" s="14" t="s">
        <v>3976</v>
      </c>
      <c r="M1062" s="15" t="s">
        <v>3931</v>
      </c>
      <c r="N1062" s="15" t="s">
        <v>76</v>
      </c>
      <c r="O1062" s="15" t="s">
        <v>3977</v>
      </c>
      <c r="P1062" s="15"/>
      <c r="Q1062" s="12" t="s">
        <v>69</v>
      </c>
      <c r="R1062" s="16" t="s">
        <v>54</v>
      </c>
      <c r="S1062" s="12" t="s">
        <v>3949</v>
      </c>
      <c r="T1062" s="14" t="s">
        <v>55</v>
      </c>
    </row>
    <row r="1063" spans="1:20" ht="16.5">
      <c r="A1063" s="17" t="s">
        <v>3131</v>
      </c>
      <c r="B1063" s="17" t="s">
        <v>60</v>
      </c>
      <c r="C1063" s="17" t="s">
        <v>62</v>
      </c>
      <c r="D1063" s="18" t="s">
        <v>3928</v>
      </c>
      <c r="E1063" s="17" t="s">
        <v>71</v>
      </c>
      <c r="F1063" s="17" t="s">
        <v>72</v>
      </c>
      <c r="G1063" s="18" t="s">
        <v>3978</v>
      </c>
      <c r="H1063" s="20" t="s">
        <v>3951</v>
      </c>
      <c r="I1063" s="17" t="s">
        <v>65</v>
      </c>
      <c r="J1063" s="21">
        <v>1</v>
      </c>
      <c r="K1063" s="21" t="s">
        <v>3945</v>
      </c>
      <c r="L1063" s="21" t="s">
        <v>3979</v>
      </c>
      <c r="M1063" s="19" t="s">
        <v>3931</v>
      </c>
      <c r="N1063" s="19" t="s">
        <v>76</v>
      </c>
      <c r="O1063" s="19" t="s">
        <v>3980</v>
      </c>
      <c r="P1063" s="19"/>
      <c r="Q1063" s="18" t="s">
        <v>69</v>
      </c>
      <c r="R1063" s="16" t="s">
        <v>54</v>
      </c>
      <c r="S1063" s="18" t="s">
        <v>3949</v>
      </c>
      <c r="T1063" s="21" t="s">
        <v>55</v>
      </c>
    </row>
    <row r="1064" spans="1:20" ht="16.5">
      <c r="A1064" s="11" t="s">
        <v>3131</v>
      </c>
      <c r="B1064" s="11" t="s">
        <v>60</v>
      </c>
      <c r="C1064" s="11" t="s">
        <v>62</v>
      </c>
      <c r="D1064" s="12" t="s">
        <v>3928</v>
      </c>
      <c r="E1064" s="11" t="s">
        <v>71</v>
      </c>
      <c r="F1064" s="11" t="s">
        <v>72</v>
      </c>
      <c r="G1064" s="12" t="s">
        <v>3981</v>
      </c>
      <c r="H1064" s="13" t="s">
        <v>3951</v>
      </c>
      <c r="I1064" s="11" t="s">
        <v>65</v>
      </c>
      <c r="J1064" s="14">
        <v>1</v>
      </c>
      <c r="K1064" s="14" t="s">
        <v>3945</v>
      </c>
      <c r="L1064" s="14" t="s">
        <v>3982</v>
      </c>
      <c r="M1064" s="15" t="s">
        <v>3931</v>
      </c>
      <c r="N1064" s="15" t="s">
        <v>76</v>
      </c>
      <c r="O1064" s="15" t="s">
        <v>3983</v>
      </c>
      <c r="P1064" s="15"/>
      <c r="Q1064" s="12" t="s">
        <v>69</v>
      </c>
      <c r="R1064" s="16" t="s">
        <v>54</v>
      </c>
      <c r="S1064" s="12" t="s">
        <v>3949</v>
      </c>
      <c r="T1064" s="14" t="s">
        <v>55</v>
      </c>
    </row>
    <row r="1065" spans="1:20" ht="16.5">
      <c r="A1065" s="17" t="s">
        <v>3131</v>
      </c>
      <c r="B1065" s="17" t="s">
        <v>60</v>
      </c>
      <c r="C1065" s="17" t="s">
        <v>62</v>
      </c>
      <c r="D1065" s="18" t="s">
        <v>3928</v>
      </c>
      <c r="E1065" s="17" t="s">
        <v>81</v>
      </c>
      <c r="F1065" s="17" t="s">
        <v>82</v>
      </c>
      <c r="G1065" s="18" t="s">
        <v>3984</v>
      </c>
      <c r="H1065" s="20" t="s">
        <v>3985</v>
      </c>
      <c r="I1065" s="17" t="s">
        <v>65</v>
      </c>
      <c r="J1065" s="21">
        <v>1</v>
      </c>
      <c r="K1065" s="21" t="s">
        <v>3945</v>
      </c>
      <c r="L1065" s="21" t="s">
        <v>3986</v>
      </c>
      <c r="M1065" s="19" t="s">
        <v>3931</v>
      </c>
      <c r="N1065" s="19" t="s">
        <v>86</v>
      </c>
      <c r="O1065" s="19" t="s">
        <v>3987</v>
      </c>
      <c r="P1065" s="19"/>
      <c r="Q1065" s="18" t="s">
        <v>53</v>
      </c>
      <c r="R1065" s="22" t="s">
        <v>88</v>
      </c>
      <c r="S1065" s="18" t="s">
        <v>3949</v>
      </c>
      <c r="T1065" s="26" t="s">
        <v>673</v>
      </c>
    </row>
    <row r="1066" spans="1:20" ht="16.5">
      <c r="A1066" s="11" t="s">
        <v>3131</v>
      </c>
      <c r="B1066" s="11" t="s">
        <v>60</v>
      </c>
      <c r="C1066" s="11" t="s">
        <v>62</v>
      </c>
      <c r="D1066" s="12" t="s">
        <v>3928</v>
      </c>
      <c r="E1066" s="11" t="s">
        <v>81</v>
      </c>
      <c r="F1066" s="11" t="s">
        <v>82</v>
      </c>
      <c r="G1066" s="12" t="s">
        <v>3988</v>
      </c>
      <c r="H1066" s="13" t="s">
        <v>3989</v>
      </c>
      <c r="I1066" s="11" t="s">
        <v>65</v>
      </c>
      <c r="J1066" s="14">
        <v>1</v>
      </c>
      <c r="K1066" s="14" t="s">
        <v>3945</v>
      </c>
      <c r="L1066" s="14" t="s">
        <v>3990</v>
      </c>
      <c r="M1066" s="15" t="s">
        <v>3931</v>
      </c>
      <c r="N1066" s="15" t="s">
        <v>86</v>
      </c>
      <c r="O1066" s="15" t="s">
        <v>3991</v>
      </c>
      <c r="P1066" s="15"/>
      <c r="Q1066" s="12" t="s">
        <v>53</v>
      </c>
      <c r="R1066" s="22" t="s">
        <v>88</v>
      </c>
      <c r="S1066" s="12" t="s">
        <v>3949</v>
      </c>
      <c r="T1066" s="26" t="s">
        <v>673</v>
      </c>
    </row>
    <row r="1067" spans="1:20" ht="16.5">
      <c r="A1067" s="17" t="s">
        <v>3131</v>
      </c>
      <c r="B1067" s="17" t="s">
        <v>60</v>
      </c>
      <c r="C1067" s="17" t="s">
        <v>62</v>
      </c>
      <c r="D1067" s="18" t="s">
        <v>3928</v>
      </c>
      <c r="E1067" s="17" t="s">
        <v>81</v>
      </c>
      <c r="F1067" s="17" t="s">
        <v>82</v>
      </c>
      <c r="G1067" s="18" t="s">
        <v>3992</v>
      </c>
      <c r="H1067" s="20" t="s">
        <v>3993</v>
      </c>
      <c r="I1067" s="17" t="s">
        <v>65</v>
      </c>
      <c r="J1067" s="21">
        <v>1</v>
      </c>
      <c r="K1067" s="21" t="s">
        <v>3945</v>
      </c>
      <c r="L1067" s="21" t="s">
        <v>3994</v>
      </c>
      <c r="M1067" s="19" t="s">
        <v>3931</v>
      </c>
      <c r="N1067" s="19" t="s">
        <v>86</v>
      </c>
      <c r="O1067" s="19" t="s">
        <v>3995</v>
      </c>
      <c r="P1067" s="19"/>
      <c r="Q1067" s="18" t="s">
        <v>53</v>
      </c>
      <c r="R1067" s="22" t="s">
        <v>88</v>
      </c>
      <c r="S1067" s="18" t="s">
        <v>3949</v>
      </c>
      <c r="T1067" s="21" t="s">
        <v>55</v>
      </c>
    </row>
    <row r="1068" spans="1:20" ht="16.5">
      <c r="A1068" s="11" t="s">
        <v>3131</v>
      </c>
      <c r="B1068" s="11" t="s">
        <v>60</v>
      </c>
      <c r="C1068" s="11" t="s">
        <v>62</v>
      </c>
      <c r="D1068" s="12" t="s">
        <v>3928</v>
      </c>
      <c r="E1068" s="11" t="s">
        <v>81</v>
      </c>
      <c r="F1068" s="11" t="s">
        <v>82</v>
      </c>
      <c r="G1068" s="12" t="s">
        <v>3996</v>
      </c>
      <c r="H1068" s="13" t="s">
        <v>3997</v>
      </c>
      <c r="I1068" s="11" t="s">
        <v>65</v>
      </c>
      <c r="J1068" s="14">
        <v>1</v>
      </c>
      <c r="K1068" s="14" t="s">
        <v>3945</v>
      </c>
      <c r="L1068" s="14" t="s">
        <v>3998</v>
      </c>
      <c r="M1068" s="15" t="s">
        <v>3931</v>
      </c>
      <c r="N1068" s="15" t="s">
        <v>86</v>
      </c>
      <c r="O1068" s="15" t="s">
        <v>3999</v>
      </c>
      <c r="P1068" s="15"/>
      <c r="Q1068" s="12" t="s">
        <v>53</v>
      </c>
      <c r="R1068" s="22" t="s">
        <v>88</v>
      </c>
      <c r="S1068" s="12" t="s">
        <v>3949</v>
      </c>
      <c r="T1068" s="14" t="s">
        <v>55</v>
      </c>
    </row>
    <row r="1069" spans="1:20" ht="16.5">
      <c r="A1069" s="17" t="s">
        <v>3131</v>
      </c>
      <c r="B1069" s="17" t="s">
        <v>60</v>
      </c>
      <c r="C1069" s="17" t="s">
        <v>62</v>
      </c>
      <c r="D1069" s="18" t="s">
        <v>3928</v>
      </c>
      <c r="E1069" s="17" t="s">
        <v>81</v>
      </c>
      <c r="F1069" s="17" t="s">
        <v>82</v>
      </c>
      <c r="G1069" s="18" t="s">
        <v>4000</v>
      </c>
      <c r="H1069" s="20" t="s">
        <v>4001</v>
      </c>
      <c r="I1069" s="17" t="s">
        <v>65</v>
      </c>
      <c r="J1069" s="21">
        <v>1</v>
      </c>
      <c r="K1069" s="21" t="s">
        <v>3945</v>
      </c>
      <c r="L1069" s="21" t="s">
        <v>4002</v>
      </c>
      <c r="M1069" s="19" t="s">
        <v>3931</v>
      </c>
      <c r="N1069" s="19" t="s">
        <v>86</v>
      </c>
      <c r="O1069" s="19" t="s">
        <v>4003</v>
      </c>
      <c r="P1069" s="19"/>
      <c r="Q1069" s="18" t="s">
        <v>53</v>
      </c>
      <c r="R1069" s="22" t="s">
        <v>88</v>
      </c>
      <c r="S1069" s="18" t="s">
        <v>3949</v>
      </c>
      <c r="T1069" s="21" t="s">
        <v>55</v>
      </c>
    </row>
    <row r="1070" spans="1:20" ht="16.5">
      <c r="A1070" s="11" t="s">
        <v>3131</v>
      </c>
      <c r="B1070" s="11" t="s">
        <v>60</v>
      </c>
      <c r="C1070" s="11" t="s">
        <v>62</v>
      </c>
      <c r="D1070" s="12" t="s">
        <v>3928</v>
      </c>
      <c r="E1070" s="11" t="s">
        <v>81</v>
      </c>
      <c r="F1070" s="11" t="s">
        <v>82</v>
      </c>
      <c r="G1070" s="12" t="s">
        <v>4004</v>
      </c>
      <c r="H1070" s="13" t="s">
        <v>4005</v>
      </c>
      <c r="I1070" s="11" t="s">
        <v>65</v>
      </c>
      <c r="J1070" s="14">
        <v>1</v>
      </c>
      <c r="K1070" s="14" t="s">
        <v>3945</v>
      </c>
      <c r="L1070" s="14" t="s">
        <v>4006</v>
      </c>
      <c r="M1070" s="15" t="s">
        <v>3931</v>
      </c>
      <c r="N1070" s="15" t="s">
        <v>86</v>
      </c>
      <c r="O1070" s="15" t="s">
        <v>4007</v>
      </c>
      <c r="P1070" s="15"/>
      <c r="Q1070" s="12" t="s">
        <v>53</v>
      </c>
      <c r="R1070" s="22" t="s">
        <v>88</v>
      </c>
      <c r="S1070" s="12" t="s">
        <v>3949</v>
      </c>
      <c r="T1070" s="14" t="s">
        <v>55</v>
      </c>
    </row>
    <row r="1071" spans="1:20" ht="16.5">
      <c r="A1071" s="17" t="s">
        <v>3131</v>
      </c>
      <c r="B1071" s="17" t="s">
        <v>60</v>
      </c>
      <c r="C1071" s="17" t="s">
        <v>44</v>
      </c>
      <c r="D1071" s="18" t="s">
        <v>3131</v>
      </c>
      <c r="E1071" s="17" t="s">
        <v>61</v>
      </c>
      <c r="F1071" s="17" t="s">
        <v>62</v>
      </c>
      <c r="G1071" s="18" t="s">
        <v>3920</v>
      </c>
      <c r="H1071" s="20" t="s">
        <v>4008</v>
      </c>
      <c r="I1071" s="17" t="s">
        <v>65</v>
      </c>
      <c r="J1071" s="21">
        <v>1</v>
      </c>
      <c r="K1071" s="21" t="s">
        <v>3945</v>
      </c>
      <c r="L1071" s="21" t="s">
        <v>4009</v>
      </c>
      <c r="M1071" s="19" t="s">
        <v>3135</v>
      </c>
      <c r="N1071" s="19" t="s">
        <v>67</v>
      </c>
      <c r="O1071" s="19" t="s">
        <v>3922</v>
      </c>
      <c r="P1071" s="19"/>
      <c r="Q1071" s="18" t="s">
        <v>69</v>
      </c>
      <c r="R1071" s="16" t="s">
        <v>54</v>
      </c>
      <c r="S1071" s="18" t="s">
        <v>3949</v>
      </c>
      <c r="T1071" s="21" t="s">
        <v>55</v>
      </c>
    </row>
    <row r="1072" spans="1:20" ht="16.5">
      <c r="A1072" s="11" t="s">
        <v>3131</v>
      </c>
      <c r="B1072" s="11" t="s">
        <v>60</v>
      </c>
      <c r="C1072" s="11" t="s">
        <v>62</v>
      </c>
      <c r="D1072" s="12" t="s">
        <v>3920</v>
      </c>
      <c r="E1072" s="11" t="s">
        <v>71</v>
      </c>
      <c r="F1072" s="11" t="s">
        <v>72</v>
      </c>
      <c r="G1072" s="12" t="s">
        <v>4010</v>
      </c>
      <c r="H1072" s="13" t="s">
        <v>4011</v>
      </c>
      <c r="I1072" s="11" t="s">
        <v>65</v>
      </c>
      <c r="J1072" s="14">
        <v>1</v>
      </c>
      <c r="K1072" s="14" t="s">
        <v>3945</v>
      </c>
      <c r="L1072" s="14" t="s">
        <v>4012</v>
      </c>
      <c r="M1072" s="15" t="s">
        <v>3922</v>
      </c>
      <c r="N1072" s="15" t="s">
        <v>76</v>
      </c>
      <c r="O1072" s="15" t="s">
        <v>4013</v>
      </c>
      <c r="P1072" s="15"/>
      <c r="Q1072" s="12" t="s">
        <v>69</v>
      </c>
      <c r="R1072" s="16" t="s">
        <v>54</v>
      </c>
      <c r="S1072" s="12" t="s">
        <v>3949</v>
      </c>
      <c r="T1072" s="14" t="s">
        <v>55</v>
      </c>
    </row>
    <row r="1073" spans="1:20" ht="16.5">
      <c r="A1073" s="17" t="s">
        <v>3131</v>
      </c>
      <c r="B1073" s="17" t="s">
        <v>60</v>
      </c>
      <c r="C1073" s="17" t="s">
        <v>62</v>
      </c>
      <c r="D1073" s="18" t="s">
        <v>3920</v>
      </c>
      <c r="E1073" s="17" t="s">
        <v>71</v>
      </c>
      <c r="F1073" s="17" t="s">
        <v>72</v>
      </c>
      <c r="G1073" s="18" t="s">
        <v>4014</v>
      </c>
      <c r="H1073" s="20" t="s">
        <v>4011</v>
      </c>
      <c r="I1073" s="17" t="s">
        <v>65</v>
      </c>
      <c r="J1073" s="21">
        <v>1</v>
      </c>
      <c r="K1073" s="21" t="s">
        <v>3945</v>
      </c>
      <c r="L1073" s="21" t="s">
        <v>4015</v>
      </c>
      <c r="M1073" s="19" t="s">
        <v>3922</v>
      </c>
      <c r="N1073" s="19" t="s">
        <v>76</v>
      </c>
      <c r="O1073" s="19" t="s">
        <v>4016</v>
      </c>
      <c r="P1073" s="19"/>
      <c r="Q1073" s="18" t="s">
        <v>69</v>
      </c>
      <c r="R1073" s="16" t="s">
        <v>54</v>
      </c>
      <c r="S1073" s="18" t="s">
        <v>3949</v>
      </c>
      <c r="T1073" s="21" t="s">
        <v>55</v>
      </c>
    </row>
    <row r="1074" spans="1:20" ht="16.5">
      <c r="A1074" s="11" t="s">
        <v>3131</v>
      </c>
      <c r="B1074" s="11" t="s">
        <v>60</v>
      </c>
      <c r="C1074" s="11" t="s">
        <v>62</v>
      </c>
      <c r="D1074" s="12" t="s">
        <v>3920</v>
      </c>
      <c r="E1074" s="11" t="s">
        <v>71</v>
      </c>
      <c r="F1074" s="11" t="s">
        <v>72</v>
      </c>
      <c r="G1074" s="12" t="s">
        <v>4017</v>
      </c>
      <c r="H1074" s="13" t="s">
        <v>4011</v>
      </c>
      <c r="I1074" s="11" t="s">
        <v>65</v>
      </c>
      <c r="J1074" s="14">
        <v>1</v>
      </c>
      <c r="K1074" s="14" t="s">
        <v>3945</v>
      </c>
      <c r="L1074" s="14" t="s">
        <v>4018</v>
      </c>
      <c r="M1074" s="15" t="s">
        <v>3922</v>
      </c>
      <c r="N1074" s="15" t="s">
        <v>76</v>
      </c>
      <c r="O1074" s="15" t="s">
        <v>4019</v>
      </c>
      <c r="P1074" s="15"/>
      <c r="Q1074" s="12" t="s">
        <v>69</v>
      </c>
      <c r="R1074" s="16" t="s">
        <v>54</v>
      </c>
      <c r="S1074" s="12" t="s">
        <v>3949</v>
      </c>
      <c r="T1074" s="14" t="s">
        <v>55</v>
      </c>
    </row>
    <row r="1075" spans="1:20" ht="16.5">
      <c r="A1075" s="17" t="s">
        <v>3131</v>
      </c>
      <c r="B1075" s="17" t="s">
        <v>60</v>
      </c>
      <c r="C1075" s="17" t="s">
        <v>62</v>
      </c>
      <c r="D1075" s="18" t="s">
        <v>3920</v>
      </c>
      <c r="E1075" s="17" t="s">
        <v>71</v>
      </c>
      <c r="F1075" s="17" t="s">
        <v>72</v>
      </c>
      <c r="G1075" s="18" t="s">
        <v>4020</v>
      </c>
      <c r="H1075" s="20" t="s">
        <v>4011</v>
      </c>
      <c r="I1075" s="17" t="s">
        <v>65</v>
      </c>
      <c r="J1075" s="21">
        <v>1</v>
      </c>
      <c r="K1075" s="21" t="s">
        <v>3945</v>
      </c>
      <c r="L1075" s="21" t="s">
        <v>4021</v>
      </c>
      <c r="M1075" s="19" t="s">
        <v>3922</v>
      </c>
      <c r="N1075" s="19" t="s">
        <v>76</v>
      </c>
      <c r="O1075" s="19" t="s">
        <v>4022</v>
      </c>
      <c r="P1075" s="19"/>
      <c r="Q1075" s="18" t="s">
        <v>69</v>
      </c>
      <c r="R1075" s="16" t="s">
        <v>54</v>
      </c>
      <c r="S1075" s="18" t="s">
        <v>3949</v>
      </c>
      <c r="T1075" s="21" t="s">
        <v>55</v>
      </c>
    </row>
    <row r="1076" spans="1:20" ht="16.5">
      <c r="A1076" s="11" t="s">
        <v>3131</v>
      </c>
      <c r="B1076" s="11" t="s">
        <v>60</v>
      </c>
      <c r="C1076" s="11" t="s">
        <v>62</v>
      </c>
      <c r="D1076" s="12" t="s">
        <v>3920</v>
      </c>
      <c r="E1076" s="11" t="s">
        <v>71</v>
      </c>
      <c r="F1076" s="11" t="s">
        <v>72</v>
      </c>
      <c r="G1076" s="12" t="s">
        <v>4023</v>
      </c>
      <c r="H1076" s="13" t="s">
        <v>4011</v>
      </c>
      <c r="I1076" s="11" t="s">
        <v>65</v>
      </c>
      <c r="J1076" s="14">
        <v>1</v>
      </c>
      <c r="K1076" s="14" t="s">
        <v>3945</v>
      </c>
      <c r="L1076" s="14" t="s">
        <v>4024</v>
      </c>
      <c r="M1076" s="15" t="s">
        <v>3922</v>
      </c>
      <c r="N1076" s="15" t="s">
        <v>76</v>
      </c>
      <c r="O1076" s="15" t="s">
        <v>4025</v>
      </c>
      <c r="P1076" s="15"/>
      <c r="Q1076" s="12" t="s">
        <v>69</v>
      </c>
      <c r="R1076" s="16" t="s">
        <v>54</v>
      </c>
      <c r="S1076" s="12" t="s">
        <v>3949</v>
      </c>
      <c r="T1076" s="14" t="s">
        <v>55</v>
      </c>
    </row>
    <row r="1077" spans="1:20" ht="16.5">
      <c r="A1077" s="17" t="s">
        <v>3131</v>
      </c>
      <c r="B1077" s="17" t="s">
        <v>60</v>
      </c>
      <c r="C1077" s="17" t="s">
        <v>62</v>
      </c>
      <c r="D1077" s="18" t="s">
        <v>3920</v>
      </c>
      <c r="E1077" s="17" t="s">
        <v>71</v>
      </c>
      <c r="F1077" s="17" t="s">
        <v>72</v>
      </c>
      <c r="G1077" s="18" t="s">
        <v>4026</v>
      </c>
      <c r="H1077" s="20" t="s">
        <v>4011</v>
      </c>
      <c r="I1077" s="17" t="s">
        <v>65</v>
      </c>
      <c r="J1077" s="21">
        <v>1</v>
      </c>
      <c r="K1077" s="21" t="s">
        <v>3945</v>
      </c>
      <c r="L1077" s="21" t="s">
        <v>4027</v>
      </c>
      <c r="M1077" s="19" t="s">
        <v>3922</v>
      </c>
      <c r="N1077" s="19" t="s">
        <v>76</v>
      </c>
      <c r="O1077" s="19" t="s">
        <v>4028</v>
      </c>
      <c r="P1077" s="19"/>
      <c r="Q1077" s="18" t="s">
        <v>69</v>
      </c>
      <c r="R1077" s="16" t="s">
        <v>54</v>
      </c>
      <c r="S1077" s="18" t="s">
        <v>3949</v>
      </c>
      <c r="T1077" s="21" t="s">
        <v>55</v>
      </c>
    </row>
    <row r="1078" spans="1:20" ht="16.5">
      <c r="A1078" s="11" t="s">
        <v>3131</v>
      </c>
      <c r="B1078" s="11" t="s">
        <v>60</v>
      </c>
      <c r="C1078" s="11" t="s">
        <v>62</v>
      </c>
      <c r="D1078" s="12" t="s">
        <v>3920</v>
      </c>
      <c r="E1078" s="11" t="s">
        <v>71</v>
      </c>
      <c r="F1078" s="11" t="s">
        <v>72</v>
      </c>
      <c r="G1078" s="12" t="s">
        <v>4029</v>
      </c>
      <c r="H1078" s="13" t="s">
        <v>4011</v>
      </c>
      <c r="I1078" s="11" t="s">
        <v>65</v>
      </c>
      <c r="J1078" s="14">
        <v>1</v>
      </c>
      <c r="K1078" s="14" t="s">
        <v>3945</v>
      </c>
      <c r="L1078" s="14" t="s">
        <v>4030</v>
      </c>
      <c r="M1078" s="15" t="s">
        <v>3922</v>
      </c>
      <c r="N1078" s="15" t="s">
        <v>76</v>
      </c>
      <c r="O1078" s="15" t="s">
        <v>4031</v>
      </c>
      <c r="P1078" s="15"/>
      <c r="Q1078" s="12" t="s">
        <v>69</v>
      </c>
      <c r="R1078" s="16" t="s">
        <v>54</v>
      </c>
      <c r="S1078" s="12" t="s">
        <v>3949</v>
      </c>
      <c r="T1078" s="14" t="s">
        <v>55</v>
      </c>
    </row>
    <row r="1079" spans="1:20" ht="16.5">
      <c r="A1079" s="17" t="s">
        <v>3131</v>
      </c>
      <c r="B1079" s="17" t="s">
        <v>60</v>
      </c>
      <c r="C1079" s="17" t="s">
        <v>62</v>
      </c>
      <c r="D1079" s="18" t="s">
        <v>3920</v>
      </c>
      <c r="E1079" s="17" t="s">
        <v>71</v>
      </c>
      <c r="F1079" s="17" t="s">
        <v>72</v>
      </c>
      <c r="G1079" s="18" t="s">
        <v>4032</v>
      </c>
      <c r="H1079" s="20" t="s">
        <v>4011</v>
      </c>
      <c r="I1079" s="17" t="s">
        <v>65</v>
      </c>
      <c r="J1079" s="21">
        <v>1</v>
      </c>
      <c r="K1079" s="21" t="s">
        <v>3945</v>
      </c>
      <c r="L1079" s="21" t="s">
        <v>4033</v>
      </c>
      <c r="M1079" s="19" t="s">
        <v>3922</v>
      </c>
      <c r="N1079" s="19" t="s">
        <v>76</v>
      </c>
      <c r="O1079" s="19" t="s">
        <v>4034</v>
      </c>
      <c r="P1079" s="19"/>
      <c r="Q1079" s="18" t="s">
        <v>69</v>
      </c>
      <c r="R1079" s="16" t="s">
        <v>54</v>
      </c>
      <c r="S1079" s="18" t="s">
        <v>3949</v>
      </c>
      <c r="T1079" s="21" t="s">
        <v>55</v>
      </c>
    </row>
    <row r="1080" spans="1:20" ht="16.5">
      <c r="A1080" s="11" t="s">
        <v>3131</v>
      </c>
      <c r="B1080" s="11" t="s">
        <v>60</v>
      </c>
      <c r="C1080" s="11" t="s">
        <v>62</v>
      </c>
      <c r="D1080" s="12" t="s">
        <v>3920</v>
      </c>
      <c r="E1080" s="11" t="s">
        <v>71</v>
      </c>
      <c r="F1080" s="11" t="s">
        <v>72</v>
      </c>
      <c r="G1080" s="12" t="s">
        <v>4035</v>
      </c>
      <c r="H1080" s="13" t="s">
        <v>4011</v>
      </c>
      <c r="I1080" s="11" t="s">
        <v>65</v>
      </c>
      <c r="J1080" s="14">
        <v>1</v>
      </c>
      <c r="K1080" s="14" t="s">
        <v>3945</v>
      </c>
      <c r="L1080" s="14" t="s">
        <v>4036</v>
      </c>
      <c r="M1080" s="15" t="s">
        <v>3922</v>
      </c>
      <c r="N1080" s="15" t="s">
        <v>76</v>
      </c>
      <c r="O1080" s="15" t="s">
        <v>4037</v>
      </c>
      <c r="P1080" s="15"/>
      <c r="Q1080" s="12" t="s">
        <v>69</v>
      </c>
      <c r="R1080" s="16" t="s">
        <v>54</v>
      </c>
      <c r="S1080" s="12" t="s">
        <v>3949</v>
      </c>
      <c r="T1080" s="14" t="s">
        <v>55</v>
      </c>
    </row>
    <row r="1081" spans="1:20" ht="16.5">
      <c r="A1081" s="17" t="s">
        <v>3131</v>
      </c>
      <c r="B1081" s="17" t="s">
        <v>60</v>
      </c>
      <c r="C1081" s="17" t="s">
        <v>62</v>
      </c>
      <c r="D1081" s="18" t="s">
        <v>3920</v>
      </c>
      <c r="E1081" s="17" t="s">
        <v>71</v>
      </c>
      <c r="F1081" s="17" t="s">
        <v>72</v>
      </c>
      <c r="G1081" s="18" t="s">
        <v>4038</v>
      </c>
      <c r="H1081" s="20" t="s">
        <v>4011</v>
      </c>
      <c r="I1081" s="17" t="s">
        <v>65</v>
      </c>
      <c r="J1081" s="21">
        <v>1</v>
      </c>
      <c r="K1081" s="21" t="s">
        <v>3945</v>
      </c>
      <c r="L1081" s="21" t="s">
        <v>4039</v>
      </c>
      <c r="M1081" s="19" t="s">
        <v>3922</v>
      </c>
      <c r="N1081" s="19" t="s">
        <v>76</v>
      </c>
      <c r="O1081" s="19" t="s">
        <v>4040</v>
      </c>
      <c r="P1081" s="19"/>
      <c r="Q1081" s="18" t="s">
        <v>69</v>
      </c>
      <c r="R1081" s="16" t="s">
        <v>54</v>
      </c>
      <c r="S1081" s="18" t="s">
        <v>3949</v>
      </c>
      <c r="T1081" s="21" t="s">
        <v>55</v>
      </c>
    </row>
    <row r="1082" spans="1:20" ht="16.5">
      <c r="A1082" s="11" t="s">
        <v>3131</v>
      </c>
      <c r="B1082" s="11" t="s">
        <v>60</v>
      </c>
      <c r="C1082" s="11" t="s">
        <v>62</v>
      </c>
      <c r="D1082" s="12" t="s">
        <v>3920</v>
      </c>
      <c r="E1082" s="11" t="s">
        <v>71</v>
      </c>
      <c r="F1082" s="11" t="s">
        <v>72</v>
      </c>
      <c r="G1082" s="12" t="s">
        <v>4041</v>
      </c>
      <c r="H1082" s="13" t="s">
        <v>4011</v>
      </c>
      <c r="I1082" s="11" t="s">
        <v>65</v>
      </c>
      <c r="J1082" s="14">
        <v>1</v>
      </c>
      <c r="K1082" s="14" t="s">
        <v>3945</v>
      </c>
      <c r="L1082" s="14" t="s">
        <v>4042</v>
      </c>
      <c r="M1082" s="15" t="s">
        <v>3922</v>
      </c>
      <c r="N1082" s="15" t="s">
        <v>76</v>
      </c>
      <c r="O1082" s="15" t="s">
        <v>4043</v>
      </c>
      <c r="P1082" s="15"/>
      <c r="Q1082" s="12" t="s">
        <v>69</v>
      </c>
      <c r="R1082" s="16" t="s">
        <v>54</v>
      </c>
      <c r="S1082" s="12" t="s">
        <v>3949</v>
      </c>
      <c r="T1082" s="14" t="s">
        <v>55</v>
      </c>
    </row>
    <row r="1083" spans="1:20" ht="16.5">
      <c r="A1083" s="17" t="s">
        <v>3131</v>
      </c>
      <c r="B1083" s="17" t="s">
        <v>60</v>
      </c>
      <c r="C1083" s="17" t="s">
        <v>62</v>
      </c>
      <c r="D1083" s="18" t="s">
        <v>3920</v>
      </c>
      <c r="E1083" s="17" t="s">
        <v>81</v>
      </c>
      <c r="F1083" s="17" t="s">
        <v>82</v>
      </c>
      <c r="G1083" s="18" t="s">
        <v>4044</v>
      </c>
      <c r="H1083" s="20" t="s">
        <v>4045</v>
      </c>
      <c r="I1083" s="17" t="s">
        <v>65</v>
      </c>
      <c r="J1083" s="21">
        <v>1</v>
      </c>
      <c r="K1083" s="21" t="s">
        <v>3945</v>
      </c>
      <c r="L1083" s="21" t="s">
        <v>4046</v>
      </c>
      <c r="M1083" s="19" t="s">
        <v>3922</v>
      </c>
      <c r="N1083" s="19" t="s">
        <v>86</v>
      </c>
      <c r="O1083" s="19" t="s">
        <v>4047</v>
      </c>
      <c r="P1083" s="19"/>
      <c r="Q1083" s="18" t="s">
        <v>53</v>
      </c>
      <c r="R1083" s="22" t="s">
        <v>88</v>
      </c>
      <c r="S1083" s="18" t="s">
        <v>3949</v>
      </c>
      <c r="T1083" s="21" t="s">
        <v>55</v>
      </c>
    </row>
    <row r="1084" spans="1:20" ht="16.5">
      <c r="A1084" s="11" t="s">
        <v>3131</v>
      </c>
      <c r="B1084" s="11" t="s">
        <v>60</v>
      </c>
      <c r="C1084" s="11" t="s">
        <v>62</v>
      </c>
      <c r="D1084" s="12" t="s">
        <v>3920</v>
      </c>
      <c r="E1084" s="11" t="s">
        <v>81</v>
      </c>
      <c r="F1084" s="11" t="s">
        <v>82</v>
      </c>
      <c r="G1084" s="12" t="s">
        <v>4048</v>
      </c>
      <c r="H1084" s="13" t="s">
        <v>4049</v>
      </c>
      <c r="I1084" s="11" t="s">
        <v>65</v>
      </c>
      <c r="J1084" s="14">
        <v>1</v>
      </c>
      <c r="K1084" s="14" t="s">
        <v>3945</v>
      </c>
      <c r="L1084" s="14" t="s">
        <v>4050</v>
      </c>
      <c r="M1084" s="15" t="s">
        <v>3922</v>
      </c>
      <c r="N1084" s="15" t="s">
        <v>86</v>
      </c>
      <c r="O1084" s="15" t="s">
        <v>4051</v>
      </c>
      <c r="P1084" s="15"/>
      <c r="Q1084" s="12" t="s">
        <v>53</v>
      </c>
      <c r="R1084" s="22" t="s">
        <v>88</v>
      </c>
      <c r="S1084" s="12" t="s">
        <v>3949</v>
      </c>
      <c r="T1084" s="14" t="s">
        <v>55</v>
      </c>
    </row>
    <row r="1085" spans="1:20" ht="16.5">
      <c r="A1085" s="17" t="s">
        <v>3131</v>
      </c>
      <c r="B1085" s="17" t="s">
        <v>60</v>
      </c>
      <c r="C1085" s="17" t="s">
        <v>44</v>
      </c>
      <c r="D1085" s="18" t="s">
        <v>3131</v>
      </c>
      <c r="E1085" s="17" t="s">
        <v>61</v>
      </c>
      <c r="F1085" s="17" t="s">
        <v>62</v>
      </c>
      <c r="G1085" s="19" t="s">
        <v>3617</v>
      </c>
      <c r="H1085" s="20" t="s">
        <v>4052</v>
      </c>
      <c r="I1085" s="17" t="s">
        <v>65</v>
      </c>
      <c r="J1085" s="21">
        <v>1</v>
      </c>
      <c r="K1085" s="21" t="s">
        <v>3945</v>
      </c>
      <c r="L1085" s="21" t="s">
        <v>4053</v>
      </c>
      <c r="M1085" s="19" t="s">
        <v>3135</v>
      </c>
      <c r="N1085" s="19" t="s">
        <v>67</v>
      </c>
      <c r="O1085" s="19" t="s">
        <v>3620</v>
      </c>
      <c r="P1085" s="19"/>
      <c r="Q1085" s="18" t="s">
        <v>69</v>
      </c>
      <c r="R1085" s="16" t="s">
        <v>54</v>
      </c>
      <c r="S1085" s="18" t="s">
        <v>3949</v>
      </c>
      <c r="T1085" s="21" t="s">
        <v>55</v>
      </c>
    </row>
    <row r="1086" spans="1:20" ht="16.5">
      <c r="A1086" s="11" t="s">
        <v>3131</v>
      </c>
      <c r="B1086" s="11" t="s">
        <v>60</v>
      </c>
      <c r="C1086" s="11" t="s">
        <v>62</v>
      </c>
      <c r="D1086" s="15" t="s">
        <v>3617</v>
      </c>
      <c r="E1086" s="11" t="s">
        <v>71</v>
      </c>
      <c r="F1086" s="11" t="s">
        <v>72</v>
      </c>
      <c r="G1086" s="15" t="s">
        <v>4054</v>
      </c>
      <c r="H1086" s="23" t="s">
        <v>4055</v>
      </c>
      <c r="I1086" s="11" t="s">
        <v>65</v>
      </c>
      <c r="J1086" s="14">
        <v>1</v>
      </c>
      <c r="K1086" s="14" t="s">
        <v>3945</v>
      </c>
      <c r="L1086" s="14" t="s">
        <v>4056</v>
      </c>
      <c r="M1086" s="15" t="s">
        <v>3620</v>
      </c>
      <c r="N1086" s="15" t="s">
        <v>76</v>
      </c>
      <c r="O1086" s="15" t="s">
        <v>4057</v>
      </c>
      <c r="P1086" s="15"/>
      <c r="Q1086" s="12" t="s">
        <v>69</v>
      </c>
      <c r="R1086" s="16" t="s">
        <v>54</v>
      </c>
      <c r="S1086" s="12" t="s">
        <v>3949</v>
      </c>
      <c r="T1086" s="14" t="s">
        <v>55</v>
      </c>
    </row>
    <row r="1087" spans="1:20" ht="16.5">
      <c r="A1087" s="17" t="s">
        <v>3131</v>
      </c>
      <c r="B1087" s="17" t="s">
        <v>60</v>
      </c>
      <c r="C1087" s="17" t="s">
        <v>62</v>
      </c>
      <c r="D1087" s="19" t="s">
        <v>3617</v>
      </c>
      <c r="E1087" s="17" t="s">
        <v>71</v>
      </c>
      <c r="F1087" s="17" t="s">
        <v>72</v>
      </c>
      <c r="G1087" s="19" t="s">
        <v>4058</v>
      </c>
      <c r="H1087" s="24" t="s">
        <v>4055</v>
      </c>
      <c r="I1087" s="17" t="s">
        <v>65</v>
      </c>
      <c r="J1087" s="21">
        <v>1</v>
      </c>
      <c r="K1087" s="21" t="s">
        <v>3945</v>
      </c>
      <c r="L1087" s="21" t="s">
        <v>4059</v>
      </c>
      <c r="M1087" s="19" t="s">
        <v>3620</v>
      </c>
      <c r="N1087" s="19" t="s">
        <v>76</v>
      </c>
      <c r="O1087" s="19" t="s">
        <v>4060</v>
      </c>
      <c r="P1087" s="19"/>
      <c r="Q1087" s="18" t="s">
        <v>69</v>
      </c>
      <c r="R1087" s="16" t="s">
        <v>54</v>
      </c>
      <c r="S1087" s="18" t="s">
        <v>3949</v>
      </c>
      <c r="T1087" s="21" t="s">
        <v>55</v>
      </c>
    </row>
    <row r="1088" spans="1:20" ht="16.5">
      <c r="A1088" s="11" t="s">
        <v>3131</v>
      </c>
      <c r="B1088" s="11" t="s">
        <v>60</v>
      </c>
      <c r="C1088" s="11" t="s">
        <v>62</v>
      </c>
      <c r="D1088" s="15" t="s">
        <v>3617</v>
      </c>
      <c r="E1088" s="11" t="s">
        <v>81</v>
      </c>
      <c r="F1088" s="11" t="s">
        <v>82</v>
      </c>
      <c r="G1088" s="15" t="s">
        <v>4061</v>
      </c>
      <c r="H1088" s="23" t="s">
        <v>4062</v>
      </c>
      <c r="I1088" s="11" t="s">
        <v>65</v>
      </c>
      <c r="J1088" s="14">
        <v>1</v>
      </c>
      <c r="K1088" s="14" t="s">
        <v>3945</v>
      </c>
      <c r="L1088" s="14" t="s">
        <v>4063</v>
      </c>
      <c r="M1088" s="15" t="s">
        <v>3620</v>
      </c>
      <c r="N1088" s="15" t="s">
        <v>86</v>
      </c>
      <c r="O1088" s="15" t="s">
        <v>4064</v>
      </c>
      <c r="P1088" s="15"/>
      <c r="Q1088" s="12" t="s">
        <v>53</v>
      </c>
      <c r="R1088" s="22" t="s">
        <v>88</v>
      </c>
      <c r="S1088" s="12" t="s">
        <v>3949</v>
      </c>
      <c r="T1088" s="14" t="s">
        <v>55</v>
      </c>
    </row>
    <row r="1089" spans="1:20" ht="16.5">
      <c r="A1089" s="17" t="s">
        <v>3131</v>
      </c>
      <c r="B1089" s="17" t="s">
        <v>60</v>
      </c>
      <c r="C1089" s="17" t="s">
        <v>44</v>
      </c>
      <c r="D1089" s="18" t="s">
        <v>3131</v>
      </c>
      <c r="E1089" s="17" t="s">
        <v>61</v>
      </c>
      <c r="F1089" s="17" t="s">
        <v>62</v>
      </c>
      <c r="G1089" s="18" t="s">
        <v>4065</v>
      </c>
      <c r="H1089" s="20" t="s">
        <v>4066</v>
      </c>
      <c r="I1089" s="17" t="s">
        <v>65</v>
      </c>
      <c r="J1089" s="21">
        <v>1</v>
      </c>
      <c r="K1089" s="21" t="s">
        <v>3945</v>
      </c>
      <c r="L1089" s="21" t="s">
        <v>4067</v>
      </c>
      <c r="M1089" s="19" t="s">
        <v>3135</v>
      </c>
      <c r="N1089" s="19" t="s">
        <v>67</v>
      </c>
      <c r="O1089" s="19" t="s">
        <v>4068</v>
      </c>
      <c r="P1089" s="19"/>
      <c r="Q1089" s="18" t="s">
        <v>69</v>
      </c>
      <c r="R1089" s="16" t="s">
        <v>54</v>
      </c>
      <c r="S1089" s="18" t="s">
        <v>3949</v>
      </c>
      <c r="T1089" s="21" t="s">
        <v>55</v>
      </c>
    </row>
    <row r="1090" spans="1:20" ht="16.5">
      <c r="A1090" s="11" t="s">
        <v>3131</v>
      </c>
      <c r="B1090" s="11" t="s">
        <v>60</v>
      </c>
      <c r="C1090" s="11" t="s">
        <v>62</v>
      </c>
      <c r="D1090" s="12" t="s">
        <v>4065</v>
      </c>
      <c r="E1090" s="11" t="s">
        <v>81</v>
      </c>
      <c r="F1090" s="11" t="s">
        <v>82</v>
      </c>
      <c r="G1090" s="12" t="s">
        <v>4069</v>
      </c>
      <c r="H1090" s="13" t="s">
        <v>4070</v>
      </c>
      <c r="I1090" s="11" t="s">
        <v>65</v>
      </c>
      <c r="J1090" s="14">
        <v>1</v>
      </c>
      <c r="K1090" s="14" t="s">
        <v>3945</v>
      </c>
      <c r="L1090" s="14" t="s">
        <v>4071</v>
      </c>
      <c r="M1090" s="15" t="s">
        <v>4068</v>
      </c>
      <c r="N1090" s="15" t="s">
        <v>86</v>
      </c>
      <c r="O1090" s="15" t="s">
        <v>4072</v>
      </c>
      <c r="P1090" s="15"/>
      <c r="Q1090" s="12" t="s">
        <v>53</v>
      </c>
      <c r="R1090" s="22" t="s">
        <v>88</v>
      </c>
      <c r="S1090" s="12" t="s">
        <v>3949</v>
      </c>
      <c r="T1090" s="14" t="s">
        <v>55</v>
      </c>
    </row>
    <row r="1091" spans="1:20" ht="16.5">
      <c r="A1091" s="17" t="s">
        <v>3131</v>
      </c>
      <c r="B1091" s="17" t="s">
        <v>60</v>
      </c>
      <c r="C1091" s="17" t="s">
        <v>62</v>
      </c>
      <c r="D1091" s="18" t="s">
        <v>4065</v>
      </c>
      <c r="E1091" s="17" t="s">
        <v>81</v>
      </c>
      <c r="F1091" s="17" t="s">
        <v>82</v>
      </c>
      <c r="G1091" s="18" t="s">
        <v>4073</v>
      </c>
      <c r="H1091" s="20" t="s">
        <v>4074</v>
      </c>
      <c r="I1091" s="17" t="s">
        <v>65</v>
      </c>
      <c r="J1091" s="21">
        <v>1</v>
      </c>
      <c r="K1091" s="21" t="s">
        <v>3945</v>
      </c>
      <c r="L1091" s="21" t="s">
        <v>4075</v>
      </c>
      <c r="M1091" s="19" t="s">
        <v>4068</v>
      </c>
      <c r="N1091" s="19" t="s">
        <v>86</v>
      </c>
      <c r="O1091" s="19" t="s">
        <v>4076</v>
      </c>
      <c r="P1091" s="19"/>
      <c r="Q1091" s="18" t="s">
        <v>53</v>
      </c>
      <c r="R1091" s="22" t="s">
        <v>88</v>
      </c>
      <c r="S1091" s="18" t="s">
        <v>3949</v>
      </c>
      <c r="T1091" s="21" t="s">
        <v>55</v>
      </c>
    </row>
    <row r="1092" spans="1:20" ht="16.5">
      <c r="A1092" s="11" t="s">
        <v>3131</v>
      </c>
      <c r="B1092" s="11" t="s">
        <v>60</v>
      </c>
      <c r="C1092" s="11" t="s">
        <v>62</v>
      </c>
      <c r="D1092" s="15" t="s">
        <v>3617</v>
      </c>
      <c r="E1092" s="11" t="s">
        <v>203</v>
      </c>
      <c r="F1092" s="11" t="s">
        <v>204</v>
      </c>
      <c r="G1092" s="15" t="s">
        <v>3583</v>
      </c>
      <c r="H1092" s="23" t="s">
        <v>4077</v>
      </c>
      <c r="I1092" s="11" t="s">
        <v>65</v>
      </c>
      <c r="J1092" s="14">
        <v>1</v>
      </c>
      <c r="K1092" s="14" t="s">
        <v>3945</v>
      </c>
      <c r="L1092" s="14" t="s">
        <v>4078</v>
      </c>
      <c r="M1092" s="15" t="s">
        <v>3620</v>
      </c>
      <c r="N1092" s="15" t="s">
        <v>208</v>
      </c>
      <c r="O1092" s="15" t="s">
        <v>3587</v>
      </c>
      <c r="P1092" s="15" t="s">
        <v>3589</v>
      </c>
      <c r="Q1092" s="15" t="s">
        <v>211</v>
      </c>
      <c r="R1092" s="16" t="s">
        <v>54</v>
      </c>
      <c r="S1092" s="12" t="s">
        <v>3949</v>
      </c>
      <c r="T1092" s="14" t="s">
        <v>55</v>
      </c>
    </row>
    <row r="1093" spans="1:20" ht="16.5">
      <c r="A1093" s="17" t="s">
        <v>3131</v>
      </c>
      <c r="B1093" s="17" t="s">
        <v>60</v>
      </c>
      <c r="C1093" s="17" t="s">
        <v>62</v>
      </c>
      <c r="D1093" s="19" t="s">
        <v>3617</v>
      </c>
      <c r="E1093" s="17" t="s">
        <v>203</v>
      </c>
      <c r="F1093" s="17" t="s">
        <v>204</v>
      </c>
      <c r="G1093" s="19" t="s">
        <v>3379</v>
      </c>
      <c r="H1093" s="24" t="s">
        <v>4079</v>
      </c>
      <c r="I1093" s="17" t="s">
        <v>65</v>
      </c>
      <c r="J1093" s="21">
        <v>1</v>
      </c>
      <c r="K1093" s="21" t="s">
        <v>3945</v>
      </c>
      <c r="L1093" s="21" t="s">
        <v>4080</v>
      </c>
      <c r="M1093" s="19" t="s">
        <v>3620</v>
      </c>
      <c r="N1093" s="19" t="s">
        <v>208</v>
      </c>
      <c r="O1093" s="19" t="s">
        <v>3383</v>
      </c>
      <c r="P1093" s="19" t="s">
        <v>3384</v>
      </c>
      <c r="Q1093" s="19" t="s">
        <v>211</v>
      </c>
      <c r="R1093" s="16" t="s">
        <v>54</v>
      </c>
      <c r="S1093" s="18" t="s">
        <v>3949</v>
      </c>
      <c r="T1093" s="21" t="s">
        <v>55</v>
      </c>
    </row>
    <row r="1094" spans="1:20" ht="16.5">
      <c r="A1094" s="11" t="s">
        <v>3131</v>
      </c>
      <c r="B1094" s="11" t="s">
        <v>60</v>
      </c>
      <c r="C1094" s="11" t="s">
        <v>62</v>
      </c>
      <c r="D1094" s="12" t="s">
        <v>3928</v>
      </c>
      <c r="E1094" s="11" t="s">
        <v>203</v>
      </c>
      <c r="F1094" s="11" t="s">
        <v>204</v>
      </c>
      <c r="G1094" s="15" t="s">
        <v>3385</v>
      </c>
      <c r="H1094" s="13" t="s">
        <v>4081</v>
      </c>
      <c r="I1094" s="11" t="s">
        <v>65</v>
      </c>
      <c r="J1094" s="14">
        <v>1</v>
      </c>
      <c r="K1094" s="14" t="s">
        <v>3945</v>
      </c>
      <c r="L1094" s="14" t="s">
        <v>4082</v>
      </c>
      <c r="M1094" s="15" t="s">
        <v>3931</v>
      </c>
      <c r="N1094" s="15" t="s">
        <v>208</v>
      </c>
      <c r="O1094" s="15" t="s">
        <v>3388</v>
      </c>
      <c r="P1094" s="15" t="s">
        <v>3389</v>
      </c>
      <c r="Q1094" s="15" t="s">
        <v>211</v>
      </c>
      <c r="R1094" s="16" t="s">
        <v>54</v>
      </c>
      <c r="S1094" s="12" t="s">
        <v>3949</v>
      </c>
      <c r="T1094" s="14" t="s">
        <v>55</v>
      </c>
    </row>
    <row r="1095" spans="1:20" ht="16.5">
      <c r="A1095" s="17" t="s">
        <v>3131</v>
      </c>
      <c r="B1095" s="17" t="s">
        <v>60</v>
      </c>
      <c r="C1095" s="17" t="s">
        <v>62</v>
      </c>
      <c r="D1095" s="18" t="s">
        <v>3928</v>
      </c>
      <c r="E1095" s="17" t="s">
        <v>203</v>
      </c>
      <c r="F1095" s="17" t="s">
        <v>204</v>
      </c>
      <c r="G1095" s="18" t="s">
        <v>3849</v>
      </c>
      <c r="H1095" s="20" t="s">
        <v>4083</v>
      </c>
      <c r="I1095" s="17" t="s">
        <v>65</v>
      </c>
      <c r="J1095" s="21">
        <v>1</v>
      </c>
      <c r="K1095" s="21" t="s">
        <v>3945</v>
      </c>
      <c r="L1095" s="21" t="s">
        <v>4084</v>
      </c>
      <c r="M1095" s="19" t="s">
        <v>3931</v>
      </c>
      <c r="N1095" s="19" t="s">
        <v>208</v>
      </c>
      <c r="O1095" s="19" t="s">
        <v>3852</v>
      </c>
      <c r="P1095" s="19" t="s">
        <v>3853</v>
      </c>
      <c r="Q1095" s="19" t="s">
        <v>211</v>
      </c>
      <c r="R1095" s="16" t="s">
        <v>54</v>
      </c>
      <c r="S1095" s="18" t="s">
        <v>3949</v>
      </c>
      <c r="T1095" s="21" t="s">
        <v>55</v>
      </c>
    </row>
    <row r="1096" spans="1:20" ht="16.5">
      <c r="A1096" s="11" t="s">
        <v>3131</v>
      </c>
      <c r="B1096" s="11" t="s">
        <v>60</v>
      </c>
      <c r="C1096" s="11" t="s">
        <v>62</v>
      </c>
      <c r="D1096" s="12" t="s">
        <v>3928</v>
      </c>
      <c r="E1096" s="11" t="s">
        <v>203</v>
      </c>
      <c r="F1096" s="11" t="s">
        <v>204</v>
      </c>
      <c r="G1096" s="12" t="s">
        <v>3932</v>
      </c>
      <c r="H1096" s="13" t="s">
        <v>4085</v>
      </c>
      <c r="I1096" s="11" t="s">
        <v>65</v>
      </c>
      <c r="J1096" s="14">
        <v>1</v>
      </c>
      <c r="K1096" s="14" t="s">
        <v>3945</v>
      </c>
      <c r="L1096" s="14" t="s">
        <v>4086</v>
      </c>
      <c r="M1096" s="15" t="s">
        <v>3931</v>
      </c>
      <c r="N1096" s="15" t="s">
        <v>208</v>
      </c>
      <c r="O1096" s="15" t="s">
        <v>3935</v>
      </c>
      <c r="P1096" s="15" t="s">
        <v>4087</v>
      </c>
      <c r="Q1096" s="15" t="s">
        <v>211</v>
      </c>
      <c r="R1096" s="16" t="s">
        <v>54</v>
      </c>
      <c r="S1096" s="12" t="s">
        <v>3949</v>
      </c>
      <c r="T1096" s="26" t="s">
        <v>673</v>
      </c>
    </row>
    <row r="1097" spans="1:20" ht="16.5">
      <c r="A1097" s="17" t="s">
        <v>3131</v>
      </c>
      <c r="B1097" s="17" t="s">
        <v>60</v>
      </c>
      <c r="C1097" s="17" t="s">
        <v>62</v>
      </c>
      <c r="D1097" s="18" t="s">
        <v>3928</v>
      </c>
      <c r="E1097" s="17" t="s">
        <v>203</v>
      </c>
      <c r="F1097" s="17" t="s">
        <v>204</v>
      </c>
      <c r="G1097" s="18" t="s">
        <v>3937</v>
      </c>
      <c r="H1097" s="20" t="s">
        <v>4088</v>
      </c>
      <c r="I1097" s="17" t="s">
        <v>65</v>
      </c>
      <c r="J1097" s="21">
        <v>1</v>
      </c>
      <c r="K1097" s="21" t="s">
        <v>3945</v>
      </c>
      <c r="L1097" s="21" t="s">
        <v>4089</v>
      </c>
      <c r="M1097" s="19" t="s">
        <v>3931</v>
      </c>
      <c r="N1097" s="19" t="s">
        <v>208</v>
      </c>
      <c r="O1097" s="19" t="s">
        <v>3940</v>
      </c>
      <c r="P1097" s="19" t="s">
        <v>4090</v>
      </c>
      <c r="Q1097" s="19" t="s">
        <v>211</v>
      </c>
      <c r="R1097" s="16" t="s">
        <v>54</v>
      </c>
      <c r="S1097" s="18" t="s">
        <v>3949</v>
      </c>
      <c r="T1097" s="26" t="s">
        <v>673</v>
      </c>
    </row>
    <row r="1098" spans="1:20" ht="16.5">
      <c r="A1098" s="11" t="s">
        <v>3131</v>
      </c>
      <c r="B1098" s="11" t="s">
        <v>60</v>
      </c>
      <c r="C1098" s="11" t="s">
        <v>62</v>
      </c>
      <c r="D1098" s="12" t="s">
        <v>3928</v>
      </c>
      <c r="E1098" s="11" t="s">
        <v>203</v>
      </c>
      <c r="F1098" s="11" t="s">
        <v>204</v>
      </c>
      <c r="G1098" s="12" t="s">
        <v>4091</v>
      </c>
      <c r="H1098" s="13" t="s">
        <v>4092</v>
      </c>
      <c r="I1098" s="11" t="s">
        <v>65</v>
      </c>
      <c r="J1098" s="14">
        <v>1</v>
      </c>
      <c r="K1098" s="14" t="s">
        <v>3945</v>
      </c>
      <c r="L1098" s="14" t="s">
        <v>4093</v>
      </c>
      <c r="M1098" s="15" t="s">
        <v>3931</v>
      </c>
      <c r="N1098" s="15" t="s">
        <v>208</v>
      </c>
      <c r="O1098" s="15" t="s">
        <v>4094</v>
      </c>
      <c r="P1098" s="15" t="s">
        <v>4095</v>
      </c>
      <c r="Q1098" s="15" t="s">
        <v>211</v>
      </c>
      <c r="R1098" s="16" t="s">
        <v>54</v>
      </c>
      <c r="S1098" s="12" t="s">
        <v>3949</v>
      </c>
      <c r="T1098" s="26" t="s">
        <v>673</v>
      </c>
    </row>
    <row r="1099" spans="1:20" ht="16.5">
      <c r="A1099" s="17" t="s">
        <v>3131</v>
      </c>
      <c r="B1099" s="17" t="s">
        <v>60</v>
      </c>
      <c r="C1099" s="17" t="s">
        <v>62</v>
      </c>
      <c r="D1099" s="18" t="s">
        <v>3928</v>
      </c>
      <c r="E1099" s="17" t="s">
        <v>203</v>
      </c>
      <c r="F1099" s="17" t="s">
        <v>204</v>
      </c>
      <c r="G1099" s="18" t="s">
        <v>4096</v>
      </c>
      <c r="H1099" s="20" t="s">
        <v>4097</v>
      </c>
      <c r="I1099" s="17" t="s">
        <v>65</v>
      </c>
      <c r="J1099" s="21">
        <v>1</v>
      </c>
      <c r="K1099" s="21" t="s">
        <v>3945</v>
      </c>
      <c r="L1099" s="21" t="s">
        <v>4098</v>
      </c>
      <c r="M1099" s="19" t="s">
        <v>3931</v>
      </c>
      <c r="N1099" s="19" t="s">
        <v>208</v>
      </c>
      <c r="O1099" s="19" t="s">
        <v>4099</v>
      </c>
      <c r="P1099" s="19" t="s">
        <v>4100</v>
      </c>
      <c r="Q1099" s="19" t="s">
        <v>211</v>
      </c>
      <c r="R1099" s="16" t="s">
        <v>54</v>
      </c>
      <c r="S1099" s="18" t="s">
        <v>3949</v>
      </c>
      <c r="T1099" s="26" t="s">
        <v>673</v>
      </c>
    </row>
    <row r="1100" spans="1:20" ht="16.5">
      <c r="A1100" s="11" t="s">
        <v>3131</v>
      </c>
      <c r="B1100" s="11" t="s">
        <v>60</v>
      </c>
      <c r="C1100" s="11" t="s">
        <v>62</v>
      </c>
      <c r="D1100" s="12" t="s">
        <v>3920</v>
      </c>
      <c r="E1100" s="11" t="s">
        <v>203</v>
      </c>
      <c r="F1100" s="11" t="s">
        <v>204</v>
      </c>
      <c r="G1100" s="12" t="s">
        <v>4101</v>
      </c>
      <c r="H1100" s="13" t="s">
        <v>4102</v>
      </c>
      <c r="I1100" s="11" t="s">
        <v>65</v>
      </c>
      <c r="J1100" s="14">
        <v>1</v>
      </c>
      <c r="K1100" s="14" t="s">
        <v>3945</v>
      </c>
      <c r="L1100" s="14" t="s">
        <v>4103</v>
      </c>
      <c r="M1100" s="15" t="s">
        <v>3922</v>
      </c>
      <c r="N1100" s="15" t="s">
        <v>208</v>
      </c>
      <c r="O1100" s="15" t="s">
        <v>4104</v>
      </c>
      <c r="P1100" s="15" t="s">
        <v>4105</v>
      </c>
      <c r="Q1100" s="15" t="s">
        <v>211</v>
      </c>
      <c r="R1100" s="16" t="s">
        <v>54</v>
      </c>
      <c r="S1100" s="12" t="s">
        <v>3949</v>
      </c>
      <c r="T1100" s="14" t="s">
        <v>55</v>
      </c>
    </row>
    <row r="1101" spans="1:20" ht="16.5">
      <c r="A1101" s="17" t="s">
        <v>3131</v>
      </c>
      <c r="B1101" s="17" t="s">
        <v>60</v>
      </c>
      <c r="C1101" s="17" t="s">
        <v>62</v>
      </c>
      <c r="D1101" s="18" t="s">
        <v>3928</v>
      </c>
      <c r="E1101" s="17" t="s">
        <v>203</v>
      </c>
      <c r="F1101" s="17" t="s">
        <v>204</v>
      </c>
      <c r="G1101" s="18" t="s">
        <v>2103</v>
      </c>
      <c r="H1101" s="20" t="s">
        <v>4106</v>
      </c>
      <c r="I1101" s="17" t="s">
        <v>65</v>
      </c>
      <c r="J1101" s="21">
        <v>1</v>
      </c>
      <c r="K1101" s="21" t="s">
        <v>3945</v>
      </c>
      <c r="L1101" s="21" t="s">
        <v>4107</v>
      </c>
      <c r="M1101" s="19" t="s">
        <v>3931</v>
      </c>
      <c r="N1101" s="19" t="s">
        <v>208</v>
      </c>
      <c r="O1101" s="19" t="s">
        <v>2107</v>
      </c>
      <c r="P1101" s="19" t="s">
        <v>2109</v>
      </c>
      <c r="Q1101" s="19" t="s">
        <v>211</v>
      </c>
      <c r="R1101" s="16" t="s">
        <v>54</v>
      </c>
      <c r="S1101" s="18" t="s">
        <v>3949</v>
      </c>
      <c r="T1101" s="21" t="s">
        <v>55</v>
      </c>
    </row>
    <row r="1102" spans="1:20" ht="16.5">
      <c r="A1102" s="11" t="s">
        <v>3131</v>
      </c>
      <c r="B1102" s="11" t="s">
        <v>60</v>
      </c>
      <c r="C1102" s="11" t="s">
        <v>62</v>
      </c>
      <c r="D1102" s="12" t="s">
        <v>4065</v>
      </c>
      <c r="E1102" s="11" t="s">
        <v>203</v>
      </c>
      <c r="F1102" s="11" t="s">
        <v>204</v>
      </c>
      <c r="G1102" s="12" t="s">
        <v>4108</v>
      </c>
      <c r="H1102" s="13" t="s">
        <v>1528</v>
      </c>
      <c r="I1102" s="11" t="s">
        <v>65</v>
      </c>
      <c r="J1102" s="14">
        <v>1</v>
      </c>
      <c r="K1102" s="14" t="s">
        <v>3945</v>
      </c>
      <c r="L1102" s="14" t="s">
        <v>4109</v>
      </c>
      <c r="M1102" s="15" t="s">
        <v>4068</v>
      </c>
      <c r="N1102" s="15" t="s">
        <v>208</v>
      </c>
      <c r="O1102" s="15" t="s">
        <v>4110</v>
      </c>
      <c r="P1102" s="15" t="s">
        <v>4111</v>
      </c>
      <c r="Q1102" s="15" t="s">
        <v>211</v>
      </c>
      <c r="R1102" s="16" t="s">
        <v>54</v>
      </c>
      <c r="S1102" s="12" t="s">
        <v>3949</v>
      </c>
      <c r="T1102" s="14" t="s">
        <v>55</v>
      </c>
    </row>
    <row r="1103" spans="1:20" ht="16.5">
      <c r="A1103" s="17" t="s">
        <v>3131</v>
      </c>
      <c r="B1103" s="17" t="s">
        <v>60</v>
      </c>
      <c r="C1103" s="17" t="s">
        <v>62</v>
      </c>
      <c r="D1103" s="18" t="s">
        <v>4065</v>
      </c>
      <c r="E1103" s="17" t="s">
        <v>203</v>
      </c>
      <c r="F1103" s="17" t="s">
        <v>204</v>
      </c>
      <c r="G1103" s="18" t="s">
        <v>4112</v>
      </c>
      <c r="H1103" s="20" t="s">
        <v>4113</v>
      </c>
      <c r="I1103" s="17" t="s">
        <v>65</v>
      </c>
      <c r="J1103" s="21">
        <v>1</v>
      </c>
      <c r="K1103" s="21" t="s">
        <v>3945</v>
      </c>
      <c r="L1103" s="21" t="s">
        <v>4114</v>
      </c>
      <c r="M1103" s="19" t="s">
        <v>4068</v>
      </c>
      <c r="N1103" s="19" t="s">
        <v>208</v>
      </c>
      <c r="O1103" s="19" t="s">
        <v>4115</v>
      </c>
      <c r="P1103" s="19" t="s">
        <v>4116</v>
      </c>
      <c r="Q1103" s="19" t="s">
        <v>211</v>
      </c>
      <c r="R1103" s="16" t="s">
        <v>54</v>
      </c>
      <c r="S1103" s="18" t="s">
        <v>3949</v>
      </c>
      <c r="T1103" s="21" t="s">
        <v>55</v>
      </c>
    </row>
    <row r="1104" spans="1:20" ht="16.5">
      <c r="A1104" s="11" t="s">
        <v>3131</v>
      </c>
      <c r="B1104" s="11" t="s">
        <v>60</v>
      </c>
      <c r="C1104" s="11" t="s">
        <v>62</v>
      </c>
      <c r="D1104" s="12" t="s">
        <v>3928</v>
      </c>
      <c r="E1104" s="11" t="s">
        <v>203</v>
      </c>
      <c r="F1104" s="11" t="s">
        <v>204</v>
      </c>
      <c r="G1104" s="12" t="s">
        <v>3642</v>
      </c>
      <c r="H1104" s="13" t="s">
        <v>4117</v>
      </c>
      <c r="I1104" s="11" t="s">
        <v>65</v>
      </c>
      <c r="J1104" s="14">
        <v>1</v>
      </c>
      <c r="K1104" s="14" t="s">
        <v>3945</v>
      </c>
      <c r="L1104" s="14" t="s">
        <v>4118</v>
      </c>
      <c r="M1104" s="15" t="s">
        <v>3931</v>
      </c>
      <c r="N1104" s="15" t="s">
        <v>208</v>
      </c>
      <c r="O1104" s="15" t="s">
        <v>3646</v>
      </c>
      <c r="P1104" s="15"/>
      <c r="Q1104" s="12" t="s">
        <v>286</v>
      </c>
      <c r="R1104" s="22" t="s">
        <v>88</v>
      </c>
      <c r="S1104" s="12" t="s">
        <v>3949</v>
      </c>
      <c r="T1104" s="14" t="s">
        <v>55</v>
      </c>
    </row>
    <row r="1105" spans="1:20" ht="29.25">
      <c r="A1105" s="17" t="s">
        <v>3131</v>
      </c>
      <c r="B1105" s="17" t="s">
        <v>60</v>
      </c>
      <c r="C1105" s="17" t="s">
        <v>62</v>
      </c>
      <c r="D1105" s="18" t="s">
        <v>3928</v>
      </c>
      <c r="E1105" s="17" t="s">
        <v>203</v>
      </c>
      <c r="F1105" s="17" t="s">
        <v>204</v>
      </c>
      <c r="G1105" s="18" t="s">
        <v>4119</v>
      </c>
      <c r="H1105" s="20" t="s">
        <v>4120</v>
      </c>
      <c r="I1105" s="17" t="s">
        <v>65</v>
      </c>
      <c r="J1105" s="21">
        <v>1</v>
      </c>
      <c r="K1105" s="21" t="s">
        <v>3945</v>
      </c>
      <c r="L1105" s="21" t="s">
        <v>4121</v>
      </c>
      <c r="M1105" s="19" t="s">
        <v>3931</v>
      </c>
      <c r="N1105" s="19" t="s">
        <v>208</v>
      </c>
      <c r="O1105" s="19" t="s">
        <v>4122</v>
      </c>
      <c r="P1105" s="19"/>
      <c r="Q1105" s="18" t="s">
        <v>286</v>
      </c>
      <c r="R1105" s="22" t="s">
        <v>88</v>
      </c>
      <c r="S1105" s="18" t="s">
        <v>3949</v>
      </c>
      <c r="T1105" s="21" t="s">
        <v>55</v>
      </c>
    </row>
    <row r="1106" spans="1:20" ht="29.25">
      <c r="A1106" s="11" t="s">
        <v>3131</v>
      </c>
      <c r="B1106" s="11" t="s">
        <v>60</v>
      </c>
      <c r="C1106" s="11" t="s">
        <v>62</v>
      </c>
      <c r="D1106" s="12" t="s">
        <v>3928</v>
      </c>
      <c r="E1106" s="11" t="s">
        <v>203</v>
      </c>
      <c r="F1106" s="11" t="s">
        <v>204</v>
      </c>
      <c r="G1106" s="12" t="s">
        <v>4123</v>
      </c>
      <c r="H1106" s="13" t="s">
        <v>4124</v>
      </c>
      <c r="I1106" s="11" t="s">
        <v>65</v>
      </c>
      <c r="J1106" s="14">
        <v>1</v>
      </c>
      <c r="K1106" s="14" t="s">
        <v>3945</v>
      </c>
      <c r="L1106" s="14" t="s">
        <v>4125</v>
      </c>
      <c r="M1106" s="15" t="s">
        <v>3931</v>
      </c>
      <c r="N1106" s="15" t="s">
        <v>208</v>
      </c>
      <c r="O1106" s="15" t="s">
        <v>4126</v>
      </c>
      <c r="P1106" s="15"/>
      <c r="Q1106" s="12" t="s">
        <v>286</v>
      </c>
      <c r="R1106" s="22" t="s">
        <v>88</v>
      </c>
      <c r="S1106" s="12" t="s">
        <v>3949</v>
      </c>
      <c r="T1106" s="14" t="s">
        <v>55</v>
      </c>
    </row>
    <row r="1107" spans="1:20" ht="29.25">
      <c r="A1107" s="17" t="s">
        <v>3131</v>
      </c>
      <c r="B1107" s="17" t="s">
        <v>60</v>
      </c>
      <c r="C1107" s="17" t="s">
        <v>62</v>
      </c>
      <c r="D1107" s="18" t="s">
        <v>3928</v>
      </c>
      <c r="E1107" s="17" t="s">
        <v>203</v>
      </c>
      <c r="F1107" s="17" t="s">
        <v>204</v>
      </c>
      <c r="G1107" s="18" t="s">
        <v>4127</v>
      </c>
      <c r="H1107" s="20" t="s">
        <v>4128</v>
      </c>
      <c r="I1107" s="17" t="s">
        <v>65</v>
      </c>
      <c r="J1107" s="21">
        <v>1</v>
      </c>
      <c r="K1107" s="21" t="s">
        <v>3945</v>
      </c>
      <c r="L1107" s="21" t="s">
        <v>4129</v>
      </c>
      <c r="M1107" s="19" t="s">
        <v>3931</v>
      </c>
      <c r="N1107" s="19" t="s">
        <v>208</v>
      </c>
      <c r="O1107" s="19" t="s">
        <v>4130</v>
      </c>
      <c r="P1107" s="19"/>
      <c r="Q1107" s="18" t="s">
        <v>286</v>
      </c>
      <c r="R1107" s="22" t="s">
        <v>88</v>
      </c>
      <c r="S1107" s="18" t="s">
        <v>3949</v>
      </c>
      <c r="T1107" s="21" t="s">
        <v>55</v>
      </c>
    </row>
    <row r="1108" spans="1:20" ht="16.5">
      <c r="A1108" s="11" t="s">
        <v>3131</v>
      </c>
      <c r="B1108" s="11" t="s">
        <v>60</v>
      </c>
      <c r="C1108" s="11" t="s">
        <v>62</v>
      </c>
      <c r="D1108" s="12" t="s">
        <v>3920</v>
      </c>
      <c r="E1108" s="11" t="s">
        <v>203</v>
      </c>
      <c r="F1108" s="11" t="s">
        <v>204</v>
      </c>
      <c r="G1108" s="12" t="s">
        <v>3855</v>
      </c>
      <c r="H1108" s="13" t="s">
        <v>4131</v>
      </c>
      <c r="I1108" s="11" t="s">
        <v>65</v>
      </c>
      <c r="J1108" s="14">
        <v>1</v>
      </c>
      <c r="K1108" s="14" t="s">
        <v>3945</v>
      </c>
      <c r="L1108" s="14" t="s">
        <v>4132</v>
      </c>
      <c r="M1108" s="15" t="s">
        <v>3922</v>
      </c>
      <c r="N1108" s="15" t="s">
        <v>208</v>
      </c>
      <c r="O1108" s="15" t="s">
        <v>3859</v>
      </c>
      <c r="P1108" s="15"/>
      <c r="Q1108" s="12" t="s">
        <v>286</v>
      </c>
      <c r="R1108" s="22" t="s">
        <v>88</v>
      </c>
      <c r="S1108" s="12" t="s">
        <v>3949</v>
      </c>
      <c r="T1108" s="14" t="s">
        <v>55</v>
      </c>
    </row>
    <row r="1109" spans="1:20" ht="16.5">
      <c r="A1109" s="17" t="s">
        <v>3131</v>
      </c>
      <c r="B1109" s="17" t="s">
        <v>60</v>
      </c>
      <c r="C1109" s="17" t="s">
        <v>62</v>
      </c>
      <c r="D1109" s="18" t="s">
        <v>3928</v>
      </c>
      <c r="E1109" s="17" t="s">
        <v>203</v>
      </c>
      <c r="F1109" s="17" t="s">
        <v>204</v>
      </c>
      <c r="G1109" s="18" t="s">
        <v>4133</v>
      </c>
      <c r="H1109" s="20" t="s">
        <v>4134</v>
      </c>
      <c r="I1109" s="17" t="s">
        <v>65</v>
      </c>
      <c r="J1109" s="21">
        <v>1</v>
      </c>
      <c r="K1109" s="21" t="s">
        <v>3945</v>
      </c>
      <c r="L1109" s="21" t="s">
        <v>4135</v>
      </c>
      <c r="M1109" s="19" t="s">
        <v>3931</v>
      </c>
      <c r="N1109" s="19" t="s">
        <v>208</v>
      </c>
      <c r="O1109" s="19" t="s">
        <v>4136</v>
      </c>
      <c r="P1109" s="19"/>
      <c r="Q1109" s="18" t="s">
        <v>286</v>
      </c>
      <c r="R1109" s="22" t="s">
        <v>88</v>
      </c>
      <c r="S1109" s="18" t="s">
        <v>3949</v>
      </c>
      <c r="T1109" s="21" t="s">
        <v>55</v>
      </c>
    </row>
    <row r="1110" spans="1:20" ht="16.5">
      <c r="A1110" s="11" t="s">
        <v>3131</v>
      </c>
      <c r="B1110" s="11" t="s">
        <v>60</v>
      </c>
      <c r="C1110" s="11" t="s">
        <v>62</v>
      </c>
      <c r="D1110" s="12" t="s">
        <v>3928</v>
      </c>
      <c r="E1110" s="11" t="s">
        <v>203</v>
      </c>
      <c r="F1110" s="11" t="s">
        <v>295</v>
      </c>
      <c r="G1110" s="12" t="s">
        <v>3648</v>
      </c>
      <c r="H1110" s="13" t="s">
        <v>4137</v>
      </c>
      <c r="I1110" s="11" t="s">
        <v>65</v>
      </c>
      <c r="J1110" s="14">
        <v>1</v>
      </c>
      <c r="K1110" s="14" t="s">
        <v>3945</v>
      </c>
      <c r="L1110" s="14" t="s">
        <v>4138</v>
      </c>
      <c r="M1110" s="15" t="s">
        <v>3931</v>
      </c>
      <c r="N1110" s="15" t="s">
        <v>208</v>
      </c>
      <c r="O1110" s="15" t="s">
        <v>3651</v>
      </c>
      <c r="P1110" s="15"/>
      <c r="Q1110" s="12" t="s">
        <v>286</v>
      </c>
      <c r="R1110" s="22" t="s">
        <v>88</v>
      </c>
      <c r="S1110" s="12" t="s">
        <v>3949</v>
      </c>
      <c r="T1110" s="14" t="s">
        <v>55</v>
      </c>
    </row>
    <row r="1111" spans="1:20" ht="29.25">
      <c r="A1111" s="17" t="s">
        <v>3131</v>
      </c>
      <c r="B1111" s="17" t="s">
        <v>60</v>
      </c>
      <c r="C1111" s="17" t="s">
        <v>62</v>
      </c>
      <c r="D1111" s="18" t="s">
        <v>3928</v>
      </c>
      <c r="E1111" s="17" t="s">
        <v>203</v>
      </c>
      <c r="F1111" s="17" t="s">
        <v>295</v>
      </c>
      <c r="G1111" s="19" t="s">
        <v>4139</v>
      </c>
      <c r="H1111" s="20" t="s">
        <v>4140</v>
      </c>
      <c r="I1111" s="17" t="s">
        <v>65</v>
      </c>
      <c r="J1111" s="21">
        <v>1</v>
      </c>
      <c r="K1111" s="21" t="s">
        <v>3945</v>
      </c>
      <c r="L1111" s="21" t="s">
        <v>4141</v>
      </c>
      <c r="M1111" s="19" t="s">
        <v>3931</v>
      </c>
      <c r="N1111" s="19" t="s">
        <v>208</v>
      </c>
      <c r="O1111" s="19" t="s">
        <v>4142</v>
      </c>
      <c r="P1111" s="19"/>
      <c r="Q1111" s="18" t="s">
        <v>286</v>
      </c>
      <c r="R1111" s="22" t="s">
        <v>88</v>
      </c>
      <c r="S1111" s="18" t="s">
        <v>3949</v>
      </c>
      <c r="T1111" s="21" t="s">
        <v>55</v>
      </c>
    </row>
    <row r="1112" spans="1:20" ht="16.5">
      <c r="A1112" s="11" t="s">
        <v>3131</v>
      </c>
      <c r="B1112" s="11" t="s">
        <v>60</v>
      </c>
      <c r="C1112" s="11" t="s">
        <v>62</v>
      </c>
      <c r="D1112" s="12" t="s">
        <v>3928</v>
      </c>
      <c r="E1112" s="11" t="s">
        <v>203</v>
      </c>
      <c r="F1112" s="11" t="s">
        <v>204</v>
      </c>
      <c r="G1112" s="12" t="s">
        <v>4143</v>
      </c>
      <c r="H1112" s="13" t="s">
        <v>4144</v>
      </c>
      <c r="I1112" s="11" t="s">
        <v>65</v>
      </c>
      <c r="J1112" s="14">
        <v>1</v>
      </c>
      <c r="K1112" s="14" t="s">
        <v>3945</v>
      </c>
      <c r="L1112" s="14" t="s">
        <v>4145</v>
      </c>
      <c r="M1112" s="15" t="s">
        <v>3931</v>
      </c>
      <c r="N1112" s="15" t="s">
        <v>208</v>
      </c>
      <c r="O1112" s="15" t="s">
        <v>4146</v>
      </c>
      <c r="P1112" s="15"/>
      <c r="Q1112" s="12" t="s">
        <v>286</v>
      </c>
      <c r="R1112" s="22" t="s">
        <v>88</v>
      </c>
      <c r="S1112" s="12" t="s">
        <v>3949</v>
      </c>
      <c r="T1112" s="14" t="s">
        <v>55</v>
      </c>
    </row>
    <row r="1113" spans="1:20" ht="29.25">
      <c r="A1113" s="17" t="s">
        <v>3131</v>
      </c>
      <c r="B1113" s="17" t="s">
        <v>60</v>
      </c>
      <c r="C1113" s="17" t="s">
        <v>300</v>
      </c>
      <c r="D1113" s="18" t="s">
        <v>4147</v>
      </c>
      <c r="E1113" s="17" t="s">
        <v>203</v>
      </c>
      <c r="F1113" s="17" t="s">
        <v>204</v>
      </c>
      <c r="G1113" s="18" t="s">
        <v>4148</v>
      </c>
      <c r="H1113" s="20" t="s">
        <v>4149</v>
      </c>
      <c r="I1113" s="17" t="s">
        <v>65</v>
      </c>
      <c r="J1113" s="21">
        <v>1</v>
      </c>
      <c r="K1113" s="21" t="s">
        <v>3945</v>
      </c>
      <c r="L1113" s="21" t="s">
        <v>4150</v>
      </c>
      <c r="M1113" s="19" t="s">
        <v>4151</v>
      </c>
      <c r="N1113" s="19" t="s">
        <v>208</v>
      </c>
      <c r="O1113" s="19" t="s">
        <v>4152</v>
      </c>
      <c r="P1113" s="19" t="s">
        <v>4153</v>
      </c>
      <c r="Q1113" s="19" t="s">
        <v>211</v>
      </c>
      <c r="R1113" s="16" t="s">
        <v>54</v>
      </c>
      <c r="S1113" s="18" t="s">
        <v>3949</v>
      </c>
      <c r="T1113" s="26" t="s">
        <v>673</v>
      </c>
    </row>
    <row r="1114" spans="1:20" ht="29.25">
      <c r="A1114" s="11" t="s">
        <v>3131</v>
      </c>
      <c r="B1114" s="11" t="s">
        <v>60</v>
      </c>
      <c r="C1114" s="11" t="s">
        <v>300</v>
      </c>
      <c r="D1114" s="12" t="s">
        <v>4147</v>
      </c>
      <c r="E1114" s="11" t="s">
        <v>203</v>
      </c>
      <c r="F1114" s="11" t="s">
        <v>204</v>
      </c>
      <c r="G1114" s="12" t="s">
        <v>4154</v>
      </c>
      <c r="H1114" s="13" t="s">
        <v>4155</v>
      </c>
      <c r="I1114" s="11" t="s">
        <v>65</v>
      </c>
      <c r="J1114" s="14">
        <v>1</v>
      </c>
      <c r="K1114" s="14" t="s">
        <v>3945</v>
      </c>
      <c r="L1114" s="14" t="s">
        <v>4156</v>
      </c>
      <c r="M1114" s="15" t="s">
        <v>4151</v>
      </c>
      <c r="N1114" s="15" t="s">
        <v>208</v>
      </c>
      <c r="O1114" s="15" t="s">
        <v>4157</v>
      </c>
      <c r="P1114" s="15" t="s">
        <v>4158</v>
      </c>
      <c r="Q1114" s="15" t="s">
        <v>211</v>
      </c>
      <c r="R1114" s="16" t="s">
        <v>54</v>
      </c>
      <c r="S1114" s="12" t="s">
        <v>3949</v>
      </c>
      <c r="T1114" s="14" t="s">
        <v>55</v>
      </c>
    </row>
    <row r="1115" spans="1:20" ht="16.5">
      <c r="A1115" s="17" t="s">
        <v>3131</v>
      </c>
      <c r="B1115" s="17" t="s">
        <v>311</v>
      </c>
      <c r="C1115" s="17" t="s">
        <v>204</v>
      </c>
      <c r="D1115" s="19" t="s">
        <v>3583</v>
      </c>
      <c r="E1115" s="17" t="s">
        <v>312</v>
      </c>
      <c r="F1115" s="21" t="s">
        <v>313</v>
      </c>
      <c r="G1115" s="19" t="s">
        <v>4159</v>
      </c>
      <c r="H1115" s="24" t="s">
        <v>4160</v>
      </c>
      <c r="I1115" s="17" t="s">
        <v>65</v>
      </c>
      <c r="J1115" s="21">
        <v>1</v>
      </c>
      <c r="K1115" s="21" t="s">
        <v>3945</v>
      </c>
      <c r="L1115" s="21" t="s">
        <v>4161</v>
      </c>
      <c r="M1115" s="19" t="s">
        <v>3587</v>
      </c>
      <c r="N1115" s="19" t="s">
        <v>316</v>
      </c>
      <c r="O1115" s="19" t="s">
        <v>4162</v>
      </c>
      <c r="P1115" s="19" t="s">
        <v>4159</v>
      </c>
      <c r="Q1115" s="19" t="s">
        <v>211</v>
      </c>
      <c r="R1115" s="16" t="s">
        <v>54</v>
      </c>
      <c r="S1115" s="18" t="s">
        <v>3949</v>
      </c>
      <c r="T1115" s="21" t="s">
        <v>55</v>
      </c>
    </row>
    <row r="1116" spans="1:20" ht="16.5">
      <c r="A1116" s="11" t="s">
        <v>3131</v>
      </c>
      <c r="B1116" s="11" t="s">
        <v>311</v>
      </c>
      <c r="C1116" s="11" t="s">
        <v>204</v>
      </c>
      <c r="D1116" s="15" t="s">
        <v>3583</v>
      </c>
      <c r="E1116" s="11" t="s">
        <v>312</v>
      </c>
      <c r="F1116" s="14" t="s">
        <v>313</v>
      </c>
      <c r="G1116" s="15" t="s">
        <v>4163</v>
      </c>
      <c r="H1116" s="23" t="s">
        <v>4164</v>
      </c>
      <c r="I1116" s="11" t="s">
        <v>65</v>
      </c>
      <c r="J1116" s="14">
        <v>1</v>
      </c>
      <c r="K1116" s="14" t="s">
        <v>3945</v>
      </c>
      <c r="L1116" s="14" t="s">
        <v>4165</v>
      </c>
      <c r="M1116" s="15" t="s">
        <v>3587</v>
      </c>
      <c r="N1116" s="15" t="s">
        <v>316</v>
      </c>
      <c r="O1116" s="15" t="s">
        <v>4166</v>
      </c>
      <c r="P1116" s="15" t="s">
        <v>4163</v>
      </c>
      <c r="Q1116" s="15" t="s">
        <v>211</v>
      </c>
      <c r="R1116" s="16" t="s">
        <v>54</v>
      </c>
      <c r="S1116" s="12" t="s">
        <v>3949</v>
      </c>
      <c r="T1116" s="14" t="s">
        <v>55</v>
      </c>
    </row>
    <row r="1117" spans="1:20" ht="16.5">
      <c r="A1117" s="17" t="s">
        <v>3131</v>
      </c>
      <c r="B1117" s="17" t="s">
        <v>311</v>
      </c>
      <c r="C1117" s="17" t="s">
        <v>204</v>
      </c>
      <c r="D1117" s="19" t="s">
        <v>3379</v>
      </c>
      <c r="E1117" s="17" t="s">
        <v>312</v>
      </c>
      <c r="F1117" s="21" t="s">
        <v>313</v>
      </c>
      <c r="G1117" s="19" t="s">
        <v>3384</v>
      </c>
      <c r="H1117" s="24" t="s">
        <v>4167</v>
      </c>
      <c r="I1117" s="17" t="s">
        <v>65</v>
      </c>
      <c r="J1117" s="21">
        <v>1</v>
      </c>
      <c r="K1117" s="21" t="s">
        <v>3945</v>
      </c>
      <c r="L1117" s="21" t="s">
        <v>4168</v>
      </c>
      <c r="M1117" s="19" t="s">
        <v>3383</v>
      </c>
      <c r="N1117" s="19" t="s">
        <v>316</v>
      </c>
      <c r="O1117" s="19" t="s">
        <v>4169</v>
      </c>
      <c r="P1117" s="19" t="s">
        <v>3384</v>
      </c>
      <c r="Q1117" s="19" t="s">
        <v>211</v>
      </c>
      <c r="R1117" s="16" t="s">
        <v>54</v>
      </c>
      <c r="S1117" s="18" t="s">
        <v>3949</v>
      </c>
      <c r="T1117" s="21" t="s">
        <v>55</v>
      </c>
    </row>
    <row r="1118" spans="1:20" ht="16.5">
      <c r="A1118" s="11" t="s">
        <v>3131</v>
      </c>
      <c r="B1118" s="11" t="s">
        <v>311</v>
      </c>
      <c r="C1118" s="11" t="s">
        <v>204</v>
      </c>
      <c r="D1118" s="15" t="s">
        <v>3385</v>
      </c>
      <c r="E1118" s="11" t="s">
        <v>312</v>
      </c>
      <c r="F1118" s="14" t="s">
        <v>313</v>
      </c>
      <c r="G1118" s="15" t="s">
        <v>4170</v>
      </c>
      <c r="H1118" s="23" t="s">
        <v>4171</v>
      </c>
      <c r="I1118" s="11" t="s">
        <v>65</v>
      </c>
      <c r="J1118" s="14">
        <v>1</v>
      </c>
      <c r="K1118" s="14" t="s">
        <v>3945</v>
      </c>
      <c r="L1118" s="14" t="s">
        <v>4172</v>
      </c>
      <c r="M1118" s="15" t="s">
        <v>3388</v>
      </c>
      <c r="N1118" s="15" t="s">
        <v>316</v>
      </c>
      <c r="O1118" s="15" t="s">
        <v>4173</v>
      </c>
      <c r="P1118" s="15" t="s">
        <v>4170</v>
      </c>
      <c r="Q1118" s="15" t="s">
        <v>211</v>
      </c>
      <c r="R1118" s="16" t="s">
        <v>54</v>
      </c>
      <c r="S1118" s="12" t="s">
        <v>3949</v>
      </c>
      <c r="T1118" s="14" t="s">
        <v>55</v>
      </c>
    </row>
    <row r="1119" spans="1:20" ht="16.5">
      <c r="A1119" s="17" t="s">
        <v>3131</v>
      </c>
      <c r="B1119" s="17" t="s">
        <v>311</v>
      </c>
      <c r="C1119" s="17" t="s">
        <v>204</v>
      </c>
      <c r="D1119" s="19" t="s">
        <v>3385</v>
      </c>
      <c r="E1119" s="17" t="s">
        <v>312</v>
      </c>
      <c r="F1119" s="21" t="s">
        <v>313</v>
      </c>
      <c r="G1119" s="19" t="s">
        <v>4174</v>
      </c>
      <c r="H1119" s="24" t="s">
        <v>4175</v>
      </c>
      <c r="I1119" s="17" t="s">
        <v>65</v>
      </c>
      <c r="J1119" s="21">
        <v>1</v>
      </c>
      <c r="K1119" s="21" t="s">
        <v>3945</v>
      </c>
      <c r="L1119" s="21" t="s">
        <v>4176</v>
      </c>
      <c r="M1119" s="19" t="s">
        <v>3388</v>
      </c>
      <c r="N1119" s="19" t="s">
        <v>316</v>
      </c>
      <c r="O1119" s="19" t="s">
        <v>4177</v>
      </c>
      <c r="P1119" s="19" t="s">
        <v>4174</v>
      </c>
      <c r="Q1119" s="19" t="s">
        <v>211</v>
      </c>
      <c r="R1119" s="16" t="s">
        <v>54</v>
      </c>
      <c r="S1119" s="18" t="s">
        <v>3949</v>
      </c>
      <c r="T1119" s="21" t="s">
        <v>55</v>
      </c>
    </row>
    <row r="1120" spans="1:20" ht="16.5">
      <c r="A1120" s="11" t="s">
        <v>3131</v>
      </c>
      <c r="B1120" s="11" t="s">
        <v>311</v>
      </c>
      <c r="C1120" s="11" t="s">
        <v>204</v>
      </c>
      <c r="D1120" s="12" t="s">
        <v>3849</v>
      </c>
      <c r="E1120" s="11" t="s">
        <v>312</v>
      </c>
      <c r="F1120" s="14" t="s">
        <v>313</v>
      </c>
      <c r="G1120" s="15" t="s">
        <v>4178</v>
      </c>
      <c r="H1120" s="23" t="s">
        <v>4179</v>
      </c>
      <c r="I1120" s="11" t="s">
        <v>65</v>
      </c>
      <c r="J1120" s="14">
        <v>1</v>
      </c>
      <c r="K1120" s="14" t="s">
        <v>3945</v>
      </c>
      <c r="L1120" s="14" t="s">
        <v>4180</v>
      </c>
      <c r="M1120" s="15" t="s">
        <v>3852</v>
      </c>
      <c r="N1120" s="15" t="s">
        <v>316</v>
      </c>
      <c r="O1120" s="15" t="s">
        <v>4181</v>
      </c>
      <c r="P1120" s="15" t="s">
        <v>4178</v>
      </c>
      <c r="Q1120" s="15" t="s">
        <v>211</v>
      </c>
      <c r="R1120" s="16" t="s">
        <v>54</v>
      </c>
      <c r="S1120" s="12" t="s">
        <v>3949</v>
      </c>
      <c r="T1120" s="14" t="s">
        <v>55</v>
      </c>
    </row>
    <row r="1121" spans="1:20" ht="16.5">
      <c r="A1121" s="17" t="s">
        <v>3131</v>
      </c>
      <c r="B1121" s="17" t="s">
        <v>311</v>
      </c>
      <c r="C1121" s="17" t="s">
        <v>204</v>
      </c>
      <c r="D1121" s="18" t="s">
        <v>3849</v>
      </c>
      <c r="E1121" s="17" t="s">
        <v>312</v>
      </c>
      <c r="F1121" s="21" t="s">
        <v>313</v>
      </c>
      <c r="G1121" s="19" t="s">
        <v>4182</v>
      </c>
      <c r="H1121" s="24" t="s">
        <v>4183</v>
      </c>
      <c r="I1121" s="17" t="s">
        <v>65</v>
      </c>
      <c r="J1121" s="21">
        <v>1</v>
      </c>
      <c r="K1121" s="21" t="s">
        <v>3945</v>
      </c>
      <c r="L1121" s="21" t="s">
        <v>4184</v>
      </c>
      <c r="M1121" s="19" t="s">
        <v>3852</v>
      </c>
      <c r="N1121" s="19" t="s">
        <v>316</v>
      </c>
      <c r="O1121" s="19" t="s">
        <v>4185</v>
      </c>
      <c r="P1121" s="19" t="s">
        <v>4182</v>
      </c>
      <c r="Q1121" s="19" t="s">
        <v>211</v>
      </c>
      <c r="R1121" s="16" t="s">
        <v>54</v>
      </c>
      <c r="S1121" s="18" t="s">
        <v>3949</v>
      </c>
      <c r="T1121" s="21" t="s">
        <v>55</v>
      </c>
    </row>
    <row r="1122" spans="1:20" ht="16.5">
      <c r="A1122" s="11" t="s">
        <v>3131</v>
      </c>
      <c r="B1122" s="11" t="s">
        <v>311</v>
      </c>
      <c r="C1122" s="11" t="s">
        <v>204</v>
      </c>
      <c r="D1122" s="12" t="s">
        <v>3932</v>
      </c>
      <c r="E1122" s="11" t="s">
        <v>312</v>
      </c>
      <c r="F1122" s="14" t="s">
        <v>313</v>
      </c>
      <c r="G1122" s="15" t="s">
        <v>4186</v>
      </c>
      <c r="H1122" s="23" t="s">
        <v>4187</v>
      </c>
      <c r="I1122" s="11" t="s">
        <v>65</v>
      </c>
      <c r="J1122" s="14">
        <v>1</v>
      </c>
      <c r="K1122" s="14" t="s">
        <v>3945</v>
      </c>
      <c r="L1122" s="14" t="s">
        <v>4188</v>
      </c>
      <c r="M1122" s="15" t="s">
        <v>3935</v>
      </c>
      <c r="N1122" s="15" t="s">
        <v>316</v>
      </c>
      <c r="O1122" s="15" t="s">
        <v>4189</v>
      </c>
      <c r="P1122" s="15" t="s">
        <v>4186</v>
      </c>
      <c r="Q1122" s="15" t="s">
        <v>211</v>
      </c>
      <c r="R1122" s="16" t="s">
        <v>54</v>
      </c>
      <c r="S1122" s="12" t="s">
        <v>3949</v>
      </c>
      <c r="T1122" s="14" t="s">
        <v>55</v>
      </c>
    </row>
    <row r="1123" spans="1:20" ht="16.5">
      <c r="A1123" s="17" t="s">
        <v>3131</v>
      </c>
      <c r="B1123" s="17" t="s">
        <v>311</v>
      </c>
      <c r="C1123" s="17" t="s">
        <v>204</v>
      </c>
      <c r="D1123" s="18" t="s">
        <v>3932</v>
      </c>
      <c r="E1123" s="17" t="s">
        <v>312</v>
      </c>
      <c r="F1123" s="21" t="s">
        <v>313</v>
      </c>
      <c r="G1123" s="19" t="s">
        <v>4190</v>
      </c>
      <c r="H1123" s="24" t="s">
        <v>4191</v>
      </c>
      <c r="I1123" s="17" t="s">
        <v>65</v>
      </c>
      <c r="J1123" s="21">
        <v>1</v>
      </c>
      <c r="K1123" s="21" t="s">
        <v>3945</v>
      </c>
      <c r="L1123" s="21" t="s">
        <v>4192</v>
      </c>
      <c r="M1123" s="19" t="s">
        <v>3935</v>
      </c>
      <c r="N1123" s="19" t="s">
        <v>316</v>
      </c>
      <c r="O1123" s="19" t="s">
        <v>4193</v>
      </c>
      <c r="P1123" s="19" t="s">
        <v>4190</v>
      </c>
      <c r="Q1123" s="19" t="s">
        <v>211</v>
      </c>
      <c r="R1123" s="16" t="s">
        <v>54</v>
      </c>
      <c r="S1123" s="18" t="s">
        <v>3949</v>
      </c>
      <c r="T1123" s="21" t="s">
        <v>55</v>
      </c>
    </row>
    <row r="1124" spans="1:20" ht="16.5">
      <c r="A1124" s="11" t="s">
        <v>3131</v>
      </c>
      <c r="B1124" s="11" t="s">
        <v>311</v>
      </c>
      <c r="C1124" s="11" t="s">
        <v>204</v>
      </c>
      <c r="D1124" s="12" t="s">
        <v>3932</v>
      </c>
      <c r="E1124" s="11" t="s">
        <v>312</v>
      </c>
      <c r="F1124" s="14" t="s">
        <v>313</v>
      </c>
      <c r="G1124" s="15" t="s">
        <v>4194</v>
      </c>
      <c r="H1124" s="23" t="s">
        <v>4195</v>
      </c>
      <c r="I1124" s="11" t="s">
        <v>65</v>
      </c>
      <c r="J1124" s="14">
        <v>1</v>
      </c>
      <c r="K1124" s="14" t="s">
        <v>3945</v>
      </c>
      <c r="L1124" s="14" t="s">
        <v>4196</v>
      </c>
      <c r="M1124" s="15" t="s">
        <v>3935</v>
      </c>
      <c r="N1124" s="15" t="s">
        <v>316</v>
      </c>
      <c r="O1124" s="15" t="s">
        <v>4197</v>
      </c>
      <c r="P1124" s="15" t="s">
        <v>4194</v>
      </c>
      <c r="Q1124" s="15" t="s">
        <v>211</v>
      </c>
      <c r="R1124" s="16" t="s">
        <v>54</v>
      </c>
      <c r="S1124" s="12" t="s">
        <v>3949</v>
      </c>
      <c r="T1124" s="14" t="s">
        <v>55</v>
      </c>
    </row>
    <row r="1125" spans="1:20" ht="16.5">
      <c r="A1125" s="17" t="s">
        <v>3131</v>
      </c>
      <c r="B1125" s="17" t="s">
        <v>311</v>
      </c>
      <c r="C1125" s="17" t="s">
        <v>204</v>
      </c>
      <c r="D1125" s="18" t="s">
        <v>3932</v>
      </c>
      <c r="E1125" s="17" t="s">
        <v>312</v>
      </c>
      <c r="F1125" s="21" t="s">
        <v>313</v>
      </c>
      <c r="G1125" s="19" t="s">
        <v>4198</v>
      </c>
      <c r="H1125" s="24" t="s">
        <v>4199</v>
      </c>
      <c r="I1125" s="17" t="s">
        <v>65</v>
      </c>
      <c r="J1125" s="21">
        <v>1</v>
      </c>
      <c r="K1125" s="21" t="s">
        <v>3945</v>
      </c>
      <c r="L1125" s="21" t="s">
        <v>4200</v>
      </c>
      <c r="M1125" s="19" t="s">
        <v>3935</v>
      </c>
      <c r="N1125" s="19" t="s">
        <v>316</v>
      </c>
      <c r="O1125" s="19" t="s">
        <v>4201</v>
      </c>
      <c r="P1125" s="19" t="s">
        <v>4198</v>
      </c>
      <c r="Q1125" s="19" t="s">
        <v>211</v>
      </c>
      <c r="R1125" s="16" t="s">
        <v>54</v>
      </c>
      <c r="S1125" s="18" t="s">
        <v>3949</v>
      </c>
      <c r="T1125" s="21" t="s">
        <v>55</v>
      </c>
    </row>
    <row r="1126" spans="1:20" ht="16.5">
      <c r="A1126" s="11" t="s">
        <v>3131</v>
      </c>
      <c r="B1126" s="11" t="s">
        <v>311</v>
      </c>
      <c r="C1126" s="11" t="s">
        <v>204</v>
      </c>
      <c r="D1126" s="12" t="s">
        <v>3932</v>
      </c>
      <c r="E1126" s="11" t="s">
        <v>312</v>
      </c>
      <c r="F1126" s="14" t="s">
        <v>313</v>
      </c>
      <c r="G1126" s="15" t="s">
        <v>4202</v>
      </c>
      <c r="H1126" s="23" t="s">
        <v>4203</v>
      </c>
      <c r="I1126" s="11" t="s">
        <v>65</v>
      </c>
      <c r="J1126" s="14">
        <v>1</v>
      </c>
      <c r="K1126" s="14" t="s">
        <v>3945</v>
      </c>
      <c r="L1126" s="14" t="s">
        <v>4204</v>
      </c>
      <c r="M1126" s="15" t="s">
        <v>3935</v>
      </c>
      <c r="N1126" s="15" t="s">
        <v>316</v>
      </c>
      <c r="O1126" s="15" t="s">
        <v>4205</v>
      </c>
      <c r="P1126" s="15" t="s">
        <v>4202</v>
      </c>
      <c r="Q1126" s="15" t="s">
        <v>211</v>
      </c>
      <c r="R1126" s="16" t="s">
        <v>54</v>
      </c>
      <c r="S1126" s="12" t="s">
        <v>3949</v>
      </c>
      <c r="T1126" s="14" t="s">
        <v>55</v>
      </c>
    </row>
    <row r="1127" spans="1:20" ht="16.5">
      <c r="A1127" s="17" t="s">
        <v>3131</v>
      </c>
      <c r="B1127" s="17" t="s">
        <v>311</v>
      </c>
      <c r="C1127" s="17" t="s">
        <v>204</v>
      </c>
      <c r="D1127" s="18" t="s">
        <v>3932</v>
      </c>
      <c r="E1127" s="17" t="s">
        <v>312</v>
      </c>
      <c r="F1127" s="21" t="s">
        <v>313</v>
      </c>
      <c r="G1127" s="19" t="s">
        <v>4206</v>
      </c>
      <c r="H1127" s="24" t="s">
        <v>4207</v>
      </c>
      <c r="I1127" s="17" t="s">
        <v>65</v>
      </c>
      <c r="J1127" s="21">
        <v>1</v>
      </c>
      <c r="K1127" s="21" t="s">
        <v>3945</v>
      </c>
      <c r="L1127" s="21" t="s">
        <v>4208</v>
      </c>
      <c r="M1127" s="19" t="s">
        <v>3935</v>
      </c>
      <c r="N1127" s="19" t="s">
        <v>316</v>
      </c>
      <c r="O1127" s="19" t="s">
        <v>4209</v>
      </c>
      <c r="P1127" s="19" t="s">
        <v>4206</v>
      </c>
      <c r="Q1127" s="19" t="s">
        <v>211</v>
      </c>
      <c r="R1127" s="16" t="s">
        <v>54</v>
      </c>
      <c r="S1127" s="18" t="s">
        <v>3949</v>
      </c>
      <c r="T1127" s="21" t="s">
        <v>55</v>
      </c>
    </row>
    <row r="1128" spans="1:20" ht="16.5">
      <c r="A1128" s="11" t="s">
        <v>3131</v>
      </c>
      <c r="B1128" s="11" t="s">
        <v>311</v>
      </c>
      <c r="C1128" s="11" t="s">
        <v>204</v>
      </c>
      <c r="D1128" s="12" t="s">
        <v>3932</v>
      </c>
      <c r="E1128" s="11" t="s">
        <v>312</v>
      </c>
      <c r="F1128" s="14" t="s">
        <v>313</v>
      </c>
      <c r="G1128" s="15" t="s">
        <v>4210</v>
      </c>
      <c r="H1128" s="23" t="s">
        <v>4211</v>
      </c>
      <c r="I1128" s="11" t="s">
        <v>65</v>
      </c>
      <c r="J1128" s="14">
        <v>1</v>
      </c>
      <c r="K1128" s="14" t="s">
        <v>3945</v>
      </c>
      <c r="L1128" s="14" t="s">
        <v>4212</v>
      </c>
      <c r="M1128" s="15" t="s">
        <v>3935</v>
      </c>
      <c r="N1128" s="15" t="s">
        <v>316</v>
      </c>
      <c r="O1128" s="15" t="s">
        <v>4213</v>
      </c>
      <c r="P1128" s="15" t="s">
        <v>4210</v>
      </c>
      <c r="Q1128" s="15" t="s">
        <v>211</v>
      </c>
      <c r="R1128" s="16" t="s">
        <v>54</v>
      </c>
      <c r="S1128" s="12" t="s">
        <v>3949</v>
      </c>
      <c r="T1128" s="14" t="s">
        <v>55</v>
      </c>
    </row>
    <row r="1129" spans="1:20" ht="16.5">
      <c r="A1129" s="17" t="s">
        <v>3131</v>
      </c>
      <c r="B1129" s="17" t="s">
        <v>311</v>
      </c>
      <c r="C1129" s="17" t="s">
        <v>204</v>
      </c>
      <c r="D1129" s="18" t="s">
        <v>3932</v>
      </c>
      <c r="E1129" s="17" t="s">
        <v>312</v>
      </c>
      <c r="F1129" s="21" t="s">
        <v>313</v>
      </c>
      <c r="G1129" s="19" t="s">
        <v>4214</v>
      </c>
      <c r="H1129" s="24" t="s">
        <v>4215</v>
      </c>
      <c r="I1129" s="17" t="s">
        <v>65</v>
      </c>
      <c r="J1129" s="21">
        <v>1</v>
      </c>
      <c r="K1129" s="21" t="s">
        <v>3945</v>
      </c>
      <c r="L1129" s="21" t="s">
        <v>4216</v>
      </c>
      <c r="M1129" s="19" t="s">
        <v>3935</v>
      </c>
      <c r="N1129" s="19" t="s">
        <v>316</v>
      </c>
      <c r="O1129" s="19" t="s">
        <v>4217</v>
      </c>
      <c r="P1129" s="19" t="s">
        <v>4214</v>
      </c>
      <c r="Q1129" s="19" t="s">
        <v>211</v>
      </c>
      <c r="R1129" s="16" t="s">
        <v>54</v>
      </c>
      <c r="S1129" s="18" t="s">
        <v>3949</v>
      </c>
      <c r="T1129" s="21" t="s">
        <v>55</v>
      </c>
    </row>
    <row r="1130" spans="1:20" ht="16.5">
      <c r="A1130" s="11" t="s">
        <v>3131</v>
      </c>
      <c r="B1130" s="11" t="s">
        <v>311</v>
      </c>
      <c r="C1130" s="11" t="s">
        <v>204</v>
      </c>
      <c r="D1130" s="12" t="s">
        <v>3932</v>
      </c>
      <c r="E1130" s="11" t="s">
        <v>312</v>
      </c>
      <c r="F1130" s="14" t="s">
        <v>313</v>
      </c>
      <c r="G1130" s="15" t="s">
        <v>4218</v>
      </c>
      <c r="H1130" s="23" t="s">
        <v>4219</v>
      </c>
      <c r="I1130" s="11" t="s">
        <v>65</v>
      </c>
      <c r="J1130" s="14">
        <v>1</v>
      </c>
      <c r="K1130" s="14" t="s">
        <v>3945</v>
      </c>
      <c r="L1130" s="14" t="s">
        <v>4220</v>
      </c>
      <c r="M1130" s="15" t="s">
        <v>3935</v>
      </c>
      <c r="N1130" s="15" t="s">
        <v>316</v>
      </c>
      <c r="O1130" s="15" t="s">
        <v>4221</v>
      </c>
      <c r="P1130" s="15" t="s">
        <v>4218</v>
      </c>
      <c r="Q1130" s="15" t="s">
        <v>211</v>
      </c>
      <c r="R1130" s="16" t="s">
        <v>54</v>
      </c>
      <c r="S1130" s="12" t="s">
        <v>3949</v>
      </c>
      <c r="T1130" s="14" t="s">
        <v>55</v>
      </c>
    </row>
    <row r="1131" spans="1:20" ht="16.5">
      <c r="A1131" s="17" t="s">
        <v>3131</v>
      </c>
      <c r="B1131" s="17" t="s">
        <v>311</v>
      </c>
      <c r="C1131" s="17" t="s">
        <v>204</v>
      </c>
      <c r="D1131" s="18" t="s">
        <v>3932</v>
      </c>
      <c r="E1131" s="17" t="s">
        <v>312</v>
      </c>
      <c r="F1131" s="21" t="s">
        <v>313</v>
      </c>
      <c r="G1131" s="19" t="s">
        <v>4222</v>
      </c>
      <c r="H1131" s="24" t="s">
        <v>4223</v>
      </c>
      <c r="I1131" s="17" t="s">
        <v>65</v>
      </c>
      <c r="J1131" s="21">
        <v>1</v>
      </c>
      <c r="K1131" s="21" t="s">
        <v>3945</v>
      </c>
      <c r="L1131" s="21" t="s">
        <v>4224</v>
      </c>
      <c r="M1131" s="19" t="s">
        <v>3935</v>
      </c>
      <c r="N1131" s="19" t="s">
        <v>316</v>
      </c>
      <c r="O1131" s="19" t="s">
        <v>4225</v>
      </c>
      <c r="P1131" s="19" t="s">
        <v>4222</v>
      </c>
      <c r="Q1131" s="19" t="s">
        <v>211</v>
      </c>
      <c r="R1131" s="16" t="s">
        <v>54</v>
      </c>
      <c r="S1131" s="18" t="s">
        <v>3949</v>
      </c>
      <c r="T1131" s="21" t="s">
        <v>55</v>
      </c>
    </row>
    <row r="1132" spans="1:20" ht="16.5">
      <c r="A1132" s="11" t="s">
        <v>3131</v>
      </c>
      <c r="B1132" s="11" t="s">
        <v>311</v>
      </c>
      <c r="C1132" s="11" t="s">
        <v>204</v>
      </c>
      <c r="D1132" s="12" t="s">
        <v>3932</v>
      </c>
      <c r="E1132" s="11" t="s">
        <v>312</v>
      </c>
      <c r="F1132" s="14" t="s">
        <v>313</v>
      </c>
      <c r="G1132" s="15" t="s">
        <v>4226</v>
      </c>
      <c r="H1132" s="23" t="s">
        <v>4227</v>
      </c>
      <c r="I1132" s="11" t="s">
        <v>65</v>
      </c>
      <c r="J1132" s="14">
        <v>1</v>
      </c>
      <c r="K1132" s="14" t="s">
        <v>3945</v>
      </c>
      <c r="L1132" s="14" t="s">
        <v>4228</v>
      </c>
      <c r="M1132" s="15" t="s">
        <v>3935</v>
      </c>
      <c r="N1132" s="15" t="s">
        <v>316</v>
      </c>
      <c r="O1132" s="15" t="s">
        <v>4229</v>
      </c>
      <c r="P1132" s="15" t="s">
        <v>4226</v>
      </c>
      <c r="Q1132" s="15" t="s">
        <v>211</v>
      </c>
      <c r="R1132" s="16" t="s">
        <v>54</v>
      </c>
      <c r="S1132" s="12" t="s">
        <v>3949</v>
      </c>
      <c r="T1132" s="14" t="s">
        <v>55</v>
      </c>
    </row>
    <row r="1133" spans="1:20" ht="16.5">
      <c r="A1133" s="17" t="s">
        <v>3131</v>
      </c>
      <c r="B1133" s="17" t="s">
        <v>311</v>
      </c>
      <c r="C1133" s="17" t="s">
        <v>204</v>
      </c>
      <c r="D1133" s="18" t="s">
        <v>3937</v>
      </c>
      <c r="E1133" s="17" t="s">
        <v>312</v>
      </c>
      <c r="F1133" s="21" t="s">
        <v>313</v>
      </c>
      <c r="G1133" s="19" t="s">
        <v>4230</v>
      </c>
      <c r="H1133" s="24" t="s">
        <v>4231</v>
      </c>
      <c r="I1133" s="17" t="s">
        <v>65</v>
      </c>
      <c r="J1133" s="21">
        <v>1</v>
      </c>
      <c r="K1133" s="21" t="s">
        <v>3945</v>
      </c>
      <c r="L1133" s="21" t="s">
        <v>4232</v>
      </c>
      <c r="M1133" s="19" t="s">
        <v>3940</v>
      </c>
      <c r="N1133" s="19" t="s">
        <v>316</v>
      </c>
      <c r="O1133" s="19" t="s">
        <v>4233</v>
      </c>
      <c r="P1133" s="19" t="s">
        <v>4230</v>
      </c>
      <c r="Q1133" s="19" t="s">
        <v>211</v>
      </c>
      <c r="R1133" s="16" t="s">
        <v>54</v>
      </c>
      <c r="S1133" s="18" t="s">
        <v>3949</v>
      </c>
      <c r="T1133" s="21" t="s">
        <v>55</v>
      </c>
    </row>
    <row r="1134" spans="1:20" ht="16.5">
      <c r="A1134" s="11" t="s">
        <v>3131</v>
      </c>
      <c r="B1134" s="11" t="s">
        <v>311</v>
      </c>
      <c r="C1134" s="11" t="s">
        <v>204</v>
      </c>
      <c r="D1134" s="12" t="s">
        <v>3937</v>
      </c>
      <c r="E1134" s="11" t="s">
        <v>312</v>
      </c>
      <c r="F1134" s="14" t="s">
        <v>313</v>
      </c>
      <c r="G1134" s="15" t="s">
        <v>4234</v>
      </c>
      <c r="H1134" s="23" t="s">
        <v>4235</v>
      </c>
      <c r="I1134" s="11" t="s">
        <v>65</v>
      </c>
      <c r="J1134" s="14">
        <v>1</v>
      </c>
      <c r="K1134" s="14" t="s">
        <v>3945</v>
      </c>
      <c r="L1134" s="14" t="s">
        <v>4236</v>
      </c>
      <c r="M1134" s="15" t="s">
        <v>3940</v>
      </c>
      <c r="N1134" s="15" t="s">
        <v>316</v>
      </c>
      <c r="O1134" s="15" t="s">
        <v>4237</v>
      </c>
      <c r="P1134" s="15" t="s">
        <v>4234</v>
      </c>
      <c r="Q1134" s="15" t="s">
        <v>211</v>
      </c>
      <c r="R1134" s="16" t="s">
        <v>54</v>
      </c>
      <c r="S1134" s="12" t="s">
        <v>3949</v>
      </c>
      <c r="T1134" s="14" t="s">
        <v>55</v>
      </c>
    </row>
    <row r="1135" spans="1:20" ht="16.5">
      <c r="A1135" s="17" t="s">
        <v>3131</v>
      </c>
      <c r="B1135" s="17" t="s">
        <v>311</v>
      </c>
      <c r="C1135" s="17" t="s">
        <v>204</v>
      </c>
      <c r="D1135" s="18" t="s">
        <v>3937</v>
      </c>
      <c r="E1135" s="17" t="s">
        <v>312</v>
      </c>
      <c r="F1135" s="21" t="s">
        <v>313</v>
      </c>
      <c r="G1135" s="19" t="s">
        <v>4238</v>
      </c>
      <c r="H1135" s="24" t="s">
        <v>4239</v>
      </c>
      <c r="I1135" s="17" t="s">
        <v>65</v>
      </c>
      <c r="J1135" s="21">
        <v>1</v>
      </c>
      <c r="K1135" s="21" t="s">
        <v>3945</v>
      </c>
      <c r="L1135" s="21" t="s">
        <v>4240</v>
      </c>
      <c r="M1135" s="19" t="s">
        <v>3940</v>
      </c>
      <c r="N1135" s="19" t="s">
        <v>316</v>
      </c>
      <c r="O1135" s="19" t="s">
        <v>4241</v>
      </c>
      <c r="P1135" s="19" t="s">
        <v>4238</v>
      </c>
      <c r="Q1135" s="19" t="s">
        <v>211</v>
      </c>
      <c r="R1135" s="16" t="s">
        <v>54</v>
      </c>
      <c r="S1135" s="18" t="s">
        <v>3949</v>
      </c>
      <c r="T1135" s="21" t="s">
        <v>55</v>
      </c>
    </row>
    <row r="1136" spans="1:20" ht="16.5">
      <c r="A1136" s="11" t="s">
        <v>3131</v>
      </c>
      <c r="B1136" s="11" t="s">
        <v>311</v>
      </c>
      <c r="C1136" s="11" t="s">
        <v>204</v>
      </c>
      <c r="D1136" s="12" t="s">
        <v>3937</v>
      </c>
      <c r="E1136" s="11" t="s">
        <v>312</v>
      </c>
      <c r="F1136" s="14" t="s">
        <v>313</v>
      </c>
      <c r="G1136" s="15" t="s">
        <v>4242</v>
      </c>
      <c r="H1136" s="23" t="s">
        <v>4243</v>
      </c>
      <c r="I1136" s="11" t="s">
        <v>65</v>
      </c>
      <c r="J1136" s="14">
        <v>1</v>
      </c>
      <c r="K1136" s="14" t="s">
        <v>3945</v>
      </c>
      <c r="L1136" s="14" t="s">
        <v>4244</v>
      </c>
      <c r="M1136" s="15" t="s">
        <v>3940</v>
      </c>
      <c r="N1136" s="15" t="s">
        <v>316</v>
      </c>
      <c r="O1136" s="15" t="s">
        <v>4245</v>
      </c>
      <c r="P1136" s="15" t="s">
        <v>4242</v>
      </c>
      <c r="Q1136" s="15" t="s">
        <v>211</v>
      </c>
      <c r="R1136" s="16" t="s">
        <v>54</v>
      </c>
      <c r="S1136" s="12" t="s">
        <v>3949</v>
      </c>
      <c r="T1136" s="14" t="s">
        <v>55</v>
      </c>
    </row>
    <row r="1137" spans="1:20" ht="16.5">
      <c r="A1137" s="17" t="s">
        <v>3131</v>
      </c>
      <c r="B1137" s="17" t="s">
        <v>311</v>
      </c>
      <c r="C1137" s="17" t="s">
        <v>204</v>
      </c>
      <c r="D1137" s="18" t="s">
        <v>3937</v>
      </c>
      <c r="E1137" s="17" t="s">
        <v>312</v>
      </c>
      <c r="F1137" s="21" t="s">
        <v>313</v>
      </c>
      <c r="G1137" s="19" t="s">
        <v>4246</v>
      </c>
      <c r="H1137" s="24" t="s">
        <v>4247</v>
      </c>
      <c r="I1137" s="17" t="s">
        <v>65</v>
      </c>
      <c r="J1137" s="21">
        <v>1</v>
      </c>
      <c r="K1137" s="21" t="s">
        <v>3945</v>
      </c>
      <c r="L1137" s="21" t="s">
        <v>4248</v>
      </c>
      <c r="M1137" s="19" t="s">
        <v>3940</v>
      </c>
      <c r="N1137" s="19" t="s">
        <v>316</v>
      </c>
      <c r="O1137" s="19" t="s">
        <v>4249</v>
      </c>
      <c r="P1137" s="19" t="s">
        <v>4246</v>
      </c>
      <c r="Q1137" s="19" t="s">
        <v>211</v>
      </c>
      <c r="R1137" s="16" t="s">
        <v>54</v>
      </c>
      <c r="S1137" s="18" t="s">
        <v>3949</v>
      </c>
      <c r="T1137" s="21" t="s">
        <v>55</v>
      </c>
    </row>
    <row r="1138" spans="1:20" ht="16.5">
      <c r="A1138" s="11" t="s">
        <v>3131</v>
      </c>
      <c r="B1138" s="11" t="s">
        <v>311</v>
      </c>
      <c r="C1138" s="11" t="s">
        <v>204</v>
      </c>
      <c r="D1138" s="12" t="s">
        <v>3937</v>
      </c>
      <c r="E1138" s="11" t="s">
        <v>312</v>
      </c>
      <c r="F1138" s="14" t="s">
        <v>313</v>
      </c>
      <c r="G1138" s="15" t="s">
        <v>4250</v>
      </c>
      <c r="H1138" s="23" t="s">
        <v>4251</v>
      </c>
      <c r="I1138" s="11" t="s">
        <v>65</v>
      </c>
      <c r="J1138" s="14">
        <v>1</v>
      </c>
      <c r="K1138" s="14" t="s">
        <v>3945</v>
      </c>
      <c r="L1138" s="14" t="s">
        <v>4252</v>
      </c>
      <c r="M1138" s="15" t="s">
        <v>3940</v>
      </c>
      <c r="N1138" s="15" t="s">
        <v>316</v>
      </c>
      <c r="O1138" s="15" t="s">
        <v>4253</v>
      </c>
      <c r="P1138" s="15" t="s">
        <v>4250</v>
      </c>
      <c r="Q1138" s="15" t="s">
        <v>211</v>
      </c>
      <c r="R1138" s="16" t="s">
        <v>54</v>
      </c>
      <c r="S1138" s="12" t="s">
        <v>3949</v>
      </c>
      <c r="T1138" s="14" t="s">
        <v>55</v>
      </c>
    </row>
    <row r="1139" spans="1:20" ht="16.5">
      <c r="A1139" s="17" t="s">
        <v>3131</v>
      </c>
      <c r="B1139" s="17" t="s">
        <v>311</v>
      </c>
      <c r="C1139" s="17" t="s">
        <v>204</v>
      </c>
      <c r="D1139" s="18" t="s">
        <v>3937</v>
      </c>
      <c r="E1139" s="17" t="s">
        <v>312</v>
      </c>
      <c r="F1139" s="21" t="s">
        <v>313</v>
      </c>
      <c r="G1139" s="19" t="s">
        <v>4254</v>
      </c>
      <c r="H1139" s="24" t="s">
        <v>4255</v>
      </c>
      <c r="I1139" s="17" t="s">
        <v>65</v>
      </c>
      <c r="J1139" s="21">
        <v>1</v>
      </c>
      <c r="K1139" s="21" t="s">
        <v>3945</v>
      </c>
      <c r="L1139" s="21" t="s">
        <v>4256</v>
      </c>
      <c r="M1139" s="19" t="s">
        <v>3940</v>
      </c>
      <c r="N1139" s="19" t="s">
        <v>316</v>
      </c>
      <c r="O1139" s="19" t="s">
        <v>4257</v>
      </c>
      <c r="P1139" s="19" t="s">
        <v>4254</v>
      </c>
      <c r="Q1139" s="19" t="s">
        <v>211</v>
      </c>
      <c r="R1139" s="16" t="s">
        <v>54</v>
      </c>
      <c r="S1139" s="18" t="s">
        <v>3949</v>
      </c>
      <c r="T1139" s="21" t="s">
        <v>55</v>
      </c>
    </row>
    <row r="1140" spans="1:20" ht="16.5">
      <c r="A1140" s="11" t="s">
        <v>3131</v>
      </c>
      <c r="B1140" s="11" t="s">
        <v>311</v>
      </c>
      <c r="C1140" s="11" t="s">
        <v>204</v>
      </c>
      <c r="D1140" s="12" t="s">
        <v>3937</v>
      </c>
      <c r="E1140" s="11" t="s">
        <v>312</v>
      </c>
      <c r="F1140" s="14" t="s">
        <v>313</v>
      </c>
      <c r="G1140" s="15" t="s">
        <v>4258</v>
      </c>
      <c r="H1140" s="23" t="s">
        <v>4259</v>
      </c>
      <c r="I1140" s="11" t="s">
        <v>65</v>
      </c>
      <c r="J1140" s="14">
        <v>1</v>
      </c>
      <c r="K1140" s="14" t="s">
        <v>3945</v>
      </c>
      <c r="L1140" s="14" t="s">
        <v>4260</v>
      </c>
      <c r="M1140" s="15" t="s">
        <v>3940</v>
      </c>
      <c r="N1140" s="15" t="s">
        <v>316</v>
      </c>
      <c r="O1140" s="15" t="s">
        <v>4261</v>
      </c>
      <c r="P1140" s="15" t="s">
        <v>4258</v>
      </c>
      <c r="Q1140" s="15" t="s">
        <v>211</v>
      </c>
      <c r="R1140" s="16" t="s">
        <v>54</v>
      </c>
      <c r="S1140" s="12" t="s">
        <v>3949</v>
      </c>
      <c r="T1140" s="14" t="s">
        <v>55</v>
      </c>
    </row>
    <row r="1141" spans="1:20" ht="16.5">
      <c r="A1141" s="17" t="s">
        <v>3131</v>
      </c>
      <c r="B1141" s="17" t="s">
        <v>311</v>
      </c>
      <c r="C1141" s="17" t="s">
        <v>204</v>
      </c>
      <c r="D1141" s="18" t="s">
        <v>3937</v>
      </c>
      <c r="E1141" s="17" t="s">
        <v>312</v>
      </c>
      <c r="F1141" s="21" t="s">
        <v>313</v>
      </c>
      <c r="G1141" s="19" t="s">
        <v>4262</v>
      </c>
      <c r="H1141" s="24" t="s">
        <v>4263</v>
      </c>
      <c r="I1141" s="17" t="s">
        <v>65</v>
      </c>
      <c r="J1141" s="21">
        <v>1</v>
      </c>
      <c r="K1141" s="21" t="s">
        <v>3945</v>
      </c>
      <c r="L1141" s="21" t="s">
        <v>4264</v>
      </c>
      <c r="M1141" s="19" t="s">
        <v>3940</v>
      </c>
      <c r="N1141" s="19" t="s">
        <v>316</v>
      </c>
      <c r="O1141" s="19" t="s">
        <v>4265</v>
      </c>
      <c r="P1141" s="19" t="s">
        <v>4262</v>
      </c>
      <c r="Q1141" s="19" t="s">
        <v>211</v>
      </c>
      <c r="R1141" s="16" t="s">
        <v>54</v>
      </c>
      <c r="S1141" s="18" t="s">
        <v>3949</v>
      </c>
      <c r="T1141" s="21" t="s">
        <v>55</v>
      </c>
    </row>
    <row r="1142" spans="1:20" ht="16.5">
      <c r="A1142" s="11" t="s">
        <v>3131</v>
      </c>
      <c r="B1142" s="11" t="s">
        <v>311</v>
      </c>
      <c r="C1142" s="11" t="s">
        <v>204</v>
      </c>
      <c r="D1142" s="12" t="s">
        <v>3937</v>
      </c>
      <c r="E1142" s="11" t="s">
        <v>312</v>
      </c>
      <c r="F1142" s="14" t="s">
        <v>313</v>
      </c>
      <c r="G1142" s="15" t="s">
        <v>4266</v>
      </c>
      <c r="H1142" s="23" t="s">
        <v>4267</v>
      </c>
      <c r="I1142" s="11" t="s">
        <v>65</v>
      </c>
      <c r="J1142" s="14">
        <v>1</v>
      </c>
      <c r="K1142" s="14" t="s">
        <v>3945</v>
      </c>
      <c r="L1142" s="14" t="s">
        <v>4268</v>
      </c>
      <c r="M1142" s="15" t="s">
        <v>3940</v>
      </c>
      <c r="N1142" s="15" t="s">
        <v>316</v>
      </c>
      <c r="O1142" s="15" t="s">
        <v>4269</v>
      </c>
      <c r="P1142" s="15" t="s">
        <v>4266</v>
      </c>
      <c r="Q1142" s="15" t="s">
        <v>211</v>
      </c>
      <c r="R1142" s="16" t="s">
        <v>54</v>
      </c>
      <c r="S1142" s="12" t="s">
        <v>3949</v>
      </c>
      <c r="T1142" s="14" t="s">
        <v>55</v>
      </c>
    </row>
    <row r="1143" spans="1:20" ht="16.5">
      <c r="A1143" s="17" t="s">
        <v>3131</v>
      </c>
      <c r="B1143" s="17" t="s">
        <v>311</v>
      </c>
      <c r="C1143" s="17" t="s">
        <v>204</v>
      </c>
      <c r="D1143" s="18" t="s">
        <v>3937</v>
      </c>
      <c r="E1143" s="17" t="s">
        <v>312</v>
      </c>
      <c r="F1143" s="21" t="s">
        <v>313</v>
      </c>
      <c r="G1143" s="19" t="s">
        <v>4270</v>
      </c>
      <c r="H1143" s="24" t="s">
        <v>4271</v>
      </c>
      <c r="I1143" s="17" t="s">
        <v>65</v>
      </c>
      <c r="J1143" s="21">
        <v>1</v>
      </c>
      <c r="K1143" s="21" t="s">
        <v>3945</v>
      </c>
      <c r="L1143" s="21" t="s">
        <v>4272</v>
      </c>
      <c r="M1143" s="19" t="s">
        <v>3940</v>
      </c>
      <c r="N1143" s="19" t="s">
        <v>316</v>
      </c>
      <c r="O1143" s="19" t="s">
        <v>4273</v>
      </c>
      <c r="P1143" s="19" t="s">
        <v>4270</v>
      </c>
      <c r="Q1143" s="19" t="s">
        <v>211</v>
      </c>
      <c r="R1143" s="16" t="s">
        <v>54</v>
      </c>
      <c r="S1143" s="18" t="s">
        <v>3949</v>
      </c>
      <c r="T1143" s="21" t="s">
        <v>55</v>
      </c>
    </row>
    <row r="1144" spans="1:20" ht="16.5">
      <c r="A1144" s="11" t="s">
        <v>3131</v>
      </c>
      <c r="B1144" s="11" t="s">
        <v>311</v>
      </c>
      <c r="C1144" s="11" t="s">
        <v>204</v>
      </c>
      <c r="D1144" s="12" t="s">
        <v>3937</v>
      </c>
      <c r="E1144" s="11" t="s">
        <v>312</v>
      </c>
      <c r="F1144" s="14" t="s">
        <v>313</v>
      </c>
      <c r="G1144" s="15" t="s">
        <v>4274</v>
      </c>
      <c r="H1144" s="23" t="s">
        <v>4275</v>
      </c>
      <c r="I1144" s="11" t="s">
        <v>65</v>
      </c>
      <c r="J1144" s="14">
        <v>1</v>
      </c>
      <c r="K1144" s="14" t="s">
        <v>3945</v>
      </c>
      <c r="L1144" s="14" t="s">
        <v>4276</v>
      </c>
      <c r="M1144" s="15" t="s">
        <v>3940</v>
      </c>
      <c r="N1144" s="15" t="s">
        <v>316</v>
      </c>
      <c r="O1144" s="15" t="s">
        <v>4277</v>
      </c>
      <c r="P1144" s="15" t="s">
        <v>4274</v>
      </c>
      <c r="Q1144" s="15" t="s">
        <v>211</v>
      </c>
      <c r="R1144" s="16" t="s">
        <v>54</v>
      </c>
      <c r="S1144" s="12" t="s">
        <v>3949</v>
      </c>
      <c r="T1144" s="14" t="s">
        <v>55</v>
      </c>
    </row>
    <row r="1145" spans="1:20" ht="16.5">
      <c r="A1145" s="17" t="s">
        <v>3131</v>
      </c>
      <c r="B1145" s="17" t="s">
        <v>311</v>
      </c>
      <c r="C1145" s="17" t="s">
        <v>204</v>
      </c>
      <c r="D1145" s="18" t="s">
        <v>3937</v>
      </c>
      <c r="E1145" s="17" t="s">
        <v>312</v>
      </c>
      <c r="F1145" s="21" t="s">
        <v>313</v>
      </c>
      <c r="G1145" s="19" t="s">
        <v>4278</v>
      </c>
      <c r="H1145" s="24" t="s">
        <v>4279</v>
      </c>
      <c r="I1145" s="17" t="s">
        <v>65</v>
      </c>
      <c r="J1145" s="21">
        <v>1</v>
      </c>
      <c r="K1145" s="21" t="s">
        <v>3945</v>
      </c>
      <c r="L1145" s="21" t="s">
        <v>4280</v>
      </c>
      <c r="M1145" s="19" t="s">
        <v>3940</v>
      </c>
      <c r="N1145" s="19" t="s">
        <v>316</v>
      </c>
      <c r="O1145" s="19" t="s">
        <v>4281</v>
      </c>
      <c r="P1145" s="19" t="s">
        <v>4278</v>
      </c>
      <c r="Q1145" s="19" t="s">
        <v>211</v>
      </c>
      <c r="R1145" s="16" t="s">
        <v>54</v>
      </c>
      <c r="S1145" s="18" t="s">
        <v>3949</v>
      </c>
      <c r="T1145" s="21" t="s">
        <v>55</v>
      </c>
    </row>
    <row r="1146" spans="1:20" ht="16.5">
      <c r="A1146" s="11" t="s">
        <v>3131</v>
      </c>
      <c r="B1146" s="11" t="s">
        <v>311</v>
      </c>
      <c r="C1146" s="11" t="s">
        <v>204</v>
      </c>
      <c r="D1146" s="12" t="s">
        <v>3937</v>
      </c>
      <c r="E1146" s="11" t="s">
        <v>312</v>
      </c>
      <c r="F1146" s="14" t="s">
        <v>313</v>
      </c>
      <c r="G1146" s="15" t="s">
        <v>4282</v>
      </c>
      <c r="H1146" s="23" t="s">
        <v>4283</v>
      </c>
      <c r="I1146" s="11" t="s">
        <v>65</v>
      </c>
      <c r="J1146" s="14">
        <v>1</v>
      </c>
      <c r="K1146" s="14" t="s">
        <v>3945</v>
      </c>
      <c r="L1146" s="14" t="s">
        <v>4284</v>
      </c>
      <c r="M1146" s="15" t="s">
        <v>3940</v>
      </c>
      <c r="N1146" s="15" t="s">
        <v>316</v>
      </c>
      <c r="O1146" s="15" t="s">
        <v>4285</v>
      </c>
      <c r="P1146" s="15" t="s">
        <v>4282</v>
      </c>
      <c r="Q1146" s="15" t="s">
        <v>211</v>
      </c>
      <c r="R1146" s="16" t="s">
        <v>54</v>
      </c>
      <c r="S1146" s="12" t="s">
        <v>3949</v>
      </c>
      <c r="T1146" s="14" t="s">
        <v>55</v>
      </c>
    </row>
    <row r="1147" spans="1:20" ht="16.5">
      <c r="A1147" s="17" t="s">
        <v>3131</v>
      </c>
      <c r="B1147" s="17" t="s">
        <v>311</v>
      </c>
      <c r="C1147" s="17" t="s">
        <v>204</v>
      </c>
      <c r="D1147" s="18" t="s">
        <v>3937</v>
      </c>
      <c r="E1147" s="17" t="s">
        <v>312</v>
      </c>
      <c r="F1147" s="21" t="s">
        <v>313</v>
      </c>
      <c r="G1147" s="19" t="s">
        <v>4286</v>
      </c>
      <c r="H1147" s="24" t="s">
        <v>4287</v>
      </c>
      <c r="I1147" s="17" t="s">
        <v>65</v>
      </c>
      <c r="J1147" s="21">
        <v>1</v>
      </c>
      <c r="K1147" s="21" t="s">
        <v>3945</v>
      </c>
      <c r="L1147" s="21" t="s">
        <v>4288</v>
      </c>
      <c r="M1147" s="19" t="s">
        <v>3940</v>
      </c>
      <c r="N1147" s="19" t="s">
        <v>316</v>
      </c>
      <c r="O1147" s="19" t="s">
        <v>4289</v>
      </c>
      <c r="P1147" s="19" t="s">
        <v>4286</v>
      </c>
      <c r="Q1147" s="19" t="s">
        <v>211</v>
      </c>
      <c r="R1147" s="16" t="s">
        <v>54</v>
      </c>
      <c r="S1147" s="18" t="s">
        <v>3949</v>
      </c>
      <c r="T1147" s="21" t="s">
        <v>55</v>
      </c>
    </row>
    <row r="1148" spans="1:20" ht="16.5">
      <c r="A1148" s="11" t="s">
        <v>3131</v>
      </c>
      <c r="B1148" s="11" t="s">
        <v>311</v>
      </c>
      <c r="C1148" s="11" t="s">
        <v>204</v>
      </c>
      <c r="D1148" s="12" t="s">
        <v>3937</v>
      </c>
      <c r="E1148" s="11" t="s">
        <v>312</v>
      </c>
      <c r="F1148" s="14" t="s">
        <v>313</v>
      </c>
      <c r="G1148" s="15" t="s">
        <v>4290</v>
      </c>
      <c r="H1148" s="23" t="s">
        <v>4291</v>
      </c>
      <c r="I1148" s="11" t="s">
        <v>65</v>
      </c>
      <c r="J1148" s="14">
        <v>1</v>
      </c>
      <c r="K1148" s="14" t="s">
        <v>3945</v>
      </c>
      <c r="L1148" s="14" t="s">
        <v>4292</v>
      </c>
      <c r="M1148" s="15" t="s">
        <v>3940</v>
      </c>
      <c r="N1148" s="15" t="s">
        <v>316</v>
      </c>
      <c r="O1148" s="15" t="s">
        <v>4293</v>
      </c>
      <c r="P1148" s="15" t="s">
        <v>4290</v>
      </c>
      <c r="Q1148" s="15" t="s">
        <v>211</v>
      </c>
      <c r="R1148" s="16" t="s">
        <v>54</v>
      </c>
      <c r="S1148" s="12" t="s">
        <v>3949</v>
      </c>
      <c r="T1148" s="14" t="s">
        <v>55</v>
      </c>
    </row>
    <row r="1149" spans="1:20" ht="16.5">
      <c r="A1149" s="17" t="s">
        <v>3131</v>
      </c>
      <c r="B1149" s="17" t="s">
        <v>311</v>
      </c>
      <c r="C1149" s="17" t="s">
        <v>204</v>
      </c>
      <c r="D1149" s="18" t="s">
        <v>3937</v>
      </c>
      <c r="E1149" s="17" t="s">
        <v>312</v>
      </c>
      <c r="F1149" s="21" t="s">
        <v>313</v>
      </c>
      <c r="G1149" s="19" t="s">
        <v>4294</v>
      </c>
      <c r="H1149" s="24" t="s">
        <v>4295</v>
      </c>
      <c r="I1149" s="17" t="s">
        <v>65</v>
      </c>
      <c r="J1149" s="21">
        <v>1</v>
      </c>
      <c r="K1149" s="21" t="s">
        <v>3945</v>
      </c>
      <c r="L1149" s="21" t="s">
        <v>4296</v>
      </c>
      <c r="M1149" s="19" t="s">
        <v>3940</v>
      </c>
      <c r="N1149" s="19" t="s">
        <v>316</v>
      </c>
      <c r="O1149" s="19" t="s">
        <v>4297</v>
      </c>
      <c r="P1149" s="19" t="s">
        <v>4294</v>
      </c>
      <c r="Q1149" s="19" t="s">
        <v>211</v>
      </c>
      <c r="R1149" s="16" t="s">
        <v>54</v>
      </c>
      <c r="S1149" s="18" t="s">
        <v>3949</v>
      </c>
      <c r="T1149" s="21" t="s">
        <v>55</v>
      </c>
    </row>
    <row r="1150" spans="1:20" ht="16.5">
      <c r="A1150" s="11" t="s">
        <v>3131</v>
      </c>
      <c r="B1150" s="11" t="s">
        <v>311</v>
      </c>
      <c r="C1150" s="11" t="s">
        <v>204</v>
      </c>
      <c r="D1150" s="12" t="s">
        <v>3937</v>
      </c>
      <c r="E1150" s="11" t="s">
        <v>312</v>
      </c>
      <c r="F1150" s="14" t="s">
        <v>313</v>
      </c>
      <c r="G1150" s="15" t="s">
        <v>4298</v>
      </c>
      <c r="H1150" s="23" t="s">
        <v>4299</v>
      </c>
      <c r="I1150" s="11" t="s">
        <v>65</v>
      </c>
      <c r="J1150" s="14">
        <v>1</v>
      </c>
      <c r="K1150" s="14" t="s">
        <v>3945</v>
      </c>
      <c r="L1150" s="14" t="s">
        <v>4300</v>
      </c>
      <c r="M1150" s="15" t="s">
        <v>3940</v>
      </c>
      <c r="N1150" s="15" t="s">
        <v>316</v>
      </c>
      <c r="O1150" s="15" t="s">
        <v>4301</v>
      </c>
      <c r="P1150" s="15" t="s">
        <v>4298</v>
      </c>
      <c r="Q1150" s="15" t="s">
        <v>211</v>
      </c>
      <c r="R1150" s="16" t="s">
        <v>54</v>
      </c>
      <c r="S1150" s="12" t="s">
        <v>3949</v>
      </c>
      <c r="T1150" s="14" t="s">
        <v>55</v>
      </c>
    </row>
    <row r="1151" spans="1:20" ht="16.5">
      <c r="A1151" s="17" t="s">
        <v>3131</v>
      </c>
      <c r="B1151" s="17" t="s">
        <v>311</v>
      </c>
      <c r="C1151" s="17" t="s">
        <v>204</v>
      </c>
      <c r="D1151" s="18" t="s">
        <v>3937</v>
      </c>
      <c r="E1151" s="17" t="s">
        <v>312</v>
      </c>
      <c r="F1151" s="21" t="s">
        <v>313</v>
      </c>
      <c r="G1151" s="19" t="s">
        <v>4302</v>
      </c>
      <c r="H1151" s="24" t="s">
        <v>4303</v>
      </c>
      <c r="I1151" s="17" t="s">
        <v>65</v>
      </c>
      <c r="J1151" s="21">
        <v>1</v>
      </c>
      <c r="K1151" s="21" t="s">
        <v>3945</v>
      </c>
      <c r="L1151" s="21" t="s">
        <v>4304</v>
      </c>
      <c r="M1151" s="19" t="s">
        <v>3940</v>
      </c>
      <c r="N1151" s="19" t="s">
        <v>316</v>
      </c>
      <c r="O1151" s="19" t="s">
        <v>4305</v>
      </c>
      <c r="P1151" s="19" t="s">
        <v>4302</v>
      </c>
      <c r="Q1151" s="19" t="s">
        <v>211</v>
      </c>
      <c r="R1151" s="16" t="s">
        <v>54</v>
      </c>
      <c r="S1151" s="18" t="s">
        <v>3949</v>
      </c>
      <c r="T1151" s="21" t="s">
        <v>55</v>
      </c>
    </row>
    <row r="1152" spans="1:20" ht="16.5">
      <c r="A1152" s="11" t="s">
        <v>3131</v>
      </c>
      <c r="B1152" s="11" t="s">
        <v>311</v>
      </c>
      <c r="C1152" s="11" t="s">
        <v>204</v>
      </c>
      <c r="D1152" s="12" t="s">
        <v>3937</v>
      </c>
      <c r="E1152" s="11" t="s">
        <v>312</v>
      </c>
      <c r="F1152" s="14" t="s">
        <v>313</v>
      </c>
      <c r="G1152" s="15" t="s">
        <v>4306</v>
      </c>
      <c r="H1152" s="23" t="s">
        <v>4307</v>
      </c>
      <c r="I1152" s="11" t="s">
        <v>65</v>
      </c>
      <c r="J1152" s="14">
        <v>1</v>
      </c>
      <c r="K1152" s="14" t="s">
        <v>3945</v>
      </c>
      <c r="L1152" s="14" t="s">
        <v>4308</v>
      </c>
      <c r="M1152" s="15" t="s">
        <v>3940</v>
      </c>
      <c r="N1152" s="15" t="s">
        <v>316</v>
      </c>
      <c r="O1152" s="15" t="s">
        <v>4309</v>
      </c>
      <c r="P1152" s="15" t="s">
        <v>4306</v>
      </c>
      <c r="Q1152" s="15" t="s">
        <v>211</v>
      </c>
      <c r="R1152" s="16" t="s">
        <v>54</v>
      </c>
      <c r="S1152" s="12" t="s">
        <v>3949</v>
      </c>
      <c r="T1152" s="14" t="s">
        <v>55</v>
      </c>
    </row>
    <row r="1153" spans="1:20" ht="16.5">
      <c r="A1153" s="17" t="s">
        <v>3131</v>
      </c>
      <c r="B1153" s="17" t="s">
        <v>311</v>
      </c>
      <c r="C1153" s="17" t="s">
        <v>204</v>
      </c>
      <c r="D1153" s="18" t="s">
        <v>3937</v>
      </c>
      <c r="E1153" s="17" t="s">
        <v>312</v>
      </c>
      <c r="F1153" s="21" t="s">
        <v>313</v>
      </c>
      <c r="G1153" s="19" t="s">
        <v>4310</v>
      </c>
      <c r="H1153" s="24" t="s">
        <v>4311</v>
      </c>
      <c r="I1153" s="17" t="s">
        <v>65</v>
      </c>
      <c r="J1153" s="21">
        <v>1</v>
      </c>
      <c r="K1153" s="21" t="s">
        <v>3945</v>
      </c>
      <c r="L1153" s="21" t="s">
        <v>4312</v>
      </c>
      <c r="M1153" s="19" t="s">
        <v>3940</v>
      </c>
      <c r="N1153" s="19" t="s">
        <v>316</v>
      </c>
      <c r="O1153" s="19" t="s">
        <v>4313</v>
      </c>
      <c r="P1153" s="19" t="s">
        <v>4310</v>
      </c>
      <c r="Q1153" s="19" t="s">
        <v>211</v>
      </c>
      <c r="R1153" s="16" t="s">
        <v>54</v>
      </c>
      <c r="S1153" s="18" t="s">
        <v>3949</v>
      </c>
      <c r="T1153" s="21" t="s">
        <v>55</v>
      </c>
    </row>
    <row r="1154" spans="1:20" ht="16.5">
      <c r="A1154" s="11" t="s">
        <v>3131</v>
      </c>
      <c r="B1154" s="11" t="s">
        <v>311</v>
      </c>
      <c r="C1154" s="11" t="s">
        <v>204</v>
      </c>
      <c r="D1154" s="12" t="s">
        <v>3937</v>
      </c>
      <c r="E1154" s="11" t="s">
        <v>312</v>
      </c>
      <c r="F1154" s="14" t="s">
        <v>313</v>
      </c>
      <c r="G1154" s="15" t="s">
        <v>4314</v>
      </c>
      <c r="H1154" s="23" t="s">
        <v>4315</v>
      </c>
      <c r="I1154" s="11" t="s">
        <v>65</v>
      </c>
      <c r="J1154" s="14">
        <v>1</v>
      </c>
      <c r="K1154" s="14" t="s">
        <v>3945</v>
      </c>
      <c r="L1154" s="14" t="s">
        <v>4316</v>
      </c>
      <c r="M1154" s="15" t="s">
        <v>3940</v>
      </c>
      <c r="N1154" s="15" t="s">
        <v>316</v>
      </c>
      <c r="O1154" s="15" t="s">
        <v>4317</v>
      </c>
      <c r="P1154" s="15" t="s">
        <v>4314</v>
      </c>
      <c r="Q1154" s="15" t="s">
        <v>211</v>
      </c>
      <c r="R1154" s="16" t="s">
        <v>54</v>
      </c>
      <c r="S1154" s="12" t="s">
        <v>3949</v>
      </c>
      <c r="T1154" s="14" t="s">
        <v>55</v>
      </c>
    </row>
    <row r="1155" spans="1:20" ht="16.5">
      <c r="A1155" s="17" t="s">
        <v>3131</v>
      </c>
      <c r="B1155" s="17" t="s">
        <v>311</v>
      </c>
      <c r="C1155" s="17" t="s">
        <v>204</v>
      </c>
      <c r="D1155" s="18" t="s">
        <v>4091</v>
      </c>
      <c r="E1155" s="17" t="s">
        <v>312</v>
      </c>
      <c r="F1155" s="21" t="s">
        <v>313</v>
      </c>
      <c r="G1155" s="19" t="s">
        <v>4318</v>
      </c>
      <c r="H1155" s="24" t="s">
        <v>4319</v>
      </c>
      <c r="I1155" s="17" t="s">
        <v>65</v>
      </c>
      <c r="J1155" s="21">
        <v>1</v>
      </c>
      <c r="K1155" s="21" t="s">
        <v>3945</v>
      </c>
      <c r="L1155" s="21" t="s">
        <v>4320</v>
      </c>
      <c r="M1155" s="19" t="s">
        <v>4094</v>
      </c>
      <c r="N1155" s="19" t="s">
        <v>316</v>
      </c>
      <c r="O1155" s="19" t="s">
        <v>4321</v>
      </c>
      <c r="P1155" s="19" t="s">
        <v>4318</v>
      </c>
      <c r="Q1155" s="19" t="s">
        <v>211</v>
      </c>
      <c r="R1155" s="16" t="s">
        <v>54</v>
      </c>
      <c r="S1155" s="18" t="s">
        <v>3949</v>
      </c>
      <c r="T1155" s="21" t="s">
        <v>55</v>
      </c>
    </row>
    <row r="1156" spans="1:20" ht="16.5">
      <c r="A1156" s="11" t="s">
        <v>3131</v>
      </c>
      <c r="B1156" s="11" t="s">
        <v>311</v>
      </c>
      <c r="C1156" s="11" t="s">
        <v>204</v>
      </c>
      <c r="D1156" s="12" t="s">
        <v>4091</v>
      </c>
      <c r="E1156" s="11" t="s">
        <v>312</v>
      </c>
      <c r="F1156" s="14" t="s">
        <v>313</v>
      </c>
      <c r="G1156" s="15" t="s">
        <v>4322</v>
      </c>
      <c r="H1156" s="23" t="s">
        <v>4323</v>
      </c>
      <c r="I1156" s="11" t="s">
        <v>65</v>
      </c>
      <c r="J1156" s="14">
        <v>1</v>
      </c>
      <c r="K1156" s="14" t="s">
        <v>3945</v>
      </c>
      <c r="L1156" s="14" t="s">
        <v>4324</v>
      </c>
      <c r="M1156" s="15" t="s">
        <v>4094</v>
      </c>
      <c r="N1156" s="15" t="s">
        <v>316</v>
      </c>
      <c r="O1156" s="15" t="s">
        <v>4325</v>
      </c>
      <c r="P1156" s="15" t="s">
        <v>4322</v>
      </c>
      <c r="Q1156" s="15" t="s">
        <v>211</v>
      </c>
      <c r="R1156" s="16" t="s">
        <v>54</v>
      </c>
      <c r="S1156" s="12" t="s">
        <v>3949</v>
      </c>
      <c r="T1156" s="14" t="s">
        <v>55</v>
      </c>
    </row>
    <row r="1157" spans="1:20" ht="16.5">
      <c r="A1157" s="17" t="s">
        <v>3131</v>
      </c>
      <c r="B1157" s="17" t="s">
        <v>311</v>
      </c>
      <c r="C1157" s="17" t="s">
        <v>204</v>
      </c>
      <c r="D1157" s="18" t="s">
        <v>4091</v>
      </c>
      <c r="E1157" s="17" t="s">
        <v>312</v>
      </c>
      <c r="F1157" s="21" t="s">
        <v>313</v>
      </c>
      <c r="G1157" s="19" t="s">
        <v>4326</v>
      </c>
      <c r="H1157" s="24" t="s">
        <v>4327</v>
      </c>
      <c r="I1157" s="17" t="s">
        <v>65</v>
      </c>
      <c r="J1157" s="21">
        <v>1</v>
      </c>
      <c r="K1157" s="21" t="s">
        <v>3945</v>
      </c>
      <c r="L1157" s="21" t="s">
        <v>4328</v>
      </c>
      <c r="M1157" s="19" t="s">
        <v>4094</v>
      </c>
      <c r="N1157" s="19" t="s">
        <v>316</v>
      </c>
      <c r="O1157" s="19" t="s">
        <v>4329</v>
      </c>
      <c r="P1157" s="19" t="s">
        <v>4326</v>
      </c>
      <c r="Q1157" s="19" t="s">
        <v>211</v>
      </c>
      <c r="R1157" s="16" t="s">
        <v>54</v>
      </c>
      <c r="S1157" s="18" t="s">
        <v>3949</v>
      </c>
      <c r="T1157" s="21" t="s">
        <v>55</v>
      </c>
    </row>
    <row r="1158" spans="1:20" ht="16.5">
      <c r="A1158" s="11" t="s">
        <v>3131</v>
      </c>
      <c r="B1158" s="11" t="s">
        <v>311</v>
      </c>
      <c r="C1158" s="11" t="s">
        <v>204</v>
      </c>
      <c r="D1158" s="12" t="s">
        <v>4091</v>
      </c>
      <c r="E1158" s="11" t="s">
        <v>312</v>
      </c>
      <c r="F1158" s="14" t="s">
        <v>313</v>
      </c>
      <c r="G1158" s="15" t="s">
        <v>4330</v>
      </c>
      <c r="H1158" s="23" t="s">
        <v>4331</v>
      </c>
      <c r="I1158" s="11" t="s">
        <v>65</v>
      </c>
      <c r="J1158" s="14">
        <v>1</v>
      </c>
      <c r="K1158" s="14" t="s">
        <v>3945</v>
      </c>
      <c r="L1158" s="14" t="s">
        <v>4332</v>
      </c>
      <c r="M1158" s="15" t="s">
        <v>4094</v>
      </c>
      <c r="N1158" s="15" t="s">
        <v>316</v>
      </c>
      <c r="O1158" s="15" t="s">
        <v>4333</v>
      </c>
      <c r="P1158" s="15" t="s">
        <v>4330</v>
      </c>
      <c r="Q1158" s="15" t="s">
        <v>211</v>
      </c>
      <c r="R1158" s="16" t="s">
        <v>54</v>
      </c>
      <c r="S1158" s="12" t="s">
        <v>3949</v>
      </c>
      <c r="T1158" s="14" t="s">
        <v>55</v>
      </c>
    </row>
    <row r="1159" spans="1:20" ht="16.5">
      <c r="A1159" s="17" t="s">
        <v>3131</v>
      </c>
      <c r="B1159" s="17" t="s">
        <v>311</v>
      </c>
      <c r="C1159" s="17" t="s">
        <v>204</v>
      </c>
      <c r="D1159" s="18" t="s">
        <v>4091</v>
      </c>
      <c r="E1159" s="17" t="s">
        <v>312</v>
      </c>
      <c r="F1159" s="21" t="s">
        <v>313</v>
      </c>
      <c r="G1159" s="19" t="s">
        <v>4334</v>
      </c>
      <c r="H1159" s="24" t="s">
        <v>4335</v>
      </c>
      <c r="I1159" s="17" t="s">
        <v>65</v>
      </c>
      <c r="J1159" s="21">
        <v>1</v>
      </c>
      <c r="K1159" s="21" t="s">
        <v>3945</v>
      </c>
      <c r="L1159" s="21" t="s">
        <v>4336</v>
      </c>
      <c r="M1159" s="19" t="s">
        <v>4094</v>
      </c>
      <c r="N1159" s="19" t="s">
        <v>316</v>
      </c>
      <c r="O1159" s="19" t="s">
        <v>4337</v>
      </c>
      <c r="P1159" s="19" t="s">
        <v>4334</v>
      </c>
      <c r="Q1159" s="19" t="s">
        <v>211</v>
      </c>
      <c r="R1159" s="16" t="s">
        <v>54</v>
      </c>
      <c r="S1159" s="18" t="s">
        <v>3949</v>
      </c>
      <c r="T1159" s="21" t="s">
        <v>55</v>
      </c>
    </row>
    <row r="1160" spans="1:20" ht="16.5">
      <c r="A1160" s="11" t="s">
        <v>3131</v>
      </c>
      <c r="B1160" s="11" t="s">
        <v>311</v>
      </c>
      <c r="C1160" s="11" t="s">
        <v>204</v>
      </c>
      <c r="D1160" s="12" t="s">
        <v>4091</v>
      </c>
      <c r="E1160" s="11" t="s">
        <v>312</v>
      </c>
      <c r="F1160" s="14" t="s">
        <v>313</v>
      </c>
      <c r="G1160" s="15" t="s">
        <v>4338</v>
      </c>
      <c r="H1160" s="23" t="s">
        <v>4339</v>
      </c>
      <c r="I1160" s="11" t="s">
        <v>65</v>
      </c>
      <c r="J1160" s="14">
        <v>1</v>
      </c>
      <c r="K1160" s="14" t="s">
        <v>3945</v>
      </c>
      <c r="L1160" s="14" t="s">
        <v>4340</v>
      </c>
      <c r="M1160" s="15" t="s">
        <v>4094</v>
      </c>
      <c r="N1160" s="15" t="s">
        <v>316</v>
      </c>
      <c r="O1160" s="15" t="s">
        <v>4341</v>
      </c>
      <c r="P1160" s="15" t="s">
        <v>4338</v>
      </c>
      <c r="Q1160" s="15" t="s">
        <v>211</v>
      </c>
      <c r="R1160" s="16" t="s">
        <v>54</v>
      </c>
      <c r="S1160" s="12" t="s">
        <v>3949</v>
      </c>
      <c r="T1160" s="14" t="s">
        <v>55</v>
      </c>
    </row>
    <row r="1161" spans="1:20" ht="16.5">
      <c r="A1161" s="17" t="s">
        <v>3131</v>
      </c>
      <c r="B1161" s="17" t="s">
        <v>311</v>
      </c>
      <c r="C1161" s="17" t="s">
        <v>204</v>
      </c>
      <c r="D1161" s="18" t="s">
        <v>4096</v>
      </c>
      <c r="E1161" s="17" t="s">
        <v>312</v>
      </c>
      <c r="F1161" s="21" t="s">
        <v>313</v>
      </c>
      <c r="G1161" s="19" t="s">
        <v>4342</v>
      </c>
      <c r="H1161" s="24" t="s">
        <v>4343</v>
      </c>
      <c r="I1161" s="17" t="s">
        <v>65</v>
      </c>
      <c r="J1161" s="21">
        <v>1</v>
      </c>
      <c r="K1161" s="21" t="s">
        <v>3945</v>
      </c>
      <c r="L1161" s="21" t="s">
        <v>4344</v>
      </c>
      <c r="M1161" s="19" t="s">
        <v>4099</v>
      </c>
      <c r="N1161" s="19" t="s">
        <v>316</v>
      </c>
      <c r="O1161" s="19" t="s">
        <v>4345</v>
      </c>
      <c r="P1161" s="19" t="s">
        <v>4342</v>
      </c>
      <c r="Q1161" s="19" t="s">
        <v>211</v>
      </c>
      <c r="R1161" s="16" t="s">
        <v>54</v>
      </c>
      <c r="S1161" s="18" t="s">
        <v>3949</v>
      </c>
      <c r="T1161" s="21" t="s">
        <v>55</v>
      </c>
    </row>
    <row r="1162" spans="1:20" ht="16.5">
      <c r="A1162" s="11" t="s">
        <v>3131</v>
      </c>
      <c r="B1162" s="11" t="s">
        <v>311</v>
      </c>
      <c r="C1162" s="11" t="s">
        <v>204</v>
      </c>
      <c r="D1162" s="12" t="s">
        <v>4096</v>
      </c>
      <c r="E1162" s="11" t="s">
        <v>312</v>
      </c>
      <c r="F1162" s="14" t="s">
        <v>313</v>
      </c>
      <c r="G1162" s="15" t="s">
        <v>4346</v>
      </c>
      <c r="H1162" s="23" t="s">
        <v>4347</v>
      </c>
      <c r="I1162" s="11" t="s">
        <v>65</v>
      </c>
      <c r="J1162" s="14">
        <v>1</v>
      </c>
      <c r="K1162" s="14" t="s">
        <v>3945</v>
      </c>
      <c r="L1162" s="14" t="s">
        <v>4348</v>
      </c>
      <c r="M1162" s="15" t="s">
        <v>4099</v>
      </c>
      <c r="N1162" s="15" t="s">
        <v>316</v>
      </c>
      <c r="O1162" s="15" t="s">
        <v>4349</v>
      </c>
      <c r="P1162" s="15" t="s">
        <v>4346</v>
      </c>
      <c r="Q1162" s="15" t="s">
        <v>211</v>
      </c>
      <c r="R1162" s="16" t="s">
        <v>54</v>
      </c>
      <c r="S1162" s="12" t="s">
        <v>3949</v>
      </c>
      <c r="T1162" s="14" t="s">
        <v>55</v>
      </c>
    </row>
    <row r="1163" spans="1:20" ht="16.5">
      <c r="A1163" s="17" t="s">
        <v>3131</v>
      </c>
      <c r="B1163" s="17" t="s">
        <v>311</v>
      </c>
      <c r="C1163" s="17" t="s">
        <v>204</v>
      </c>
      <c r="D1163" s="18" t="s">
        <v>4096</v>
      </c>
      <c r="E1163" s="17" t="s">
        <v>312</v>
      </c>
      <c r="F1163" s="21" t="s">
        <v>313</v>
      </c>
      <c r="G1163" s="19" t="s">
        <v>4350</v>
      </c>
      <c r="H1163" s="24" t="s">
        <v>4351</v>
      </c>
      <c r="I1163" s="17" t="s">
        <v>65</v>
      </c>
      <c r="J1163" s="21">
        <v>1</v>
      </c>
      <c r="K1163" s="21" t="s">
        <v>3945</v>
      </c>
      <c r="L1163" s="21" t="s">
        <v>4352</v>
      </c>
      <c r="M1163" s="19" t="s">
        <v>4099</v>
      </c>
      <c r="N1163" s="19" t="s">
        <v>316</v>
      </c>
      <c r="O1163" s="19" t="s">
        <v>4353</v>
      </c>
      <c r="P1163" s="19" t="s">
        <v>4350</v>
      </c>
      <c r="Q1163" s="19" t="s">
        <v>211</v>
      </c>
      <c r="R1163" s="16" t="s">
        <v>54</v>
      </c>
      <c r="S1163" s="18" t="s">
        <v>3949</v>
      </c>
      <c r="T1163" s="21" t="s">
        <v>55</v>
      </c>
    </row>
    <row r="1164" spans="1:20" ht="16.5">
      <c r="A1164" s="11" t="s">
        <v>3131</v>
      </c>
      <c r="B1164" s="11" t="s">
        <v>311</v>
      </c>
      <c r="C1164" s="11" t="s">
        <v>204</v>
      </c>
      <c r="D1164" s="12" t="s">
        <v>4096</v>
      </c>
      <c r="E1164" s="11" t="s">
        <v>312</v>
      </c>
      <c r="F1164" s="14" t="s">
        <v>313</v>
      </c>
      <c r="G1164" s="15" t="s">
        <v>4354</v>
      </c>
      <c r="H1164" s="23" t="s">
        <v>4355</v>
      </c>
      <c r="I1164" s="11" t="s">
        <v>65</v>
      </c>
      <c r="J1164" s="14">
        <v>1</v>
      </c>
      <c r="K1164" s="14" t="s">
        <v>3945</v>
      </c>
      <c r="L1164" s="14" t="s">
        <v>4356</v>
      </c>
      <c r="M1164" s="15" t="s">
        <v>4099</v>
      </c>
      <c r="N1164" s="15" t="s">
        <v>316</v>
      </c>
      <c r="O1164" s="15" t="s">
        <v>4357</v>
      </c>
      <c r="P1164" s="15" t="s">
        <v>4354</v>
      </c>
      <c r="Q1164" s="15" t="s">
        <v>211</v>
      </c>
      <c r="R1164" s="16" t="s">
        <v>54</v>
      </c>
      <c r="S1164" s="12" t="s">
        <v>3949</v>
      </c>
      <c r="T1164" s="14" t="s">
        <v>55</v>
      </c>
    </row>
    <row r="1165" spans="1:20" ht="16.5">
      <c r="A1165" s="17" t="s">
        <v>3131</v>
      </c>
      <c r="B1165" s="17" t="s">
        <v>311</v>
      </c>
      <c r="C1165" s="17" t="s">
        <v>204</v>
      </c>
      <c r="D1165" s="18" t="s">
        <v>4096</v>
      </c>
      <c r="E1165" s="17" t="s">
        <v>312</v>
      </c>
      <c r="F1165" s="21" t="s">
        <v>313</v>
      </c>
      <c r="G1165" s="19" t="s">
        <v>4358</v>
      </c>
      <c r="H1165" s="24" t="s">
        <v>4359</v>
      </c>
      <c r="I1165" s="17" t="s">
        <v>65</v>
      </c>
      <c r="J1165" s="21">
        <v>1</v>
      </c>
      <c r="K1165" s="21" t="s">
        <v>3945</v>
      </c>
      <c r="L1165" s="21" t="s">
        <v>4360</v>
      </c>
      <c r="M1165" s="19" t="s">
        <v>4099</v>
      </c>
      <c r="N1165" s="19" t="s">
        <v>316</v>
      </c>
      <c r="O1165" s="19" t="s">
        <v>4361</v>
      </c>
      <c r="P1165" s="19" t="s">
        <v>4358</v>
      </c>
      <c r="Q1165" s="19" t="s">
        <v>211</v>
      </c>
      <c r="R1165" s="16" t="s">
        <v>54</v>
      </c>
      <c r="S1165" s="18" t="s">
        <v>3949</v>
      </c>
      <c r="T1165" s="21" t="s">
        <v>55</v>
      </c>
    </row>
    <row r="1166" spans="1:20" ht="16.5">
      <c r="A1166" s="11" t="s">
        <v>3131</v>
      </c>
      <c r="B1166" s="11" t="s">
        <v>311</v>
      </c>
      <c r="C1166" s="11" t="s">
        <v>204</v>
      </c>
      <c r="D1166" s="12" t="s">
        <v>4096</v>
      </c>
      <c r="E1166" s="11" t="s">
        <v>312</v>
      </c>
      <c r="F1166" s="14" t="s">
        <v>313</v>
      </c>
      <c r="G1166" s="15" t="s">
        <v>4362</v>
      </c>
      <c r="H1166" s="23" t="s">
        <v>4363</v>
      </c>
      <c r="I1166" s="11" t="s">
        <v>65</v>
      </c>
      <c r="J1166" s="14">
        <v>1</v>
      </c>
      <c r="K1166" s="14" t="s">
        <v>3945</v>
      </c>
      <c r="L1166" s="14" t="s">
        <v>4364</v>
      </c>
      <c r="M1166" s="15" t="s">
        <v>4099</v>
      </c>
      <c r="N1166" s="15" t="s">
        <v>316</v>
      </c>
      <c r="O1166" s="15" t="s">
        <v>4365</v>
      </c>
      <c r="P1166" s="15" t="s">
        <v>4362</v>
      </c>
      <c r="Q1166" s="15" t="s">
        <v>211</v>
      </c>
      <c r="R1166" s="16" t="s">
        <v>54</v>
      </c>
      <c r="S1166" s="12" t="s">
        <v>3949</v>
      </c>
      <c r="T1166" s="14" t="s">
        <v>55</v>
      </c>
    </row>
    <row r="1167" spans="1:20" ht="16.5">
      <c r="A1167" s="17" t="s">
        <v>3131</v>
      </c>
      <c r="B1167" s="17" t="s">
        <v>311</v>
      </c>
      <c r="C1167" s="17" t="s">
        <v>204</v>
      </c>
      <c r="D1167" s="18" t="s">
        <v>4101</v>
      </c>
      <c r="E1167" s="17" t="s">
        <v>312</v>
      </c>
      <c r="F1167" s="21" t="s">
        <v>313</v>
      </c>
      <c r="G1167" s="19" t="s">
        <v>4366</v>
      </c>
      <c r="H1167" s="24" t="s">
        <v>4367</v>
      </c>
      <c r="I1167" s="17" t="s">
        <v>65</v>
      </c>
      <c r="J1167" s="21">
        <v>1</v>
      </c>
      <c r="K1167" s="21" t="s">
        <v>3945</v>
      </c>
      <c r="L1167" s="21" t="s">
        <v>4368</v>
      </c>
      <c r="M1167" s="19" t="s">
        <v>4104</v>
      </c>
      <c r="N1167" s="19" t="s">
        <v>316</v>
      </c>
      <c r="O1167" s="19" t="s">
        <v>4369</v>
      </c>
      <c r="P1167" s="19" t="s">
        <v>4366</v>
      </c>
      <c r="Q1167" s="19" t="s">
        <v>211</v>
      </c>
      <c r="R1167" s="16" t="s">
        <v>54</v>
      </c>
      <c r="S1167" s="18" t="s">
        <v>3949</v>
      </c>
      <c r="T1167" s="21" t="s">
        <v>55</v>
      </c>
    </row>
    <row r="1168" spans="1:20" ht="16.5">
      <c r="A1168" s="11" t="s">
        <v>3131</v>
      </c>
      <c r="B1168" s="11" t="s">
        <v>311</v>
      </c>
      <c r="C1168" s="11" t="s">
        <v>204</v>
      </c>
      <c r="D1168" s="12" t="s">
        <v>4101</v>
      </c>
      <c r="E1168" s="11" t="s">
        <v>312</v>
      </c>
      <c r="F1168" s="14" t="s">
        <v>313</v>
      </c>
      <c r="G1168" s="15" t="s">
        <v>4370</v>
      </c>
      <c r="H1168" s="23" t="s">
        <v>4371</v>
      </c>
      <c r="I1168" s="11" t="s">
        <v>65</v>
      </c>
      <c r="J1168" s="14">
        <v>1</v>
      </c>
      <c r="K1168" s="14" t="s">
        <v>3945</v>
      </c>
      <c r="L1168" s="14" t="s">
        <v>4372</v>
      </c>
      <c r="M1168" s="15" t="s">
        <v>4104</v>
      </c>
      <c r="N1168" s="15" t="s">
        <v>316</v>
      </c>
      <c r="O1168" s="15" t="s">
        <v>4373</v>
      </c>
      <c r="P1168" s="15" t="s">
        <v>4370</v>
      </c>
      <c r="Q1168" s="15" t="s">
        <v>211</v>
      </c>
      <c r="R1168" s="16" t="s">
        <v>54</v>
      </c>
      <c r="S1168" s="12" t="s">
        <v>3949</v>
      </c>
      <c r="T1168" s="14" t="s">
        <v>55</v>
      </c>
    </row>
    <row r="1169" spans="1:20" ht="16.5">
      <c r="A1169" s="17" t="s">
        <v>3131</v>
      </c>
      <c r="B1169" s="17" t="s">
        <v>311</v>
      </c>
      <c r="C1169" s="17" t="s">
        <v>204</v>
      </c>
      <c r="D1169" s="18" t="s">
        <v>4101</v>
      </c>
      <c r="E1169" s="17" t="s">
        <v>312</v>
      </c>
      <c r="F1169" s="21" t="s">
        <v>313</v>
      </c>
      <c r="G1169" s="19" t="s">
        <v>4374</v>
      </c>
      <c r="H1169" s="24" t="s">
        <v>4375</v>
      </c>
      <c r="I1169" s="17" t="s">
        <v>65</v>
      </c>
      <c r="J1169" s="21">
        <v>1</v>
      </c>
      <c r="K1169" s="21" t="s">
        <v>3945</v>
      </c>
      <c r="L1169" s="21" t="s">
        <v>4376</v>
      </c>
      <c r="M1169" s="19" t="s">
        <v>4104</v>
      </c>
      <c r="N1169" s="19" t="s">
        <v>316</v>
      </c>
      <c r="O1169" s="19" t="s">
        <v>4377</v>
      </c>
      <c r="P1169" s="19" t="s">
        <v>4374</v>
      </c>
      <c r="Q1169" s="19" t="s">
        <v>211</v>
      </c>
      <c r="R1169" s="16" t="s">
        <v>54</v>
      </c>
      <c r="S1169" s="18" t="s">
        <v>3949</v>
      </c>
      <c r="T1169" s="21" t="s">
        <v>55</v>
      </c>
    </row>
    <row r="1170" spans="1:20" ht="16.5">
      <c r="A1170" s="11" t="s">
        <v>3131</v>
      </c>
      <c r="B1170" s="11" t="s">
        <v>311</v>
      </c>
      <c r="C1170" s="11" t="s">
        <v>204</v>
      </c>
      <c r="D1170" s="12" t="s">
        <v>4101</v>
      </c>
      <c r="E1170" s="11" t="s">
        <v>312</v>
      </c>
      <c r="F1170" s="14" t="s">
        <v>313</v>
      </c>
      <c r="G1170" s="15" t="s">
        <v>4378</v>
      </c>
      <c r="H1170" s="23" t="s">
        <v>4379</v>
      </c>
      <c r="I1170" s="11" t="s">
        <v>65</v>
      </c>
      <c r="J1170" s="14">
        <v>1</v>
      </c>
      <c r="K1170" s="14" t="s">
        <v>3945</v>
      </c>
      <c r="L1170" s="14" t="s">
        <v>4380</v>
      </c>
      <c r="M1170" s="15" t="s">
        <v>4104</v>
      </c>
      <c r="N1170" s="15" t="s">
        <v>316</v>
      </c>
      <c r="O1170" s="15" t="s">
        <v>4381</v>
      </c>
      <c r="P1170" s="15" t="s">
        <v>4378</v>
      </c>
      <c r="Q1170" s="15" t="s">
        <v>211</v>
      </c>
      <c r="R1170" s="16" t="s">
        <v>54</v>
      </c>
      <c r="S1170" s="12" t="s">
        <v>3949</v>
      </c>
      <c r="T1170" s="14" t="s">
        <v>55</v>
      </c>
    </row>
    <row r="1171" spans="1:20" ht="16.5">
      <c r="A1171" s="17" t="s">
        <v>3131</v>
      </c>
      <c r="B1171" s="17" t="s">
        <v>311</v>
      </c>
      <c r="C1171" s="17" t="s">
        <v>204</v>
      </c>
      <c r="D1171" s="18" t="s">
        <v>4101</v>
      </c>
      <c r="E1171" s="17" t="s">
        <v>312</v>
      </c>
      <c r="F1171" s="21" t="s">
        <v>313</v>
      </c>
      <c r="G1171" s="19" t="s">
        <v>4382</v>
      </c>
      <c r="H1171" s="24" t="s">
        <v>4383</v>
      </c>
      <c r="I1171" s="17" t="s">
        <v>65</v>
      </c>
      <c r="J1171" s="21">
        <v>1</v>
      </c>
      <c r="K1171" s="21" t="s">
        <v>3945</v>
      </c>
      <c r="L1171" s="21" t="s">
        <v>4384</v>
      </c>
      <c r="M1171" s="19" t="s">
        <v>4104</v>
      </c>
      <c r="N1171" s="19" t="s">
        <v>316</v>
      </c>
      <c r="O1171" s="19" t="s">
        <v>4385</v>
      </c>
      <c r="P1171" s="19" t="s">
        <v>4382</v>
      </c>
      <c r="Q1171" s="19" t="s">
        <v>211</v>
      </c>
      <c r="R1171" s="16" t="s">
        <v>54</v>
      </c>
      <c r="S1171" s="18" t="s">
        <v>3949</v>
      </c>
      <c r="T1171" s="21" t="s">
        <v>55</v>
      </c>
    </row>
    <row r="1172" spans="1:20" ht="16.5">
      <c r="A1172" s="11" t="s">
        <v>3131</v>
      </c>
      <c r="B1172" s="11" t="s">
        <v>311</v>
      </c>
      <c r="C1172" s="11" t="s">
        <v>204</v>
      </c>
      <c r="D1172" s="12" t="s">
        <v>4101</v>
      </c>
      <c r="E1172" s="11" t="s">
        <v>312</v>
      </c>
      <c r="F1172" s="14" t="s">
        <v>313</v>
      </c>
      <c r="G1172" s="15" t="s">
        <v>4386</v>
      </c>
      <c r="H1172" s="23" t="s">
        <v>4387</v>
      </c>
      <c r="I1172" s="11" t="s">
        <v>65</v>
      </c>
      <c r="J1172" s="14">
        <v>1</v>
      </c>
      <c r="K1172" s="14" t="s">
        <v>3945</v>
      </c>
      <c r="L1172" s="14" t="s">
        <v>4388</v>
      </c>
      <c r="M1172" s="15" t="s">
        <v>4104</v>
      </c>
      <c r="N1172" s="15" t="s">
        <v>316</v>
      </c>
      <c r="O1172" s="15" t="s">
        <v>4389</v>
      </c>
      <c r="P1172" s="15" t="s">
        <v>4386</v>
      </c>
      <c r="Q1172" s="15" t="s">
        <v>211</v>
      </c>
      <c r="R1172" s="16" t="s">
        <v>54</v>
      </c>
      <c r="S1172" s="12" t="s">
        <v>3949</v>
      </c>
      <c r="T1172" s="14" t="s">
        <v>55</v>
      </c>
    </row>
    <row r="1173" spans="1:20" ht="16.5">
      <c r="A1173" s="17" t="s">
        <v>3131</v>
      </c>
      <c r="B1173" s="17" t="s">
        <v>311</v>
      </c>
      <c r="C1173" s="17" t="s">
        <v>204</v>
      </c>
      <c r="D1173" s="18" t="s">
        <v>4101</v>
      </c>
      <c r="E1173" s="17" t="s">
        <v>312</v>
      </c>
      <c r="F1173" s="21" t="s">
        <v>313</v>
      </c>
      <c r="G1173" s="19" t="s">
        <v>4390</v>
      </c>
      <c r="H1173" s="24" t="s">
        <v>4391</v>
      </c>
      <c r="I1173" s="17" t="s">
        <v>65</v>
      </c>
      <c r="J1173" s="21">
        <v>1</v>
      </c>
      <c r="K1173" s="21" t="s">
        <v>3945</v>
      </c>
      <c r="L1173" s="21" t="s">
        <v>4392</v>
      </c>
      <c r="M1173" s="19" t="s">
        <v>4104</v>
      </c>
      <c r="N1173" s="19" t="s">
        <v>316</v>
      </c>
      <c r="O1173" s="19" t="s">
        <v>4393</v>
      </c>
      <c r="P1173" s="19" t="s">
        <v>4390</v>
      </c>
      <c r="Q1173" s="19" t="s">
        <v>211</v>
      </c>
      <c r="R1173" s="16" t="s">
        <v>54</v>
      </c>
      <c r="S1173" s="18" t="s">
        <v>3949</v>
      </c>
      <c r="T1173" s="21" t="s">
        <v>55</v>
      </c>
    </row>
    <row r="1174" spans="1:20" ht="16.5">
      <c r="A1174" s="11" t="s">
        <v>3131</v>
      </c>
      <c r="B1174" s="11" t="s">
        <v>311</v>
      </c>
      <c r="C1174" s="11" t="s">
        <v>204</v>
      </c>
      <c r="D1174" s="12" t="s">
        <v>4101</v>
      </c>
      <c r="E1174" s="11" t="s">
        <v>312</v>
      </c>
      <c r="F1174" s="14" t="s">
        <v>313</v>
      </c>
      <c r="G1174" s="15" t="s">
        <v>4394</v>
      </c>
      <c r="H1174" s="23" t="s">
        <v>4395</v>
      </c>
      <c r="I1174" s="11" t="s">
        <v>65</v>
      </c>
      <c r="J1174" s="14">
        <v>1</v>
      </c>
      <c r="K1174" s="14" t="s">
        <v>3945</v>
      </c>
      <c r="L1174" s="14" t="s">
        <v>4396</v>
      </c>
      <c r="M1174" s="15" t="s">
        <v>4104</v>
      </c>
      <c r="N1174" s="15" t="s">
        <v>316</v>
      </c>
      <c r="O1174" s="15" t="s">
        <v>4397</v>
      </c>
      <c r="P1174" s="15" t="s">
        <v>4394</v>
      </c>
      <c r="Q1174" s="15" t="s">
        <v>211</v>
      </c>
      <c r="R1174" s="16" t="s">
        <v>54</v>
      </c>
      <c r="S1174" s="12" t="s">
        <v>3949</v>
      </c>
      <c r="T1174" s="14" t="s">
        <v>55</v>
      </c>
    </row>
    <row r="1175" spans="1:20" ht="16.5">
      <c r="A1175" s="17" t="s">
        <v>3131</v>
      </c>
      <c r="B1175" s="17" t="s">
        <v>311</v>
      </c>
      <c r="C1175" s="17" t="s">
        <v>204</v>
      </c>
      <c r="D1175" s="18" t="s">
        <v>4101</v>
      </c>
      <c r="E1175" s="17" t="s">
        <v>312</v>
      </c>
      <c r="F1175" s="21" t="s">
        <v>313</v>
      </c>
      <c r="G1175" s="19" t="s">
        <v>4398</v>
      </c>
      <c r="H1175" s="24" t="s">
        <v>4399</v>
      </c>
      <c r="I1175" s="17" t="s">
        <v>65</v>
      </c>
      <c r="J1175" s="21">
        <v>1</v>
      </c>
      <c r="K1175" s="21" t="s">
        <v>3945</v>
      </c>
      <c r="L1175" s="21" t="s">
        <v>4400</v>
      </c>
      <c r="M1175" s="19" t="s">
        <v>4104</v>
      </c>
      <c r="N1175" s="19" t="s">
        <v>316</v>
      </c>
      <c r="O1175" s="19" t="s">
        <v>4401</v>
      </c>
      <c r="P1175" s="19" t="s">
        <v>4398</v>
      </c>
      <c r="Q1175" s="19" t="s">
        <v>211</v>
      </c>
      <c r="R1175" s="16" t="s">
        <v>54</v>
      </c>
      <c r="S1175" s="18" t="s">
        <v>3949</v>
      </c>
      <c r="T1175" s="21" t="s">
        <v>55</v>
      </c>
    </row>
    <row r="1176" spans="1:20" ht="16.5">
      <c r="A1176" s="11" t="s">
        <v>3131</v>
      </c>
      <c r="B1176" s="11" t="s">
        <v>311</v>
      </c>
      <c r="C1176" s="11" t="s">
        <v>204</v>
      </c>
      <c r="D1176" s="12" t="s">
        <v>4101</v>
      </c>
      <c r="E1176" s="11" t="s">
        <v>312</v>
      </c>
      <c r="F1176" s="14" t="s">
        <v>313</v>
      </c>
      <c r="G1176" s="15" t="s">
        <v>4402</v>
      </c>
      <c r="H1176" s="23" t="s">
        <v>4403</v>
      </c>
      <c r="I1176" s="11" t="s">
        <v>65</v>
      </c>
      <c r="J1176" s="14">
        <v>1</v>
      </c>
      <c r="K1176" s="14" t="s">
        <v>3945</v>
      </c>
      <c r="L1176" s="14" t="s">
        <v>4404</v>
      </c>
      <c r="M1176" s="15" t="s">
        <v>4104</v>
      </c>
      <c r="N1176" s="15" t="s">
        <v>316</v>
      </c>
      <c r="O1176" s="15" t="s">
        <v>4405</v>
      </c>
      <c r="P1176" s="15" t="s">
        <v>4402</v>
      </c>
      <c r="Q1176" s="15" t="s">
        <v>211</v>
      </c>
      <c r="R1176" s="16" t="s">
        <v>54</v>
      </c>
      <c r="S1176" s="12" t="s">
        <v>3949</v>
      </c>
      <c r="T1176" s="14" t="s">
        <v>55</v>
      </c>
    </row>
    <row r="1177" spans="1:20" ht="16.5">
      <c r="A1177" s="17" t="s">
        <v>3131</v>
      </c>
      <c r="B1177" s="17" t="s">
        <v>311</v>
      </c>
      <c r="C1177" s="17" t="s">
        <v>204</v>
      </c>
      <c r="D1177" s="18" t="s">
        <v>4101</v>
      </c>
      <c r="E1177" s="17" t="s">
        <v>312</v>
      </c>
      <c r="F1177" s="21" t="s">
        <v>313</v>
      </c>
      <c r="G1177" s="19" t="s">
        <v>4406</v>
      </c>
      <c r="H1177" s="24" t="s">
        <v>4407</v>
      </c>
      <c r="I1177" s="17" t="s">
        <v>65</v>
      </c>
      <c r="J1177" s="21">
        <v>1</v>
      </c>
      <c r="K1177" s="21" t="s">
        <v>3945</v>
      </c>
      <c r="L1177" s="21" t="s">
        <v>4408</v>
      </c>
      <c r="M1177" s="19" t="s">
        <v>4104</v>
      </c>
      <c r="N1177" s="19" t="s">
        <v>316</v>
      </c>
      <c r="O1177" s="19" t="s">
        <v>4409</v>
      </c>
      <c r="P1177" s="19" t="s">
        <v>4406</v>
      </c>
      <c r="Q1177" s="19" t="s">
        <v>211</v>
      </c>
      <c r="R1177" s="16" t="s">
        <v>54</v>
      </c>
      <c r="S1177" s="18" t="s">
        <v>3949</v>
      </c>
      <c r="T1177" s="21" t="s">
        <v>55</v>
      </c>
    </row>
    <row r="1178" spans="1:20" ht="16.5">
      <c r="A1178" s="11" t="s">
        <v>3131</v>
      </c>
      <c r="B1178" s="11" t="s">
        <v>311</v>
      </c>
      <c r="C1178" s="11" t="s">
        <v>204</v>
      </c>
      <c r="D1178" s="12" t="s">
        <v>2103</v>
      </c>
      <c r="E1178" s="11" t="s">
        <v>312</v>
      </c>
      <c r="F1178" s="14" t="s">
        <v>313</v>
      </c>
      <c r="G1178" s="15" t="s">
        <v>2109</v>
      </c>
      <c r="H1178" s="23" t="s">
        <v>4410</v>
      </c>
      <c r="I1178" s="11" t="s">
        <v>65</v>
      </c>
      <c r="J1178" s="14">
        <v>1</v>
      </c>
      <c r="K1178" s="14" t="s">
        <v>3945</v>
      </c>
      <c r="L1178" s="14" t="s">
        <v>4411</v>
      </c>
      <c r="M1178" s="15" t="s">
        <v>2107</v>
      </c>
      <c r="N1178" s="15" t="s">
        <v>316</v>
      </c>
      <c r="O1178" s="15" t="s">
        <v>4412</v>
      </c>
      <c r="P1178" s="15" t="s">
        <v>2109</v>
      </c>
      <c r="Q1178" s="15" t="s">
        <v>211</v>
      </c>
      <c r="R1178" s="16" t="s">
        <v>54</v>
      </c>
      <c r="S1178" s="12" t="s">
        <v>3949</v>
      </c>
      <c r="T1178" s="14" t="s">
        <v>55</v>
      </c>
    </row>
    <row r="1179" spans="1:20" ht="16.5">
      <c r="A1179" s="17" t="s">
        <v>3131</v>
      </c>
      <c r="B1179" s="17" t="s">
        <v>311</v>
      </c>
      <c r="C1179" s="17" t="s">
        <v>204</v>
      </c>
      <c r="D1179" s="18" t="s">
        <v>4108</v>
      </c>
      <c r="E1179" s="17" t="s">
        <v>312</v>
      </c>
      <c r="F1179" s="21" t="s">
        <v>313</v>
      </c>
      <c r="G1179" s="19" t="s">
        <v>4111</v>
      </c>
      <c r="H1179" s="24" t="s">
        <v>4413</v>
      </c>
      <c r="I1179" s="17" t="s">
        <v>65</v>
      </c>
      <c r="J1179" s="21">
        <v>1</v>
      </c>
      <c r="K1179" s="21" t="s">
        <v>3945</v>
      </c>
      <c r="L1179" s="21" t="s">
        <v>4414</v>
      </c>
      <c r="M1179" s="19" t="s">
        <v>4110</v>
      </c>
      <c r="N1179" s="19" t="s">
        <v>316</v>
      </c>
      <c r="O1179" s="19" t="s">
        <v>4415</v>
      </c>
      <c r="P1179" s="19" t="s">
        <v>4111</v>
      </c>
      <c r="Q1179" s="19" t="s">
        <v>211</v>
      </c>
      <c r="R1179" s="16" t="s">
        <v>54</v>
      </c>
      <c r="S1179" s="18" t="s">
        <v>3949</v>
      </c>
      <c r="T1179" s="21" t="s">
        <v>55</v>
      </c>
    </row>
    <row r="1180" spans="1:20" ht="16.5">
      <c r="A1180" s="11" t="s">
        <v>3131</v>
      </c>
      <c r="B1180" s="11" t="s">
        <v>311</v>
      </c>
      <c r="C1180" s="11" t="s">
        <v>204</v>
      </c>
      <c r="D1180" s="12" t="s">
        <v>4112</v>
      </c>
      <c r="E1180" s="11" t="s">
        <v>312</v>
      </c>
      <c r="F1180" s="14" t="s">
        <v>313</v>
      </c>
      <c r="G1180" s="15" t="s">
        <v>4416</v>
      </c>
      <c r="H1180" s="23" t="s">
        <v>4417</v>
      </c>
      <c r="I1180" s="11" t="s">
        <v>65</v>
      </c>
      <c r="J1180" s="14">
        <v>1</v>
      </c>
      <c r="K1180" s="14" t="s">
        <v>3945</v>
      </c>
      <c r="L1180" s="14" t="s">
        <v>4418</v>
      </c>
      <c r="M1180" s="15" t="s">
        <v>4115</v>
      </c>
      <c r="N1180" s="15" t="s">
        <v>316</v>
      </c>
      <c r="O1180" s="15" t="s">
        <v>4419</v>
      </c>
      <c r="P1180" s="15" t="s">
        <v>4416</v>
      </c>
      <c r="Q1180" s="15" t="s">
        <v>211</v>
      </c>
      <c r="R1180" s="16" t="s">
        <v>54</v>
      </c>
      <c r="S1180" s="12" t="s">
        <v>3949</v>
      </c>
      <c r="T1180" s="14" t="s">
        <v>55</v>
      </c>
    </row>
    <row r="1181" spans="1:20" ht="16.5">
      <c r="A1181" s="17" t="s">
        <v>3131</v>
      </c>
      <c r="B1181" s="17" t="s">
        <v>311</v>
      </c>
      <c r="C1181" s="17" t="s">
        <v>204</v>
      </c>
      <c r="D1181" s="18" t="s">
        <v>4112</v>
      </c>
      <c r="E1181" s="17" t="s">
        <v>312</v>
      </c>
      <c r="F1181" s="21" t="s">
        <v>313</v>
      </c>
      <c r="G1181" s="19" t="s">
        <v>4420</v>
      </c>
      <c r="H1181" s="24" t="s">
        <v>4421</v>
      </c>
      <c r="I1181" s="17" t="s">
        <v>65</v>
      </c>
      <c r="J1181" s="21">
        <v>1</v>
      </c>
      <c r="K1181" s="21" t="s">
        <v>3945</v>
      </c>
      <c r="L1181" s="21" t="s">
        <v>4422</v>
      </c>
      <c r="M1181" s="19" t="s">
        <v>4115</v>
      </c>
      <c r="N1181" s="19" t="s">
        <v>316</v>
      </c>
      <c r="O1181" s="19" t="s">
        <v>4423</v>
      </c>
      <c r="P1181" s="19" t="s">
        <v>4420</v>
      </c>
      <c r="Q1181" s="19" t="s">
        <v>211</v>
      </c>
      <c r="R1181" s="16" t="s">
        <v>54</v>
      </c>
      <c r="S1181" s="18" t="s">
        <v>3949</v>
      </c>
      <c r="T1181" s="21" t="s">
        <v>55</v>
      </c>
    </row>
    <row r="1182" spans="1:20" ht="16.5">
      <c r="A1182" s="11" t="s">
        <v>3131</v>
      </c>
      <c r="B1182" s="11" t="s">
        <v>311</v>
      </c>
      <c r="C1182" s="11" t="s">
        <v>204</v>
      </c>
      <c r="D1182" s="12" t="s">
        <v>4112</v>
      </c>
      <c r="E1182" s="11" t="s">
        <v>312</v>
      </c>
      <c r="F1182" s="14" t="s">
        <v>313</v>
      </c>
      <c r="G1182" s="15" t="s">
        <v>4424</v>
      </c>
      <c r="H1182" s="23" t="s">
        <v>4425</v>
      </c>
      <c r="I1182" s="11" t="s">
        <v>65</v>
      </c>
      <c r="J1182" s="14">
        <v>1</v>
      </c>
      <c r="K1182" s="14" t="s">
        <v>3945</v>
      </c>
      <c r="L1182" s="14" t="s">
        <v>4426</v>
      </c>
      <c r="M1182" s="15" t="s">
        <v>4115</v>
      </c>
      <c r="N1182" s="15" t="s">
        <v>316</v>
      </c>
      <c r="O1182" s="15" t="s">
        <v>4427</v>
      </c>
      <c r="P1182" s="15" t="s">
        <v>4424</v>
      </c>
      <c r="Q1182" s="15" t="s">
        <v>211</v>
      </c>
      <c r="R1182" s="16" t="s">
        <v>54</v>
      </c>
      <c r="S1182" s="12" t="s">
        <v>3949</v>
      </c>
      <c r="T1182" s="14" t="s">
        <v>55</v>
      </c>
    </row>
    <row r="1183" spans="1:20" ht="16.5">
      <c r="A1183" s="17" t="s">
        <v>3131</v>
      </c>
      <c r="B1183" s="17" t="s">
        <v>487</v>
      </c>
      <c r="C1183" s="17" t="s">
        <v>488</v>
      </c>
      <c r="D1183" s="18" t="s">
        <v>4428</v>
      </c>
      <c r="E1183" s="17" t="s">
        <v>490</v>
      </c>
      <c r="F1183" s="17" t="s">
        <v>491</v>
      </c>
      <c r="G1183" s="18" t="s">
        <v>4429</v>
      </c>
      <c r="H1183" s="24" t="s">
        <v>4430</v>
      </c>
      <c r="I1183" s="17" t="s">
        <v>494</v>
      </c>
      <c r="J1183" s="21">
        <v>1</v>
      </c>
      <c r="K1183" s="21" t="s">
        <v>3945</v>
      </c>
      <c r="L1183" s="21" t="s">
        <v>4431</v>
      </c>
      <c r="M1183" s="19" t="s">
        <v>4432</v>
      </c>
      <c r="N1183" s="19" t="s">
        <v>497</v>
      </c>
      <c r="O1183" s="19" t="s">
        <v>4433</v>
      </c>
      <c r="P1183" s="19" t="s">
        <v>4434</v>
      </c>
      <c r="Q1183" s="19" t="s">
        <v>500</v>
      </c>
      <c r="R1183" s="16" t="s">
        <v>54</v>
      </c>
      <c r="S1183" s="18" t="s">
        <v>3949</v>
      </c>
      <c r="T1183" s="26" t="s">
        <v>673</v>
      </c>
    </row>
    <row r="1184" spans="1:20" ht="16.5">
      <c r="A1184" s="11" t="s">
        <v>3131</v>
      </c>
      <c r="B1184" s="11" t="s">
        <v>487</v>
      </c>
      <c r="C1184" s="11" t="s">
        <v>204</v>
      </c>
      <c r="D1184" s="12" t="s">
        <v>3937</v>
      </c>
      <c r="E1184" s="11" t="s">
        <v>501</v>
      </c>
      <c r="F1184" s="11" t="s">
        <v>488</v>
      </c>
      <c r="G1184" s="12" t="s">
        <v>4428</v>
      </c>
      <c r="H1184" s="13" t="s">
        <v>4435</v>
      </c>
      <c r="I1184" s="11" t="s">
        <v>494</v>
      </c>
      <c r="J1184" s="14">
        <v>1</v>
      </c>
      <c r="K1184" s="14" t="s">
        <v>3945</v>
      </c>
      <c r="L1184" s="14" t="s">
        <v>4436</v>
      </c>
      <c r="M1184" s="15" t="s">
        <v>3940</v>
      </c>
      <c r="N1184" s="15" t="s">
        <v>504</v>
      </c>
      <c r="O1184" s="15" t="s">
        <v>4432</v>
      </c>
      <c r="P1184" s="15"/>
      <c r="Q1184" s="15" t="s">
        <v>211</v>
      </c>
      <c r="R1184" s="16" t="s">
        <v>54</v>
      </c>
      <c r="S1184" s="12" t="s">
        <v>3949</v>
      </c>
      <c r="T1184" s="26" t="s">
        <v>673</v>
      </c>
    </row>
    <row r="1185" spans="1:20" ht="16.5">
      <c r="A1185" s="17" t="s">
        <v>3131</v>
      </c>
      <c r="B1185" s="17" t="s">
        <v>487</v>
      </c>
      <c r="C1185" s="17" t="s">
        <v>491</v>
      </c>
      <c r="D1185" s="18" t="s">
        <v>4429</v>
      </c>
      <c r="E1185" s="17" t="s">
        <v>505</v>
      </c>
      <c r="F1185" s="17" t="s">
        <v>204</v>
      </c>
      <c r="G1185" s="18" t="s">
        <v>3937</v>
      </c>
      <c r="H1185" s="20" t="s">
        <v>4437</v>
      </c>
      <c r="I1185" s="17" t="s">
        <v>507</v>
      </c>
      <c r="J1185" s="21">
        <v>1</v>
      </c>
      <c r="K1185" s="21" t="s">
        <v>3945</v>
      </c>
      <c r="L1185" s="21" t="s">
        <v>4438</v>
      </c>
      <c r="M1185" s="19" t="s">
        <v>4433</v>
      </c>
      <c r="N1185" s="19" t="s">
        <v>509</v>
      </c>
      <c r="O1185" s="19" t="s">
        <v>3940</v>
      </c>
      <c r="P1185" s="19" t="s">
        <v>4434</v>
      </c>
      <c r="Q1185" s="18" t="s">
        <v>286</v>
      </c>
      <c r="R1185" s="22" t="s">
        <v>88</v>
      </c>
      <c r="S1185" s="18" t="s">
        <v>3949</v>
      </c>
      <c r="T1185" s="21" t="s">
        <v>55</v>
      </c>
    </row>
    <row r="1186" spans="1:20" ht="16.5">
      <c r="A1186" s="11" t="s">
        <v>3131</v>
      </c>
      <c r="B1186" s="11" t="s">
        <v>487</v>
      </c>
      <c r="C1186" s="11" t="s">
        <v>488</v>
      </c>
      <c r="D1186" s="12" t="s">
        <v>4439</v>
      </c>
      <c r="E1186" s="11" t="s">
        <v>490</v>
      </c>
      <c r="F1186" s="11" t="s">
        <v>491</v>
      </c>
      <c r="G1186" s="12" t="s">
        <v>4440</v>
      </c>
      <c r="H1186" s="13" t="s">
        <v>4441</v>
      </c>
      <c r="I1186" s="11" t="s">
        <v>494</v>
      </c>
      <c r="J1186" s="14">
        <v>1</v>
      </c>
      <c r="K1186" s="14" t="s">
        <v>3945</v>
      </c>
      <c r="L1186" s="14" t="s">
        <v>4442</v>
      </c>
      <c r="M1186" s="15" t="s">
        <v>4443</v>
      </c>
      <c r="N1186" s="15" t="s">
        <v>497</v>
      </c>
      <c r="O1186" s="15" t="s">
        <v>4444</v>
      </c>
      <c r="P1186" s="15" t="s">
        <v>4445</v>
      </c>
      <c r="Q1186" s="15" t="s">
        <v>500</v>
      </c>
      <c r="R1186" s="16" t="s">
        <v>54</v>
      </c>
      <c r="S1186" s="12" t="s">
        <v>3949</v>
      </c>
      <c r="T1186" s="26" t="s">
        <v>673</v>
      </c>
    </row>
    <row r="1187" spans="1:20" ht="16.5">
      <c r="A1187" s="17" t="s">
        <v>3131</v>
      </c>
      <c r="B1187" s="17" t="s">
        <v>487</v>
      </c>
      <c r="C1187" s="17" t="s">
        <v>204</v>
      </c>
      <c r="D1187" s="18" t="s">
        <v>3932</v>
      </c>
      <c r="E1187" s="17" t="s">
        <v>501</v>
      </c>
      <c r="F1187" s="17" t="s">
        <v>488</v>
      </c>
      <c r="G1187" s="18" t="s">
        <v>4439</v>
      </c>
      <c r="H1187" s="20" t="s">
        <v>4446</v>
      </c>
      <c r="I1187" s="17" t="s">
        <v>494</v>
      </c>
      <c r="J1187" s="21">
        <v>1</v>
      </c>
      <c r="K1187" s="21" t="s">
        <v>3945</v>
      </c>
      <c r="L1187" s="21" t="s">
        <v>4447</v>
      </c>
      <c r="M1187" s="19" t="s">
        <v>3935</v>
      </c>
      <c r="N1187" s="19" t="s">
        <v>504</v>
      </c>
      <c r="O1187" s="19" t="s">
        <v>4443</v>
      </c>
      <c r="P1187" s="19"/>
      <c r="Q1187" s="19" t="s">
        <v>211</v>
      </c>
      <c r="R1187" s="16" t="s">
        <v>54</v>
      </c>
      <c r="S1187" s="18" t="s">
        <v>3949</v>
      </c>
      <c r="T1187" s="26" t="s">
        <v>673</v>
      </c>
    </row>
    <row r="1188" spans="1:20" ht="16.5">
      <c r="A1188" s="11" t="s">
        <v>3131</v>
      </c>
      <c r="B1188" s="11" t="s">
        <v>487</v>
      </c>
      <c r="C1188" s="11" t="s">
        <v>491</v>
      </c>
      <c r="D1188" s="12" t="s">
        <v>4440</v>
      </c>
      <c r="E1188" s="11" t="s">
        <v>505</v>
      </c>
      <c r="F1188" s="11" t="s">
        <v>204</v>
      </c>
      <c r="G1188" s="12" t="s">
        <v>3932</v>
      </c>
      <c r="H1188" s="13" t="s">
        <v>4448</v>
      </c>
      <c r="I1188" s="11" t="s">
        <v>507</v>
      </c>
      <c r="J1188" s="14">
        <v>1</v>
      </c>
      <c r="K1188" s="14" t="s">
        <v>3945</v>
      </c>
      <c r="L1188" s="14" t="s">
        <v>4449</v>
      </c>
      <c r="M1188" s="15" t="s">
        <v>4444</v>
      </c>
      <c r="N1188" s="15" t="s">
        <v>509</v>
      </c>
      <c r="O1188" s="15" t="s">
        <v>3935</v>
      </c>
      <c r="P1188" s="15" t="s">
        <v>4445</v>
      </c>
      <c r="Q1188" s="12" t="s">
        <v>286</v>
      </c>
      <c r="R1188" s="22" t="s">
        <v>88</v>
      </c>
      <c r="S1188" s="12" t="s">
        <v>3949</v>
      </c>
      <c r="T1188" s="14" t="s">
        <v>55</v>
      </c>
    </row>
    <row r="1189" spans="1:20" ht="16.5">
      <c r="A1189" s="17" t="s">
        <v>3131</v>
      </c>
      <c r="B1189" s="17" t="s">
        <v>487</v>
      </c>
      <c r="C1189" s="17" t="s">
        <v>488</v>
      </c>
      <c r="D1189" s="18" t="s">
        <v>4450</v>
      </c>
      <c r="E1189" s="17" t="s">
        <v>490</v>
      </c>
      <c r="F1189" s="17" t="s">
        <v>491</v>
      </c>
      <c r="G1189" s="18" t="s">
        <v>4451</v>
      </c>
      <c r="H1189" s="20" t="s">
        <v>4452</v>
      </c>
      <c r="I1189" s="17" t="s">
        <v>4453</v>
      </c>
      <c r="J1189" s="21">
        <v>1</v>
      </c>
      <c r="K1189" s="21" t="s">
        <v>3945</v>
      </c>
      <c r="L1189" s="21" t="s">
        <v>4454</v>
      </c>
      <c r="M1189" s="19" t="s">
        <v>4455</v>
      </c>
      <c r="N1189" s="19" t="s">
        <v>497</v>
      </c>
      <c r="O1189" s="19" t="s">
        <v>4456</v>
      </c>
      <c r="P1189" s="19" t="s">
        <v>4457</v>
      </c>
      <c r="Q1189" s="19" t="s">
        <v>500</v>
      </c>
      <c r="R1189" s="16" t="s">
        <v>54</v>
      </c>
      <c r="S1189" s="18" t="s">
        <v>3949</v>
      </c>
      <c r="T1189" s="21" t="s">
        <v>55</v>
      </c>
    </row>
    <row r="1190" spans="1:20" ht="16.5">
      <c r="A1190" s="11" t="s">
        <v>3131</v>
      </c>
      <c r="B1190" s="11" t="s">
        <v>487</v>
      </c>
      <c r="C1190" s="11" t="s">
        <v>204</v>
      </c>
      <c r="D1190" s="15" t="s">
        <v>3385</v>
      </c>
      <c r="E1190" s="11" t="s">
        <v>501</v>
      </c>
      <c r="F1190" s="11" t="s">
        <v>488</v>
      </c>
      <c r="G1190" s="12" t="s">
        <v>4450</v>
      </c>
      <c r="H1190" s="23" t="s">
        <v>4458</v>
      </c>
      <c r="I1190" s="11" t="s">
        <v>4453</v>
      </c>
      <c r="J1190" s="14">
        <v>1</v>
      </c>
      <c r="K1190" s="14" t="s">
        <v>3945</v>
      </c>
      <c r="L1190" s="14" t="s">
        <v>4459</v>
      </c>
      <c r="M1190" s="15" t="s">
        <v>3388</v>
      </c>
      <c r="N1190" s="15" t="s">
        <v>504</v>
      </c>
      <c r="O1190" s="15" t="s">
        <v>4455</v>
      </c>
      <c r="P1190" s="15"/>
      <c r="Q1190" s="15" t="s">
        <v>211</v>
      </c>
      <c r="R1190" s="16" t="s">
        <v>54</v>
      </c>
      <c r="S1190" s="12" t="s">
        <v>3949</v>
      </c>
      <c r="T1190" s="14" t="s">
        <v>55</v>
      </c>
    </row>
    <row r="1191" spans="1:20" ht="16.5">
      <c r="A1191" s="17" t="s">
        <v>3131</v>
      </c>
      <c r="B1191" s="17" t="s">
        <v>487</v>
      </c>
      <c r="C1191" s="17" t="s">
        <v>491</v>
      </c>
      <c r="D1191" s="18" t="s">
        <v>4451</v>
      </c>
      <c r="E1191" s="17" t="s">
        <v>505</v>
      </c>
      <c r="F1191" s="17" t="s">
        <v>204</v>
      </c>
      <c r="G1191" s="19" t="s">
        <v>3385</v>
      </c>
      <c r="H1191" s="20" t="s">
        <v>4460</v>
      </c>
      <c r="I1191" s="17" t="s">
        <v>507</v>
      </c>
      <c r="J1191" s="21">
        <v>1</v>
      </c>
      <c r="K1191" s="21" t="s">
        <v>3945</v>
      </c>
      <c r="L1191" s="21" t="s">
        <v>4461</v>
      </c>
      <c r="M1191" s="19" t="s">
        <v>4456</v>
      </c>
      <c r="N1191" s="19" t="s">
        <v>509</v>
      </c>
      <c r="O1191" s="19" t="s">
        <v>3388</v>
      </c>
      <c r="P1191" s="19" t="s">
        <v>4457</v>
      </c>
      <c r="Q1191" s="18" t="s">
        <v>286</v>
      </c>
      <c r="R1191" s="22" t="s">
        <v>88</v>
      </c>
      <c r="S1191" s="18" t="s">
        <v>3949</v>
      </c>
      <c r="T1191" s="21" t="s">
        <v>55</v>
      </c>
    </row>
    <row r="1192" spans="1:20" ht="16.5">
      <c r="A1192" s="11" t="s">
        <v>3131</v>
      </c>
      <c r="B1192" s="11" t="s">
        <v>487</v>
      </c>
      <c r="C1192" s="11" t="s">
        <v>488</v>
      </c>
      <c r="D1192" s="12" t="s">
        <v>4462</v>
      </c>
      <c r="E1192" s="11" t="s">
        <v>490</v>
      </c>
      <c r="F1192" s="11" t="s">
        <v>491</v>
      </c>
      <c r="G1192" s="12" t="s">
        <v>4463</v>
      </c>
      <c r="H1192" s="23" t="s">
        <v>584</v>
      </c>
      <c r="I1192" s="11" t="s">
        <v>4453</v>
      </c>
      <c r="J1192" s="14">
        <v>1</v>
      </c>
      <c r="K1192" s="14" t="s">
        <v>3945</v>
      </c>
      <c r="L1192" s="14" t="s">
        <v>4464</v>
      </c>
      <c r="M1192" s="15" t="s">
        <v>4465</v>
      </c>
      <c r="N1192" s="15" t="s">
        <v>497</v>
      </c>
      <c r="O1192" s="15" t="s">
        <v>4466</v>
      </c>
      <c r="P1192" s="15" t="s">
        <v>4467</v>
      </c>
      <c r="Q1192" s="15" t="s">
        <v>500</v>
      </c>
      <c r="R1192" s="16" t="s">
        <v>54</v>
      </c>
      <c r="S1192" s="12" t="s">
        <v>3949</v>
      </c>
      <c r="T1192" s="14" t="s">
        <v>55</v>
      </c>
    </row>
    <row r="1193" spans="1:20" ht="16.5">
      <c r="A1193" s="17" t="s">
        <v>3131</v>
      </c>
      <c r="B1193" s="17" t="s">
        <v>487</v>
      </c>
      <c r="C1193" s="17" t="s">
        <v>204</v>
      </c>
      <c r="D1193" s="19" t="s">
        <v>3385</v>
      </c>
      <c r="E1193" s="17" t="s">
        <v>501</v>
      </c>
      <c r="F1193" s="17" t="s">
        <v>488</v>
      </c>
      <c r="G1193" s="18" t="s">
        <v>4462</v>
      </c>
      <c r="H1193" s="24" t="s">
        <v>4468</v>
      </c>
      <c r="I1193" s="17" t="s">
        <v>4453</v>
      </c>
      <c r="J1193" s="21">
        <v>1</v>
      </c>
      <c r="K1193" s="21" t="s">
        <v>3945</v>
      </c>
      <c r="L1193" s="21" t="s">
        <v>4469</v>
      </c>
      <c r="M1193" s="19" t="s">
        <v>3388</v>
      </c>
      <c r="N1193" s="19" t="s">
        <v>504</v>
      </c>
      <c r="O1193" s="19" t="s">
        <v>4465</v>
      </c>
      <c r="P1193" s="19"/>
      <c r="Q1193" s="19" t="s">
        <v>211</v>
      </c>
      <c r="R1193" s="16" t="s">
        <v>54</v>
      </c>
      <c r="S1193" s="18" t="s">
        <v>3949</v>
      </c>
      <c r="T1193" s="21" t="s">
        <v>55</v>
      </c>
    </row>
    <row r="1194" spans="1:20" ht="16.5">
      <c r="A1194" s="11" t="s">
        <v>3131</v>
      </c>
      <c r="B1194" s="11" t="s">
        <v>487</v>
      </c>
      <c r="C1194" s="11" t="s">
        <v>491</v>
      </c>
      <c r="D1194" s="12" t="s">
        <v>4463</v>
      </c>
      <c r="E1194" s="11" t="s">
        <v>505</v>
      </c>
      <c r="F1194" s="11" t="s">
        <v>204</v>
      </c>
      <c r="G1194" s="15" t="s">
        <v>3385</v>
      </c>
      <c r="H1194" s="13" t="s">
        <v>4470</v>
      </c>
      <c r="I1194" s="11" t="s">
        <v>507</v>
      </c>
      <c r="J1194" s="14">
        <v>1</v>
      </c>
      <c r="K1194" s="14" t="s">
        <v>3945</v>
      </c>
      <c r="L1194" s="14" t="s">
        <v>4471</v>
      </c>
      <c r="M1194" s="15" t="s">
        <v>4466</v>
      </c>
      <c r="N1194" s="15" t="s">
        <v>509</v>
      </c>
      <c r="O1194" s="15" t="s">
        <v>3388</v>
      </c>
      <c r="P1194" s="15" t="s">
        <v>4467</v>
      </c>
      <c r="Q1194" s="12" t="s">
        <v>286</v>
      </c>
      <c r="R1194" s="22" t="s">
        <v>88</v>
      </c>
      <c r="S1194" s="12" t="s">
        <v>3949</v>
      </c>
      <c r="T1194" s="14" t="s">
        <v>55</v>
      </c>
    </row>
    <row r="1195" spans="1:20" ht="16.5">
      <c r="A1195" s="17" t="s">
        <v>3131</v>
      </c>
      <c r="B1195" s="17" t="s">
        <v>487</v>
      </c>
      <c r="C1195" s="17" t="s">
        <v>488</v>
      </c>
      <c r="D1195" s="18" t="s">
        <v>4472</v>
      </c>
      <c r="E1195" s="17" t="s">
        <v>490</v>
      </c>
      <c r="F1195" s="17" t="s">
        <v>491</v>
      </c>
      <c r="G1195" s="18" t="s">
        <v>4473</v>
      </c>
      <c r="H1195" s="24" t="s">
        <v>584</v>
      </c>
      <c r="I1195" s="17" t="s">
        <v>4453</v>
      </c>
      <c r="J1195" s="21">
        <v>1</v>
      </c>
      <c r="K1195" s="21" t="s">
        <v>3945</v>
      </c>
      <c r="L1195" s="21" t="s">
        <v>4474</v>
      </c>
      <c r="M1195" s="19" t="s">
        <v>4475</v>
      </c>
      <c r="N1195" s="19" t="s">
        <v>497</v>
      </c>
      <c r="O1195" s="19" t="s">
        <v>4476</v>
      </c>
      <c r="P1195" s="19" t="s">
        <v>4477</v>
      </c>
      <c r="Q1195" s="19" t="s">
        <v>500</v>
      </c>
      <c r="R1195" s="16" t="s">
        <v>54</v>
      </c>
      <c r="S1195" s="18" t="s">
        <v>3949</v>
      </c>
      <c r="T1195" s="21" t="s">
        <v>55</v>
      </c>
    </row>
    <row r="1196" spans="1:20" ht="16.5">
      <c r="A1196" s="11" t="s">
        <v>3131</v>
      </c>
      <c r="B1196" s="11" t="s">
        <v>487</v>
      </c>
      <c r="C1196" s="11" t="s">
        <v>204</v>
      </c>
      <c r="D1196" s="12" t="s">
        <v>3849</v>
      </c>
      <c r="E1196" s="11" t="s">
        <v>501</v>
      </c>
      <c r="F1196" s="11" t="s">
        <v>488</v>
      </c>
      <c r="G1196" s="12" t="s">
        <v>4472</v>
      </c>
      <c r="H1196" s="13" t="s">
        <v>4478</v>
      </c>
      <c r="I1196" s="11" t="s">
        <v>4453</v>
      </c>
      <c r="J1196" s="14">
        <v>1</v>
      </c>
      <c r="K1196" s="14" t="s">
        <v>3945</v>
      </c>
      <c r="L1196" s="14" t="s">
        <v>4479</v>
      </c>
      <c r="M1196" s="15" t="s">
        <v>3852</v>
      </c>
      <c r="N1196" s="15" t="s">
        <v>504</v>
      </c>
      <c r="O1196" s="15" t="s">
        <v>4475</v>
      </c>
      <c r="P1196" s="15"/>
      <c r="Q1196" s="15" t="s">
        <v>211</v>
      </c>
      <c r="R1196" s="16" t="s">
        <v>54</v>
      </c>
      <c r="S1196" s="12" t="s">
        <v>3949</v>
      </c>
      <c r="T1196" s="14" t="s">
        <v>55</v>
      </c>
    </row>
    <row r="1197" spans="1:20" ht="16.5">
      <c r="A1197" s="17" t="s">
        <v>3131</v>
      </c>
      <c r="B1197" s="17" t="s">
        <v>487</v>
      </c>
      <c r="C1197" s="17" t="s">
        <v>491</v>
      </c>
      <c r="D1197" s="18" t="s">
        <v>4473</v>
      </c>
      <c r="E1197" s="17" t="s">
        <v>505</v>
      </c>
      <c r="F1197" s="17" t="s">
        <v>204</v>
      </c>
      <c r="G1197" s="18" t="s">
        <v>3849</v>
      </c>
      <c r="H1197" s="20" t="s">
        <v>4480</v>
      </c>
      <c r="I1197" s="17" t="s">
        <v>507</v>
      </c>
      <c r="J1197" s="21">
        <v>1</v>
      </c>
      <c r="K1197" s="21" t="s">
        <v>3945</v>
      </c>
      <c r="L1197" s="21" t="s">
        <v>4481</v>
      </c>
      <c r="M1197" s="19" t="s">
        <v>4476</v>
      </c>
      <c r="N1197" s="19" t="s">
        <v>509</v>
      </c>
      <c r="O1197" s="19" t="s">
        <v>3852</v>
      </c>
      <c r="P1197" s="19" t="s">
        <v>4477</v>
      </c>
      <c r="Q1197" s="18" t="s">
        <v>286</v>
      </c>
      <c r="R1197" s="22" t="s">
        <v>88</v>
      </c>
      <c r="S1197" s="18" t="s">
        <v>3949</v>
      </c>
      <c r="T1197" s="21" t="s">
        <v>55</v>
      </c>
    </row>
    <row r="1198" spans="1:20" ht="16.5">
      <c r="A1198" s="11" t="s">
        <v>3131</v>
      </c>
      <c r="B1198" s="11" t="s">
        <v>487</v>
      </c>
      <c r="C1198" s="11" t="s">
        <v>488</v>
      </c>
      <c r="D1198" s="12" t="s">
        <v>4482</v>
      </c>
      <c r="E1198" s="11" t="s">
        <v>490</v>
      </c>
      <c r="F1198" s="11" t="s">
        <v>491</v>
      </c>
      <c r="G1198" s="12" t="s">
        <v>4483</v>
      </c>
      <c r="H1198" s="23" t="s">
        <v>584</v>
      </c>
      <c r="I1198" s="11" t="s">
        <v>4453</v>
      </c>
      <c r="J1198" s="14">
        <v>1</v>
      </c>
      <c r="K1198" s="14" t="s">
        <v>3945</v>
      </c>
      <c r="L1198" s="14" t="s">
        <v>4484</v>
      </c>
      <c r="M1198" s="15" t="s">
        <v>4485</v>
      </c>
      <c r="N1198" s="15" t="s">
        <v>497</v>
      </c>
      <c r="O1198" s="15" t="s">
        <v>4486</v>
      </c>
      <c r="P1198" s="15" t="s">
        <v>4487</v>
      </c>
      <c r="Q1198" s="15" t="s">
        <v>500</v>
      </c>
      <c r="R1198" s="16" t="s">
        <v>54</v>
      </c>
      <c r="S1198" s="12" t="s">
        <v>3949</v>
      </c>
      <c r="T1198" s="14" t="s">
        <v>55</v>
      </c>
    </row>
    <row r="1199" spans="1:20" ht="16.5">
      <c r="A1199" s="17" t="s">
        <v>3131</v>
      </c>
      <c r="B1199" s="17" t="s">
        <v>487</v>
      </c>
      <c r="C1199" s="17" t="s">
        <v>204</v>
      </c>
      <c r="D1199" s="18" t="s">
        <v>3849</v>
      </c>
      <c r="E1199" s="17" t="s">
        <v>501</v>
      </c>
      <c r="F1199" s="17" t="s">
        <v>488</v>
      </c>
      <c r="G1199" s="18" t="s">
        <v>4482</v>
      </c>
      <c r="H1199" s="20" t="s">
        <v>4488</v>
      </c>
      <c r="I1199" s="17" t="s">
        <v>4453</v>
      </c>
      <c r="J1199" s="21">
        <v>1</v>
      </c>
      <c r="K1199" s="21" t="s">
        <v>3945</v>
      </c>
      <c r="L1199" s="21" t="s">
        <v>4489</v>
      </c>
      <c r="M1199" s="19" t="s">
        <v>3852</v>
      </c>
      <c r="N1199" s="19" t="s">
        <v>504</v>
      </c>
      <c r="O1199" s="19" t="s">
        <v>4485</v>
      </c>
      <c r="P1199" s="19"/>
      <c r="Q1199" s="19" t="s">
        <v>211</v>
      </c>
      <c r="R1199" s="16" t="s">
        <v>54</v>
      </c>
      <c r="S1199" s="18" t="s">
        <v>3949</v>
      </c>
      <c r="T1199" s="21" t="s">
        <v>55</v>
      </c>
    </row>
    <row r="1200" spans="1:20" ht="16.5">
      <c r="A1200" s="11" t="s">
        <v>3131</v>
      </c>
      <c r="B1200" s="11" t="s">
        <v>487</v>
      </c>
      <c r="C1200" s="11" t="s">
        <v>491</v>
      </c>
      <c r="D1200" s="12" t="s">
        <v>4483</v>
      </c>
      <c r="E1200" s="11" t="s">
        <v>505</v>
      </c>
      <c r="F1200" s="11" t="s">
        <v>204</v>
      </c>
      <c r="G1200" s="12" t="s">
        <v>3849</v>
      </c>
      <c r="H1200" s="13" t="s">
        <v>4490</v>
      </c>
      <c r="I1200" s="11" t="s">
        <v>507</v>
      </c>
      <c r="J1200" s="14">
        <v>1</v>
      </c>
      <c r="K1200" s="14" t="s">
        <v>3945</v>
      </c>
      <c r="L1200" s="14" t="s">
        <v>4491</v>
      </c>
      <c r="M1200" s="15" t="s">
        <v>4486</v>
      </c>
      <c r="N1200" s="15" t="s">
        <v>509</v>
      </c>
      <c r="O1200" s="15" t="s">
        <v>3852</v>
      </c>
      <c r="P1200" s="15" t="s">
        <v>4487</v>
      </c>
      <c r="Q1200" s="12" t="s">
        <v>286</v>
      </c>
      <c r="R1200" s="22" t="s">
        <v>88</v>
      </c>
      <c r="S1200" s="12" t="s">
        <v>3949</v>
      </c>
      <c r="T1200" s="14" t="s">
        <v>55</v>
      </c>
    </row>
    <row r="1201" spans="1:20" ht="16.5">
      <c r="A1201" s="17" t="s">
        <v>3131</v>
      </c>
      <c r="B1201" s="17" t="s">
        <v>487</v>
      </c>
      <c r="C1201" s="17" t="s">
        <v>488</v>
      </c>
      <c r="D1201" s="18" t="s">
        <v>4492</v>
      </c>
      <c r="E1201" s="17" t="s">
        <v>490</v>
      </c>
      <c r="F1201" s="17" t="s">
        <v>491</v>
      </c>
      <c r="G1201" s="18" t="s">
        <v>4493</v>
      </c>
      <c r="H1201" s="24" t="s">
        <v>584</v>
      </c>
      <c r="I1201" s="17" t="s">
        <v>494</v>
      </c>
      <c r="J1201" s="21">
        <v>1</v>
      </c>
      <c r="K1201" s="21" t="s">
        <v>3945</v>
      </c>
      <c r="L1201" s="21" t="s">
        <v>4494</v>
      </c>
      <c r="M1201" s="19" t="s">
        <v>4495</v>
      </c>
      <c r="N1201" s="19" t="s">
        <v>497</v>
      </c>
      <c r="O1201" s="19" t="s">
        <v>4496</v>
      </c>
      <c r="P1201" s="19" t="s">
        <v>4497</v>
      </c>
      <c r="Q1201" s="19" t="s">
        <v>500</v>
      </c>
      <c r="R1201" s="16" t="s">
        <v>54</v>
      </c>
      <c r="S1201" s="18" t="s">
        <v>3949</v>
      </c>
      <c r="T1201" s="21" t="s">
        <v>55</v>
      </c>
    </row>
    <row r="1202" spans="1:20" ht="16.5">
      <c r="A1202" s="11" t="s">
        <v>3131</v>
      </c>
      <c r="B1202" s="11" t="s">
        <v>487</v>
      </c>
      <c r="C1202" s="11" t="s">
        <v>204</v>
      </c>
      <c r="D1202" s="12" t="s">
        <v>4108</v>
      </c>
      <c r="E1202" s="11" t="s">
        <v>501</v>
      </c>
      <c r="F1202" s="11" t="s">
        <v>488</v>
      </c>
      <c r="G1202" s="12" t="s">
        <v>4492</v>
      </c>
      <c r="H1202" s="13" t="s">
        <v>4498</v>
      </c>
      <c r="I1202" s="11" t="s">
        <v>494</v>
      </c>
      <c r="J1202" s="14">
        <v>1</v>
      </c>
      <c r="K1202" s="14" t="s">
        <v>3945</v>
      </c>
      <c r="L1202" s="14" t="s">
        <v>4499</v>
      </c>
      <c r="M1202" s="15" t="s">
        <v>4110</v>
      </c>
      <c r="N1202" s="15" t="s">
        <v>504</v>
      </c>
      <c r="O1202" s="15" t="s">
        <v>4495</v>
      </c>
      <c r="P1202" s="15"/>
      <c r="Q1202" s="15" t="s">
        <v>211</v>
      </c>
      <c r="R1202" s="16" t="s">
        <v>54</v>
      </c>
      <c r="S1202" s="12" t="s">
        <v>3949</v>
      </c>
      <c r="T1202" s="14" t="s">
        <v>55</v>
      </c>
    </row>
    <row r="1203" spans="1:20" ht="29.25">
      <c r="A1203" s="17" t="s">
        <v>3131</v>
      </c>
      <c r="B1203" s="17" t="s">
        <v>487</v>
      </c>
      <c r="C1203" s="17" t="s">
        <v>491</v>
      </c>
      <c r="D1203" s="18" t="s">
        <v>4493</v>
      </c>
      <c r="E1203" s="17" t="s">
        <v>505</v>
      </c>
      <c r="F1203" s="17" t="s">
        <v>204</v>
      </c>
      <c r="G1203" s="18" t="s">
        <v>4108</v>
      </c>
      <c r="H1203" s="20" t="s">
        <v>4500</v>
      </c>
      <c r="I1203" s="17" t="s">
        <v>507</v>
      </c>
      <c r="J1203" s="21">
        <v>1</v>
      </c>
      <c r="K1203" s="21" t="s">
        <v>3945</v>
      </c>
      <c r="L1203" s="21" t="s">
        <v>4501</v>
      </c>
      <c r="M1203" s="19" t="s">
        <v>4496</v>
      </c>
      <c r="N1203" s="19" t="s">
        <v>509</v>
      </c>
      <c r="O1203" s="19" t="s">
        <v>4110</v>
      </c>
      <c r="P1203" s="19" t="s">
        <v>4497</v>
      </c>
      <c r="Q1203" s="18" t="s">
        <v>286</v>
      </c>
      <c r="R1203" s="22" t="s">
        <v>88</v>
      </c>
      <c r="S1203" s="18" t="s">
        <v>3949</v>
      </c>
      <c r="T1203" s="21" t="s">
        <v>55</v>
      </c>
    </row>
    <row r="1204" spans="1:20" ht="16.5">
      <c r="A1204" s="11" t="s">
        <v>3131</v>
      </c>
      <c r="B1204" s="11" t="s">
        <v>487</v>
      </c>
      <c r="C1204" s="11" t="s">
        <v>491</v>
      </c>
      <c r="D1204" s="12" t="s">
        <v>4502</v>
      </c>
      <c r="E1204" s="11" t="s">
        <v>555</v>
      </c>
      <c r="F1204" s="11" t="s">
        <v>556</v>
      </c>
      <c r="G1204" s="12" t="s">
        <v>4503</v>
      </c>
      <c r="H1204" s="13" t="s">
        <v>4504</v>
      </c>
      <c r="I1204" s="11" t="s">
        <v>559</v>
      </c>
      <c r="J1204" s="14">
        <v>1</v>
      </c>
      <c r="K1204" s="14" t="s">
        <v>3945</v>
      </c>
      <c r="L1204" s="14" t="s">
        <v>4505</v>
      </c>
      <c r="M1204" s="15" t="s">
        <v>4506</v>
      </c>
      <c r="N1204" s="15" t="s">
        <v>561</v>
      </c>
      <c r="O1204" s="15" t="s">
        <v>4507</v>
      </c>
      <c r="P1204" s="15"/>
      <c r="Q1204" s="12" t="s">
        <v>53</v>
      </c>
      <c r="R1204" s="16" t="s">
        <v>54</v>
      </c>
      <c r="S1204" s="12" t="s">
        <v>3949</v>
      </c>
      <c r="T1204" s="26" t="s">
        <v>3848</v>
      </c>
    </row>
    <row r="1205" spans="1:20" ht="16.5">
      <c r="A1205" s="17" t="s">
        <v>3131</v>
      </c>
      <c r="B1205" s="17" t="s">
        <v>487</v>
      </c>
      <c r="C1205" s="17" t="s">
        <v>491</v>
      </c>
      <c r="D1205" s="18" t="s">
        <v>4451</v>
      </c>
      <c r="E1205" s="17" t="s">
        <v>555</v>
      </c>
      <c r="F1205" s="17" t="s">
        <v>556</v>
      </c>
      <c r="G1205" s="18" t="s">
        <v>4503</v>
      </c>
      <c r="H1205" s="20" t="s">
        <v>4504</v>
      </c>
      <c r="I1205" s="17" t="s">
        <v>559</v>
      </c>
      <c r="J1205" s="21">
        <v>1</v>
      </c>
      <c r="K1205" s="21" t="s">
        <v>3945</v>
      </c>
      <c r="L1205" s="21" t="s">
        <v>4508</v>
      </c>
      <c r="M1205" s="19" t="s">
        <v>4456</v>
      </c>
      <c r="N1205" s="19" t="s">
        <v>561</v>
      </c>
      <c r="O1205" s="19" t="s">
        <v>4507</v>
      </c>
      <c r="P1205" s="19"/>
      <c r="Q1205" s="18" t="s">
        <v>53</v>
      </c>
      <c r="R1205" s="16" t="s">
        <v>54</v>
      </c>
      <c r="S1205" s="18" t="s">
        <v>3949</v>
      </c>
      <c r="T1205" s="21" t="s">
        <v>55</v>
      </c>
    </row>
    <row r="1206" spans="1:20" ht="16.5">
      <c r="A1206" s="11" t="s">
        <v>3131</v>
      </c>
      <c r="B1206" s="11" t="s">
        <v>487</v>
      </c>
      <c r="C1206" s="11" t="s">
        <v>491</v>
      </c>
      <c r="D1206" s="12" t="s">
        <v>4463</v>
      </c>
      <c r="E1206" s="11" t="s">
        <v>555</v>
      </c>
      <c r="F1206" s="11" t="s">
        <v>556</v>
      </c>
      <c r="G1206" s="12" t="s">
        <v>4503</v>
      </c>
      <c r="H1206" s="13" t="s">
        <v>4504</v>
      </c>
      <c r="I1206" s="11" t="s">
        <v>559</v>
      </c>
      <c r="J1206" s="14">
        <v>1</v>
      </c>
      <c r="K1206" s="14" t="s">
        <v>3945</v>
      </c>
      <c r="L1206" s="14" t="s">
        <v>4509</v>
      </c>
      <c r="M1206" s="15" t="s">
        <v>4466</v>
      </c>
      <c r="N1206" s="15" t="s">
        <v>561</v>
      </c>
      <c r="O1206" s="15" t="s">
        <v>4507</v>
      </c>
      <c r="P1206" s="15"/>
      <c r="Q1206" s="12" t="s">
        <v>53</v>
      </c>
      <c r="R1206" s="16" t="s">
        <v>54</v>
      </c>
      <c r="S1206" s="12" t="s">
        <v>3949</v>
      </c>
      <c r="T1206" s="14" t="s">
        <v>55</v>
      </c>
    </row>
    <row r="1207" spans="1:20" ht="16.5">
      <c r="A1207" s="17" t="s">
        <v>3131</v>
      </c>
      <c r="B1207" s="17" t="s">
        <v>564</v>
      </c>
      <c r="C1207" s="17" t="s">
        <v>204</v>
      </c>
      <c r="D1207" s="18" t="s">
        <v>4108</v>
      </c>
      <c r="E1207" s="17" t="s">
        <v>565</v>
      </c>
      <c r="F1207" s="17" t="s">
        <v>566</v>
      </c>
      <c r="G1207" s="18" t="s">
        <v>4510</v>
      </c>
      <c r="H1207" s="20" t="s">
        <v>4511</v>
      </c>
      <c r="I1207" s="17" t="s">
        <v>569</v>
      </c>
      <c r="J1207" s="21">
        <v>1</v>
      </c>
      <c r="K1207" s="21" t="s">
        <v>3945</v>
      </c>
      <c r="L1207" s="21" t="s">
        <v>4512</v>
      </c>
      <c r="M1207" s="19" t="s">
        <v>4110</v>
      </c>
      <c r="N1207" s="19" t="s">
        <v>571</v>
      </c>
      <c r="O1207" s="19" t="s">
        <v>4513</v>
      </c>
      <c r="P1207" s="19" t="s">
        <v>4111</v>
      </c>
      <c r="Q1207" s="18" t="s">
        <v>53</v>
      </c>
      <c r="R1207" s="16" t="s">
        <v>54</v>
      </c>
      <c r="S1207" s="18" t="s">
        <v>3949</v>
      </c>
      <c r="T1207" s="21" t="s">
        <v>55</v>
      </c>
    </row>
    <row r="1208" spans="1:20" ht="16.5">
      <c r="A1208" s="11" t="s">
        <v>3131</v>
      </c>
      <c r="B1208" s="11" t="s">
        <v>564</v>
      </c>
      <c r="C1208" s="11" t="s">
        <v>204</v>
      </c>
      <c r="D1208" s="12" t="s">
        <v>2103</v>
      </c>
      <c r="E1208" s="11" t="s">
        <v>565</v>
      </c>
      <c r="F1208" s="11" t="s">
        <v>566</v>
      </c>
      <c r="G1208" s="12" t="s">
        <v>4514</v>
      </c>
      <c r="H1208" s="13" t="s">
        <v>4515</v>
      </c>
      <c r="I1208" s="11" t="s">
        <v>569</v>
      </c>
      <c r="J1208" s="14">
        <v>1</v>
      </c>
      <c r="K1208" s="14" t="s">
        <v>3945</v>
      </c>
      <c r="L1208" s="14" t="s">
        <v>4516</v>
      </c>
      <c r="M1208" s="15" t="s">
        <v>2107</v>
      </c>
      <c r="N1208" s="15" t="s">
        <v>571</v>
      </c>
      <c r="O1208" s="15" t="s">
        <v>4517</v>
      </c>
      <c r="P1208" s="15" t="s">
        <v>2109</v>
      </c>
      <c r="Q1208" s="12" t="s">
        <v>53</v>
      </c>
      <c r="R1208" s="16" t="s">
        <v>54</v>
      </c>
      <c r="S1208" s="12" t="s">
        <v>3949</v>
      </c>
      <c r="T1208" s="14" t="s">
        <v>55</v>
      </c>
    </row>
    <row r="1209" spans="1:20" ht="16.5">
      <c r="A1209" s="17" t="s">
        <v>3131</v>
      </c>
      <c r="B1209" s="17" t="s">
        <v>564</v>
      </c>
      <c r="C1209" s="17" t="s">
        <v>204</v>
      </c>
      <c r="D1209" s="18" t="s">
        <v>3937</v>
      </c>
      <c r="E1209" s="17" t="s">
        <v>565</v>
      </c>
      <c r="F1209" s="17" t="s">
        <v>566</v>
      </c>
      <c r="G1209" s="18" t="s">
        <v>4518</v>
      </c>
      <c r="H1209" s="20" t="s">
        <v>4519</v>
      </c>
      <c r="I1209" s="17" t="s">
        <v>569</v>
      </c>
      <c r="J1209" s="21">
        <v>1</v>
      </c>
      <c r="K1209" s="21" t="s">
        <v>3945</v>
      </c>
      <c r="L1209" s="21" t="s">
        <v>4520</v>
      </c>
      <c r="M1209" s="19" t="s">
        <v>3940</v>
      </c>
      <c r="N1209" s="19" t="s">
        <v>571</v>
      </c>
      <c r="O1209" s="19" t="s">
        <v>4521</v>
      </c>
      <c r="P1209" s="19" t="s">
        <v>4522</v>
      </c>
      <c r="Q1209" s="18" t="s">
        <v>53</v>
      </c>
      <c r="R1209" s="16" t="s">
        <v>54</v>
      </c>
      <c r="S1209" s="18" t="s">
        <v>3949</v>
      </c>
      <c r="T1209" s="21" t="s">
        <v>55</v>
      </c>
    </row>
    <row r="1210" spans="1:20" ht="16.5">
      <c r="A1210" s="11" t="s">
        <v>3131</v>
      </c>
      <c r="B1210" s="11" t="s">
        <v>578</v>
      </c>
      <c r="C1210" s="11" t="s">
        <v>300</v>
      </c>
      <c r="D1210" s="12" t="s">
        <v>3378</v>
      </c>
      <c r="E1210" s="11" t="s">
        <v>579</v>
      </c>
      <c r="F1210" s="11" t="s">
        <v>62</v>
      </c>
      <c r="G1210" s="15" t="s">
        <v>3617</v>
      </c>
      <c r="H1210" s="23" t="s">
        <v>584</v>
      </c>
      <c r="I1210" s="11" t="s">
        <v>581</v>
      </c>
      <c r="J1210" s="14">
        <v>1</v>
      </c>
      <c r="K1210" s="14" t="s">
        <v>3945</v>
      </c>
      <c r="L1210" s="14" t="s">
        <v>4523</v>
      </c>
      <c r="M1210" s="15" t="s">
        <v>3382</v>
      </c>
      <c r="N1210" s="15" t="s">
        <v>583</v>
      </c>
      <c r="O1210" s="15" t="s">
        <v>3620</v>
      </c>
      <c r="P1210" s="15"/>
      <c r="Q1210" s="12" t="s">
        <v>53</v>
      </c>
      <c r="R1210" s="16" t="s">
        <v>54</v>
      </c>
      <c r="S1210" s="12" t="s">
        <v>3949</v>
      </c>
      <c r="T1210" s="14" t="s">
        <v>55</v>
      </c>
    </row>
    <row r="1211" spans="1:20" ht="16.5">
      <c r="A1211" s="17" t="s">
        <v>3131</v>
      </c>
      <c r="B1211" s="17" t="s">
        <v>578</v>
      </c>
      <c r="C1211" s="17" t="s">
        <v>62</v>
      </c>
      <c r="D1211" s="19" t="s">
        <v>3617</v>
      </c>
      <c r="E1211" s="17" t="s">
        <v>45</v>
      </c>
      <c r="F1211" s="17" t="s">
        <v>62</v>
      </c>
      <c r="G1211" s="18" t="s">
        <v>3928</v>
      </c>
      <c r="H1211" s="24" t="s">
        <v>4524</v>
      </c>
      <c r="I1211" s="17" t="s">
        <v>581</v>
      </c>
      <c r="J1211" s="21">
        <v>1</v>
      </c>
      <c r="K1211" s="21" t="s">
        <v>3945</v>
      </c>
      <c r="L1211" s="21" t="s">
        <v>4525</v>
      </c>
      <c r="M1211" s="19" t="s">
        <v>3620</v>
      </c>
      <c r="N1211" s="19" t="s">
        <v>51</v>
      </c>
      <c r="O1211" s="19" t="s">
        <v>3931</v>
      </c>
      <c r="P1211" s="19"/>
      <c r="Q1211" s="18" t="s">
        <v>53</v>
      </c>
      <c r="R1211" s="16" t="s">
        <v>54</v>
      </c>
      <c r="S1211" s="18" t="s">
        <v>3949</v>
      </c>
      <c r="T1211" s="21" t="s">
        <v>55</v>
      </c>
    </row>
    <row r="1212" spans="1:20" ht="16.5">
      <c r="A1212" s="11" t="s">
        <v>3131</v>
      </c>
      <c r="B1212" s="11" t="s">
        <v>578</v>
      </c>
      <c r="C1212" s="11" t="s">
        <v>300</v>
      </c>
      <c r="D1212" s="12" t="s">
        <v>3378</v>
      </c>
      <c r="E1212" s="11" t="s">
        <v>579</v>
      </c>
      <c r="F1212" s="11" t="s">
        <v>62</v>
      </c>
      <c r="G1212" s="12" t="s">
        <v>3928</v>
      </c>
      <c r="H1212" s="13" t="s">
        <v>4526</v>
      </c>
      <c r="I1212" s="11" t="s">
        <v>581</v>
      </c>
      <c r="J1212" s="14">
        <v>1</v>
      </c>
      <c r="K1212" s="14" t="s">
        <v>3945</v>
      </c>
      <c r="L1212" s="14" t="s">
        <v>4527</v>
      </c>
      <c r="M1212" s="15" t="s">
        <v>3382</v>
      </c>
      <c r="N1212" s="15" t="s">
        <v>583</v>
      </c>
      <c r="O1212" s="15" t="s">
        <v>3931</v>
      </c>
      <c r="P1212" s="15"/>
      <c r="Q1212" s="12" t="s">
        <v>53</v>
      </c>
      <c r="R1212" s="16" t="s">
        <v>54</v>
      </c>
      <c r="S1212" s="12" t="s">
        <v>3949</v>
      </c>
      <c r="T1212" s="26" t="s">
        <v>673</v>
      </c>
    </row>
    <row r="1213" spans="1:20" ht="16.5">
      <c r="A1213" s="17" t="s">
        <v>3131</v>
      </c>
      <c r="B1213" s="17" t="s">
        <v>578</v>
      </c>
      <c r="C1213" s="17" t="s">
        <v>300</v>
      </c>
      <c r="D1213" s="18" t="s">
        <v>3844</v>
      </c>
      <c r="E1213" s="17" t="s">
        <v>579</v>
      </c>
      <c r="F1213" s="17" t="s">
        <v>62</v>
      </c>
      <c r="G1213" s="18" t="s">
        <v>3928</v>
      </c>
      <c r="H1213" s="20" t="s">
        <v>4528</v>
      </c>
      <c r="I1213" s="17" t="s">
        <v>581</v>
      </c>
      <c r="J1213" s="21">
        <v>1</v>
      </c>
      <c r="K1213" s="21" t="s">
        <v>3945</v>
      </c>
      <c r="L1213" s="21" t="s">
        <v>4529</v>
      </c>
      <c r="M1213" s="19" t="s">
        <v>3847</v>
      </c>
      <c r="N1213" s="19" t="s">
        <v>583</v>
      </c>
      <c r="O1213" s="19" t="s">
        <v>3931</v>
      </c>
      <c r="P1213" s="19"/>
      <c r="Q1213" s="18" t="s">
        <v>53</v>
      </c>
      <c r="R1213" s="16" t="s">
        <v>54</v>
      </c>
      <c r="S1213" s="18" t="s">
        <v>3949</v>
      </c>
      <c r="T1213" s="26" t="s">
        <v>673</v>
      </c>
    </row>
    <row r="1214" spans="1:20" ht="16.5">
      <c r="A1214" s="11" t="s">
        <v>3131</v>
      </c>
      <c r="B1214" s="11" t="s">
        <v>578</v>
      </c>
      <c r="C1214" s="11" t="s">
        <v>300</v>
      </c>
      <c r="D1214" s="12" t="s">
        <v>3854</v>
      </c>
      <c r="E1214" s="11" t="s">
        <v>4530</v>
      </c>
      <c r="F1214" s="11" t="s">
        <v>62</v>
      </c>
      <c r="G1214" s="12" t="s">
        <v>3928</v>
      </c>
      <c r="H1214" s="13" t="s">
        <v>4531</v>
      </c>
      <c r="I1214" s="11" t="s">
        <v>632</v>
      </c>
      <c r="J1214" s="14">
        <v>1</v>
      </c>
      <c r="K1214" s="14" t="s">
        <v>3945</v>
      </c>
      <c r="L1214" s="14" t="s">
        <v>4532</v>
      </c>
      <c r="M1214" s="15" t="s">
        <v>3858</v>
      </c>
      <c r="N1214" s="15" t="s">
        <v>4533</v>
      </c>
      <c r="O1214" s="15" t="s">
        <v>3931</v>
      </c>
      <c r="P1214" s="15"/>
      <c r="Q1214" s="12" t="s">
        <v>53</v>
      </c>
      <c r="R1214" s="16" t="s">
        <v>54</v>
      </c>
      <c r="S1214" s="12" t="s">
        <v>3949</v>
      </c>
      <c r="T1214" s="26" t="s">
        <v>673</v>
      </c>
    </row>
    <row r="1215" spans="1:20" ht="16.5">
      <c r="A1215" s="17" t="s">
        <v>3131</v>
      </c>
      <c r="B1215" s="17" t="s">
        <v>578</v>
      </c>
      <c r="C1215" s="17" t="s">
        <v>1250</v>
      </c>
      <c r="D1215" s="18" t="s">
        <v>1391</v>
      </c>
      <c r="E1215" s="17" t="s">
        <v>1386</v>
      </c>
      <c r="F1215" s="17" t="s">
        <v>62</v>
      </c>
      <c r="G1215" s="18" t="s">
        <v>3928</v>
      </c>
      <c r="H1215" s="20" t="s">
        <v>4534</v>
      </c>
      <c r="I1215" s="17" t="s">
        <v>3613</v>
      </c>
      <c r="J1215" s="21">
        <v>1</v>
      </c>
      <c r="K1215" s="21" t="s">
        <v>3945</v>
      </c>
      <c r="L1215" s="21" t="s">
        <v>4535</v>
      </c>
      <c r="M1215" s="19" t="s">
        <v>1394</v>
      </c>
      <c r="N1215" s="19" t="s">
        <v>1390</v>
      </c>
      <c r="O1215" s="19" t="s">
        <v>3931</v>
      </c>
      <c r="P1215" s="19"/>
      <c r="Q1215" s="18" t="s">
        <v>53</v>
      </c>
      <c r="R1215" s="16" t="s">
        <v>54</v>
      </c>
      <c r="S1215" s="18" t="s">
        <v>3949</v>
      </c>
      <c r="T1215" s="21" t="s">
        <v>55</v>
      </c>
    </row>
    <row r="1216" spans="1:20" ht="16.5">
      <c r="A1216" s="11" t="s">
        <v>3131</v>
      </c>
      <c r="B1216" s="11" t="s">
        <v>578</v>
      </c>
      <c r="C1216" s="11" t="s">
        <v>1250</v>
      </c>
      <c r="D1216" s="12" t="s">
        <v>3593</v>
      </c>
      <c r="E1216" s="11" t="s">
        <v>1386</v>
      </c>
      <c r="F1216" s="11" t="s">
        <v>62</v>
      </c>
      <c r="G1216" s="12" t="s">
        <v>3928</v>
      </c>
      <c r="H1216" s="13" t="s">
        <v>4536</v>
      </c>
      <c r="I1216" s="11" t="s">
        <v>4537</v>
      </c>
      <c r="J1216" s="14">
        <v>1</v>
      </c>
      <c r="K1216" s="14" t="s">
        <v>3945</v>
      </c>
      <c r="L1216" s="14" t="s">
        <v>4538</v>
      </c>
      <c r="M1216" s="15" t="s">
        <v>3596</v>
      </c>
      <c r="N1216" s="15" t="s">
        <v>1390</v>
      </c>
      <c r="O1216" s="15" t="s">
        <v>3931</v>
      </c>
      <c r="P1216" s="15"/>
      <c r="Q1216" s="12" t="s">
        <v>649</v>
      </c>
      <c r="R1216" s="22" t="s">
        <v>88</v>
      </c>
      <c r="S1216" s="12" t="s">
        <v>3949</v>
      </c>
      <c r="T1216" s="14" t="s">
        <v>55</v>
      </c>
    </row>
    <row r="1217" spans="1:20" ht="16.5">
      <c r="A1217" s="17" t="s">
        <v>3131</v>
      </c>
      <c r="B1217" s="17" t="s">
        <v>578</v>
      </c>
      <c r="C1217" s="17" t="s">
        <v>62</v>
      </c>
      <c r="D1217" s="18" t="s">
        <v>3928</v>
      </c>
      <c r="E1217" s="17" t="s">
        <v>635</v>
      </c>
      <c r="F1217" s="17" t="s">
        <v>300</v>
      </c>
      <c r="G1217" s="18" t="s">
        <v>4147</v>
      </c>
      <c r="H1217" s="20" t="s">
        <v>4539</v>
      </c>
      <c r="I1217" s="17" t="s">
        <v>4537</v>
      </c>
      <c r="J1217" s="21">
        <v>1</v>
      </c>
      <c r="K1217" s="21" t="s">
        <v>3945</v>
      </c>
      <c r="L1217" s="21" t="s">
        <v>4540</v>
      </c>
      <c r="M1217" s="19" t="s">
        <v>3931</v>
      </c>
      <c r="N1217" s="19" t="s">
        <v>640</v>
      </c>
      <c r="O1217" s="19" t="s">
        <v>4151</v>
      </c>
      <c r="P1217" s="19"/>
      <c r="Q1217" s="18" t="s">
        <v>53</v>
      </c>
      <c r="R1217" s="16" t="s">
        <v>54</v>
      </c>
      <c r="S1217" s="18" t="s">
        <v>3949</v>
      </c>
      <c r="T1217" s="26" t="s">
        <v>673</v>
      </c>
    </row>
    <row r="1218" spans="1:20" ht="16.5">
      <c r="A1218" s="11" t="s">
        <v>3131</v>
      </c>
      <c r="B1218" s="11" t="s">
        <v>578</v>
      </c>
      <c r="C1218" s="11" t="s">
        <v>300</v>
      </c>
      <c r="D1218" s="12" t="s">
        <v>4147</v>
      </c>
      <c r="E1218" s="11" t="s">
        <v>579</v>
      </c>
      <c r="F1218" s="11" t="s">
        <v>62</v>
      </c>
      <c r="G1218" s="12" t="s">
        <v>4065</v>
      </c>
      <c r="H1218" s="13" t="s">
        <v>4541</v>
      </c>
      <c r="I1218" s="11" t="s">
        <v>3613</v>
      </c>
      <c r="J1218" s="14">
        <v>1</v>
      </c>
      <c r="K1218" s="14" t="s">
        <v>3945</v>
      </c>
      <c r="L1218" s="14" t="s">
        <v>4542</v>
      </c>
      <c r="M1218" s="15" t="s">
        <v>4151</v>
      </c>
      <c r="N1218" s="15" t="s">
        <v>583</v>
      </c>
      <c r="O1218" s="15" t="s">
        <v>4068</v>
      </c>
      <c r="P1218" s="15"/>
      <c r="Q1218" s="12" t="s">
        <v>53</v>
      </c>
      <c r="R1218" s="16" t="s">
        <v>54</v>
      </c>
      <c r="S1218" s="12" t="s">
        <v>3949</v>
      </c>
      <c r="T1218" s="26" t="s">
        <v>673</v>
      </c>
    </row>
    <row r="1219" spans="1:20" ht="16.5">
      <c r="A1219" s="17" t="s">
        <v>3131</v>
      </c>
      <c r="B1219" s="17" t="s">
        <v>578</v>
      </c>
      <c r="C1219" s="17" t="s">
        <v>300</v>
      </c>
      <c r="D1219" s="18" t="s">
        <v>4543</v>
      </c>
      <c r="E1219" s="17" t="s">
        <v>579</v>
      </c>
      <c r="F1219" s="17" t="s">
        <v>62</v>
      </c>
      <c r="G1219" s="18" t="s">
        <v>3928</v>
      </c>
      <c r="H1219" s="20" t="s">
        <v>4544</v>
      </c>
      <c r="I1219" s="17" t="s">
        <v>645</v>
      </c>
      <c r="J1219" s="21">
        <v>1</v>
      </c>
      <c r="K1219" s="21" t="s">
        <v>3945</v>
      </c>
      <c r="L1219" s="21" t="s">
        <v>4545</v>
      </c>
      <c r="M1219" s="19" t="s">
        <v>4546</v>
      </c>
      <c r="N1219" s="19" t="s">
        <v>583</v>
      </c>
      <c r="O1219" s="19" t="s">
        <v>3931</v>
      </c>
      <c r="P1219" s="19"/>
      <c r="Q1219" s="18" t="s">
        <v>53</v>
      </c>
      <c r="R1219" s="16" t="s">
        <v>54</v>
      </c>
      <c r="S1219" s="18" t="s">
        <v>3949</v>
      </c>
      <c r="T1219" s="21" t="s">
        <v>55</v>
      </c>
    </row>
    <row r="1220" spans="1:20" ht="16.5">
      <c r="A1220" s="11" t="s">
        <v>3131</v>
      </c>
      <c r="B1220" s="11" t="s">
        <v>650</v>
      </c>
      <c r="C1220" s="11" t="s">
        <v>204</v>
      </c>
      <c r="D1220" s="12" t="s">
        <v>3353</v>
      </c>
      <c r="E1220" s="11" t="s">
        <v>667</v>
      </c>
      <c r="F1220" s="11" t="s">
        <v>204</v>
      </c>
      <c r="G1220" s="15" t="s">
        <v>3379</v>
      </c>
      <c r="H1220" s="13" t="s">
        <v>4547</v>
      </c>
      <c r="I1220" s="11" t="s">
        <v>680</v>
      </c>
      <c r="J1220" s="14">
        <v>2</v>
      </c>
      <c r="K1220" s="14" t="s">
        <v>3945</v>
      </c>
      <c r="L1220" s="14" t="s">
        <v>4548</v>
      </c>
      <c r="M1220" s="15" t="s">
        <v>3356</v>
      </c>
      <c r="N1220" s="15" t="s">
        <v>670</v>
      </c>
      <c r="O1220" s="15" t="s">
        <v>3383</v>
      </c>
      <c r="P1220" s="15" t="s">
        <v>4549</v>
      </c>
      <c r="Q1220" s="12" t="s">
        <v>286</v>
      </c>
      <c r="R1220" s="22" t="s">
        <v>88</v>
      </c>
      <c r="S1220" s="12" t="s">
        <v>3949</v>
      </c>
      <c r="T1220" s="26" t="s">
        <v>3848</v>
      </c>
    </row>
    <row r="1221" spans="1:20" ht="16.5">
      <c r="A1221" s="17" t="s">
        <v>3131</v>
      </c>
      <c r="B1221" s="17" t="s">
        <v>650</v>
      </c>
      <c r="C1221" s="17" t="s">
        <v>204</v>
      </c>
      <c r="D1221" s="19" t="s">
        <v>3379</v>
      </c>
      <c r="E1221" s="17" t="s">
        <v>667</v>
      </c>
      <c r="F1221" s="17" t="s">
        <v>204</v>
      </c>
      <c r="G1221" s="18" t="s">
        <v>3932</v>
      </c>
      <c r="H1221" s="20" t="s">
        <v>4550</v>
      </c>
      <c r="I1221" s="17" t="s">
        <v>680</v>
      </c>
      <c r="J1221" s="21">
        <v>1</v>
      </c>
      <c r="K1221" s="21" t="s">
        <v>3945</v>
      </c>
      <c r="L1221" s="21" t="s">
        <v>4551</v>
      </c>
      <c r="M1221" s="19" t="s">
        <v>3383</v>
      </c>
      <c r="N1221" s="19" t="s">
        <v>670</v>
      </c>
      <c r="O1221" s="19" t="s">
        <v>3935</v>
      </c>
      <c r="P1221" s="19" t="s">
        <v>4552</v>
      </c>
      <c r="Q1221" s="19" t="s">
        <v>661</v>
      </c>
      <c r="R1221" s="16" t="s">
        <v>54</v>
      </c>
      <c r="S1221" s="18" t="s">
        <v>3949</v>
      </c>
      <c r="T1221" s="26" t="s">
        <v>3848</v>
      </c>
    </row>
    <row r="1222" spans="1:20" ht="16.5">
      <c r="A1222" s="11" t="s">
        <v>3131</v>
      </c>
      <c r="B1222" s="11" t="s">
        <v>650</v>
      </c>
      <c r="C1222" s="11" t="s">
        <v>204</v>
      </c>
      <c r="D1222" s="12" t="s">
        <v>3932</v>
      </c>
      <c r="E1222" s="11" t="s">
        <v>654</v>
      </c>
      <c r="F1222" s="11" t="s">
        <v>204</v>
      </c>
      <c r="G1222" s="12" t="s">
        <v>3642</v>
      </c>
      <c r="H1222" s="13" t="s">
        <v>4553</v>
      </c>
      <c r="I1222" s="11" t="s">
        <v>652</v>
      </c>
      <c r="J1222" s="14">
        <v>1</v>
      </c>
      <c r="K1222" s="14" t="s">
        <v>3945</v>
      </c>
      <c r="L1222" s="14" t="s">
        <v>4554</v>
      </c>
      <c r="M1222" s="15" t="s">
        <v>3935</v>
      </c>
      <c r="N1222" s="15" t="s">
        <v>657</v>
      </c>
      <c r="O1222" s="15" t="s">
        <v>3646</v>
      </c>
      <c r="P1222" s="15" t="s">
        <v>4555</v>
      </c>
      <c r="Q1222" s="12" t="s">
        <v>286</v>
      </c>
      <c r="R1222" s="22" t="s">
        <v>88</v>
      </c>
      <c r="S1222" s="12" t="s">
        <v>3949</v>
      </c>
      <c r="T1222" s="26" t="s">
        <v>3848</v>
      </c>
    </row>
    <row r="1223" spans="1:20" ht="16.5">
      <c r="A1223" s="17" t="s">
        <v>3131</v>
      </c>
      <c r="B1223" s="17" t="s">
        <v>650</v>
      </c>
      <c r="C1223" s="17" t="s">
        <v>204</v>
      </c>
      <c r="D1223" s="18" t="s">
        <v>3932</v>
      </c>
      <c r="E1223" s="17" t="s">
        <v>654</v>
      </c>
      <c r="F1223" s="17" t="s">
        <v>295</v>
      </c>
      <c r="G1223" s="19" t="s">
        <v>4139</v>
      </c>
      <c r="H1223" s="20" t="s">
        <v>4556</v>
      </c>
      <c r="I1223" s="17" t="s">
        <v>652</v>
      </c>
      <c r="J1223" s="21">
        <v>1</v>
      </c>
      <c r="K1223" s="21" t="s">
        <v>3945</v>
      </c>
      <c r="L1223" s="21" t="s">
        <v>4557</v>
      </c>
      <c r="M1223" s="19" t="s">
        <v>3935</v>
      </c>
      <c r="N1223" s="19" t="s">
        <v>657</v>
      </c>
      <c r="O1223" s="19" t="s">
        <v>4142</v>
      </c>
      <c r="P1223" s="19" t="s">
        <v>4555</v>
      </c>
      <c r="Q1223" s="18" t="s">
        <v>286</v>
      </c>
      <c r="R1223" s="22" t="s">
        <v>88</v>
      </c>
      <c r="S1223" s="18" t="s">
        <v>3949</v>
      </c>
      <c r="T1223" s="26" t="s">
        <v>3848</v>
      </c>
    </row>
    <row r="1224" spans="1:20" ht="16.5">
      <c r="A1224" s="11" t="s">
        <v>3131</v>
      </c>
      <c r="B1224" s="11" t="s">
        <v>650</v>
      </c>
      <c r="C1224" s="11" t="s">
        <v>204</v>
      </c>
      <c r="D1224" s="12" t="s">
        <v>3932</v>
      </c>
      <c r="E1224" s="11" t="s">
        <v>667</v>
      </c>
      <c r="F1224" s="11" t="s">
        <v>204</v>
      </c>
      <c r="G1224" s="12" t="s">
        <v>4119</v>
      </c>
      <c r="H1224" s="13" t="s">
        <v>4558</v>
      </c>
      <c r="I1224" s="11" t="s">
        <v>652</v>
      </c>
      <c r="J1224" s="14">
        <v>1</v>
      </c>
      <c r="K1224" s="14" t="s">
        <v>3945</v>
      </c>
      <c r="L1224" s="14" t="s">
        <v>4559</v>
      </c>
      <c r="M1224" s="15" t="s">
        <v>3935</v>
      </c>
      <c r="N1224" s="15" t="s">
        <v>670</v>
      </c>
      <c r="O1224" s="15" t="s">
        <v>4122</v>
      </c>
      <c r="P1224" s="15" t="s">
        <v>4555</v>
      </c>
      <c r="Q1224" s="12" t="s">
        <v>286</v>
      </c>
      <c r="R1224" s="22" t="s">
        <v>88</v>
      </c>
      <c r="S1224" s="12" t="s">
        <v>3949</v>
      </c>
      <c r="T1224" s="14" t="s">
        <v>55</v>
      </c>
    </row>
    <row r="1225" spans="1:20" ht="16.5">
      <c r="A1225" s="17" t="s">
        <v>3131</v>
      </c>
      <c r="B1225" s="17" t="s">
        <v>650</v>
      </c>
      <c r="C1225" s="17" t="s">
        <v>204</v>
      </c>
      <c r="D1225" s="18" t="s">
        <v>3937</v>
      </c>
      <c r="E1225" s="17" t="s">
        <v>505</v>
      </c>
      <c r="F1225" s="17" t="s">
        <v>204</v>
      </c>
      <c r="G1225" s="18" t="s">
        <v>4119</v>
      </c>
      <c r="H1225" s="20" t="s">
        <v>4560</v>
      </c>
      <c r="I1225" s="17" t="s">
        <v>652</v>
      </c>
      <c r="J1225" s="21">
        <v>1</v>
      </c>
      <c r="K1225" s="21" t="s">
        <v>3945</v>
      </c>
      <c r="L1225" s="21" t="s">
        <v>4561</v>
      </c>
      <c r="M1225" s="19" t="s">
        <v>3940</v>
      </c>
      <c r="N1225" s="19" t="s">
        <v>509</v>
      </c>
      <c r="O1225" s="19" t="s">
        <v>4122</v>
      </c>
      <c r="P1225" s="19" t="s">
        <v>3941</v>
      </c>
      <c r="Q1225" s="18" t="s">
        <v>286</v>
      </c>
      <c r="R1225" s="22" t="s">
        <v>88</v>
      </c>
      <c r="S1225" s="18" t="s">
        <v>3949</v>
      </c>
      <c r="T1225" s="26" t="s">
        <v>673</v>
      </c>
    </row>
    <row r="1226" spans="1:20" ht="16.5">
      <c r="A1226" s="11" t="s">
        <v>3131</v>
      </c>
      <c r="B1226" s="11" t="s">
        <v>650</v>
      </c>
      <c r="C1226" s="11" t="s">
        <v>204</v>
      </c>
      <c r="D1226" s="12" t="s">
        <v>3937</v>
      </c>
      <c r="E1226" s="11" t="s">
        <v>505</v>
      </c>
      <c r="F1226" s="11" t="s">
        <v>295</v>
      </c>
      <c r="G1226" s="15" t="s">
        <v>4139</v>
      </c>
      <c r="H1226" s="23" t="s">
        <v>4562</v>
      </c>
      <c r="I1226" s="11" t="s">
        <v>652</v>
      </c>
      <c r="J1226" s="14">
        <v>2</v>
      </c>
      <c r="K1226" s="14" t="s">
        <v>3945</v>
      </c>
      <c r="L1226" s="14" t="s">
        <v>4563</v>
      </c>
      <c r="M1226" s="15" t="s">
        <v>3940</v>
      </c>
      <c r="N1226" s="15" t="s">
        <v>509</v>
      </c>
      <c r="O1226" s="15" t="s">
        <v>4142</v>
      </c>
      <c r="P1226" s="15" t="s">
        <v>3941</v>
      </c>
      <c r="Q1226" s="12" t="s">
        <v>286</v>
      </c>
      <c r="R1226" s="22" t="s">
        <v>88</v>
      </c>
      <c r="S1226" s="12" t="s">
        <v>3949</v>
      </c>
      <c r="T1226" s="14" t="s">
        <v>55</v>
      </c>
    </row>
    <row r="1227" spans="1:20" ht="16.5">
      <c r="A1227" s="17" t="s">
        <v>3131</v>
      </c>
      <c r="B1227" s="17" t="s">
        <v>650</v>
      </c>
      <c r="C1227" s="17" t="s">
        <v>204</v>
      </c>
      <c r="D1227" s="18" t="s">
        <v>3855</v>
      </c>
      <c r="E1227" s="17" t="s">
        <v>667</v>
      </c>
      <c r="F1227" s="17" t="s">
        <v>204</v>
      </c>
      <c r="G1227" s="18" t="s">
        <v>3937</v>
      </c>
      <c r="H1227" s="20" t="s">
        <v>4564</v>
      </c>
      <c r="I1227" s="17" t="s">
        <v>507</v>
      </c>
      <c r="J1227" s="21">
        <v>1</v>
      </c>
      <c r="K1227" s="21" t="s">
        <v>3945</v>
      </c>
      <c r="L1227" s="21" t="s">
        <v>4565</v>
      </c>
      <c r="M1227" s="19" t="s">
        <v>3859</v>
      </c>
      <c r="N1227" s="19" t="s">
        <v>670</v>
      </c>
      <c r="O1227" s="19" t="s">
        <v>3940</v>
      </c>
      <c r="P1227" s="19" t="s">
        <v>3941</v>
      </c>
      <c r="Q1227" s="19" t="s">
        <v>661</v>
      </c>
      <c r="R1227" s="16" t="s">
        <v>54</v>
      </c>
      <c r="S1227" s="18" t="s">
        <v>3949</v>
      </c>
      <c r="T1227" s="26" t="s">
        <v>673</v>
      </c>
    </row>
    <row r="1228" spans="1:20" ht="16.5">
      <c r="A1228" s="11" t="s">
        <v>3131</v>
      </c>
      <c r="B1228" s="11" t="s">
        <v>650</v>
      </c>
      <c r="C1228" s="11" t="s">
        <v>204</v>
      </c>
      <c r="D1228" s="12" t="s">
        <v>4101</v>
      </c>
      <c r="E1228" s="11" t="s">
        <v>654</v>
      </c>
      <c r="F1228" s="11" t="s">
        <v>204</v>
      </c>
      <c r="G1228" s="12" t="s">
        <v>3855</v>
      </c>
      <c r="H1228" s="13" t="s">
        <v>4566</v>
      </c>
      <c r="I1228" s="11" t="s">
        <v>4567</v>
      </c>
      <c r="J1228" s="14">
        <v>1</v>
      </c>
      <c r="K1228" s="14" t="s">
        <v>3945</v>
      </c>
      <c r="L1228" s="14" t="s">
        <v>4568</v>
      </c>
      <c r="M1228" s="15" t="s">
        <v>4104</v>
      </c>
      <c r="N1228" s="15" t="s">
        <v>657</v>
      </c>
      <c r="O1228" s="15" t="s">
        <v>3859</v>
      </c>
      <c r="P1228" s="15" t="s">
        <v>4569</v>
      </c>
      <c r="Q1228" s="15" t="s">
        <v>661</v>
      </c>
      <c r="R1228" s="16" t="s">
        <v>54</v>
      </c>
      <c r="S1228" s="12" t="s">
        <v>3949</v>
      </c>
      <c r="T1228" s="14" t="s">
        <v>55</v>
      </c>
    </row>
    <row r="1229" spans="1:20" ht="16.5">
      <c r="A1229" s="17" t="s">
        <v>3131</v>
      </c>
      <c r="B1229" s="17" t="s">
        <v>650</v>
      </c>
      <c r="C1229" s="17" t="s">
        <v>204</v>
      </c>
      <c r="D1229" s="18" t="s">
        <v>4119</v>
      </c>
      <c r="E1229" s="17" t="s">
        <v>667</v>
      </c>
      <c r="F1229" s="17" t="s">
        <v>204</v>
      </c>
      <c r="G1229" s="18" t="s">
        <v>3855</v>
      </c>
      <c r="H1229" s="20" t="s">
        <v>4570</v>
      </c>
      <c r="I1229" s="17" t="s">
        <v>652</v>
      </c>
      <c r="J1229" s="21">
        <v>1</v>
      </c>
      <c r="K1229" s="21" t="s">
        <v>3945</v>
      </c>
      <c r="L1229" s="21" t="s">
        <v>4571</v>
      </c>
      <c r="M1229" s="19" t="s">
        <v>4122</v>
      </c>
      <c r="N1229" s="19" t="s">
        <v>670</v>
      </c>
      <c r="O1229" s="19" t="s">
        <v>3859</v>
      </c>
      <c r="P1229" s="19"/>
      <c r="Q1229" s="18" t="s">
        <v>286</v>
      </c>
      <c r="R1229" s="22" t="s">
        <v>88</v>
      </c>
      <c r="S1229" s="18" t="s">
        <v>3949</v>
      </c>
      <c r="T1229" s="21" t="s">
        <v>55</v>
      </c>
    </row>
    <row r="1230" spans="1:20" ht="16.5">
      <c r="A1230" s="11" t="s">
        <v>3131</v>
      </c>
      <c r="B1230" s="11" t="s">
        <v>650</v>
      </c>
      <c r="C1230" s="11" t="s">
        <v>204</v>
      </c>
      <c r="D1230" s="12" t="s">
        <v>3855</v>
      </c>
      <c r="E1230" s="11" t="s">
        <v>505</v>
      </c>
      <c r="F1230" s="11" t="s">
        <v>204</v>
      </c>
      <c r="G1230" s="12" t="s">
        <v>4133</v>
      </c>
      <c r="H1230" s="13" t="s">
        <v>4572</v>
      </c>
      <c r="I1230" s="11" t="s">
        <v>507</v>
      </c>
      <c r="J1230" s="14">
        <v>1</v>
      </c>
      <c r="K1230" s="14" t="s">
        <v>3945</v>
      </c>
      <c r="L1230" s="14" t="s">
        <v>4573</v>
      </c>
      <c r="M1230" s="15" t="s">
        <v>3859</v>
      </c>
      <c r="N1230" s="15" t="s">
        <v>509</v>
      </c>
      <c r="O1230" s="15" t="s">
        <v>4136</v>
      </c>
      <c r="P1230" s="15"/>
      <c r="Q1230" s="12" t="s">
        <v>286</v>
      </c>
      <c r="R1230" s="22" t="s">
        <v>88</v>
      </c>
      <c r="S1230" s="12" t="s">
        <v>3949</v>
      </c>
      <c r="T1230" s="14" t="s">
        <v>55</v>
      </c>
    </row>
    <row r="1231" spans="1:20" ht="16.5">
      <c r="A1231" s="17" t="s">
        <v>3131</v>
      </c>
      <c r="B1231" s="17" t="s">
        <v>650</v>
      </c>
      <c r="C1231" s="17" t="s">
        <v>204</v>
      </c>
      <c r="D1231" s="18" t="s">
        <v>4096</v>
      </c>
      <c r="E1231" s="17" t="s">
        <v>667</v>
      </c>
      <c r="F1231" s="17" t="s">
        <v>204</v>
      </c>
      <c r="G1231" s="18" t="s">
        <v>4123</v>
      </c>
      <c r="H1231" s="20" t="s">
        <v>4574</v>
      </c>
      <c r="I1231" s="17" t="s">
        <v>652</v>
      </c>
      <c r="J1231" s="21">
        <v>2</v>
      </c>
      <c r="K1231" s="21" t="s">
        <v>3945</v>
      </c>
      <c r="L1231" s="21" t="s">
        <v>4575</v>
      </c>
      <c r="M1231" s="19" t="s">
        <v>4099</v>
      </c>
      <c r="N1231" s="19" t="s">
        <v>670</v>
      </c>
      <c r="O1231" s="19" t="s">
        <v>4126</v>
      </c>
      <c r="P1231" s="19" t="s">
        <v>4100</v>
      </c>
      <c r="Q1231" s="18" t="s">
        <v>286</v>
      </c>
      <c r="R1231" s="22" t="s">
        <v>88</v>
      </c>
      <c r="S1231" s="18" t="s">
        <v>3949</v>
      </c>
      <c r="T1231" s="26" t="s">
        <v>673</v>
      </c>
    </row>
    <row r="1232" spans="1:20" ht="16.5">
      <c r="A1232" s="11" t="s">
        <v>3131</v>
      </c>
      <c r="B1232" s="11" t="s">
        <v>650</v>
      </c>
      <c r="C1232" s="11" t="s">
        <v>204</v>
      </c>
      <c r="D1232" s="12" t="s">
        <v>4096</v>
      </c>
      <c r="E1232" s="11" t="s">
        <v>654</v>
      </c>
      <c r="F1232" s="11" t="s">
        <v>204</v>
      </c>
      <c r="G1232" s="12" t="s">
        <v>4127</v>
      </c>
      <c r="H1232" s="13" t="s">
        <v>4576</v>
      </c>
      <c r="I1232" s="11" t="s">
        <v>652</v>
      </c>
      <c r="J1232" s="14">
        <v>2</v>
      </c>
      <c r="K1232" s="14" t="s">
        <v>3945</v>
      </c>
      <c r="L1232" s="14" t="s">
        <v>4577</v>
      </c>
      <c r="M1232" s="15" t="s">
        <v>4099</v>
      </c>
      <c r="N1232" s="15" t="s">
        <v>657</v>
      </c>
      <c r="O1232" s="15" t="s">
        <v>4130</v>
      </c>
      <c r="P1232" s="15" t="s">
        <v>4100</v>
      </c>
      <c r="Q1232" s="12" t="s">
        <v>286</v>
      </c>
      <c r="R1232" s="22" t="s">
        <v>88</v>
      </c>
      <c r="S1232" s="12" t="s">
        <v>3949</v>
      </c>
      <c r="T1232" s="26" t="s">
        <v>673</v>
      </c>
    </row>
    <row r="1233" spans="1:20" ht="16.5">
      <c r="A1233" s="17" t="s">
        <v>3131</v>
      </c>
      <c r="B1233" s="17" t="s">
        <v>650</v>
      </c>
      <c r="C1233" s="17" t="s">
        <v>204</v>
      </c>
      <c r="D1233" s="18" t="s">
        <v>4123</v>
      </c>
      <c r="E1233" s="17" t="s">
        <v>667</v>
      </c>
      <c r="F1233" s="17" t="s">
        <v>204</v>
      </c>
      <c r="G1233" s="18" t="s">
        <v>4119</v>
      </c>
      <c r="H1233" s="24" t="s">
        <v>584</v>
      </c>
      <c r="I1233" s="17" t="s">
        <v>652</v>
      </c>
      <c r="J1233" s="21">
        <v>2</v>
      </c>
      <c r="K1233" s="21" t="s">
        <v>3945</v>
      </c>
      <c r="L1233" s="21" t="s">
        <v>4578</v>
      </c>
      <c r="M1233" s="19" t="s">
        <v>4126</v>
      </c>
      <c r="N1233" s="19" t="s">
        <v>670</v>
      </c>
      <c r="O1233" s="19" t="s">
        <v>4122</v>
      </c>
      <c r="P1233" s="19"/>
      <c r="Q1233" s="18" t="s">
        <v>286</v>
      </c>
      <c r="R1233" s="22" t="s">
        <v>88</v>
      </c>
      <c r="S1233" s="18" t="s">
        <v>3949</v>
      </c>
      <c r="T1233" s="21" t="s">
        <v>55</v>
      </c>
    </row>
    <row r="1234" spans="1:20" ht="16.5">
      <c r="A1234" s="11" t="s">
        <v>3131</v>
      </c>
      <c r="B1234" s="11" t="s">
        <v>650</v>
      </c>
      <c r="C1234" s="11" t="s">
        <v>204</v>
      </c>
      <c r="D1234" s="15" t="s">
        <v>3385</v>
      </c>
      <c r="E1234" s="11" t="s">
        <v>505</v>
      </c>
      <c r="F1234" s="11" t="s">
        <v>204</v>
      </c>
      <c r="G1234" s="12" t="s">
        <v>4091</v>
      </c>
      <c r="H1234" s="23" t="s">
        <v>584</v>
      </c>
      <c r="I1234" s="11" t="s">
        <v>680</v>
      </c>
      <c r="J1234" s="14">
        <v>1</v>
      </c>
      <c r="K1234" s="14" t="s">
        <v>3945</v>
      </c>
      <c r="L1234" s="14" t="s">
        <v>4579</v>
      </c>
      <c r="M1234" s="15" t="s">
        <v>3388</v>
      </c>
      <c r="N1234" s="15" t="s">
        <v>509</v>
      </c>
      <c r="O1234" s="15" t="s">
        <v>4094</v>
      </c>
      <c r="P1234" s="15" t="s">
        <v>4580</v>
      </c>
      <c r="Q1234" s="15" t="s">
        <v>661</v>
      </c>
      <c r="R1234" s="16" t="s">
        <v>54</v>
      </c>
      <c r="S1234" s="12" t="s">
        <v>3949</v>
      </c>
      <c r="T1234" s="14" t="s">
        <v>55</v>
      </c>
    </row>
    <row r="1235" spans="1:20" ht="16.5">
      <c r="A1235" s="17" t="s">
        <v>3131</v>
      </c>
      <c r="B1235" s="17" t="s">
        <v>650</v>
      </c>
      <c r="C1235" s="17" t="s">
        <v>204</v>
      </c>
      <c r="D1235" s="18" t="s">
        <v>2103</v>
      </c>
      <c r="E1235" s="17" t="s">
        <v>505</v>
      </c>
      <c r="F1235" s="17" t="s">
        <v>204</v>
      </c>
      <c r="G1235" s="18" t="s">
        <v>4112</v>
      </c>
      <c r="H1235" s="20" t="s">
        <v>4581</v>
      </c>
      <c r="I1235" s="17" t="s">
        <v>680</v>
      </c>
      <c r="J1235" s="21">
        <v>2</v>
      </c>
      <c r="K1235" s="21" t="s">
        <v>3945</v>
      </c>
      <c r="L1235" s="21" t="s">
        <v>4582</v>
      </c>
      <c r="M1235" s="19" t="s">
        <v>2107</v>
      </c>
      <c r="N1235" s="19" t="s">
        <v>509</v>
      </c>
      <c r="O1235" s="19" t="s">
        <v>4115</v>
      </c>
      <c r="P1235" s="19" t="s">
        <v>4583</v>
      </c>
      <c r="Q1235" s="18" t="s">
        <v>286</v>
      </c>
      <c r="R1235" s="22" t="s">
        <v>88</v>
      </c>
      <c r="S1235" s="18" t="s">
        <v>3949</v>
      </c>
      <c r="T1235" s="21" t="s">
        <v>55</v>
      </c>
    </row>
    <row r="1236" spans="1:20" ht="16.5">
      <c r="A1236" s="11" t="s">
        <v>3131</v>
      </c>
      <c r="B1236" s="11" t="s">
        <v>650</v>
      </c>
      <c r="C1236" s="11" t="s">
        <v>204</v>
      </c>
      <c r="D1236" s="12" t="s">
        <v>4143</v>
      </c>
      <c r="E1236" s="11" t="s">
        <v>667</v>
      </c>
      <c r="F1236" s="11" t="s">
        <v>204</v>
      </c>
      <c r="G1236" s="12" t="s">
        <v>3932</v>
      </c>
      <c r="H1236" s="13" t="s">
        <v>4584</v>
      </c>
      <c r="I1236" s="11" t="s">
        <v>507</v>
      </c>
      <c r="J1236" s="14">
        <v>1</v>
      </c>
      <c r="K1236" s="14" t="s">
        <v>3945</v>
      </c>
      <c r="L1236" s="14" t="s">
        <v>4585</v>
      </c>
      <c r="M1236" s="15" t="s">
        <v>4146</v>
      </c>
      <c r="N1236" s="15" t="s">
        <v>670</v>
      </c>
      <c r="O1236" s="15" t="s">
        <v>3935</v>
      </c>
      <c r="P1236" s="15" t="s">
        <v>4555</v>
      </c>
      <c r="Q1236" s="12" t="s">
        <v>286</v>
      </c>
      <c r="R1236" s="22" t="s">
        <v>88</v>
      </c>
      <c r="S1236" s="12" t="s">
        <v>3949</v>
      </c>
      <c r="T1236" s="26" t="s">
        <v>673</v>
      </c>
    </row>
    <row r="1237" spans="1:20" ht="16.5">
      <c r="A1237" s="17" t="s">
        <v>3131</v>
      </c>
      <c r="B1237" s="17" t="s">
        <v>695</v>
      </c>
      <c r="C1237" s="17" t="s">
        <v>204</v>
      </c>
      <c r="D1237" s="18" t="s">
        <v>4119</v>
      </c>
      <c r="E1237" s="17" t="s">
        <v>667</v>
      </c>
      <c r="F1237" s="17" t="s">
        <v>295</v>
      </c>
      <c r="G1237" s="18" t="s">
        <v>3648</v>
      </c>
      <c r="H1237" s="20" t="s">
        <v>4586</v>
      </c>
      <c r="I1237" s="17" t="s">
        <v>696</v>
      </c>
      <c r="J1237" s="21">
        <v>1</v>
      </c>
      <c r="K1237" s="21" t="s">
        <v>3945</v>
      </c>
      <c r="L1237" s="21" t="s">
        <v>4587</v>
      </c>
      <c r="M1237" s="19" t="s">
        <v>4122</v>
      </c>
      <c r="N1237" s="19" t="s">
        <v>670</v>
      </c>
      <c r="O1237" s="19" t="s">
        <v>3651</v>
      </c>
      <c r="P1237" s="19"/>
      <c r="Q1237" s="18" t="s">
        <v>286</v>
      </c>
      <c r="R1237" s="22" t="s">
        <v>88</v>
      </c>
      <c r="S1237" s="18" t="s">
        <v>3949</v>
      </c>
      <c r="T1237" s="26" t="s">
        <v>3848</v>
      </c>
    </row>
    <row r="1238" spans="1:20" ht="16.5">
      <c r="A1238" s="11" t="s">
        <v>3131</v>
      </c>
      <c r="B1238" s="11" t="s">
        <v>695</v>
      </c>
      <c r="C1238" s="11" t="s">
        <v>204</v>
      </c>
      <c r="D1238" s="12" t="s">
        <v>3642</v>
      </c>
      <c r="E1238" s="11" t="s">
        <v>667</v>
      </c>
      <c r="F1238" s="11" t="s">
        <v>295</v>
      </c>
      <c r="G1238" s="12" t="s">
        <v>3648</v>
      </c>
      <c r="H1238" s="13" t="s">
        <v>4588</v>
      </c>
      <c r="I1238" s="11" t="s">
        <v>696</v>
      </c>
      <c r="J1238" s="14">
        <v>1</v>
      </c>
      <c r="K1238" s="14" t="s">
        <v>3945</v>
      </c>
      <c r="L1238" s="14" t="s">
        <v>4589</v>
      </c>
      <c r="M1238" s="15" t="s">
        <v>3646</v>
      </c>
      <c r="N1238" s="15" t="s">
        <v>670</v>
      </c>
      <c r="O1238" s="15" t="s">
        <v>3651</v>
      </c>
      <c r="P1238" s="15"/>
      <c r="Q1238" s="12" t="s">
        <v>286</v>
      </c>
      <c r="R1238" s="22" t="s">
        <v>88</v>
      </c>
      <c r="S1238" s="12" t="s">
        <v>3949</v>
      </c>
      <c r="T1238" s="26" t="s">
        <v>3848</v>
      </c>
    </row>
    <row r="1239" spans="1:20" ht="16.5">
      <c r="A1239" s="17" t="s">
        <v>3131</v>
      </c>
      <c r="B1239" s="17" t="s">
        <v>695</v>
      </c>
      <c r="C1239" s="17" t="s">
        <v>204</v>
      </c>
      <c r="D1239" s="18" t="s">
        <v>4127</v>
      </c>
      <c r="E1239" s="17" t="s">
        <v>667</v>
      </c>
      <c r="F1239" s="17" t="s">
        <v>698</v>
      </c>
      <c r="G1239" s="19" t="s">
        <v>4590</v>
      </c>
      <c r="H1239" s="20" t="s">
        <v>4591</v>
      </c>
      <c r="I1239" s="17" t="s">
        <v>4592</v>
      </c>
      <c r="J1239" s="21">
        <v>3</v>
      </c>
      <c r="K1239" s="21" t="s">
        <v>3945</v>
      </c>
      <c r="L1239" s="21" t="s">
        <v>4593</v>
      </c>
      <c r="M1239" s="19" t="s">
        <v>4130</v>
      </c>
      <c r="N1239" s="19" t="s">
        <v>670</v>
      </c>
      <c r="O1239" s="19" t="s">
        <v>4594</v>
      </c>
      <c r="P1239" s="19"/>
      <c r="Q1239" s="18" t="s">
        <v>286</v>
      </c>
      <c r="R1239" s="25" t="s">
        <v>607</v>
      </c>
      <c r="S1239" s="18" t="s">
        <v>3949</v>
      </c>
      <c r="T1239" s="21" t="s">
        <v>55</v>
      </c>
    </row>
    <row r="1240" spans="1:20" ht="16.5">
      <c r="A1240" s="11" t="s">
        <v>3131</v>
      </c>
      <c r="B1240" s="11" t="s">
        <v>695</v>
      </c>
      <c r="C1240" s="11" t="s">
        <v>295</v>
      </c>
      <c r="D1240" s="12" t="s">
        <v>3648</v>
      </c>
      <c r="E1240" s="11" t="s">
        <v>667</v>
      </c>
      <c r="F1240" s="11" t="s">
        <v>698</v>
      </c>
      <c r="G1240" s="12" t="s">
        <v>2167</v>
      </c>
      <c r="H1240" s="13" t="s">
        <v>4595</v>
      </c>
      <c r="I1240" s="11" t="s">
        <v>701</v>
      </c>
      <c r="J1240" s="14">
        <v>1</v>
      </c>
      <c r="K1240" s="14" t="s">
        <v>3945</v>
      </c>
      <c r="L1240" s="14" t="s">
        <v>4596</v>
      </c>
      <c r="M1240" s="15" t="s">
        <v>3651</v>
      </c>
      <c r="N1240" s="15" t="s">
        <v>670</v>
      </c>
      <c r="O1240" s="15" t="s">
        <v>2169</v>
      </c>
      <c r="P1240" s="15"/>
      <c r="Q1240" s="12" t="s">
        <v>286</v>
      </c>
      <c r="R1240" s="22" t="s">
        <v>88</v>
      </c>
      <c r="S1240" s="12" t="s">
        <v>3949</v>
      </c>
      <c r="T1240" s="26" t="s">
        <v>3848</v>
      </c>
    </row>
    <row r="1241" spans="1:20" ht="16.5">
      <c r="A1241" s="17" t="s">
        <v>3131</v>
      </c>
      <c r="B1241" s="17" t="s">
        <v>695</v>
      </c>
      <c r="C1241" s="17" t="s">
        <v>295</v>
      </c>
      <c r="D1241" s="19" t="s">
        <v>4139</v>
      </c>
      <c r="E1241" s="17" t="s">
        <v>654</v>
      </c>
      <c r="F1241" s="17" t="s">
        <v>698</v>
      </c>
      <c r="G1241" s="18" t="s">
        <v>2167</v>
      </c>
      <c r="H1241" s="24" t="s">
        <v>584</v>
      </c>
      <c r="I1241" s="17" t="s">
        <v>701</v>
      </c>
      <c r="J1241" s="21">
        <v>1</v>
      </c>
      <c r="K1241" s="21" t="s">
        <v>3945</v>
      </c>
      <c r="L1241" s="21" t="s">
        <v>4597</v>
      </c>
      <c r="M1241" s="19" t="s">
        <v>4142</v>
      </c>
      <c r="N1241" s="19" t="s">
        <v>657</v>
      </c>
      <c r="O1241" s="19" t="s">
        <v>2169</v>
      </c>
      <c r="P1241" s="19"/>
      <c r="Q1241" s="18" t="s">
        <v>286</v>
      </c>
      <c r="R1241" s="22" t="s">
        <v>88</v>
      </c>
      <c r="S1241" s="18" t="s">
        <v>3949</v>
      </c>
      <c r="T1241" s="21" t="s">
        <v>55</v>
      </c>
    </row>
    <row r="1242" spans="1:20" ht="33">
      <c r="A1242" s="11" t="s">
        <v>3658</v>
      </c>
      <c r="B1242" s="11" t="s">
        <v>43</v>
      </c>
      <c r="C1242" s="11" t="s">
        <v>44</v>
      </c>
      <c r="D1242" s="12" t="s">
        <v>3658</v>
      </c>
      <c r="E1242" s="11" t="s">
        <v>45</v>
      </c>
      <c r="F1242" s="11" t="s">
        <v>44</v>
      </c>
      <c r="G1242" s="15" t="s">
        <v>4598</v>
      </c>
      <c r="H1242" s="13" t="s">
        <v>4599</v>
      </c>
      <c r="I1242" s="11" t="s">
        <v>43</v>
      </c>
      <c r="J1242" s="14">
        <v>1</v>
      </c>
      <c r="K1242" s="14" t="s">
        <v>4600</v>
      </c>
      <c r="L1242" s="14" t="s">
        <v>4601</v>
      </c>
      <c r="M1242" s="15" t="s">
        <v>3661</v>
      </c>
      <c r="N1242" s="15" t="s">
        <v>51</v>
      </c>
      <c r="O1242" s="15" t="s">
        <v>4602</v>
      </c>
      <c r="P1242" s="15"/>
      <c r="Q1242" s="12" t="s">
        <v>53</v>
      </c>
      <c r="R1242" s="16" t="s">
        <v>54</v>
      </c>
      <c r="S1242" s="15"/>
      <c r="T1242" s="14" t="s">
        <v>55</v>
      </c>
    </row>
    <row r="1243" spans="1:20" ht="16.5">
      <c r="A1243" s="17" t="s">
        <v>3658</v>
      </c>
      <c r="B1243" s="17" t="s">
        <v>43</v>
      </c>
      <c r="C1243" s="17" t="s">
        <v>44</v>
      </c>
      <c r="D1243" s="18" t="s">
        <v>3658</v>
      </c>
      <c r="E1243" s="17" t="s">
        <v>45</v>
      </c>
      <c r="F1243" s="17" t="s">
        <v>44</v>
      </c>
      <c r="G1243" s="19" t="s">
        <v>4603</v>
      </c>
      <c r="H1243" s="20" t="s">
        <v>4604</v>
      </c>
      <c r="I1243" s="17" t="s">
        <v>43</v>
      </c>
      <c r="J1243" s="21">
        <v>1</v>
      </c>
      <c r="K1243" s="21" t="s">
        <v>4600</v>
      </c>
      <c r="L1243" s="21" t="s">
        <v>4605</v>
      </c>
      <c r="M1243" s="19" t="s">
        <v>3661</v>
      </c>
      <c r="N1243" s="19" t="s">
        <v>51</v>
      </c>
      <c r="O1243" s="19" t="s">
        <v>4606</v>
      </c>
      <c r="P1243" s="19"/>
      <c r="Q1243" s="18" t="s">
        <v>53</v>
      </c>
      <c r="R1243" s="16" t="s">
        <v>54</v>
      </c>
      <c r="S1243" s="19"/>
      <c r="T1243" s="21" t="s">
        <v>55</v>
      </c>
    </row>
    <row r="1244" spans="1:20" ht="16.5">
      <c r="A1244" s="11" t="s">
        <v>3658</v>
      </c>
      <c r="B1244" s="11" t="s">
        <v>43</v>
      </c>
      <c r="C1244" s="11" t="s">
        <v>44</v>
      </c>
      <c r="D1244" s="12" t="s">
        <v>3658</v>
      </c>
      <c r="E1244" s="11" t="s">
        <v>45</v>
      </c>
      <c r="F1244" s="11" t="s">
        <v>44</v>
      </c>
      <c r="G1244" s="12" t="s">
        <v>4607</v>
      </c>
      <c r="H1244" s="13" t="s">
        <v>4608</v>
      </c>
      <c r="I1244" s="11" t="s">
        <v>43</v>
      </c>
      <c r="J1244" s="14">
        <v>1</v>
      </c>
      <c r="K1244" s="14" t="s">
        <v>4600</v>
      </c>
      <c r="L1244" s="14" t="s">
        <v>4609</v>
      </c>
      <c r="M1244" s="15" t="s">
        <v>3661</v>
      </c>
      <c r="N1244" s="15" t="s">
        <v>51</v>
      </c>
      <c r="O1244" s="15" t="s">
        <v>4610</v>
      </c>
      <c r="P1244" s="15"/>
      <c r="Q1244" s="12" t="s">
        <v>53</v>
      </c>
      <c r="R1244" s="22" t="s">
        <v>88</v>
      </c>
      <c r="S1244" s="15"/>
      <c r="T1244" s="14" t="s">
        <v>55</v>
      </c>
    </row>
    <row r="1245" spans="1:20" ht="16.5">
      <c r="A1245" s="17" t="s">
        <v>3658</v>
      </c>
      <c r="B1245" s="17" t="s">
        <v>43</v>
      </c>
      <c r="C1245" s="17" t="s">
        <v>44</v>
      </c>
      <c r="D1245" s="18" t="s">
        <v>3658</v>
      </c>
      <c r="E1245" s="17" t="s">
        <v>45</v>
      </c>
      <c r="F1245" s="17" t="s">
        <v>44</v>
      </c>
      <c r="G1245" s="18" t="s">
        <v>3136</v>
      </c>
      <c r="H1245" s="20" t="s">
        <v>4611</v>
      </c>
      <c r="I1245" s="17" t="s">
        <v>43</v>
      </c>
      <c r="J1245" s="21">
        <v>1</v>
      </c>
      <c r="K1245" s="21" t="s">
        <v>4600</v>
      </c>
      <c r="L1245" s="21" t="s">
        <v>4612</v>
      </c>
      <c r="M1245" s="19" t="s">
        <v>3661</v>
      </c>
      <c r="N1245" s="19" t="s">
        <v>51</v>
      </c>
      <c r="O1245" s="19" t="s">
        <v>3139</v>
      </c>
      <c r="P1245" s="19"/>
      <c r="Q1245" s="18" t="s">
        <v>53</v>
      </c>
      <c r="R1245" s="16" t="s">
        <v>54</v>
      </c>
      <c r="S1245" s="19"/>
      <c r="T1245" s="21" t="s">
        <v>55</v>
      </c>
    </row>
    <row r="1246" spans="1:20" ht="16.5">
      <c r="A1246" s="11" t="s">
        <v>3658</v>
      </c>
      <c r="B1246" s="11" t="s">
        <v>60</v>
      </c>
      <c r="C1246" s="11" t="s">
        <v>44</v>
      </c>
      <c r="D1246" s="12" t="s">
        <v>3658</v>
      </c>
      <c r="E1246" s="11" t="s">
        <v>61</v>
      </c>
      <c r="F1246" s="11" t="s">
        <v>62</v>
      </c>
      <c r="G1246" s="12" t="s">
        <v>4613</v>
      </c>
      <c r="H1246" s="13" t="s">
        <v>4614</v>
      </c>
      <c r="I1246" s="11" t="s">
        <v>65</v>
      </c>
      <c r="J1246" s="14">
        <v>1</v>
      </c>
      <c r="K1246" s="14" t="s">
        <v>4600</v>
      </c>
      <c r="L1246" s="14" t="s">
        <v>4615</v>
      </c>
      <c r="M1246" s="15" t="s">
        <v>3661</v>
      </c>
      <c r="N1246" s="15" t="s">
        <v>67</v>
      </c>
      <c r="O1246" s="15" t="s">
        <v>4616</v>
      </c>
      <c r="P1246" s="15"/>
      <c r="Q1246" s="12" t="s">
        <v>69</v>
      </c>
      <c r="R1246" s="16" t="s">
        <v>54</v>
      </c>
      <c r="S1246" s="12" t="s">
        <v>4617</v>
      </c>
      <c r="T1246" s="14" t="s">
        <v>55</v>
      </c>
    </row>
    <row r="1247" spans="1:20" ht="16.5">
      <c r="A1247" s="17" t="s">
        <v>3658</v>
      </c>
      <c r="B1247" s="17" t="s">
        <v>60</v>
      </c>
      <c r="C1247" s="17" t="s">
        <v>62</v>
      </c>
      <c r="D1247" s="18" t="s">
        <v>4613</v>
      </c>
      <c r="E1247" s="17" t="s">
        <v>71</v>
      </c>
      <c r="F1247" s="17" t="s">
        <v>72</v>
      </c>
      <c r="G1247" s="18" t="s">
        <v>4618</v>
      </c>
      <c r="H1247" s="20" t="s">
        <v>4619</v>
      </c>
      <c r="I1247" s="17" t="s">
        <v>65</v>
      </c>
      <c r="J1247" s="21">
        <v>1</v>
      </c>
      <c r="K1247" s="21" t="s">
        <v>4600</v>
      </c>
      <c r="L1247" s="21" t="s">
        <v>4620</v>
      </c>
      <c r="M1247" s="19" t="s">
        <v>4616</v>
      </c>
      <c r="N1247" s="19" t="s">
        <v>76</v>
      </c>
      <c r="O1247" s="19" t="s">
        <v>4621</v>
      </c>
      <c r="P1247" s="19"/>
      <c r="Q1247" s="18" t="s">
        <v>69</v>
      </c>
      <c r="R1247" s="16" t="s">
        <v>54</v>
      </c>
      <c r="S1247" s="18" t="s">
        <v>4617</v>
      </c>
      <c r="T1247" s="21" t="s">
        <v>55</v>
      </c>
    </row>
    <row r="1248" spans="1:20" ht="16.5">
      <c r="A1248" s="11" t="s">
        <v>3658</v>
      </c>
      <c r="B1248" s="11" t="s">
        <v>60</v>
      </c>
      <c r="C1248" s="11" t="s">
        <v>62</v>
      </c>
      <c r="D1248" s="12" t="s">
        <v>4613</v>
      </c>
      <c r="E1248" s="11" t="s">
        <v>71</v>
      </c>
      <c r="F1248" s="11" t="s">
        <v>72</v>
      </c>
      <c r="G1248" s="12" t="s">
        <v>4622</v>
      </c>
      <c r="H1248" s="13" t="s">
        <v>4619</v>
      </c>
      <c r="I1248" s="11" t="s">
        <v>65</v>
      </c>
      <c r="J1248" s="14">
        <v>1</v>
      </c>
      <c r="K1248" s="14" t="s">
        <v>4600</v>
      </c>
      <c r="L1248" s="14" t="s">
        <v>4623</v>
      </c>
      <c r="M1248" s="15" t="s">
        <v>4616</v>
      </c>
      <c r="N1248" s="15" t="s">
        <v>76</v>
      </c>
      <c r="O1248" s="15" t="s">
        <v>4624</v>
      </c>
      <c r="P1248" s="15"/>
      <c r="Q1248" s="12" t="s">
        <v>69</v>
      </c>
      <c r="R1248" s="16" t="s">
        <v>54</v>
      </c>
      <c r="S1248" s="12" t="s">
        <v>4617</v>
      </c>
      <c r="T1248" s="14" t="s">
        <v>55</v>
      </c>
    </row>
    <row r="1249" spans="1:20" ht="16.5">
      <c r="A1249" s="17" t="s">
        <v>3658</v>
      </c>
      <c r="B1249" s="17" t="s">
        <v>60</v>
      </c>
      <c r="C1249" s="17" t="s">
        <v>62</v>
      </c>
      <c r="D1249" s="18" t="s">
        <v>4613</v>
      </c>
      <c r="E1249" s="17" t="s">
        <v>81</v>
      </c>
      <c r="F1249" s="17" t="s">
        <v>82</v>
      </c>
      <c r="G1249" s="18" t="s">
        <v>4625</v>
      </c>
      <c r="H1249" s="20" t="s">
        <v>4626</v>
      </c>
      <c r="I1249" s="17" t="s">
        <v>65</v>
      </c>
      <c r="J1249" s="21">
        <v>1</v>
      </c>
      <c r="K1249" s="21" t="s">
        <v>4600</v>
      </c>
      <c r="L1249" s="21" t="s">
        <v>4627</v>
      </c>
      <c r="M1249" s="19" t="s">
        <v>4616</v>
      </c>
      <c r="N1249" s="19" t="s">
        <v>86</v>
      </c>
      <c r="O1249" s="19" t="s">
        <v>4628</v>
      </c>
      <c r="P1249" s="19"/>
      <c r="Q1249" s="18" t="s">
        <v>53</v>
      </c>
      <c r="R1249" s="22" t="s">
        <v>88</v>
      </c>
      <c r="S1249" s="18" t="s">
        <v>4617</v>
      </c>
      <c r="T1249" s="21" t="s">
        <v>55</v>
      </c>
    </row>
    <row r="1250" spans="1:20" ht="16.5">
      <c r="A1250" s="11" t="s">
        <v>3658</v>
      </c>
      <c r="B1250" s="11" t="s">
        <v>60</v>
      </c>
      <c r="C1250" s="11" t="s">
        <v>44</v>
      </c>
      <c r="D1250" s="12" t="s">
        <v>3658</v>
      </c>
      <c r="E1250" s="11" t="s">
        <v>61</v>
      </c>
      <c r="F1250" s="11" t="s">
        <v>62</v>
      </c>
      <c r="G1250" s="12" t="s">
        <v>4629</v>
      </c>
      <c r="H1250" s="13" t="s">
        <v>4630</v>
      </c>
      <c r="I1250" s="11" t="s">
        <v>65</v>
      </c>
      <c r="J1250" s="14">
        <v>1</v>
      </c>
      <c r="K1250" s="14" t="s">
        <v>4600</v>
      </c>
      <c r="L1250" s="14" t="s">
        <v>4631</v>
      </c>
      <c r="M1250" s="15" t="s">
        <v>3661</v>
      </c>
      <c r="N1250" s="15" t="s">
        <v>67</v>
      </c>
      <c r="O1250" s="15" t="s">
        <v>4632</v>
      </c>
      <c r="P1250" s="15"/>
      <c r="Q1250" s="12" t="s">
        <v>69</v>
      </c>
      <c r="R1250" s="16" t="s">
        <v>54</v>
      </c>
      <c r="S1250" s="12" t="s">
        <v>4617</v>
      </c>
      <c r="T1250" s="14" t="s">
        <v>55</v>
      </c>
    </row>
    <row r="1251" spans="1:20" ht="16.5">
      <c r="A1251" s="17" t="s">
        <v>3658</v>
      </c>
      <c r="B1251" s="17" t="s">
        <v>60</v>
      </c>
      <c r="C1251" s="17" t="s">
        <v>62</v>
      </c>
      <c r="D1251" s="18" t="s">
        <v>4629</v>
      </c>
      <c r="E1251" s="17" t="s">
        <v>81</v>
      </c>
      <c r="F1251" s="17" t="s">
        <v>82</v>
      </c>
      <c r="G1251" s="18" t="s">
        <v>4633</v>
      </c>
      <c r="H1251" s="20" t="s">
        <v>4634</v>
      </c>
      <c r="I1251" s="17" t="s">
        <v>65</v>
      </c>
      <c r="J1251" s="21">
        <v>1</v>
      </c>
      <c r="K1251" s="21" t="s">
        <v>4600</v>
      </c>
      <c r="L1251" s="21" t="s">
        <v>4635</v>
      </c>
      <c r="M1251" s="19" t="s">
        <v>4632</v>
      </c>
      <c r="N1251" s="19" t="s">
        <v>86</v>
      </c>
      <c r="O1251" s="19" t="s">
        <v>4636</v>
      </c>
      <c r="P1251" s="19"/>
      <c r="Q1251" s="18" t="s">
        <v>53</v>
      </c>
      <c r="R1251" s="22" t="s">
        <v>88</v>
      </c>
      <c r="S1251" s="18" t="s">
        <v>4617</v>
      </c>
      <c r="T1251" s="21" t="s">
        <v>55</v>
      </c>
    </row>
    <row r="1252" spans="1:20" ht="16.5">
      <c r="A1252" s="11" t="s">
        <v>3658</v>
      </c>
      <c r="B1252" s="11" t="s">
        <v>60</v>
      </c>
      <c r="C1252" s="11" t="s">
        <v>44</v>
      </c>
      <c r="D1252" s="12" t="s">
        <v>3658</v>
      </c>
      <c r="E1252" s="11" t="s">
        <v>61</v>
      </c>
      <c r="F1252" s="11" t="s">
        <v>62</v>
      </c>
      <c r="G1252" s="12" t="s">
        <v>4637</v>
      </c>
      <c r="H1252" s="13" t="s">
        <v>4638</v>
      </c>
      <c r="I1252" s="11" t="s">
        <v>65</v>
      </c>
      <c r="J1252" s="14">
        <v>1</v>
      </c>
      <c r="K1252" s="14" t="s">
        <v>4600</v>
      </c>
      <c r="L1252" s="14" t="s">
        <v>4639</v>
      </c>
      <c r="M1252" s="15" t="s">
        <v>3661</v>
      </c>
      <c r="N1252" s="15" t="s">
        <v>67</v>
      </c>
      <c r="O1252" s="15" t="s">
        <v>4640</v>
      </c>
      <c r="P1252" s="15"/>
      <c r="Q1252" s="12" t="s">
        <v>69</v>
      </c>
      <c r="R1252" s="16" t="s">
        <v>54</v>
      </c>
      <c r="S1252" s="12" t="s">
        <v>4617</v>
      </c>
      <c r="T1252" s="14" t="s">
        <v>55</v>
      </c>
    </row>
    <row r="1253" spans="1:20" ht="16.5">
      <c r="A1253" s="17" t="s">
        <v>3658</v>
      </c>
      <c r="B1253" s="17" t="s">
        <v>60</v>
      </c>
      <c r="C1253" s="17" t="s">
        <v>62</v>
      </c>
      <c r="D1253" s="18" t="s">
        <v>4637</v>
      </c>
      <c r="E1253" s="17" t="s">
        <v>71</v>
      </c>
      <c r="F1253" s="17" t="s">
        <v>72</v>
      </c>
      <c r="G1253" s="18" t="s">
        <v>4641</v>
      </c>
      <c r="H1253" s="20" t="s">
        <v>4642</v>
      </c>
      <c r="I1253" s="17" t="s">
        <v>65</v>
      </c>
      <c r="J1253" s="21">
        <v>1</v>
      </c>
      <c r="K1253" s="21" t="s">
        <v>4600</v>
      </c>
      <c r="L1253" s="21" t="s">
        <v>4643</v>
      </c>
      <c r="M1253" s="19" t="s">
        <v>4640</v>
      </c>
      <c r="N1253" s="19" t="s">
        <v>76</v>
      </c>
      <c r="O1253" s="19" t="s">
        <v>4644</v>
      </c>
      <c r="P1253" s="19"/>
      <c r="Q1253" s="18" t="s">
        <v>69</v>
      </c>
      <c r="R1253" s="16" t="s">
        <v>54</v>
      </c>
      <c r="S1253" s="18" t="s">
        <v>4617</v>
      </c>
      <c r="T1253" s="21" t="s">
        <v>55</v>
      </c>
    </row>
    <row r="1254" spans="1:20" ht="16.5">
      <c r="A1254" s="11" t="s">
        <v>3658</v>
      </c>
      <c r="B1254" s="11" t="s">
        <v>60</v>
      </c>
      <c r="C1254" s="11" t="s">
        <v>62</v>
      </c>
      <c r="D1254" s="12" t="s">
        <v>4637</v>
      </c>
      <c r="E1254" s="11" t="s">
        <v>71</v>
      </c>
      <c r="F1254" s="11" t="s">
        <v>72</v>
      </c>
      <c r="G1254" s="12" t="s">
        <v>4645</v>
      </c>
      <c r="H1254" s="13" t="s">
        <v>4642</v>
      </c>
      <c r="I1254" s="11" t="s">
        <v>65</v>
      </c>
      <c r="J1254" s="14">
        <v>1</v>
      </c>
      <c r="K1254" s="14" t="s">
        <v>4600</v>
      </c>
      <c r="L1254" s="14" t="s">
        <v>4646</v>
      </c>
      <c r="M1254" s="15" t="s">
        <v>4640</v>
      </c>
      <c r="N1254" s="15" t="s">
        <v>76</v>
      </c>
      <c r="O1254" s="15" t="s">
        <v>4647</v>
      </c>
      <c r="P1254" s="15"/>
      <c r="Q1254" s="12" t="s">
        <v>69</v>
      </c>
      <c r="R1254" s="16" t="s">
        <v>54</v>
      </c>
      <c r="S1254" s="12" t="s">
        <v>4617</v>
      </c>
      <c r="T1254" s="14" t="s">
        <v>55</v>
      </c>
    </row>
    <row r="1255" spans="1:20" ht="16.5">
      <c r="A1255" s="17" t="s">
        <v>3658</v>
      </c>
      <c r="B1255" s="17" t="s">
        <v>60</v>
      </c>
      <c r="C1255" s="17" t="s">
        <v>62</v>
      </c>
      <c r="D1255" s="18" t="s">
        <v>4637</v>
      </c>
      <c r="E1255" s="17" t="s">
        <v>71</v>
      </c>
      <c r="F1255" s="17" t="s">
        <v>72</v>
      </c>
      <c r="G1255" s="18" t="s">
        <v>4648</v>
      </c>
      <c r="H1255" s="20" t="s">
        <v>4642</v>
      </c>
      <c r="I1255" s="17" t="s">
        <v>65</v>
      </c>
      <c r="J1255" s="21">
        <v>1</v>
      </c>
      <c r="K1255" s="21" t="s">
        <v>4600</v>
      </c>
      <c r="L1255" s="21" t="s">
        <v>4649</v>
      </c>
      <c r="M1255" s="19" t="s">
        <v>4640</v>
      </c>
      <c r="N1255" s="19" t="s">
        <v>76</v>
      </c>
      <c r="O1255" s="19" t="s">
        <v>4650</v>
      </c>
      <c r="P1255" s="19"/>
      <c r="Q1255" s="18" t="s">
        <v>69</v>
      </c>
      <c r="R1255" s="16" t="s">
        <v>54</v>
      </c>
      <c r="S1255" s="18" t="s">
        <v>4617</v>
      </c>
      <c r="T1255" s="21" t="s">
        <v>55</v>
      </c>
    </row>
    <row r="1256" spans="1:20" ht="16.5">
      <c r="A1256" s="11" t="s">
        <v>3658</v>
      </c>
      <c r="B1256" s="11" t="s">
        <v>60</v>
      </c>
      <c r="C1256" s="11" t="s">
        <v>62</v>
      </c>
      <c r="D1256" s="12" t="s">
        <v>4637</v>
      </c>
      <c r="E1256" s="11" t="s">
        <v>71</v>
      </c>
      <c r="F1256" s="11" t="s">
        <v>72</v>
      </c>
      <c r="G1256" s="12" t="s">
        <v>4651</v>
      </c>
      <c r="H1256" s="13" t="s">
        <v>4642</v>
      </c>
      <c r="I1256" s="11" t="s">
        <v>65</v>
      </c>
      <c r="J1256" s="14">
        <v>1</v>
      </c>
      <c r="K1256" s="14" t="s">
        <v>4600</v>
      </c>
      <c r="L1256" s="14" t="s">
        <v>4652</v>
      </c>
      <c r="M1256" s="15" t="s">
        <v>4640</v>
      </c>
      <c r="N1256" s="15" t="s">
        <v>76</v>
      </c>
      <c r="O1256" s="15" t="s">
        <v>4653</v>
      </c>
      <c r="P1256" s="15"/>
      <c r="Q1256" s="12" t="s">
        <v>69</v>
      </c>
      <c r="R1256" s="16" t="s">
        <v>54</v>
      </c>
      <c r="S1256" s="12" t="s">
        <v>4617</v>
      </c>
      <c r="T1256" s="14" t="s">
        <v>55</v>
      </c>
    </row>
    <row r="1257" spans="1:20" ht="16.5">
      <c r="A1257" s="17" t="s">
        <v>3658</v>
      </c>
      <c r="B1257" s="17" t="s">
        <v>60</v>
      </c>
      <c r="C1257" s="17" t="s">
        <v>44</v>
      </c>
      <c r="D1257" s="18" t="s">
        <v>3658</v>
      </c>
      <c r="E1257" s="17" t="s">
        <v>61</v>
      </c>
      <c r="F1257" s="17" t="s">
        <v>62</v>
      </c>
      <c r="G1257" s="18" t="s">
        <v>4654</v>
      </c>
      <c r="H1257" s="20" t="s">
        <v>4655</v>
      </c>
      <c r="I1257" s="17" t="s">
        <v>65</v>
      </c>
      <c r="J1257" s="21">
        <v>1</v>
      </c>
      <c r="K1257" s="21" t="s">
        <v>4600</v>
      </c>
      <c r="L1257" s="21" t="s">
        <v>4656</v>
      </c>
      <c r="M1257" s="19" t="s">
        <v>3661</v>
      </c>
      <c r="N1257" s="19" t="s">
        <v>67</v>
      </c>
      <c r="O1257" s="19" t="s">
        <v>4657</v>
      </c>
      <c r="P1257" s="19"/>
      <c r="Q1257" s="18" t="s">
        <v>69</v>
      </c>
      <c r="R1257" s="16" t="s">
        <v>54</v>
      </c>
      <c r="S1257" s="18" t="s">
        <v>4617</v>
      </c>
      <c r="T1257" s="21" t="s">
        <v>55</v>
      </c>
    </row>
    <row r="1258" spans="1:20" ht="16.5">
      <c r="A1258" s="11" t="s">
        <v>3658</v>
      </c>
      <c r="B1258" s="11" t="s">
        <v>60</v>
      </c>
      <c r="C1258" s="11" t="s">
        <v>62</v>
      </c>
      <c r="D1258" s="12" t="s">
        <v>4654</v>
      </c>
      <c r="E1258" s="11" t="s">
        <v>71</v>
      </c>
      <c r="F1258" s="11" t="s">
        <v>72</v>
      </c>
      <c r="G1258" s="12" t="s">
        <v>4658</v>
      </c>
      <c r="H1258" s="13" t="s">
        <v>4659</v>
      </c>
      <c r="I1258" s="11" t="s">
        <v>65</v>
      </c>
      <c r="J1258" s="14">
        <v>1</v>
      </c>
      <c r="K1258" s="14" t="s">
        <v>4600</v>
      </c>
      <c r="L1258" s="14" t="s">
        <v>4660</v>
      </c>
      <c r="M1258" s="15" t="s">
        <v>4657</v>
      </c>
      <c r="N1258" s="15" t="s">
        <v>76</v>
      </c>
      <c r="O1258" s="15" t="s">
        <v>4661</v>
      </c>
      <c r="P1258" s="15"/>
      <c r="Q1258" s="12" t="s">
        <v>69</v>
      </c>
      <c r="R1258" s="16" t="s">
        <v>54</v>
      </c>
      <c r="S1258" s="12" t="s">
        <v>4617</v>
      </c>
      <c r="T1258" s="14" t="s">
        <v>55</v>
      </c>
    </row>
    <row r="1259" spans="1:20" ht="16.5">
      <c r="A1259" s="17" t="s">
        <v>3658</v>
      </c>
      <c r="B1259" s="17" t="s">
        <v>60</v>
      </c>
      <c r="C1259" s="17" t="s">
        <v>62</v>
      </c>
      <c r="D1259" s="18" t="s">
        <v>4654</v>
      </c>
      <c r="E1259" s="17" t="s">
        <v>71</v>
      </c>
      <c r="F1259" s="17" t="s">
        <v>72</v>
      </c>
      <c r="G1259" s="18" t="s">
        <v>4662</v>
      </c>
      <c r="H1259" s="20" t="s">
        <v>4659</v>
      </c>
      <c r="I1259" s="17" t="s">
        <v>65</v>
      </c>
      <c r="J1259" s="21">
        <v>1</v>
      </c>
      <c r="K1259" s="21" t="s">
        <v>4600</v>
      </c>
      <c r="L1259" s="21" t="s">
        <v>4663</v>
      </c>
      <c r="M1259" s="19" t="s">
        <v>4657</v>
      </c>
      <c r="N1259" s="19" t="s">
        <v>76</v>
      </c>
      <c r="O1259" s="19" t="s">
        <v>4664</v>
      </c>
      <c r="P1259" s="19"/>
      <c r="Q1259" s="18" t="s">
        <v>69</v>
      </c>
      <c r="R1259" s="16" t="s">
        <v>54</v>
      </c>
      <c r="S1259" s="18" t="s">
        <v>4617</v>
      </c>
      <c r="T1259" s="21" t="s">
        <v>55</v>
      </c>
    </row>
    <row r="1260" spans="1:20" ht="16.5">
      <c r="A1260" s="11" t="s">
        <v>3658</v>
      </c>
      <c r="B1260" s="11" t="s">
        <v>60</v>
      </c>
      <c r="C1260" s="11" t="s">
        <v>62</v>
      </c>
      <c r="D1260" s="12" t="s">
        <v>4654</v>
      </c>
      <c r="E1260" s="11" t="s">
        <v>71</v>
      </c>
      <c r="F1260" s="11" t="s">
        <v>72</v>
      </c>
      <c r="G1260" s="12" t="s">
        <v>4665</v>
      </c>
      <c r="H1260" s="13" t="s">
        <v>4659</v>
      </c>
      <c r="I1260" s="11" t="s">
        <v>65</v>
      </c>
      <c r="J1260" s="14">
        <v>1</v>
      </c>
      <c r="K1260" s="14" t="s">
        <v>4600</v>
      </c>
      <c r="L1260" s="14" t="s">
        <v>4666</v>
      </c>
      <c r="M1260" s="15" t="s">
        <v>4657</v>
      </c>
      <c r="N1260" s="15" t="s">
        <v>76</v>
      </c>
      <c r="O1260" s="15" t="s">
        <v>4667</v>
      </c>
      <c r="P1260" s="15"/>
      <c r="Q1260" s="12" t="s">
        <v>69</v>
      </c>
      <c r="R1260" s="16" t="s">
        <v>54</v>
      </c>
      <c r="S1260" s="12" t="s">
        <v>4617</v>
      </c>
      <c r="T1260" s="14" t="s">
        <v>55</v>
      </c>
    </row>
    <row r="1261" spans="1:20" ht="16.5">
      <c r="A1261" s="17" t="s">
        <v>3658</v>
      </c>
      <c r="B1261" s="17" t="s">
        <v>60</v>
      </c>
      <c r="C1261" s="17" t="s">
        <v>62</v>
      </c>
      <c r="D1261" s="18" t="s">
        <v>4654</v>
      </c>
      <c r="E1261" s="17" t="s">
        <v>81</v>
      </c>
      <c r="F1261" s="17" t="s">
        <v>82</v>
      </c>
      <c r="G1261" s="18" t="s">
        <v>4668</v>
      </c>
      <c r="H1261" s="20" t="s">
        <v>4669</v>
      </c>
      <c r="I1261" s="17" t="s">
        <v>65</v>
      </c>
      <c r="J1261" s="21">
        <v>1</v>
      </c>
      <c r="K1261" s="21" t="s">
        <v>4600</v>
      </c>
      <c r="L1261" s="21" t="s">
        <v>4670</v>
      </c>
      <c r="M1261" s="19" t="s">
        <v>4657</v>
      </c>
      <c r="N1261" s="19" t="s">
        <v>86</v>
      </c>
      <c r="O1261" s="19" t="s">
        <v>4671</v>
      </c>
      <c r="P1261" s="19"/>
      <c r="Q1261" s="18" t="s">
        <v>53</v>
      </c>
      <c r="R1261" s="22" t="s">
        <v>88</v>
      </c>
      <c r="S1261" s="18" t="s">
        <v>4617</v>
      </c>
      <c r="T1261" s="21" t="s">
        <v>55</v>
      </c>
    </row>
    <row r="1262" spans="1:20" ht="16.5">
      <c r="A1262" s="11" t="s">
        <v>3658</v>
      </c>
      <c r="B1262" s="11" t="s">
        <v>60</v>
      </c>
      <c r="C1262" s="11" t="s">
        <v>62</v>
      </c>
      <c r="D1262" s="12" t="s">
        <v>4654</v>
      </c>
      <c r="E1262" s="11" t="s">
        <v>81</v>
      </c>
      <c r="F1262" s="11" t="s">
        <v>82</v>
      </c>
      <c r="G1262" s="12" t="s">
        <v>4672</v>
      </c>
      <c r="H1262" s="13" t="s">
        <v>4673</v>
      </c>
      <c r="I1262" s="11" t="s">
        <v>65</v>
      </c>
      <c r="J1262" s="14">
        <v>1</v>
      </c>
      <c r="K1262" s="14" t="s">
        <v>4600</v>
      </c>
      <c r="L1262" s="14" t="s">
        <v>4674</v>
      </c>
      <c r="M1262" s="15" t="s">
        <v>4657</v>
      </c>
      <c r="N1262" s="15" t="s">
        <v>86</v>
      </c>
      <c r="O1262" s="15" t="s">
        <v>4675</v>
      </c>
      <c r="P1262" s="15"/>
      <c r="Q1262" s="12" t="s">
        <v>53</v>
      </c>
      <c r="R1262" s="22" t="s">
        <v>88</v>
      </c>
      <c r="S1262" s="12" t="s">
        <v>4617</v>
      </c>
      <c r="T1262" s="14" t="s">
        <v>55</v>
      </c>
    </row>
    <row r="1263" spans="1:20" ht="16.5">
      <c r="A1263" s="17" t="s">
        <v>3658</v>
      </c>
      <c r="B1263" s="17" t="s">
        <v>60</v>
      </c>
      <c r="C1263" s="17" t="s">
        <v>44</v>
      </c>
      <c r="D1263" s="18" t="s">
        <v>3658</v>
      </c>
      <c r="E1263" s="17" t="s">
        <v>61</v>
      </c>
      <c r="F1263" s="17" t="s">
        <v>62</v>
      </c>
      <c r="G1263" s="18" t="s">
        <v>4676</v>
      </c>
      <c r="H1263" s="20" t="s">
        <v>4677</v>
      </c>
      <c r="I1263" s="17" t="s">
        <v>65</v>
      </c>
      <c r="J1263" s="21">
        <v>1</v>
      </c>
      <c r="K1263" s="21" t="s">
        <v>4600</v>
      </c>
      <c r="L1263" s="21" t="s">
        <v>4678</v>
      </c>
      <c r="M1263" s="19" t="s">
        <v>3661</v>
      </c>
      <c r="N1263" s="19" t="s">
        <v>67</v>
      </c>
      <c r="O1263" s="19" t="s">
        <v>4679</v>
      </c>
      <c r="P1263" s="19"/>
      <c r="Q1263" s="18" t="s">
        <v>69</v>
      </c>
      <c r="R1263" s="16" t="s">
        <v>54</v>
      </c>
      <c r="S1263" s="18" t="s">
        <v>4617</v>
      </c>
      <c r="T1263" s="21" t="s">
        <v>55</v>
      </c>
    </row>
    <row r="1264" spans="1:20" ht="16.5">
      <c r="A1264" s="11" t="s">
        <v>3658</v>
      </c>
      <c r="B1264" s="11" t="s">
        <v>60</v>
      </c>
      <c r="C1264" s="11" t="s">
        <v>62</v>
      </c>
      <c r="D1264" s="12" t="s">
        <v>4676</v>
      </c>
      <c r="E1264" s="11" t="s">
        <v>71</v>
      </c>
      <c r="F1264" s="11" t="s">
        <v>72</v>
      </c>
      <c r="G1264" s="12" t="s">
        <v>4680</v>
      </c>
      <c r="H1264" s="13" t="s">
        <v>4681</v>
      </c>
      <c r="I1264" s="11" t="s">
        <v>65</v>
      </c>
      <c r="J1264" s="14">
        <v>1</v>
      </c>
      <c r="K1264" s="14" t="s">
        <v>4600</v>
      </c>
      <c r="L1264" s="14" t="s">
        <v>4682</v>
      </c>
      <c r="M1264" s="15" t="s">
        <v>4679</v>
      </c>
      <c r="N1264" s="15" t="s">
        <v>76</v>
      </c>
      <c r="O1264" s="15" t="s">
        <v>4683</v>
      </c>
      <c r="P1264" s="15"/>
      <c r="Q1264" s="12" t="s">
        <v>69</v>
      </c>
      <c r="R1264" s="16" t="s">
        <v>54</v>
      </c>
      <c r="S1264" s="12" t="s">
        <v>4617</v>
      </c>
      <c r="T1264" s="14" t="s">
        <v>55</v>
      </c>
    </row>
    <row r="1265" spans="1:20" ht="16.5">
      <c r="A1265" s="17" t="s">
        <v>3658</v>
      </c>
      <c r="B1265" s="17" t="s">
        <v>60</v>
      </c>
      <c r="C1265" s="17" t="s">
        <v>62</v>
      </c>
      <c r="D1265" s="18" t="s">
        <v>4676</v>
      </c>
      <c r="E1265" s="17" t="s">
        <v>71</v>
      </c>
      <c r="F1265" s="17" t="s">
        <v>72</v>
      </c>
      <c r="G1265" s="18" t="s">
        <v>4684</v>
      </c>
      <c r="H1265" s="20" t="s">
        <v>4681</v>
      </c>
      <c r="I1265" s="17" t="s">
        <v>65</v>
      </c>
      <c r="J1265" s="21">
        <v>1</v>
      </c>
      <c r="K1265" s="21" t="s">
        <v>4600</v>
      </c>
      <c r="L1265" s="21" t="s">
        <v>4685</v>
      </c>
      <c r="M1265" s="19" t="s">
        <v>4679</v>
      </c>
      <c r="N1265" s="19" t="s">
        <v>76</v>
      </c>
      <c r="O1265" s="19" t="s">
        <v>4686</v>
      </c>
      <c r="P1265" s="19"/>
      <c r="Q1265" s="18" t="s">
        <v>69</v>
      </c>
      <c r="R1265" s="16" t="s">
        <v>54</v>
      </c>
      <c r="S1265" s="18" t="s">
        <v>4617</v>
      </c>
      <c r="T1265" s="21" t="s">
        <v>55</v>
      </c>
    </row>
    <row r="1266" spans="1:20" ht="16.5">
      <c r="A1266" s="11" t="s">
        <v>3658</v>
      </c>
      <c r="B1266" s="11" t="s">
        <v>60</v>
      </c>
      <c r="C1266" s="11" t="s">
        <v>62</v>
      </c>
      <c r="D1266" s="12" t="s">
        <v>4676</v>
      </c>
      <c r="E1266" s="11" t="s">
        <v>71</v>
      </c>
      <c r="F1266" s="11" t="s">
        <v>72</v>
      </c>
      <c r="G1266" s="12" t="s">
        <v>4687</v>
      </c>
      <c r="H1266" s="13" t="s">
        <v>4681</v>
      </c>
      <c r="I1266" s="11" t="s">
        <v>65</v>
      </c>
      <c r="J1266" s="14">
        <v>1</v>
      </c>
      <c r="K1266" s="14" t="s">
        <v>4600</v>
      </c>
      <c r="L1266" s="14" t="s">
        <v>4688</v>
      </c>
      <c r="M1266" s="15" t="s">
        <v>4679</v>
      </c>
      <c r="N1266" s="15" t="s">
        <v>76</v>
      </c>
      <c r="O1266" s="15" t="s">
        <v>4689</v>
      </c>
      <c r="P1266" s="15"/>
      <c r="Q1266" s="12" t="s">
        <v>69</v>
      </c>
      <c r="R1266" s="16" t="s">
        <v>54</v>
      </c>
      <c r="S1266" s="12" t="s">
        <v>4617</v>
      </c>
      <c r="T1266" s="14" t="s">
        <v>55</v>
      </c>
    </row>
    <row r="1267" spans="1:20" ht="16.5">
      <c r="A1267" s="17" t="s">
        <v>3658</v>
      </c>
      <c r="B1267" s="17" t="s">
        <v>60</v>
      </c>
      <c r="C1267" s="17" t="s">
        <v>62</v>
      </c>
      <c r="D1267" s="18" t="s">
        <v>4676</v>
      </c>
      <c r="E1267" s="17" t="s">
        <v>71</v>
      </c>
      <c r="F1267" s="17" t="s">
        <v>72</v>
      </c>
      <c r="G1267" s="18" t="s">
        <v>4690</v>
      </c>
      <c r="H1267" s="20" t="s">
        <v>4681</v>
      </c>
      <c r="I1267" s="17" t="s">
        <v>65</v>
      </c>
      <c r="J1267" s="21">
        <v>1</v>
      </c>
      <c r="K1267" s="21" t="s">
        <v>4600</v>
      </c>
      <c r="L1267" s="21" t="s">
        <v>4691</v>
      </c>
      <c r="M1267" s="19" t="s">
        <v>4679</v>
      </c>
      <c r="N1267" s="19" t="s">
        <v>76</v>
      </c>
      <c r="O1267" s="19" t="s">
        <v>4692</v>
      </c>
      <c r="P1267" s="19"/>
      <c r="Q1267" s="18" t="s">
        <v>69</v>
      </c>
      <c r="R1267" s="16" t="s">
        <v>54</v>
      </c>
      <c r="S1267" s="18" t="s">
        <v>4617</v>
      </c>
      <c r="T1267" s="21" t="s">
        <v>55</v>
      </c>
    </row>
    <row r="1268" spans="1:20" ht="16.5">
      <c r="A1268" s="11" t="s">
        <v>3658</v>
      </c>
      <c r="B1268" s="11" t="s">
        <v>60</v>
      </c>
      <c r="C1268" s="11" t="s">
        <v>62</v>
      </c>
      <c r="D1268" s="12" t="s">
        <v>4676</v>
      </c>
      <c r="E1268" s="11" t="s">
        <v>81</v>
      </c>
      <c r="F1268" s="11" t="s">
        <v>82</v>
      </c>
      <c r="G1268" s="12" t="s">
        <v>4693</v>
      </c>
      <c r="H1268" s="13" t="s">
        <v>4694</v>
      </c>
      <c r="I1268" s="11" t="s">
        <v>65</v>
      </c>
      <c r="J1268" s="14">
        <v>1</v>
      </c>
      <c r="K1268" s="14" t="s">
        <v>4600</v>
      </c>
      <c r="L1268" s="14" t="s">
        <v>4695</v>
      </c>
      <c r="M1268" s="15" t="s">
        <v>4679</v>
      </c>
      <c r="N1268" s="15" t="s">
        <v>86</v>
      </c>
      <c r="O1268" s="15" t="s">
        <v>4696</v>
      </c>
      <c r="P1268" s="15"/>
      <c r="Q1268" s="12" t="s">
        <v>53</v>
      </c>
      <c r="R1268" s="22" t="s">
        <v>88</v>
      </c>
      <c r="S1268" s="12" t="s">
        <v>4617</v>
      </c>
      <c r="T1268" s="26" t="s">
        <v>673</v>
      </c>
    </row>
    <row r="1269" spans="1:20" ht="16.5">
      <c r="A1269" s="17" t="s">
        <v>3658</v>
      </c>
      <c r="B1269" s="17" t="s">
        <v>60</v>
      </c>
      <c r="C1269" s="17" t="s">
        <v>62</v>
      </c>
      <c r="D1269" s="18" t="s">
        <v>4676</v>
      </c>
      <c r="E1269" s="17" t="s">
        <v>81</v>
      </c>
      <c r="F1269" s="17" t="s">
        <v>82</v>
      </c>
      <c r="G1269" s="18" t="s">
        <v>4697</v>
      </c>
      <c r="H1269" s="20" t="s">
        <v>4698</v>
      </c>
      <c r="I1269" s="17" t="s">
        <v>65</v>
      </c>
      <c r="J1269" s="21">
        <v>1</v>
      </c>
      <c r="K1269" s="21" t="s">
        <v>4600</v>
      </c>
      <c r="L1269" s="21" t="s">
        <v>4699</v>
      </c>
      <c r="M1269" s="19" t="s">
        <v>4679</v>
      </c>
      <c r="N1269" s="19" t="s">
        <v>86</v>
      </c>
      <c r="O1269" s="19" t="s">
        <v>4700</v>
      </c>
      <c r="P1269" s="19"/>
      <c r="Q1269" s="18" t="s">
        <v>53</v>
      </c>
      <c r="R1269" s="22" t="s">
        <v>88</v>
      </c>
      <c r="S1269" s="18" t="s">
        <v>4617</v>
      </c>
      <c r="T1269" s="21" t="s">
        <v>55</v>
      </c>
    </row>
    <row r="1270" spans="1:20" ht="16.5">
      <c r="A1270" s="11" t="s">
        <v>3658</v>
      </c>
      <c r="B1270" s="11" t="s">
        <v>60</v>
      </c>
      <c r="C1270" s="11" t="s">
        <v>44</v>
      </c>
      <c r="D1270" s="12" t="s">
        <v>3658</v>
      </c>
      <c r="E1270" s="11" t="s">
        <v>61</v>
      </c>
      <c r="F1270" s="11" t="s">
        <v>62</v>
      </c>
      <c r="G1270" s="12" t="s">
        <v>4701</v>
      </c>
      <c r="H1270" s="13" t="s">
        <v>4702</v>
      </c>
      <c r="I1270" s="11" t="s">
        <v>65</v>
      </c>
      <c r="J1270" s="14">
        <v>1</v>
      </c>
      <c r="K1270" s="14" t="s">
        <v>4600</v>
      </c>
      <c r="L1270" s="14" t="s">
        <v>4703</v>
      </c>
      <c r="M1270" s="15" t="s">
        <v>3661</v>
      </c>
      <c r="N1270" s="15" t="s">
        <v>67</v>
      </c>
      <c r="O1270" s="15" t="s">
        <v>4704</v>
      </c>
      <c r="P1270" s="15"/>
      <c r="Q1270" s="12" t="s">
        <v>69</v>
      </c>
      <c r="R1270" s="16" t="s">
        <v>54</v>
      </c>
      <c r="S1270" s="12" t="s">
        <v>4617</v>
      </c>
      <c r="T1270" s="14" t="s">
        <v>55</v>
      </c>
    </row>
    <row r="1271" spans="1:20" ht="16.5">
      <c r="A1271" s="17" t="s">
        <v>3658</v>
      </c>
      <c r="B1271" s="17" t="s">
        <v>60</v>
      </c>
      <c r="C1271" s="17" t="s">
        <v>62</v>
      </c>
      <c r="D1271" s="18" t="s">
        <v>4701</v>
      </c>
      <c r="E1271" s="17" t="s">
        <v>71</v>
      </c>
      <c r="F1271" s="17" t="s">
        <v>72</v>
      </c>
      <c r="G1271" s="18" t="s">
        <v>4705</v>
      </c>
      <c r="H1271" s="20" t="s">
        <v>4706</v>
      </c>
      <c r="I1271" s="17" t="s">
        <v>65</v>
      </c>
      <c r="J1271" s="21">
        <v>1</v>
      </c>
      <c r="K1271" s="21" t="s">
        <v>4600</v>
      </c>
      <c r="L1271" s="21" t="s">
        <v>4707</v>
      </c>
      <c r="M1271" s="19" t="s">
        <v>4704</v>
      </c>
      <c r="N1271" s="19" t="s">
        <v>76</v>
      </c>
      <c r="O1271" s="19" t="s">
        <v>4708</v>
      </c>
      <c r="P1271" s="19"/>
      <c r="Q1271" s="18" t="s">
        <v>69</v>
      </c>
      <c r="R1271" s="16" t="s">
        <v>54</v>
      </c>
      <c r="S1271" s="18" t="s">
        <v>4617</v>
      </c>
      <c r="T1271" s="21" t="s">
        <v>55</v>
      </c>
    </row>
    <row r="1272" spans="1:20" ht="16.5">
      <c r="A1272" s="11" t="s">
        <v>3658</v>
      </c>
      <c r="B1272" s="11" t="s">
        <v>60</v>
      </c>
      <c r="C1272" s="11" t="s">
        <v>62</v>
      </c>
      <c r="D1272" s="12" t="s">
        <v>4701</v>
      </c>
      <c r="E1272" s="11" t="s">
        <v>71</v>
      </c>
      <c r="F1272" s="11" t="s">
        <v>72</v>
      </c>
      <c r="G1272" s="12" t="s">
        <v>4709</v>
      </c>
      <c r="H1272" s="13" t="s">
        <v>4706</v>
      </c>
      <c r="I1272" s="11" t="s">
        <v>65</v>
      </c>
      <c r="J1272" s="14">
        <v>1</v>
      </c>
      <c r="K1272" s="14" t="s">
        <v>4600</v>
      </c>
      <c r="L1272" s="14" t="s">
        <v>4710</v>
      </c>
      <c r="M1272" s="15" t="s">
        <v>4704</v>
      </c>
      <c r="N1272" s="15" t="s">
        <v>76</v>
      </c>
      <c r="O1272" s="15" t="s">
        <v>4711</v>
      </c>
      <c r="P1272" s="15"/>
      <c r="Q1272" s="12" t="s">
        <v>69</v>
      </c>
      <c r="R1272" s="16" t="s">
        <v>54</v>
      </c>
      <c r="S1272" s="12" t="s">
        <v>4617</v>
      </c>
      <c r="T1272" s="14" t="s">
        <v>55</v>
      </c>
    </row>
    <row r="1273" spans="1:20" ht="16.5">
      <c r="A1273" s="17" t="s">
        <v>3658</v>
      </c>
      <c r="B1273" s="17" t="s">
        <v>60</v>
      </c>
      <c r="C1273" s="17" t="s">
        <v>62</v>
      </c>
      <c r="D1273" s="18" t="s">
        <v>4701</v>
      </c>
      <c r="E1273" s="17" t="s">
        <v>71</v>
      </c>
      <c r="F1273" s="17" t="s">
        <v>72</v>
      </c>
      <c r="G1273" s="18" t="s">
        <v>4712</v>
      </c>
      <c r="H1273" s="20" t="s">
        <v>4706</v>
      </c>
      <c r="I1273" s="17" t="s">
        <v>65</v>
      </c>
      <c r="J1273" s="21">
        <v>1</v>
      </c>
      <c r="K1273" s="21" t="s">
        <v>4600</v>
      </c>
      <c r="L1273" s="21" t="s">
        <v>4713</v>
      </c>
      <c r="M1273" s="19" t="s">
        <v>4704</v>
      </c>
      <c r="N1273" s="19" t="s">
        <v>76</v>
      </c>
      <c r="O1273" s="19" t="s">
        <v>4714</v>
      </c>
      <c r="P1273" s="19"/>
      <c r="Q1273" s="18" t="s">
        <v>69</v>
      </c>
      <c r="R1273" s="16" t="s">
        <v>54</v>
      </c>
      <c r="S1273" s="18" t="s">
        <v>4617</v>
      </c>
      <c r="T1273" s="21" t="s">
        <v>55</v>
      </c>
    </row>
    <row r="1274" spans="1:20" ht="16.5">
      <c r="A1274" s="11" t="s">
        <v>3658</v>
      </c>
      <c r="B1274" s="11" t="s">
        <v>60</v>
      </c>
      <c r="C1274" s="11" t="s">
        <v>62</v>
      </c>
      <c r="D1274" s="12" t="s">
        <v>4701</v>
      </c>
      <c r="E1274" s="11" t="s">
        <v>71</v>
      </c>
      <c r="F1274" s="11" t="s">
        <v>72</v>
      </c>
      <c r="G1274" s="12" t="s">
        <v>4715</v>
      </c>
      <c r="H1274" s="13" t="s">
        <v>4706</v>
      </c>
      <c r="I1274" s="11" t="s">
        <v>65</v>
      </c>
      <c r="J1274" s="14">
        <v>1</v>
      </c>
      <c r="K1274" s="14" t="s">
        <v>4600</v>
      </c>
      <c r="L1274" s="14" t="s">
        <v>4716</v>
      </c>
      <c r="M1274" s="15" t="s">
        <v>4704</v>
      </c>
      <c r="N1274" s="15" t="s">
        <v>76</v>
      </c>
      <c r="O1274" s="15" t="s">
        <v>4717</v>
      </c>
      <c r="P1274" s="15"/>
      <c r="Q1274" s="12" t="s">
        <v>69</v>
      </c>
      <c r="R1274" s="16" t="s">
        <v>54</v>
      </c>
      <c r="S1274" s="12" t="s">
        <v>4617</v>
      </c>
      <c r="T1274" s="14" t="s">
        <v>55</v>
      </c>
    </row>
    <row r="1275" spans="1:20" ht="16.5">
      <c r="A1275" s="17" t="s">
        <v>3658</v>
      </c>
      <c r="B1275" s="17" t="s">
        <v>60</v>
      </c>
      <c r="C1275" s="17" t="s">
        <v>62</v>
      </c>
      <c r="D1275" s="18" t="s">
        <v>4701</v>
      </c>
      <c r="E1275" s="17" t="s">
        <v>81</v>
      </c>
      <c r="F1275" s="17" t="s">
        <v>82</v>
      </c>
      <c r="G1275" s="18" t="s">
        <v>4718</v>
      </c>
      <c r="H1275" s="20" t="s">
        <v>4719</v>
      </c>
      <c r="I1275" s="17" t="s">
        <v>65</v>
      </c>
      <c r="J1275" s="21">
        <v>1</v>
      </c>
      <c r="K1275" s="21" t="s">
        <v>4600</v>
      </c>
      <c r="L1275" s="21" t="s">
        <v>4720</v>
      </c>
      <c r="M1275" s="19" t="s">
        <v>4704</v>
      </c>
      <c r="N1275" s="19" t="s">
        <v>86</v>
      </c>
      <c r="O1275" s="19" t="s">
        <v>4721</v>
      </c>
      <c r="P1275" s="19"/>
      <c r="Q1275" s="18" t="s">
        <v>53</v>
      </c>
      <c r="R1275" s="22" t="s">
        <v>88</v>
      </c>
      <c r="S1275" s="18" t="s">
        <v>4617</v>
      </c>
      <c r="T1275" s="21" t="s">
        <v>55</v>
      </c>
    </row>
    <row r="1276" spans="1:20" ht="16.5">
      <c r="A1276" s="11" t="s">
        <v>3658</v>
      </c>
      <c r="B1276" s="11" t="s">
        <v>60</v>
      </c>
      <c r="C1276" s="11" t="s">
        <v>62</v>
      </c>
      <c r="D1276" s="12" t="s">
        <v>4701</v>
      </c>
      <c r="E1276" s="11" t="s">
        <v>81</v>
      </c>
      <c r="F1276" s="11" t="s">
        <v>82</v>
      </c>
      <c r="G1276" s="12" t="s">
        <v>4722</v>
      </c>
      <c r="H1276" s="13" t="s">
        <v>4723</v>
      </c>
      <c r="I1276" s="11" t="s">
        <v>65</v>
      </c>
      <c r="J1276" s="14">
        <v>1</v>
      </c>
      <c r="K1276" s="14" t="s">
        <v>4600</v>
      </c>
      <c r="L1276" s="14" t="s">
        <v>4724</v>
      </c>
      <c r="M1276" s="15" t="s">
        <v>4704</v>
      </c>
      <c r="N1276" s="15" t="s">
        <v>86</v>
      </c>
      <c r="O1276" s="15" t="s">
        <v>4725</v>
      </c>
      <c r="P1276" s="15"/>
      <c r="Q1276" s="12" t="s">
        <v>53</v>
      </c>
      <c r="R1276" s="22" t="s">
        <v>88</v>
      </c>
      <c r="S1276" s="12" t="s">
        <v>4617</v>
      </c>
      <c r="T1276" s="14" t="s">
        <v>55</v>
      </c>
    </row>
    <row r="1277" spans="1:20" ht="16.5">
      <c r="A1277" s="17" t="s">
        <v>3658</v>
      </c>
      <c r="B1277" s="17" t="s">
        <v>60</v>
      </c>
      <c r="C1277" s="17" t="s">
        <v>44</v>
      </c>
      <c r="D1277" s="18" t="s">
        <v>3658</v>
      </c>
      <c r="E1277" s="17" t="s">
        <v>61</v>
      </c>
      <c r="F1277" s="17" t="s">
        <v>62</v>
      </c>
      <c r="G1277" s="18" t="s">
        <v>4726</v>
      </c>
      <c r="H1277" s="20" t="s">
        <v>4727</v>
      </c>
      <c r="I1277" s="17" t="s">
        <v>65</v>
      </c>
      <c r="J1277" s="21">
        <v>1</v>
      </c>
      <c r="K1277" s="21" t="s">
        <v>4600</v>
      </c>
      <c r="L1277" s="21" t="s">
        <v>4728</v>
      </c>
      <c r="M1277" s="19" t="s">
        <v>3661</v>
      </c>
      <c r="N1277" s="19" t="s">
        <v>67</v>
      </c>
      <c r="O1277" s="19" t="s">
        <v>4729</v>
      </c>
      <c r="P1277" s="19"/>
      <c r="Q1277" s="18" t="s">
        <v>69</v>
      </c>
      <c r="R1277" s="16" t="s">
        <v>54</v>
      </c>
      <c r="S1277" s="18" t="s">
        <v>4617</v>
      </c>
      <c r="T1277" s="21" t="s">
        <v>55</v>
      </c>
    </row>
    <row r="1278" spans="1:20" ht="16.5">
      <c r="A1278" s="11" t="s">
        <v>3658</v>
      </c>
      <c r="B1278" s="11" t="s">
        <v>60</v>
      </c>
      <c r="C1278" s="11" t="s">
        <v>62</v>
      </c>
      <c r="D1278" s="12" t="s">
        <v>4726</v>
      </c>
      <c r="E1278" s="11" t="s">
        <v>71</v>
      </c>
      <c r="F1278" s="11" t="s">
        <v>72</v>
      </c>
      <c r="G1278" s="12" t="s">
        <v>4730</v>
      </c>
      <c r="H1278" s="13" t="s">
        <v>4731</v>
      </c>
      <c r="I1278" s="11" t="s">
        <v>65</v>
      </c>
      <c r="J1278" s="14">
        <v>1</v>
      </c>
      <c r="K1278" s="14" t="s">
        <v>4600</v>
      </c>
      <c r="L1278" s="14" t="s">
        <v>4732</v>
      </c>
      <c r="M1278" s="15" t="s">
        <v>4729</v>
      </c>
      <c r="N1278" s="15" t="s">
        <v>76</v>
      </c>
      <c r="O1278" s="15" t="s">
        <v>4733</v>
      </c>
      <c r="P1278" s="15"/>
      <c r="Q1278" s="12" t="s">
        <v>69</v>
      </c>
      <c r="R1278" s="16" t="s">
        <v>54</v>
      </c>
      <c r="S1278" s="12" t="s">
        <v>4617</v>
      </c>
      <c r="T1278" s="14" t="s">
        <v>55</v>
      </c>
    </row>
    <row r="1279" spans="1:20" ht="16.5">
      <c r="A1279" s="17" t="s">
        <v>3658</v>
      </c>
      <c r="B1279" s="17" t="s">
        <v>60</v>
      </c>
      <c r="C1279" s="17" t="s">
        <v>62</v>
      </c>
      <c r="D1279" s="18" t="s">
        <v>4726</v>
      </c>
      <c r="E1279" s="17" t="s">
        <v>71</v>
      </c>
      <c r="F1279" s="17" t="s">
        <v>72</v>
      </c>
      <c r="G1279" s="18" t="s">
        <v>4734</v>
      </c>
      <c r="H1279" s="20" t="s">
        <v>4731</v>
      </c>
      <c r="I1279" s="17" t="s">
        <v>65</v>
      </c>
      <c r="J1279" s="21">
        <v>1</v>
      </c>
      <c r="K1279" s="21" t="s">
        <v>4600</v>
      </c>
      <c r="L1279" s="21" t="s">
        <v>4735</v>
      </c>
      <c r="M1279" s="19" t="s">
        <v>4729</v>
      </c>
      <c r="N1279" s="19" t="s">
        <v>76</v>
      </c>
      <c r="O1279" s="19" t="s">
        <v>4736</v>
      </c>
      <c r="P1279" s="19"/>
      <c r="Q1279" s="18" t="s">
        <v>69</v>
      </c>
      <c r="R1279" s="16" t="s">
        <v>54</v>
      </c>
      <c r="S1279" s="18" t="s">
        <v>4617</v>
      </c>
      <c r="T1279" s="21" t="s">
        <v>55</v>
      </c>
    </row>
    <row r="1280" spans="1:20" ht="16.5">
      <c r="A1280" s="11" t="s">
        <v>3658</v>
      </c>
      <c r="B1280" s="11" t="s">
        <v>60</v>
      </c>
      <c r="C1280" s="11" t="s">
        <v>62</v>
      </c>
      <c r="D1280" s="12" t="s">
        <v>4726</v>
      </c>
      <c r="E1280" s="11" t="s">
        <v>81</v>
      </c>
      <c r="F1280" s="11" t="s">
        <v>82</v>
      </c>
      <c r="G1280" s="12" t="s">
        <v>4737</v>
      </c>
      <c r="H1280" s="13" t="s">
        <v>4738</v>
      </c>
      <c r="I1280" s="11" t="s">
        <v>65</v>
      </c>
      <c r="J1280" s="14">
        <v>1</v>
      </c>
      <c r="K1280" s="14" t="s">
        <v>4600</v>
      </c>
      <c r="L1280" s="14" t="s">
        <v>4739</v>
      </c>
      <c r="M1280" s="15" t="s">
        <v>4729</v>
      </c>
      <c r="N1280" s="15" t="s">
        <v>86</v>
      </c>
      <c r="O1280" s="15" t="s">
        <v>4740</v>
      </c>
      <c r="P1280" s="15"/>
      <c r="Q1280" s="12" t="s">
        <v>53</v>
      </c>
      <c r="R1280" s="22" t="s">
        <v>88</v>
      </c>
      <c r="S1280" s="12" t="s">
        <v>4617</v>
      </c>
      <c r="T1280" s="14" t="s">
        <v>55</v>
      </c>
    </row>
    <row r="1281" spans="1:20" ht="16.5">
      <c r="A1281" s="17" t="s">
        <v>3658</v>
      </c>
      <c r="B1281" s="17" t="s">
        <v>60</v>
      </c>
      <c r="C1281" s="17" t="s">
        <v>44</v>
      </c>
      <c r="D1281" s="18" t="s">
        <v>3658</v>
      </c>
      <c r="E1281" s="17" t="s">
        <v>61</v>
      </c>
      <c r="F1281" s="17" t="s">
        <v>62</v>
      </c>
      <c r="G1281" s="18" t="s">
        <v>4741</v>
      </c>
      <c r="H1281" s="20" t="s">
        <v>4742</v>
      </c>
      <c r="I1281" s="17" t="s">
        <v>65</v>
      </c>
      <c r="J1281" s="21">
        <v>1</v>
      </c>
      <c r="K1281" s="21" t="s">
        <v>4600</v>
      </c>
      <c r="L1281" s="21" t="s">
        <v>4743</v>
      </c>
      <c r="M1281" s="19" t="s">
        <v>3661</v>
      </c>
      <c r="N1281" s="19" t="s">
        <v>67</v>
      </c>
      <c r="O1281" s="19" t="s">
        <v>4744</v>
      </c>
      <c r="P1281" s="19"/>
      <c r="Q1281" s="18" t="s">
        <v>69</v>
      </c>
      <c r="R1281" s="16" t="s">
        <v>54</v>
      </c>
      <c r="S1281" s="18" t="s">
        <v>4617</v>
      </c>
      <c r="T1281" s="21" t="s">
        <v>55</v>
      </c>
    </row>
    <row r="1282" spans="1:20" ht="16.5">
      <c r="A1282" s="11" t="s">
        <v>3658</v>
      </c>
      <c r="B1282" s="11" t="s">
        <v>60</v>
      </c>
      <c r="C1282" s="11" t="s">
        <v>62</v>
      </c>
      <c r="D1282" s="12" t="s">
        <v>4741</v>
      </c>
      <c r="E1282" s="11" t="s">
        <v>81</v>
      </c>
      <c r="F1282" s="11" t="s">
        <v>82</v>
      </c>
      <c r="G1282" s="12" t="s">
        <v>4745</v>
      </c>
      <c r="H1282" s="13" t="s">
        <v>4746</v>
      </c>
      <c r="I1282" s="11" t="s">
        <v>65</v>
      </c>
      <c r="J1282" s="14">
        <v>1</v>
      </c>
      <c r="K1282" s="14" t="s">
        <v>4600</v>
      </c>
      <c r="L1282" s="14" t="s">
        <v>4747</v>
      </c>
      <c r="M1282" s="15" t="s">
        <v>4744</v>
      </c>
      <c r="N1282" s="15" t="s">
        <v>86</v>
      </c>
      <c r="O1282" s="15" t="s">
        <v>4748</v>
      </c>
      <c r="P1282" s="15"/>
      <c r="Q1282" s="12" t="s">
        <v>53</v>
      </c>
      <c r="R1282" s="22" t="s">
        <v>88</v>
      </c>
      <c r="S1282" s="12" t="s">
        <v>4617</v>
      </c>
      <c r="T1282" s="14" t="s">
        <v>55</v>
      </c>
    </row>
    <row r="1283" spans="1:20" ht="16.5">
      <c r="A1283" s="17" t="s">
        <v>3658</v>
      </c>
      <c r="B1283" s="17" t="s">
        <v>60</v>
      </c>
      <c r="C1283" s="17" t="s">
        <v>62</v>
      </c>
      <c r="D1283" s="18" t="s">
        <v>4741</v>
      </c>
      <c r="E1283" s="17" t="s">
        <v>81</v>
      </c>
      <c r="F1283" s="17" t="s">
        <v>82</v>
      </c>
      <c r="G1283" s="18" t="s">
        <v>4749</v>
      </c>
      <c r="H1283" s="20" t="s">
        <v>4750</v>
      </c>
      <c r="I1283" s="17" t="s">
        <v>65</v>
      </c>
      <c r="J1283" s="21">
        <v>1</v>
      </c>
      <c r="K1283" s="21" t="s">
        <v>4600</v>
      </c>
      <c r="L1283" s="21" t="s">
        <v>4751</v>
      </c>
      <c r="M1283" s="19" t="s">
        <v>4744</v>
      </c>
      <c r="N1283" s="19" t="s">
        <v>86</v>
      </c>
      <c r="O1283" s="19" t="s">
        <v>4752</v>
      </c>
      <c r="P1283" s="19"/>
      <c r="Q1283" s="18" t="s">
        <v>53</v>
      </c>
      <c r="R1283" s="22" t="s">
        <v>88</v>
      </c>
      <c r="S1283" s="18" t="s">
        <v>4617</v>
      </c>
      <c r="T1283" s="21" t="s">
        <v>55</v>
      </c>
    </row>
    <row r="1284" spans="1:20" ht="16.5">
      <c r="A1284" s="11" t="s">
        <v>3658</v>
      </c>
      <c r="B1284" s="11" t="s">
        <v>60</v>
      </c>
      <c r="C1284" s="11" t="s">
        <v>62</v>
      </c>
      <c r="D1284" s="12" t="s">
        <v>4741</v>
      </c>
      <c r="E1284" s="11" t="s">
        <v>81</v>
      </c>
      <c r="F1284" s="11" t="s">
        <v>82</v>
      </c>
      <c r="G1284" s="12" t="s">
        <v>4753</v>
      </c>
      <c r="H1284" s="13" t="s">
        <v>4754</v>
      </c>
      <c r="I1284" s="11" t="s">
        <v>65</v>
      </c>
      <c r="J1284" s="14">
        <v>1</v>
      </c>
      <c r="K1284" s="14" t="s">
        <v>4600</v>
      </c>
      <c r="L1284" s="14" t="s">
        <v>4755</v>
      </c>
      <c r="M1284" s="15" t="s">
        <v>4744</v>
      </c>
      <c r="N1284" s="15" t="s">
        <v>86</v>
      </c>
      <c r="O1284" s="15" t="s">
        <v>4756</v>
      </c>
      <c r="P1284" s="15"/>
      <c r="Q1284" s="12" t="s">
        <v>53</v>
      </c>
      <c r="R1284" s="22" t="s">
        <v>88</v>
      </c>
      <c r="S1284" s="12" t="s">
        <v>4617</v>
      </c>
      <c r="T1284" s="14" t="s">
        <v>55</v>
      </c>
    </row>
    <row r="1285" spans="1:20" ht="29.25">
      <c r="A1285" s="17" t="s">
        <v>3658</v>
      </c>
      <c r="B1285" s="17" t="s">
        <v>60</v>
      </c>
      <c r="C1285" s="17" t="s">
        <v>44</v>
      </c>
      <c r="D1285" s="18" t="s">
        <v>3658</v>
      </c>
      <c r="E1285" s="17" t="s">
        <v>61</v>
      </c>
      <c r="F1285" s="17" t="s">
        <v>62</v>
      </c>
      <c r="G1285" s="18" t="s">
        <v>4757</v>
      </c>
      <c r="H1285" s="20" t="s">
        <v>4758</v>
      </c>
      <c r="I1285" s="17" t="s">
        <v>65</v>
      </c>
      <c r="J1285" s="21">
        <v>1</v>
      </c>
      <c r="K1285" s="21" t="s">
        <v>4600</v>
      </c>
      <c r="L1285" s="21" t="s">
        <v>4759</v>
      </c>
      <c r="M1285" s="19" t="s">
        <v>3661</v>
      </c>
      <c r="N1285" s="19" t="s">
        <v>67</v>
      </c>
      <c r="O1285" s="19" t="s">
        <v>4760</v>
      </c>
      <c r="P1285" s="19"/>
      <c r="Q1285" s="18" t="s">
        <v>69</v>
      </c>
      <c r="R1285" s="16" t="s">
        <v>54</v>
      </c>
      <c r="S1285" s="18" t="s">
        <v>4617</v>
      </c>
      <c r="T1285" s="21" t="s">
        <v>55</v>
      </c>
    </row>
    <row r="1286" spans="1:20" ht="16.5">
      <c r="A1286" s="11" t="s">
        <v>3658</v>
      </c>
      <c r="B1286" s="11" t="s">
        <v>60</v>
      </c>
      <c r="C1286" s="11" t="s">
        <v>62</v>
      </c>
      <c r="D1286" s="12" t="s">
        <v>4757</v>
      </c>
      <c r="E1286" s="11" t="s">
        <v>71</v>
      </c>
      <c r="F1286" s="11" t="s">
        <v>72</v>
      </c>
      <c r="G1286" s="12" t="s">
        <v>4761</v>
      </c>
      <c r="H1286" s="13" t="s">
        <v>4762</v>
      </c>
      <c r="I1286" s="11" t="s">
        <v>65</v>
      </c>
      <c r="J1286" s="14">
        <v>1</v>
      </c>
      <c r="K1286" s="14" t="s">
        <v>4600</v>
      </c>
      <c r="L1286" s="14" t="s">
        <v>4763</v>
      </c>
      <c r="M1286" s="15" t="s">
        <v>4760</v>
      </c>
      <c r="N1286" s="15" t="s">
        <v>76</v>
      </c>
      <c r="O1286" s="15" t="s">
        <v>4764</v>
      </c>
      <c r="P1286" s="15"/>
      <c r="Q1286" s="12" t="s">
        <v>69</v>
      </c>
      <c r="R1286" s="16" t="s">
        <v>54</v>
      </c>
      <c r="S1286" s="12" t="s">
        <v>4617</v>
      </c>
      <c r="T1286" s="14" t="s">
        <v>55</v>
      </c>
    </row>
    <row r="1287" spans="1:20" ht="16.5">
      <c r="A1287" s="17" t="s">
        <v>3658</v>
      </c>
      <c r="B1287" s="17" t="s">
        <v>60</v>
      </c>
      <c r="C1287" s="17" t="s">
        <v>62</v>
      </c>
      <c r="D1287" s="18" t="s">
        <v>4757</v>
      </c>
      <c r="E1287" s="17" t="s">
        <v>71</v>
      </c>
      <c r="F1287" s="17" t="s">
        <v>72</v>
      </c>
      <c r="G1287" s="18" t="s">
        <v>4765</v>
      </c>
      <c r="H1287" s="20" t="s">
        <v>4762</v>
      </c>
      <c r="I1287" s="17" t="s">
        <v>65</v>
      </c>
      <c r="J1287" s="21">
        <v>1</v>
      </c>
      <c r="K1287" s="21" t="s">
        <v>4600</v>
      </c>
      <c r="L1287" s="21" t="s">
        <v>4766</v>
      </c>
      <c r="M1287" s="19" t="s">
        <v>4760</v>
      </c>
      <c r="N1287" s="19" t="s">
        <v>76</v>
      </c>
      <c r="O1287" s="19" t="s">
        <v>4767</v>
      </c>
      <c r="P1287" s="19"/>
      <c r="Q1287" s="18" t="s">
        <v>69</v>
      </c>
      <c r="R1287" s="16" t="s">
        <v>54</v>
      </c>
      <c r="S1287" s="18" t="s">
        <v>4617</v>
      </c>
      <c r="T1287" s="21" t="s">
        <v>55</v>
      </c>
    </row>
    <row r="1288" spans="1:20" ht="16.5">
      <c r="A1288" s="11" t="s">
        <v>3658</v>
      </c>
      <c r="B1288" s="11" t="s">
        <v>60</v>
      </c>
      <c r="C1288" s="11" t="s">
        <v>62</v>
      </c>
      <c r="D1288" s="12" t="s">
        <v>4757</v>
      </c>
      <c r="E1288" s="11" t="s">
        <v>71</v>
      </c>
      <c r="F1288" s="11" t="s">
        <v>72</v>
      </c>
      <c r="G1288" s="12" t="s">
        <v>4768</v>
      </c>
      <c r="H1288" s="13" t="s">
        <v>4762</v>
      </c>
      <c r="I1288" s="11" t="s">
        <v>65</v>
      </c>
      <c r="J1288" s="14">
        <v>1</v>
      </c>
      <c r="K1288" s="14" t="s">
        <v>4600</v>
      </c>
      <c r="L1288" s="14" t="s">
        <v>4769</v>
      </c>
      <c r="M1288" s="15" t="s">
        <v>4760</v>
      </c>
      <c r="N1288" s="15" t="s">
        <v>76</v>
      </c>
      <c r="O1288" s="15" t="s">
        <v>4770</v>
      </c>
      <c r="P1288" s="15"/>
      <c r="Q1288" s="12" t="s">
        <v>69</v>
      </c>
      <c r="R1288" s="16" t="s">
        <v>54</v>
      </c>
      <c r="S1288" s="12" t="s">
        <v>4617</v>
      </c>
      <c r="T1288" s="14" t="s">
        <v>55</v>
      </c>
    </row>
    <row r="1289" spans="1:20" ht="16.5">
      <c r="A1289" s="17" t="s">
        <v>3658</v>
      </c>
      <c r="B1289" s="17" t="s">
        <v>60</v>
      </c>
      <c r="C1289" s="17" t="s">
        <v>62</v>
      </c>
      <c r="D1289" s="18" t="s">
        <v>4757</v>
      </c>
      <c r="E1289" s="17" t="s">
        <v>81</v>
      </c>
      <c r="F1289" s="17" t="s">
        <v>82</v>
      </c>
      <c r="G1289" s="18" t="s">
        <v>4771</v>
      </c>
      <c r="H1289" s="20" t="s">
        <v>4772</v>
      </c>
      <c r="I1289" s="17" t="s">
        <v>65</v>
      </c>
      <c r="J1289" s="21">
        <v>1</v>
      </c>
      <c r="K1289" s="21" t="s">
        <v>4600</v>
      </c>
      <c r="L1289" s="21" t="s">
        <v>4773</v>
      </c>
      <c r="M1289" s="19" t="s">
        <v>4760</v>
      </c>
      <c r="N1289" s="19" t="s">
        <v>86</v>
      </c>
      <c r="O1289" s="19" t="s">
        <v>4774</v>
      </c>
      <c r="P1289" s="19"/>
      <c r="Q1289" s="18" t="s">
        <v>53</v>
      </c>
      <c r="R1289" s="22" t="s">
        <v>88</v>
      </c>
      <c r="S1289" s="18" t="s">
        <v>4617</v>
      </c>
      <c r="T1289" s="21" t="s">
        <v>55</v>
      </c>
    </row>
    <row r="1290" spans="1:20" ht="16.5">
      <c r="A1290" s="11" t="s">
        <v>3658</v>
      </c>
      <c r="B1290" s="11" t="s">
        <v>60</v>
      </c>
      <c r="C1290" s="11" t="s">
        <v>62</v>
      </c>
      <c r="D1290" s="12" t="s">
        <v>4757</v>
      </c>
      <c r="E1290" s="11" t="s">
        <v>81</v>
      </c>
      <c r="F1290" s="11" t="s">
        <v>82</v>
      </c>
      <c r="G1290" s="12" t="s">
        <v>4775</v>
      </c>
      <c r="H1290" s="13" t="s">
        <v>4776</v>
      </c>
      <c r="I1290" s="11" t="s">
        <v>65</v>
      </c>
      <c r="J1290" s="14">
        <v>1</v>
      </c>
      <c r="K1290" s="14" t="s">
        <v>4600</v>
      </c>
      <c r="L1290" s="14" t="s">
        <v>4777</v>
      </c>
      <c r="M1290" s="15" t="s">
        <v>4760</v>
      </c>
      <c r="N1290" s="15" t="s">
        <v>86</v>
      </c>
      <c r="O1290" s="15" t="s">
        <v>4778</v>
      </c>
      <c r="P1290" s="15"/>
      <c r="Q1290" s="12" t="s">
        <v>53</v>
      </c>
      <c r="R1290" s="22" t="s">
        <v>88</v>
      </c>
      <c r="S1290" s="12" t="s">
        <v>4617</v>
      </c>
      <c r="T1290" s="14" t="s">
        <v>55</v>
      </c>
    </row>
    <row r="1291" spans="1:20" ht="16.5">
      <c r="A1291" s="17" t="s">
        <v>3658</v>
      </c>
      <c r="B1291" s="17" t="s">
        <v>60</v>
      </c>
      <c r="C1291" s="17" t="s">
        <v>44</v>
      </c>
      <c r="D1291" s="18" t="s">
        <v>3658</v>
      </c>
      <c r="E1291" s="17" t="s">
        <v>61</v>
      </c>
      <c r="F1291" s="17" t="s">
        <v>62</v>
      </c>
      <c r="G1291" s="18" t="s">
        <v>4779</v>
      </c>
      <c r="H1291" s="20" t="s">
        <v>4780</v>
      </c>
      <c r="I1291" s="17" t="s">
        <v>65</v>
      </c>
      <c r="J1291" s="21">
        <v>1</v>
      </c>
      <c r="K1291" s="21" t="s">
        <v>4600</v>
      </c>
      <c r="L1291" s="21" t="s">
        <v>4781</v>
      </c>
      <c r="M1291" s="19" t="s">
        <v>3661</v>
      </c>
      <c r="N1291" s="19" t="s">
        <v>67</v>
      </c>
      <c r="O1291" s="19" t="s">
        <v>4782</v>
      </c>
      <c r="P1291" s="19"/>
      <c r="Q1291" s="18" t="s">
        <v>69</v>
      </c>
      <c r="R1291" s="16" t="s">
        <v>54</v>
      </c>
      <c r="S1291" s="18" t="s">
        <v>4617</v>
      </c>
      <c r="T1291" s="21" t="s">
        <v>55</v>
      </c>
    </row>
    <row r="1292" spans="1:20" ht="16.5">
      <c r="A1292" s="11" t="s">
        <v>3658</v>
      </c>
      <c r="B1292" s="11" t="s">
        <v>60</v>
      </c>
      <c r="C1292" s="11" t="s">
        <v>62</v>
      </c>
      <c r="D1292" s="12" t="s">
        <v>4779</v>
      </c>
      <c r="E1292" s="11" t="s">
        <v>71</v>
      </c>
      <c r="F1292" s="11" t="s">
        <v>72</v>
      </c>
      <c r="G1292" s="12" t="s">
        <v>4783</v>
      </c>
      <c r="H1292" s="13" t="s">
        <v>4784</v>
      </c>
      <c r="I1292" s="11" t="s">
        <v>65</v>
      </c>
      <c r="J1292" s="14">
        <v>1</v>
      </c>
      <c r="K1292" s="14" t="s">
        <v>4600</v>
      </c>
      <c r="L1292" s="14" t="s">
        <v>4785</v>
      </c>
      <c r="M1292" s="15" t="s">
        <v>4782</v>
      </c>
      <c r="N1292" s="15" t="s">
        <v>76</v>
      </c>
      <c r="O1292" s="15" t="s">
        <v>4786</v>
      </c>
      <c r="P1292" s="15"/>
      <c r="Q1292" s="12" t="s">
        <v>69</v>
      </c>
      <c r="R1292" s="16" t="s">
        <v>54</v>
      </c>
      <c r="S1292" s="12" t="s">
        <v>4617</v>
      </c>
      <c r="T1292" s="14" t="s">
        <v>55</v>
      </c>
    </row>
    <row r="1293" spans="1:20" ht="16.5">
      <c r="A1293" s="17" t="s">
        <v>3658</v>
      </c>
      <c r="B1293" s="17" t="s">
        <v>60</v>
      </c>
      <c r="C1293" s="17" t="s">
        <v>44</v>
      </c>
      <c r="D1293" s="18" t="s">
        <v>3658</v>
      </c>
      <c r="E1293" s="17" t="s">
        <v>61</v>
      </c>
      <c r="F1293" s="17" t="s">
        <v>62</v>
      </c>
      <c r="G1293" s="18" t="s">
        <v>4787</v>
      </c>
      <c r="H1293" s="20" t="s">
        <v>4788</v>
      </c>
      <c r="I1293" s="17" t="s">
        <v>65</v>
      </c>
      <c r="J1293" s="21">
        <v>1</v>
      </c>
      <c r="K1293" s="21" t="s">
        <v>4600</v>
      </c>
      <c r="L1293" s="21" t="s">
        <v>4789</v>
      </c>
      <c r="M1293" s="19" t="s">
        <v>3661</v>
      </c>
      <c r="N1293" s="19" t="s">
        <v>67</v>
      </c>
      <c r="O1293" s="19" t="s">
        <v>4790</v>
      </c>
      <c r="P1293" s="19"/>
      <c r="Q1293" s="18" t="s">
        <v>69</v>
      </c>
      <c r="R1293" s="16" t="s">
        <v>54</v>
      </c>
      <c r="S1293" s="18" t="s">
        <v>4617</v>
      </c>
      <c r="T1293" s="21" t="s">
        <v>55</v>
      </c>
    </row>
    <row r="1294" spans="1:20" ht="16.5">
      <c r="A1294" s="11" t="s">
        <v>3658</v>
      </c>
      <c r="B1294" s="11" t="s">
        <v>60</v>
      </c>
      <c r="C1294" s="11" t="s">
        <v>62</v>
      </c>
      <c r="D1294" s="12" t="s">
        <v>4787</v>
      </c>
      <c r="E1294" s="11" t="s">
        <v>71</v>
      </c>
      <c r="F1294" s="11" t="s">
        <v>72</v>
      </c>
      <c r="G1294" s="12" t="s">
        <v>4791</v>
      </c>
      <c r="H1294" s="13" t="s">
        <v>4792</v>
      </c>
      <c r="I1294" s="11" t="s">
        <v>65</v>
      </c>
      <c r="J1294" s="14">
        <v>1</v>
      </c>
      <c r="K1294" s="14" t="s">
        <v>4600</v>
      </c>
      <c r="L1294" s="14" t="s">
        <v>4793</v>
      </c>
      <c r="M1294" s="15" t="s">
        <v>4790</v>
      </c>
      <c r="N1294" s="15" t="s">
        <v>76</v>
      </c>
      <c r="O1294" s="15" t="s">
        <v>4794</v>
      </c>
      <c r="P1294" s="15"/>
      <c r="Q1294" s="12" t="s">
        <v>69</v>
      </c>
      <c r="R1294" s="16" t="s">
        <v>54</v>
      </c>
      <c r="S1294" s="12" t="s">
        <v>4617</v>
      </c>
      <c r="T1294" s="14" t="s">
        <v>55</v>
      </c>
    </row>
    <row r="1295" spans="1:20" ht="16.5">
      <c r="A1295" s="17" t="s">
        <v>3658</v>
      </c>
      <c r="B1295" s="17" t="s">
        <v>60</v>
      </c>
      <c r="C1295" s="17" t="s">
        <v>62</v>
      </c>
      <c r="D1295" s="18" t="s">
        <v>4787</v>
      </c>
      <c r="E1295" s="17" t="s">
        <v>71</v>
      </c>
      <c r="F1295" s="17" t="s">
        <v>72</v>
      </c>
      <c r="G1295" s="18" t="s">
        <v>4795</v>
      </c>
      <c r="H1295" s="20" t="s">
        <v>4792</v>
      </c>
      <c r="I1295" s="17" t="s">
        <v>65</v>
      </c>
      <c r="J1295" s="21">
        <v>1</v>
      </c>
      <c r="K1295" s="21" t="s">
        <v>4600</v>
      </c>
      <c r="L1295" s="21" t="s">
        <v>4796</v>
      </c>
      <c r="M1295" s="19" t="s">
        <v>4790</v>
      </c>
      <c r="N1295" s="19" t="s">
        <v>76</v>
      </c>
      <c r="O1295" s="19" t="s">
        <v>4797</v>
      </c>
      <c r="P1295" s="19"/>
      <c r="Q1295" s="18" t="s">
        <v>69</v>
      </c>
      <c r="R1295" s="16" t="s">
        <v>54</v>
      </c>
      <c r="S1295" s="18" t="s">
        <v>4617</v>
      </c>
      <c r="T1295" s="21" t="s">
        <v>55</v>
      </c>
    </row>
    <row r="1296" spans="1:20" ht="16.5">
      <c r="A1296" s="11" t="s">
        <v>3658</v>
      </c>
      <c r="B1296" s="11" t="s">
        <v>60</v>
      </c>
      <c r="C1296" s="11" t="s">
        <v>62</v>
      </c>
      <c r="D1296" s="12" t="s">
        <v>4787</v>
      </c>
      <c r="E1296" s="11" t="s">
        <v>81</v>
      </c>
      <c r="F1296" s="11" t="s">
        <v>82</v>
      </c>
      <c r="G1296" s="12" t="s">
        <v>4798</v>
      </c>
      <c r="H1296" s="13" t="s">
        <v>4799</v>
      </c>
      <c r="I1296" s="11" t="s">
        <v>65</v>
      </c>
      <c r="J1296" s="14">
        <v>1</v>
      </c>
      <c r="K1296" s="14" t="s">
        <v>4600</v>
      </c>
      <c r="L1296" s="14" t="s">
        <v>4800</v>
      </c>
      <c r="M1296" s="15" t="s">
        <v>4790</v>
      </c>
      <c r="N1296" s="15" t="s">
        <v>86</v>
      </c>
      <c r="O1296" s="15" t="s">
        <v>4801</v>
      </c>
      <c r="P1296" s="15"/>
      <c r="Q1296" s="12" t="s">
        <v>53</v>
      </c>
      <c r="R1296" s="22" t="s">
        <v>88</v>
      </c>
      <c r="S1296" s="12" t="s">
        <v>4617</v>
      </c>
      <c r="T1296" s="14" t="s">
        <v>55</v>
      </c>
    </row>
    <row r="1297" spans="1:20" ht="16.5">
      <c r="A1297" s="17" t="s">
        <v>3658</v>
      </c>
      <c r="B1297" s="17" t="s">
        <v>60</v>
      </c>
      <c r="C1297" s="17" t="s">
        <v>44</v>
      </c>
      <c r="D1297" s="18" t="s">
        <v>3658</v>
      </c>
      <c r="E1297" s="17" t="s">
        <v>61</v>
      </c>
      <c r="F1297" s="17" t="s">
        <v>62</v>
      </c>
      <c r="G1297" s="18" t="s">
        <v>4802</v>
      </c>
      <c r="H1297" s="20" t="s">
        <v>4803</v>
      </c>
      <c r="I1297" s="17" t="s">
        <v>65</v>
      </c>
      <c r="J1297" s="21">
        <v>1</v>
      </c>
      <c r="K1297" s="21" t="s">
        <v>4600</v>
      </c>
      <c r="L1297" s="21" t="s">
        <v>4804</v>
      </c>
      <c r="M1297" s="19" t="s">
        <v>3661</v>
      </c>
      <c r="N1297" s="19" t="s">
        <v>67</v>
      </c>
      <c r="O1297" s="19" t="s">
        <v>4805</v>
      </c>
      <c r="P1297" s="19"/>
      <c r="Q1297" s="18" t="s">
        <v>69</v>
      </c>
      <c r="R1297" s="16" t="s">
        <v>54</v>
      </c>
      <c r="S1297" s="18" t="s">
        <v>4617</v>
      </c>
      <c r="T1297" s="21" t="s">
        <v>55</v>
      </c>
    </row>
    <row r="1298" spans="1:20" ht="16.5">
      <c r="A1298" s="11" t="s">
        <v>3658</v>
      </c>
      <c r="B1298" s="11" t="s">
        <v>60</v>
      </c>
      <c r="C1298" s="11" t="s">
        <v>62</v>
      </c>
      <c r="D1298" s="12" t="s">
        <v>4802</v>
      </c>
      <c r="E1298" s="11" t="s">
        <v>81</v>
      </c>
      <c r="F1298" s="11" t="s">
        <v>82</v>
      </c>
      <c r="G1298" s="12" t="s">
        <v>4806</v>
      </c>
      <c r="H1298" s="13" t="s">
        <v>4807</v>
      </c>
      <c r="I1298" s="11" t="s">
        <v>65</v>
      </c>
      <c r="J1298" s="14">
        <v>1</v>
      </c>
      <c r="K1298" s="14" t="s">
        <v>4600</v>
      </c>
      <c r="L1298" s="14" t="s">
        <v>4808</v>
      </c>
      <c r="M1298" s="15" t="s">
        <v>4805</v>
      </c>
      <c r="N1298" s="15" t="s">
        <v>86</v>
      </c>
      <c r="O1298" s="15" t="s">
        <v>4809</v>
      </c>
      <c r="P1298" s="15"/>
      <c r="Q1298" s="12" t="s">
        <v>53</v>
      </c>
      <c r="R1298" s="22" t="s">
        <v>88</v>
      </c>
      <c r="S1298" s="12" t="s">
        <v>4617</v>
      </c>
      <c r="T1298" s="14" t="s">
        <v>55</v>
      </c>
    </row>
    <row r="1299" spans="1:20" ht="16.5">
      <c r="A1299" s="17" t="s">
        <v>3658</v>
      </c>
      <c r="B1299" s="17" t="s">
        <v>60</v>
      </c>
      <c r="C1299" s="17" t="s">
        <v>62</v>
      </c>
      <c r="D1299" s="18" t="s">
        <v>4802</v>
      </c>
      <c r="E1299" s="17" t="s">
        <v>81</v>
      </c>
      <c r="F1299" s="17" t="s">
        <v>82</v>
      </c>
      <c r="G1299" s="18" t="s">
        <v>4810</v>
      </c>
      <c r="H1299" s="20" t="s">
        <v>4811</v>
      </c>
      <c r="I1299" s="17" t="s">
        <v>65</v>
      </c>
      <c r="J1299" s="21">
        <v>1</v>
      </c>
      <c r="K1299" s="21" t="s">
        <v>4600</v>
      </c>
      <c r="L1299" s="21" t="s">
        <v>4812</v>
      </c>
      <c r="M1299" s="19" t="s">
        <v>4805</v>
      </c>
      <c r="N1299" s="19" t="s">
        <v>86</v>
      </c>
      <c r="O1299" s="19" t="s">
        <v>4813</v>
      </c>
      <c r="P1299" s="19"/>
      <c r="Q1299" s="18" t="s">
        <v>53</v>
      </c>
      <c r="R1299" s="22" t="s">
        <v>88</v>
      </c>
      <c r="S1299" s="18" t="s">
        <v>4617</v>
      </c>
      <c r="T1299" s="21" t="s">
        <v>55</v>
      </c>
    </row>
    <row r="1300" spans="1:20" ht="16.5">
      <c r="A1300" s="11" t="s">
        <v>3658</v>
      </c>
      <c r="B1300" s="11" t="s">
        <v>60</v>
      </c>
      <c r="C1300" s="11" t="s">
        <v>62</v>
      </c>
      <c r="D1300" s="12" t="s">
        <v>4613</v>
      </c>
      <c r="E1300" s="11" t="s">
        <v>203</v>
      </c>
      <c r="F1300" s="11" t="s">
        <v>204</v>
      </c>
      <c r="G1300" s="12" t="s">
        <v>4154</v>
      </c>
      <c r="H1300" s="13" t="s">
        <v>4814</v>
      </c>
      <c r="I1300" s="11" t="s">
        <v>65</v>
      </c>
      <c r="J1300" s="14">
        <v>1</v>
      </c>
      <c r="K1300" s="14" t="s">
        <v>4600</v>
      </c>
      <c r="L1300" s="14" t="s">
        <v>4815</v>
      </c>
      <c r="M1300" s="15" t="s">
        <v>4616</v>
      </c>
      <c r="N1300" s="15" t="s">
        <v>208</v>
      </c>
      <c r="O1300" s="15" t="s">
        <v>4157</v>
      </c>
      <c r="P1300" s="15" t="s">
        <v>4158</v>
      </c>
      <c r="Q1300" s="15" t="s">
        <v>211</v>
      </c>
      <c r="R1300" s="16" t="s">
        <v>54</v>
      </c>
      <c r="S1300" s="12" t="s">
        <v>4617</v>
      </c>
      <c r="T1300" s="26" t="s">
        <v>673</v>
      </c>
    </row>
    <row r="1301" spans="1:20" ht="16.5">
      <c r="A1301" s="17" t="s">
        <v>3658</v>
      </c>
      <c r="B1301" s="17" t="s">
        <v>60</v>
      </c>
      <c r="C1301" s="17" t="s">
        <v>62</v>
      </c>
      <c r="D1301" s="18" t="s">
        <v>4613</v>
      </c>
      <c r="E1301" s="17" t="s">
        <v>203</v>
      </c>
      <c r="F1301" s="17" t="s">
        <v>204</v>
      </c>
      <c r="G1301" s="18" t="s">
        <v>4816</v>
      </c>
      <c r="H1301" s="20" t="s">
        <v>4817</v>
      </c>
      <c r="I1301" s="17" t="s">
        <v>65</v>
      </c>
      <c r="J1301" s="21">
        <v>1</v>
      </c>
      <c r="K1301" s="21" t="s">
        <v>4600</v>
      </c>
      <c r="L1301" s="21" t="s">
        <v>4818</v>
      </c>
      <c r="M1301" s="19" t="s">
        <v>4616</v>
      </c>
      <c r="N1301" s="19" t="s">
        <v>208</v>
      </c>
      <c r="O1301" s="19" t="s">
        <v>4819</v>
      </c>
      <c r="P1301" s="19" t="s">
        <v>4820</v>
      </c>
      <c r="Q1301" s="19" t="s">
        <v>211</v>
      </c>
      <c r="R1301" s="16" t="s">
        <v>54</v>
      </c>
      <c r="S1301" s="18" t="s">
        <v>4617</v>
      </c>
      <c r="T1301" s="21" t="s">
        <v>55</v>
      </c>
    </row>
    <row r="1302" spans="1:20" ht="16.5">
      <c r="A1302" s="11" t="s">
        <v>3658</v>
      </c>
      <c r="B1302" s="11" t="s">
        <v>60</v>
      </c>
      <c r="C1302" s="11" t="s">
        <v>62</v>
      </c>
      <c r="D1302" s="12" t="s">
        <v>4637</v>
      </c>
      <c r="E1302" s="11" t="s">
        <v>203</v>
      </c>
      <c r="F1302" s="11" t="s">
        <v>204</v>
      </c>
      <c r="G1302" s="12" t="s">
        <v>4821</v>
      </c>
      <c r="H1302" s="13" t="s">
        <v>4822</v>
      </c>
      <c r="I1302" s="11" t="s">
        <v>65</v>
      </c>
      <c r="J1302" s="14">
        <v>1</v>
      </c>
      <c r="K1302" s="14" t="s">
        <v>4600</v>
      </c>
      <c r="L1302" s="14" t="s">
        <v>4823</v>
      </c>
      <c r="M1302" s="15" t="s">
        <v>4640</v>
      </c>
      <c r="N1302" s="15" t="s">
        <v>208</v>
      </c>
      <c r="O1302" s="15" t="s">
        <v>4824</v>
      </c>
      <c r="P1302" s="15" t="s">
        <v>4825</v>
      </c>
      <c r="Q1302" s="15" t="s">
        <v>211</v>
      </c>
      <c r="R1302" s="16" t="s">
        <v>54</v>
      </c>
      <c r="S1302" s="12" t="s">
        <v>4617</v>
      </c>
      <c r="T1302" s="26" t="s">
        <v>673</v>
      </c>
    </row>
    <row r="1303" spans="1:20" ht="16.5">
      <c r="A1303" s="17" t="s">
        <v>3658</v>
      </c>
      <c r="B1303" s="17" t="s">
        <v>60</v>
      </c>
      <c r="C1303" s="17" t="s">
        <v>62</v>
      </c>
      <c r="D1303" s="18" t="s">
        <v>4637</v>
      </c>
      <c r="E1303" s="17" t="s">
        <v>203</v>
      </c>
      <c r="F1303" s="17" t="s">
        <v>204</v>
      </c>
      <c r="G1303" s="18" t="s">
        <v>4826</v>
      </c>
      <c r="H1303" s="20" t="s">
        <v>4827</v>
      </c>
      <c r="I1303" s="17" t="s">
        <v>65</v>
      </c>
      <c r="J1303" s="21">
        <v>1</v>
      </c>
      <c r="K1303" s="21" t="s">
        <v>4600</v>
      </c>
      <c r="L1303" s="21" t="s">
        <v>4828</v>
      </c>
      <c r="M1303" s="19" t="s">
        <v>4640</v>
      </c>
      <c r="N1303" s="19" t="s">
        <v>208</v>
      </c>
      <c r="O1303" s="19" t="s">
        <v>4829</v>
      </c>
      <c r="P1303" s="19" t="s">
        <v>4830</v>
      </c>
      <c r="Q1303" s="19" t="s">
        <v>211</v>
      </c>
      <c r="R1303" s="16" t="s">
        <v>54</v>
      </c>
      <c r="S1303" s="18" t="s">
        <v>4617</v>
      </c>
      <c r="T1303" s="21" t="s">
        <v>55</v>
      </c>
    </row>
    <row r="1304" spans="1:20" ht="16.5">
      <c r="A1304" s="11" t="s">
        <v>3658</v>
      </c>
      <c r="B1304" s="11" t="s">
        <v>60</v>
      </c>
      <c r="C1304" s="11" t="s">
        <v>62</v>
      </c>
      <c r="D1304" s="12" t="s">
        <v>4676</v>
      </c>
      <c r="E1304" s="11" t="s">
        <v>203</v>
      </c>
      <c r="F1304" s="11" t="s">
        <v>204</v>
      </c>
      <c r="G1304" s="12" t="s">
        <v>4148</v>
      </c>
      <c r="H1304" s="13" t="s">
        <v>4831</v>
      </c>
      <c r="I1304" s="11" t="s">
        <v>65</v>
      </c>
      <c r="J1304" s="14">
        <v>1</v>
      </c>
      <c r="K1304" s="14" t="s">
        <v>4600</v>
      </c>
      <c r="L1304" s="14" t="s">
        <v>4832</v>
      </c>
      <c r="M1304" s="15" t="s">
        <v>4679</v>
      </c>
      <c r="N1304" s="15" t="s">
        <v>208</v>
      </c>
      <c r="O1304" s="15" t="s">
        <v>4152</v>
      </c>
      <c r="P1304" s="15" t="s">
        <v>4153</v>
      </c>
      <c r="Q1304" s="15" t="s">
        <v>211</v>
      </c>
      <c r="R1304" s="16" t="s">
        <v>54</v>
      </c>
      <c r="S1304" s="12" t="s">
        <v>4617</v>
      </c>
      <c r="T1304" s="14" t="s">
        <v>55</v>
      </c>
    </row>
    <row r="1305" spans="1:20" ht="16.5">
      <c r="A1305" s="17" t="s">
        <v>3658</v>
      </c>
      <c r="B1305" s="17" t="s">
        <v>60</v>
      </c>
      <c r="C1305" s="17" t="s">
        <v>62</v>
      </c>
      <c r="D1305" s="18" t="s">
        <v>4676</v>
      </c>
      <c r="E1305" s="17" t="s">
        <v>203</v>
      </c>
      <c r="F1305" s="17" t="s">
        <v>204</v>
      </c>
      <c r="G1305" s="18" t="s">
        <v>4833</v>
      </c>
      <c r="H1305" s="20" t="s">
        <v>4834</v>
      </c>
      <c r="I1305" s="17" t="s">
        <v>65</v>
      </c>
      <c r="J1305" s="21">
        <v>1</v>
      </c>
      <c r="K1305" s="21" t="s">
        <v>4600</v>
      </c>
      <c r="L1305" s="21" t="s">
        <v>4835</v>
      </c>
      <c r="M1305" s="19" t="s">
        <v>4679</v>
      </c>
      <c r="N1305" s="19" t="s">
        <v>208</v>
      </c>
      <c r="O1305" s="19" t="s">
        <v>4836</v>
      </c>
      <c r="P1305" s="19" t="s">
        <v>4837</v>
      </c>
      <c r="Q1305" s="19" t="s">
        <v>211</v>
      </c>
      <c r="R1305" s="16" t="s">
        <v>54</v>
      </c>
      <c r="S1305" s="18" t="s">
        <v>4617</v>
      </c>
      <c r="T1305" s="21" t="s">
        <v>55</v>
      </c>
    </row>
    <row r="1306" spans="1:20" ht="16.5">
      <c r="A1306" s="11" t="s">
        <v>3658</v>
      </c>
      <c r="B1306" s="11" t="s">
        <v>60</v>
      </c>
      <c r="C1306" s="11" t="s">
        <v>62</v>
      </c>
      <c r="D1306" s="12" t="s">
        <v>4676</v>
      </c>
      <c r="E1306" s="11" t="s">
        <v>203</v>
      </c>
      <c r="F1306" s="11" t="s">
        <v>204</v>
      </c>
      <c r="G1306" s="12" t="s">
        <v>4838</v>
      </c>
      <c r="H1306" s="13" t="s">
        <v>4839</v>
      </c>
      <c r="I1306" s="11" t="s">
        <v>65</v>
      </c>
      <c r="J1306" s="14">
        <v>1</v>
      </c>
      <c r="K1306" s="14" t="s">
        <v>4600</v>
      </c>
      <c r="L1306" s="14" t="s">
        <v>4840</v>
      </c>
      <c r="M1306" s="15" t="s">
        <v>4679</v>
      </c>
      <c r="N1306" s="15" t="s">
        <v>208</v>
      </c>
      <c r="O1306" s="15" t="s">
        <v>4841</v>
      </c>
      <c r="P1306" s="15" t="s">
        <v>4842</v>
      </c>
      <c r="Q1306" s="15" t="s">
        <v>211</v>
      </c>
      <c r="R1306" s="16" t="s">
        <v>54</v>
      </c>
      <c r="S1306" s="12" t="s">
        <v>4617</v>
      </c>
      <c r="T1306" s="14" t="s">
        <v>55</v>
      </c>
    </row>
    <row r="1307" spans="1:20" ht="16.5">
      <c r="A1307" s="17" t="s">
        <v>3658</v>
      </c>
      <c r="B1307" s="17" t="s">
        <v>60</v>
      </c>
      <c r="C1307" s="17" t="s">
        <v>62</v>
      </c>
      <c r="D1307" s="18" t="s">
        <v>4676</v>
      </c>
      <c r="E1307" s="17" t="s">
        <v>203</v>
      </c>
      <c r="F1307" s="17" t="s">
        <v>204</v>
      </c>
      <c r="G1307" s="18" t="s">
        <v>4843</v>
      </c>
      <c r="H1307" s="20" t="s">
        <v>4844</v>
      </c>
      <c r="I1307" s="17" t="s">
        <v>65</v>
      </c>
      <c r="J1307" s="21">
        <v>1</v>
      </c>
      <c r="K1307" s="21" t="s">
        <v>4600</v>
      </c>
      <c r="L1307" s="21" t="s">
        <v>4845</v>
      </c>
      <c r="M1307" s="19" t="s">
        <v>4679</v>
      </c>
      <c r="N1307" s="19" t="s">
        <v>208</v>
      </c>
      <c r="O1307" s="19" t="s">
        <v>4846</v>
      </c>
      <c r="P1307" s="19" t="s">
        <v>4847</v>
      </c>
      <c r="Q1307" s="19" t="s">
        <v>211</v>
      </c>
      <c r="R1307" s="16" t="s">
        <v>54</v>
      </c>
      <c r="S1307" s="18" t="s">
        <v>4617</v>
      </c>
      <c r="T1307" s="21" t="s">
        <v>55</v>
      </c>
    </row>
    <row r="1308" spans="1:20" ht="16.5">
      <c r="A1308" s="11" t="s">
        <v>3658</v>
      </c>
      <c r="B1308" s="11" t="s">
        <v>60</v>
      </c>
      <c r="C1308" s="11" t="s">
        <v>62</v>
      </c>
      <c r="D1308" s="12" t="s">
        <v>4701</v>
      </c>
      <c r="E1308" s="11" t="s">
        <v>203</v>
      </c>
      <c r="F1308" s="11" t="s">
        <v>204</v>
      </c>
      <c r="G1308" s="12" t="s">
        <v>4848</v>
      </c>
      <c r="H1308" s="13" t="s">
        <v>4849</v>
      </c>
      <c r="I1308" s="11" t="s">
        <v>65</v>
      </c>
      <c r="J1308" s="14">
        <v>1</v>
      </c>
      <c r="K1308" s="14" t="s">
        <v>4600</v>
      </c>
      <c r="L1308" s="14" t="s">
        <v>4850</v>
      </c>
      <c r="M1308" s="15" t="s">
        <v>4704</v>
      </c>
      <c r="N1308" s="15" t="s">
        <v>208</v>
      </c>
      <c r="O1308" s="15" t="s">
        <v>4851</v>
      </c>
      <c r="P1308" s="15" t="s">
        <v>4852</v>
      </c>
      <c r="Q1308" s="15" t="s">
        <v>211</v>
      </c>
      <c r="R1308" s="16" t="s">
        <v>54</v>
      </c>
      <c r="S1308" s="12" t="s">
        <v>4617</v>
      </c>
      <c r="T1308" s="14" t="s">
        <v>55</v>
      </c>
    </row>
    <row r="1309" spans="1:20" ht="16.5">
      <c r="A1309" s="17" t="s">
        <v>3658</v>
      </c>
      <c r="B1309" s="17" t="s">
        <v>60</v>
      </c>
      <c r="C1309" s="17" t="s">
        <v>62</v>
      </c>
      <c r="D1309" s="18" t="s">
        <v>4701</v>
      </c>
      <c r="E1309" s="17" t="s">
        <v>203</v>
      </c>
      <c r="F1309" s="17" t="s">
        <v>204</v>
      </c>
      <c r="G1309" s="18" t="s">
        <v>4853</v>
      </c>
      <c r="H1309" s="20" t="s">
        <v>4854</v>
      </c>
      <c r="I1309" s="17" t="s">
        <v>65</v>
      </c>
      <c r="J1309" s="21">
        <v>1</v>
      </c>
      <c r="K1309" s="21" t="s">
        <v>4600</v>
      </c>
      <c r="L1309" s="21" t="s">
        <v>4855</v>
      </c>
      <c r="M1309" s="19" t="s">
        <v>4704</v>
      </c>
      <c r="N1309" s="19" t="s">
        <v>208</v>
      </c>
      <c r="O1309" s="19" t="s">
        <v>4856</v>
      </c>
      <c r="P1309" s="19" t="s">
        <v>4857</v>
      </c>
      <c r="Q1309" s="19" t="s">
        <v>211</v>
      </c>
      <c r="R1309" s="16" t="s">
        <v>54</v>
      </c>
      <c r="S1309" s="18" t="s">
        <v>4617</v>
      </c>
      <c r="T1309" s="21" t="s">
        <v>55</v>
      </c>
    </row>
    <row r="1310" spans="1:20" ht="16.5">
      <c r="A1310" s="11" t="s">
        <v>3658</v>
      </c>
      <c r="B1310" s="11" t="s">
        <v>60</v>
      </c>
      <c r="C1310" s="11" t="s">
        <v>62</v>
      </c>
      <c r="D1310" s="12" t="s">
        <v>4701</v>
      </c>
      <c r="E1310" s="11" t="s">
        <v>203</v>
      </c>
      <c r="F1310" s="11" t="s">
        <v>204</v>
      </c>
      <c r="G1310" s="12" t="s">
        <v>4858</v>
      </c>
      <c r="H1310" s="13" t="s">
        <v>4859</v>
      </c>
      <c r="I1310" s="11" t="s">
        <v>65</v>
      </c>
      <c r="J1310" s="14">
        <v>1</v>
      </c>
      <c r="K1310" s="14" t="s">
        <v>4600</v>
      </c>
      <c r="L1310" s="14" t="s">
        <v>4860</v>
      </c>
      <c r="M1310" s="15" t="s">
        <v>4704</v>
      </c>
      <c r="N1310" s="15" t="s">
        <v>208</v>
      </c>
      <c r="O1310" s="15" t="s">
        <v>4861</v>
      </c>
      <c r="P1310" s="15" t="s">
        <v>4862</v>
      </c>
      <c r="Q1310" s="15" t="s">
        <v>211</v>
      </c>
      <c r="R1310" s="16" t="s">
        <v>54</v>
      </c>
      <c r="S1310" s="12" t="s">
        <v>4617</v>
      </c>
      <c r="T1310" s="14" t="s">
        <v>55</v>
      </c>
    </row>
    <row r="1311" spans="1:20" ht="16.5">
      <c r="A1311" s="17" t="s">
        <v>3658</v>
      </c>
      <c r="B1311" s="17" t="s">
        <v>60</v>
      </c>
      <c r="C1311" s="17" t="s">
        <v>62</v>
      </c>
      <c r="D1311" s="18" t="s">
        <v>4726</v>
      </c>
      <c r="E1311" s="17" t="s">
        <v>203</v>
      </c>
      <c r="F1311" s="17" t="s">
        <v>204</v>
      </c>
      <c r="G1311" s="18" t="s">
        <v>4863</v>
      </c>
      <c r="H1311" s="20" t="s">
        <v>4864</v>
      </c>
      <c r="I1311" s="17" t="s">
        <v>65</v>
      </c>
      <c r="J1311" s="21">
        <v>1</v>
      </c>
      <c r="K1311" s="21" t="s">
        <v>4600</v>
      </c>
      <c r="L1311" s="21" t="s">
        <v>4865</v>
      </c>
      <c r="M1311" s="19" t="s">
        <v>4729</v>
      </c>
      <c r="N1311" s="19" t="s">
        <v>208</v>
      </c>
      <c r="O1311" s="19" t="s">
        <v>4866</v>
      </c>
      <c r="P1311" s="19" t="s">
        <v>4867</v>
      </c>
      <c r="Q1311" s="19" t="s">
        <v>211</v>
      </c>
      <c r="R1311" s="16" t="s">
        <v>54</v>
      </c>
      <c r="S1311" s="18" t="s">
        <v>4617</v>
      </c>
      <c r="T1311" s="21" t="s">
        <v>55</v>
      </c>
    </row>
    <row r="1312" spans="1:20" ht="16.5">
      <c r="A1312" s="11" t="s">
        <v>3658</v>
      </c>
      <c r="B1312" s="11" t="s">
        <v>60</v>
      </c>
      <c r="C1312" s="11" t="s">
        <v>62</v>
      </c>
      <c r="D1312" s="12" t="s">
        <v>4726</v>
      </c>
      <c r="E1312" s="11" t="s">
        <v>203</v>
      </c>
      <c r="F1312" s="11" t="s">
        <v>204</v>
      </c>
      <c r="G1312" s="12" t="s">
        <v>4868</v>
      </c>
      <c r="H1312" s="13" t="s">
        <v>4869</v>
      </c>
      <c r="I1312" s="11" t="s">
        <v>65</v>
      </c>
      <c r="J1312" s="14">
        <v>1</v>
      </c>
      <c r="K1312" s="14" t="s">
        <v>4600</v>
      </c>
      <c r="L1312" s="14" t="s">
        <v>4870</v>
      </c>
      <c r="M1312" s="15" t="s">
        <v>4729</v>
      </c>
      <c r="N1312" s="15" t="s">
        <v>208</v>
      </c>
      <c r="O1312" s="15" t="s">
        <v>4871</v>
      </c>
      <c r="P1312" s="15" t="s">
        <v>4872</v>
      </c>
      <c r="Q1312" s="15" t="s">
        <v>211</v>
      </c>
      <c r="R1312" s="16" t="s">
        <v>54</v>
      </c>
      <c r="S1312" s="12" t="s">
        <v>4617</v>
      </c>
      <c r="T1312" s="14" t="s">
        <v>55</v>
      </c>
    </row>
    <row r="1313" spans="1:20" ht="16.5">
      <c r="A1313" s="17" t="s">
        <v>3658</v>
      </c>
      <c r="B1313" s="17" t="s">
        <v>60</v>
      </c>
      <c r="C1313" s="17" t="s">
        <v>62</v>
      </c>
      <c r="D1313" s="18" t="s">
        <v>4726</v>
      </c>
      <c r="E1313" s="17" t="s">
        <v>203</v>
      </c>
      <c r="F1313" s="17" t="s">
        <v>204</v>
      </c>
      <c r="G1313" s="18" t="s">
        <v>4873</v>
      </c>
      <c r="H1313" s="20" t="s">
        <v>4874</v>
      </c>
      <c r="I1313" s="17" t="s">
        <v>65</v>
      </c>
      <c r="J1313" s="21">
        <v>1</v>
      </c>
      <c r="K1313" s="21" t="s">
        <v>4600</v>
      </c>
      <c r="L1313" s="21" t="s">
        <v>4875</v>
      </c>
      <c r="M1313" s="19" t="s">
        <v>4729</v>
      </c>
      <c r="N1313" s="19" t="s">
        <v>208</v>
      </c>
      <c r="O1313" s="19" t="s">
        <v>4876</v>
      </c>
      <c r="P1313" s="19" t="s">
        <v>4877</v>
      </c>
      <c r="Q1313" s="19" t="s">
        <v>211</v>
      </c>
      <c r="R1313" s="16" t="s">
        <v>54</v>
      </c>
      <c r="S1313" s="18" t="s">
        <v>4617</v>
      </c>
      <c r="T1313" s="21" t="s">
        <v>55</v>
      </c>
    </row>
    <row r="1314" spans="1:20" ht="16.5">
      <c r="A1314" s="11" t="s">
        <v>3658</v>
      </c>
      <c r="B1314" s="11" t="s">
        <v>60</v>
      </c>
      <c r="C1314" s="11" t="s">
        <v>62</v>
      </c>
      <c r="D1314" s="12" t="s">
        <v>4741</v>
      </c>
      <c r="E1314" s="11" t="s">
        <v>203</v>
      </c>
      <c r="F1314" s="11" t="s">
        <v>204</v>
      </c>
      <c r="G1314" s="12" t="s">
        <v>4878</v>
      </c>
      <c r="H1314" s="13" t="s">
        <v>4879</v>
      </c>
      <c r="I1314" s="11" t="s">
        <v>65</v>
      </c>
      <c r="J1314" s="14">
        <v>1</v>
      </c>
      <c r="K1314" s="14" t="s">
        <v>4600</v>
      </c>
      <c r="L1314" s="14" t="s">
        <v>4880</v>
      </c>
      <c r="M1314" s="15" t="s">
        <v>4744</v>
      </c>
      <c r="N1314" s="15" t="s">
        <v>208</v>
      </c>
      <c r="O1314" s="15" t="s">
        <v>4881</v>
      </c>
      <c r="P1314" s="15" t="s">
        <v>4882</v>
      </c>
      <c r="Q1314" s="15" t="s">
        <v>211</v>
      </c>
      <c r="R1314" s="16" t="s">
        <v>54</v>
      </c>
      <c r="S1314" s="12" t="s">
        <v>4617</v>
      </c>
      <c r="T1314" s="14" t="s">
        <v>55</v>
      </c>
    </row>
    <row r="1315" spans="1:20" ht="16.5">
      <c r="A1315" s="17" t="s">
        <v>3658</v>
      </c>
      <c r="B1315" s="17" t="s">
        <v>60</v>
      </c>
      <c r="C1315" s="17" t="s">
        <v>62</v>
      </c>
      <c r="D1315" s="18" t="s">
        <v>4741</v>
      </c>
      <c r="E1315" s="17" t="s">
        <v>203</v>
      </c>
      <c r="F1315" s="17" t="s">
        <v>204</v>
      </c>
      <c r="G1315" s="18" t="s">
        <v>4883</v>
      </c>
      <c r="H1315" s="20" t="s">
        <v>4884</v>
      </c>
      <c r="I1315" s="17" t="s">
        <v>65</v>
      </c>
      <c r="J1315" s="21">
        <v>1</v>
      </c>
      <c r="K1315" s="21" t="s">
        <v>4600</v>
      </c>
      <c r="L1315" s="21" t="s">
        <v>4885</v>
      </c>
      <c r="M1315" s="19" t="s">
        <v>4744</v>
      </c>
      <c r="N1315" s="19" t="s">
        <v>208</v>
      </c>
      <c r="O1315" s="19" t="s">
        <v>4886</v>
      </c>
      <c r="P1315" s="19" t="s">
        <v>4887</v>
      </c>
      <c r="Q1315" s="19" t="s">
        <v>211</v>
      </c>
      <c r="R1315" s="16" t="s">
        <v>54</v>
      </c>
      <c r="S1315" s="18" t="s">
        <v>4617</v>
      </c>
      <c r="T1315" s="21" t="s">
        <v>55</v>
      </c>
    </row>
    <row r="1316" spans="1:20" ht="16.5">
      <c r="A1316" s="11" t="s">
        <v>3658</v>
      </c>
      <c r="B1316" s="11" t="s">
        <v>60</v>
      </c>
      <c r="C1316" s="11" t="s">
        <v>62</v>
      </c>
      <c r="D1316" s="12" t="s">
        <v>4741</v>
      </c>
      <c r="E1316" s="11" t="s">
        <v>203</v>
      </c>
      <c r="F1316" s="11" t="s">
        <v>204</v>
      </c>
      <c r="G1316" s="12" t="s">
        <v>4888</v>
      </c>
      <c r="H1316" s="13" t="s">
        <v>4889</v>
      </c>
      <c r="I1316" s="11" t="s">
        <v>65</v>
      </c>
      <c r="J1316" s="14">
        <v>1</v>
      </c>
      <c r="K1316" s="14" t="s">
        <v>4600</v>
      </c>
      <c r="L1316" s="14" t="s">
        <v>4890</v>
      </c>
      <c r="M1316" s="15" t="s">
        <v>4744</v>
      </c>
      <c r="N1316" s="15" t="s">
        <v>208</v>
      </c>
      <c r="O1316" s="15" t="s">
        <v>4891</v>
      </c>
      <c r="P1316" s="15" t="s">
        <v>4892</v>
      </c>
      <c r="Q1316" s="15" t="s">
        <v>211</v>
      </c>
      <c r="R1316" s="16" t="s">
        <v>54</v>
      </c>
      <c r="S1316" s="12" t="s">
        <v>4617</v>
      </c>
      <c r="T1316" s="14" t="s">
        <v>55</v>
      </c>
    </row>
    <row r="1317" spans="1:20" ht="16.5">
      <c r="A1317" s="17" t="s">
        <v>3658</v>
      </c>
      <c r="B1317" s="17" t="s">
        <v>60</v>
      </c>
      <c r="C1317" s="17" t="s">
        <v>62</v>
      </c>
      <c r="D1317" s="18" t="s">
        <v>4757</v>
      </c>
      <c r="E1317" s="17" t="s">
        <v>203</v>
      </c>
      <c r="F1317" s="17" t="s">
        <v>204</v>
      </c>
      <c r="G1317" s="18" t="s">
        <v>4893</v>
      </c>
      <c r="H1317" s="20" t="s">
        <v>4894</v>
      </c>
      <c r="I1317" s="17" t="s">
        <v>65</v>
      </c>
      <c r="J1317" s="21">
        <v>1</v>
      </c>
      <c r="K1317" s="21" t="s">
        <v>4600</v>
      </c>
      <c r="L1317" s="21" t="s">
        <v>4895</v>
      </c>
      <c r="M1317" s="19" t="s">
        <v>4760</v>
      </c>
      <c r="N1317" s="19" t="s">
        <v>208</v>
      </c>
      <c r="O1317" s="19" t="s">
        <v>4896</v>
      </c>
      <c r="P1317" s="19" t="s">
        <v>4897</v>
      </c>
      <c r="Q1317" s="19" t="s">
        <v>211</v>
      </c>
      <c r="R1317" s="16" t="s">
        <v>54</v>
      </c>
      <c r="S1317" s="18" t="s">
        <v>4617</v>
      </c>
      <c r="T1317" s="21" t="s">
        <v>55</v>
      </c>
    </row>
    <row r="1318" spans="1:20" ht="16.5">
      <c r="A1318" s="11" t="s">
        <v>3658</v>
      </c>
      <c r="B1318" s="11" t="s">
        <v>60</v>
      </c>
      <c r="C1318" s="11" t="s">
        <v>62</v>
      </c>
      <c r="D1318" s="12" t="s">
        <v>4757</v>
      </c>
      <c r="E1318" s="11" t="s">
        <v>203</v>
      </c>
      <c r="F1318" s="11" t="s">
        <v>204</v>
      </c>
      <c r="G1318" s="12" t="s">
        <v>4898</v>
      </c>
      <c r="H1318" s="13" t="s">
        <v>4899</v>
      </c>
      <c r="I1318" s="11" t="s">
        <v>65</v>
      </c>
      <c r="J1318" s="14">
        <v>1</v>
      </c>
      <c r="K1318" s="14" t="s">
        <v>4600</v>
      </c>
      <c r="L1318" s="14" t="s">
        <v>4900</v>
      </c>
      <c r="M1318" s="15" t="s">
        <v>4760</v>
      </c>
      <c r="N1318" s="15" t="s">
        <v>208</v>
      </c>
      <c r="O1318" s="15" t="s">
        <v>4901</v>
      </c>
      <c r="P1318" s="15" t="s">
        <v>4902</v>
      </c>
      <c r="Q1318" s="15" t="s">
        <v>211</v>
      </c>
      <c r="R1318" s="16" t="s">
        <v>54</v>
      </c>
      <c r="S1318" s="12" t="s">
        <v>4617</v>
      </c>
      <c r="T1318" s="14" t="s">
        <v>55</v>
      </c>
    </row>
    <row r="1319" spans="1:20" ht="16.5">
      <c r="A1319" s="17" t="s">
        <v>3658</v>
      </c>
      <c r="B1319" s="17" t="s">
        <v>60</v>
      </c>
      <c r="C1319" s="17" t="s">
        <v>62</v>
      </c>
      <c r="D1319" s="18" t="s">
        <v>4757</v>
      </c>
      <c r="E1319" s="17" t="s">
        <v>203</v>
      </c>
      <c r="F1319" s="17" t="s">
        <v>204</v>
      </c>
      <c r="G1319" s="18" t="s">
        <v>4903</v>
      </c>
      <c r="H1319" s="20" t="s">
        <v>4904</v>
      </c>
      <c r="I1319" s="17" t="s">
        <v>65</v>
      </c>
      <c r="J1319" s="21">
        <v>1</v>
      </c>
      <c r="K1319" s="21" t="s">
        <v>4600</v>
      </c>
      <c r="L1319" s="21" t="s">
        <v>4905</v>
      </c>
      <c r="M1319" s="19" t="s">
        <v>4760</v>
      </c>
      <c r="N1319" s="19" t="s">
        <v>208</v>
      </c>
      <c r="O1319" s="19" t="s">
        <v>4906</v>
      </c>
      <c r="P1319" s="19" t="s">
        <v>4907</v>
      </c>
      <c r="Q1319" s="19" t="s">
        <v>211</v>
      </c>
      <c r="R1319" s="16" t="s">
        <v>54</v>
      </c>
      <c r="S1319" s="18" t="s">
        <v>4617</v>
      </c>
      <c r="T1319" s="21" t="s">
        <v>55</v>
      </c>
    </row>
    <row r="1320" spans="1:20" ht="16.5">
      <c r="A1320" s="11" t="s">
        <v>3658</v>
      </c>
      <c r="B1320" s="11" t="s">
        <v>60</v>
      </c>
      <c r="C1320" s="11" t="s">
        <v>62</v>
      </c>
      <c r="D1320" s="12" t="s">
        <v>4787</v>
      </c>
      <c r="E1320" s="11" t="s">
        <v>203</v>
      </c>
      <c r="F1320" s="11" t="s">
        <v>204</v>
      </c>
      <c r="G1320" s="12" t="s">
        <v>4908</v>
      </c>
      <c r="H1320" s="13" t="s">
        <v>4909</v>
      </c>
      <c r="I1320" s="11" t="s">
        <v>65</v>
      </c>
      <c r="J1320" s="14">
        <v>1</v>
      </c>
      <c r="K1320" s="14" t="s">
        <v>4600</v>
      </c>
      <c r="L1320" s="14" t="s">
        <v>4910</v>
      </c>
      <c r="M1320" s="15" t="s">
        <v>4790</v>
      </c>
      <c r="N1320" s="15" t="s">
        <v>208</v>
      </c>
      <c r="O1320" s="15" t="s">
        <v>4911</v>
      </c>
      <c r="P1320" s="15" t="s">
        <v>4912</v>
      </c>
      <c r="Q1320" s="15" t="s">
        <v>211</v>
      </c>
      <c r="R1320" s="16" t="s">
        <v>54</v>
      </c>
      <c r="S1320" s="12" t="s">
        <v>4617</v>
      </c>
      <c r="T1320" s="14" t="s">
        <v>55</v>
      </c>
    </row>
    <row r="1321" spans="1:20" ht="16.5">
      <c r="A1321" s="17" t="s">
        <v>3658</v>
      </c>
      <c r="B1321" s="17" t="s">
        <v>60</v>
      </c>
      <c r="C1321" s="17" t="s">
        <v>62</v>
      </c>
      <c r="D1321" s="18" t="s">
        <v>4802</v>
      </c>
      <c r="E1321" s="17" t="s">
        <v>203</v>
      </c>
      <c r="F1321" s="17" t="s">
        <v>204</v>
      </c>
      <c r="G1321" s="18" t="s">
        <v>4913</v>
      </c>
      <c r="H1321" s="20" t="s">
        <v>4914</v>
      </c>
      <c r="I1321" s="17" t="s">
        <v>65</v>
      </c>
      <c r="J1321" s="21">
        <v>1</v>
      </c>
      <c r="K1321" s="21" t="s">
        <v>4600</v>
      </c>
      <c r="L1321" s="21" t="s">
        <v>4915</v>
      </c>
      <c r="M1321" s="19" t="s">
        <v>4805</v>
      </c>
      <c r="N1321" s="19" t="s">
        <v>208</v>
      </c>
      <c r="O1321" s="19" t="s">
        <v>4916</v>
      </c>
      <c r="P1321" s="19" t="s">
        <v>4917</v>
      </c>
      <c r="Q1321" s="19" t="s">
        <v>211</v>
      </c>
      <c r="R1321" s="16" t="s">
        <v>54</v>
      </c>
      <c r="S1321" s="18" t="s">
        <v>4617</v>
      </c>
      <c r="T1321" s="21" t="s">
        <v>55</v>
      </c>
    </row>
    <row r="1322" spans="1:20" ht="16.5">
      <c r="A1322" s="11" t="s">
        <v>3658</v>
      </c>
      <c r="B1322" s="11" t="s">
        <v>60</v>
      </c>
      <c r="C1322" s="11" t="s">
        <v>62</v>
      </c>
      <c r="D1322" s="12" t="s">
        <v>4802</v>
      </c>
      <c r="E1322" s="11" t="s">
        <v>203</v>
      </c>
      <c r="F1322" s="11" t="s">
        <v>204</v>
      </c>
      <c r="G1322" s="12" t="s">
        <v>4918</v>
      </c>
      <c r="H1322" s="13" t="s">
        <v>4919</v>
      </c>
      <c r="I1322" s="11" t="s">
        <v>65</v>
      </c>
      <c r="J1322" s="14">
        <v>1</v>
      </c>
      <c r="K1322" s="14" t="s">
        <v>4600</v>
      </c>
      <c r="L1322" s="14" t="s">
        <v>4920</v>
      </c>
      <c r="M1322" s="15" t="s">
        <v>4805</v>
      </c>
      <c r="N1322" s="15" t="s">
        <v>208</v>
      </c>
      <c r="O1322" s="15" t="s">
        <v>4921</v>
      </c>
      <c r="P1322" s="15" t="s">
        <v>4922</v>
      </c>
      <c r="Q1322" s="15" t="s">
        <v>211</v>
      </c>
      <c r="R1322" s="16" t="s">
        <v>54</v>
      </c>
      <c r="S1322" s="12" t="s">
        <v>4617</v>
      </c>
      <c r="T1322" s="14" t="s">
        <v>55</v>
      </c>
    </row>
    <row r="1323" spans="1:20" ht="16.5">
      <c r="A1323" s="17" t="s">
        <v>3658</v>
      </c>
      <c r="B1323" s="17" t="s">
        <v>60</v>
      </c>
      <c r="C1323" s="17" t="s">
        <v>62</v>
      </c>
      <c r="D1323" s="18" t="s">
        <v>4654</v>
      </c>
      <c r="E1323" s="17" t="s">
        <v>203</v>
      </c>
      <c r="F1323" s="17" t="s">
        <v>204</v>
      </c>
      <c r="G1323" s="18" t="s">
        <v>4923</v>
      </c>
      <c r="H1323" s="20" t="s">
        <v>4924</v>
      </c>
      <c r="I1323" s="17" t="s">
        <v>65</v>
      </c>
      <c r="J1323" s="21">
        <v>1</v>
      </c>
      <c r="K1323" s="21" t="s">
        <v>4600</v>
      </c>
      <c r="L1323" s="21" t="s">
        <v>4925</v>
      </c>
      <c r="M1323" s="19" t="s">
        <v>4657</v>
      </c>
      <c r="N1323" s="19" t="s">
        <v>208</v>
      </c>
      <c r="O1323" s="19" t="s">
        <v>4926</v>
      </c>
      <c r="P1323" s="19" t="s">
        <v>4927</v>
      </c>
      <c r="Q1323" s="19" t="s">
        <v>211</v>
      </c>
      <c r="R1323" s="16" t="s">
        <v>54</v>
      </c>
      <c r="S1323" s="18" t="s">
        <v>4617</v>
      </c>
      <c r="T1323" s="21" t="s">
        <v>55</v>
      </c>
    </row>
    <row r="1324" spans="1:20" ht="16.5">
      <c r="A1324" s="11" t="s">
        <v>3658</v>
      </c>
      <c r="B1324" s="11" t="s">
        <v>60</v>
      </c>
      <c r="C1324" s="11" t="s">
        <v>62</v>
      </c>
      <c r="D1324" s="12" t="s">
        <v>4654</v>
      </c>
      <c r="E1324" s="11" t="s">
        <v>203</v>
      </c>
      <c r="F1324" s="11" t="s">
        <v>204</v>
      </c>
      <c r="G1324" s="12" t="s">
        <v>4928</v>
      </c>
      <c r="H1324" s="13" t="s">
        <v>4929</v>
      </c>
      <c r="I1324" s="11" t="s">
        <v>65</v>
      </c>
      <c r="J1324" s="14">
        <v>1</v>
      </c>
      <c r="K1324" s="14" t="s">
        <v>4600</v>
      </c>
      <c r="L1324" s="14" t="s">
        <v>4930</v>
      </c>
      <c r="M1324" s="15" t="s">
        <v>4657</v>
      </c>
      <c r="N1324" s="15" t="s">
        <v>208</v>
      </c>
      <c r="O1324" s="15" t="s">
        <v>4931</v>
      </c>
      <c r="P1324" s="15" t="s">
        <v>4932</v>
      </c>
      <c r="Q1324" s="15" t="s">
        <v>211</v>
      </c>
      <c r="R1324" s="16" t="s">
        <v>54</v>
      </c>
      <c r="S1324" s="12" t="s">
        <v>4617</v>
      </c>
      <c r="T1324" s="14" t="s">
        <v>55</v>
      </c>
    </row>
    <row r="1325" spans="1:20" ht="16.5">
      <c r="A1325" s="17" t="s">
        <v>3658</v>
      </c>
      <c r="B1325" s="17" t="s">
        <v>60</v>
      </c>
      <c r="C1325" s="17" t="s">
        <v>62</v>
      </c>
      <c r="D1325" s="18" t="s">
        <v>4654</v>
      </c>
      <c r="E1325" s="17" t="s">
        <v>203</v>
      </c>
      <c r="F1325" s="17" t="s">
        <v>204</v>
      </c>
      <c r="G1325" s="18" t="s">
        <v>4933</v>
      </c>
      <c r="H1325" s="20" t="s">
        <v>4934</v>
      </c>
      <c r="I1325" s="17" t="s">
        <v>65</v>
      </c>
      <c r="J1325" s="21">
        <v>1</v>
      </c>
      <c r="K1325" s="21" t="s">
        <v>4600</v>
      </c>
      <c r="L1325" s="21" t="s">
        <v>4935</v>
      </c>
      <c r="M1325" s="19" t="s">
        <v>4657</v>
      </c>
      <c r="N1325" s="19" t="s">
        <v>208</v>
      </c>
      <c r="O1325" s="19" t="s">
        <v>4936</v>
      </c>
      <c r="P1325" s="19" t="s">
        <v>4937</v>
      </c>
      <c r="Q1325" s="19" t="s">
        <v>211</v>
      </c>
      <c r="R1325" s="16" t="s">
        <v>54</v>
      </c>
      <c r="S1325" s="18" t="s">
        <v>4617</v>
      </c>
      <c r="T1325" s="21" t="s">
        <v>55</v>
      </c>
    </row>
    <row r="1326" spans="1:20" ht="16.5">
      <c r="A1326" s="11" t="s">
        <v>3658</v>
      </c>
      <c r="B1326" s="11" t="s">
        <v>60</v>
      </c>
      <c r="C1326" s="11" t="s">
        <v>62</v>
      </c>
      <c r="D1326" s="12" t="s">
        <v>4676</v>
      </c>
      <c r="E1326" s="11" t="s">
        <v>203</v>
      </c>
      <c r="F1326" s="11" t="s">
        <v>204</v>
      </c>
      <c r="G1326" s="12" t="s">
        <v>4938</v>
      </c>
      <c r="H1326" s="13" t="s">
        <v>4939</v>
      </c>
      <c r="I1326" s="11" t="s">
        <v>65</v>
      </c>
      <c r="J1326" s="14">
        <v>1</v>
      </c>
      <c r="K1326" s="14" t="s">
        <v>4600</v>
      </c>
      <c r="L1326" s="14" t="s">
        <v>4940</v>
      </c>
      <c r="M1326" s="15" t="s">
        <v>4679</v>
      </c>
      <c r="N1326" s="15" t="s">
        <v>208</v>
      </c>
      <c r="O1326" s="15" t="s">
        <v>4941</v>
      </c>
      <c r="P1326" s="15"/>
      <c r="Q1326" s="12" t="s">
        <v>286</v>
      </c>
      <c r="R1326" s="22" t="s">
        <v>88</v>
      </c>
      <c r="S1326" s="12" t="s">
        <v>4617</v>
      </c>
      <c r="T1326" s="14" t="s">
        <v>55</v>
      </c>
    </row>
    <row r="1327" spans="1:20" ht="16.5">
      <c r="A1327" s="17" t="s">
        <v>3658</v>
      </c>
      <c r="B1327" s="17" t="s">
        <v>60</v>
      </c>
      <c r="C1327" s="17" t="s">
        <v>62</v>
      </c>
      <c r="D1327" s="18" t="s">
        <v>4676</v>
      </c>
      <c r="E1327" s="17" t="s">
        <v>203</v>
      </c>
      <c r="F1327" s="17" t="s">
        <v>204</v>
      </c>
      <c r="G1327" s="18" t="s">
        <v>678</v>
      </c>
      <c r="H1327" s="20" t="s">
        <v>4942</v>
      </c>
      <c r="I1327" s="17" t="s">
        <v>65</v>
      </c>
      <c r="J1327" s="21">
        <v>1</v>
      </c>
      <c r="K1327" s="21" t="s">
        <v>4600</v>
      </c>
      <c r="L1327" s="21" t="s">
        <v>4943</v>
      </c>
      <c r="M1327" s="19" t="s">
        <v>4679</v>
      </c>
      <c r="N1327" s="19" t="s">
        <v>208</v>
      </c>
      <c r="O1327" s="19" t="s">
        <v>682</v>
      </c>
      <c r="P1327" s="19"/>
      <c r="Q1327" s="18" t="s">
        <v>286</v>
      </c>
      <c r="R1327" s="22" t="s">
        <v>88</v>
      </c>
      <c r="S1327" s="18" t="s">
        <v>4617</v>
      </c>
      <c r="T1327" s="21" t="s">
        <v>55</v>
      </c>
    </row>
    <row r="1328" spans="1:20" ht="16.5">
      <c r="A1328" s="11" t="s">
        <v>3658</v>
      </c>
      <c r="B1328" s="11" t="s">
        <v>60</v>
      </c>
      <c r="C1328" s="11" t="s">
        <v>62</v>
      </c>
      <c r="D1328" s="12" t="s">
        <v>4676</v>
      </c>
      <c r="E1328" s="11" t="s">
        <v>203</v>
      </c>
      <c r="F1328" s="11" t="s">
        <v>204</v>
      </c>
      <c r="G1328" s="12" t="s">
        <v>4944</v>
      </c>
      <c r="H1328" s="13" t="s">
        <v>4945</v>
      </c>
      <c r="I1328" s="11" t="s">
        <v>65</v>
      </c>
      <c r="J1328" s="14">
        <v>1</v>
      </c>
      <c r="K1328" s="14" t="s">
        <v>4600</v>
      </c>
      <c r="L1328" s="14" t="s">
        <v>4946</v>
      </c>
      <c r="M1328" s="15" t="s">
        <v>4679</v>
      </c>
      <c r="N1328" s="15" t="s">
        <v>208</v>
      </c>
      <c r="O1328" s="15" t="s">
        <v>4947</v>
      </c>
      <c r="P1328" s="15"/>
      <c r="Q1328" s="12" t="s">
        <v>286</v>
      </c>
      <c r="R1328" s="22" t="s">
        <v>88</v>
      </c>
      <c r="S1328" s="12" t="s">
        <v>4617</v>
      </c>
      <c r="T1328" s="14" t="s">
        <v>55</v>
      </c>
    </row>
    <row r="1329" spans="1:20" ht="16.5">
      <c r="A1329" s="17" t="s">
        <v>3658</v>
      </c>
      <c r="B1329" s="17" t="s">
        <v>60</v>
      </c>
      <c r="C1329" s="17" t="s">
        <v>62</v>
      </c>
      <c r="D1329" s="18" t="s">
        <v>4676</v>
      </c>
      <c r="E1329" s="17" t="s">
        <v>203</v>
      </c>
      <c r="F1329" s="17" t="s">
        <v>204</v>
      </c>
      <c r="G1329" s="18" t="s">
        <v>4948</v>
      </c>
      <c r="H1329" s="20" t="s">
        <v>4949</v>
      </c>
      <c r="I1329" s="17" t="s">
        <v>65</v>
      </c>
      <c r="J1329" s="21">
        <v>1</v>
      </c>
      <c r="K1329" s="21" t="s">
        <v>4600</v>
      </c>
      <c r="L1329" s="21" t="s">
        <v>4950</v>
      </c>
      <c r="M1329" s="19" t="s">
        <v>4679</v>
      </c>
      <c r="N1329" s="19" t="s">
        <v>208</v>
      </c>
      <c r="O1329" s="19" t="s">
        <v>4951</v>
      </c>
      <c r="P1329" s="19"/>
      <c r="Q1329" s="18" t="s">
        <v>286</v>
      </c>
      <c r="R1329" s="22" t="s">
        <v>88</v>
      </c>
      <c r="S1329" s="18" t="s">
        <v>4617</v>
      </c>
      <c r="T1329" s="21" t="s">
        <v>55</v>
      </c>
    </row>
    <row r="1330" spans="1:20" ht="16.5">
      <c r="A1330" s="11" t="s">
        <v>3658</v>
      </c>
      <c r="B1330" s="11" t="s">
        <v>60</v>
      </c>
      <c r="C1330" s="11" t="s">
        <v>62</v>
      </c>
      <c r="D1330" s="12" t="s">
        <v>4701</v>
      </c>
      <c r="E1330" s="11" t="s">
        <v>203</v>
      </c>
      <c r="F1330" s="11" t="s">
        <v>295</v>
      </c>
      <c r="G1330" s="12" t="s">
        <v>674</v>
      </c>
      <c r="H1330" s="13" t="s">
        <v>4952</v>
      </c>
      <c r="I1330" s="11" t="s">
        <v>65</v>
      </c>
      <c r="J1330" s="14">
        <v>1</v>
      </c>
      <c r="K1330" s="14" t="s">
        <v>4600</v>
      </c>
      <c r="L1330" s="14" t="s">
        <v>4953</v>
      </c>
      <c r="M1330" s="15" t="s">
        <v>4704</v>
      </c>
      <c r="N1330" s="15" t="s">
        <v>208</v>
      </c>
      <c r="O1330" s="15" t="s">
        <v>677</v>
      </c>
      <c r="P1330" s="15"/>
      <c r="Q1330" s="12" t="s">
        <v>286</v>
      </c>
      <c r="R1330" s="22" t="s">
        <v>88</v>
      </c>
      <c r="S1330" s="12" t="s">
        <v>4617</v>
      </c>
      <c r="T1330" s="14" t="s">
        <v>55</v>
      </c>
    </row>
    <row r="1331" spans="1:20" ht="16.5">
      <c r="A1331" s="17" t="s">
        <v>3658</v>
      </c>
      <c r="B1331" s="17" t="s">
        <v>60</v>
      </c>
      <c r="C1331" s="17" t="s">
        <v>62</v>
      </c>
      <c r="D1331" s="18" t="s">
        <v>4757</v>
      </c>
      <c r="E1331" s="17" t="s">
        <v>203</v>
      </c>
      <c r="F1331" s="17" t="s">
        <v>204</v>
      </c>
      <c r="G1331" s="19" t="s">
        <v>4954</v>
      </c>
      <c r="H1331" s="24" t="s">
        <v>4955</v>
      </c>
      <c r="I1331" s="17" t="s">
        <v>65</v>
      </c>
      <c r="J1331" s="21">
        <v>1</v>
      </c>
      <c r="K1331" s="21" t="s">
        <v>4600</v>
      </c>
      <c r="L1331" s="21" t="s">
        <v>4956</v>
      </c>
      <c r="M1331" s="19" t="s">
        <v>4760</v>
      </c>
      <c r="N1331" s="19" t="s">
        <v>208</v>
      </c>
      <c r="O1331" s="19" t="s">
        <v>4957</v>
      </c>
      <c r="P1331" s="19"/>
      <c r="Q1331" s="18" t="s">
        <v>286</v>
      </c>
      <c r="R1331" s="22" t="s">
        <v>88</v>
      </c>
      <c r="S1331" s="18" t="s">
        <v>4617</v>
      </c>
      <c r="T1331" s="21" t="s">
        <v>55</v>
      </c>
    </row>
    <row r="1332" spans="1:20" ht="29.25">
      <c r="A1332" s="11" t="s">
        <v>3658</v>
      </c>
      <c r="B1332" s="11" t="s">
        <v>60</v>
      </c>
      <c r="C1332" s="11" t="s">
        <v>62</v>
      </c>
      <c r="D1332" s="12" t="s">
        <v>4757</v>
      </c>
      <c r="E1332" s="11" t="s">
        <v>203</v>
      </c>
      <c r="F1332" s="11" t="s">
        <v>295</v>
      </c>
      <c r="G1332" s="12" t="s">
        <v>4958</v>
      </c>
      <c r="H1332" s="13" t="s">
        <v>4959</v>
      </c>
      <c r="I1332" s="11" t="s">
        <v>65</v>
      </c>
      <c r="J1332" s="14">
        <v>1</v>
      </c>
      <c r="K1332" s="14" t="s">
        <v>4600</v>
      </c>
      <c r="L1332" s="14" t="s">
        <v>4960</v>
      </c>
      <c r="M1332" s="15" t="s">
        <v>4760</v>
      </c>
      <c r="N1332" s="15" t="s">
        <v>208</v>
      </c>
      <c r="O1332" s="15" t="s">
        <v>4961</v>
      </c>
      <c r="P1332" s="15"/>
      <c r="Q1332" s="12" t="s">
        <v>286</v>
      </c>
      <c r="R1332" s="22" t="s">
        <v>88</v>
      </c>
      <c r="S1332" s="12" t="s">
        <v>4617</v>
      </c>
      <c r="T1332" s="14" t="s">
        <v>55</v>
      </c>
    </row>
    <row r="1333" spans="1:20" ht="16.5">
      <c r="A1333" s="17" t="s">
        <v>3658</v>
      </c>
      <c r="B1333" s="17" t="s">
        <v>60</v>
      </c>
      <c r="C1333" s="17" t="s">
        <v>62</v>
      </c>
      <c r="D1333" s="18" t="s">
        <v>4787</v>
      </c>
      <c r="E1333" s="17" t="s">
        <v>203</v>
      </c>
      <c r="F1333" s="17" t="s">
        <v>295</v>
      </c>
      <c r="G1333" s="18" t="s">
        <v>4962</v>
      </c>
      <c r="H1333" s="20" t="s">
        <v>4963</v>
      </c>
      <c r="I1333" s="17" t="s">
        <v>65</v>
      </c>
      <c r="J1333" s="21">
        <v>1</v>
      </c>
      <c r="K1333" s="21" t="s">
        <v>4600</v>
      </c>
      <c r="L1333" s="21" t="s">
        <v>4964</v>
      </c>
      <c r="M1333" s="19" t="s">
        <v>4790</v>
      </c>
      <c r="N1333" s="19" t="s">
        <v>208</v>
      </c>
      <c r="O1333" s="19" t="s">
        <v>4965</v>
      </c>
      <c r="P1333" s="19"/>
      <c r="Q1333" s="18" t="s">
        <v>286</v>
      </c>
      <c r="R1333" s="22" t="s">
        <v>88</v>
      </c>
      <c r="S1333" s="18" t="s">
        <v>4617</v>
      </c>
      <c r="T1333" s="21" t="s">
        <v>55</v>
      </c>
    </row>
    <row r="1334" spans="1:20" ht="29.25">
      <c r="A1334" s="11" t="s">
        <v>3658</v>
      </c>
      <c r="B1334" s="11" t="s">
        <v>60</v>
      </c>
      <c r="C1334" s="11" t="s">
        <v>62</v>
      </c>
      <c r="D1334" s="12" t="s">
        <v>4802</v>
      </c>
      <c r="E1334" s="11" t="s">
        <v>203</v>
      </c>
      <c r="F1334" s="11" t="s">
        <v>295</v>
      </c>
      <c r="G1334" s="12" t="s">
        <v>4966</v>
      </c>
      <c r="H1334" s="13" t="s">
        <v>4967</v>
      </c>
      <c r="I1334" s="11" t="s">
        <v>65</v>
      </c>
      <c r="J1334" s="14">
        <v>1</v>
      </c>
      <c r="K1334" s="14" t="s">
        <v>4600</v>
      </c>
      <c r="L1334" s="14" t="s">
        <v>4968</v>
      </c>
      <c r="M1334" s="15" t="s">
        <v>4805</v>
      </c>
      <c r="N1334" s="15" t="s">
        <v>208</v>
      </c>
      <c r="O1334" s="15" t="s">
        <v>4969</v>
      </c>
      <c r="P1334" s="15"/>
      <c r="Q1334" s="12" t="s">
        <v>286</v>
      </c>
      <c r="R1334" s="22" t="s">
        <v>88</v>
      </c>
      <c r="S1334" s="12" t="s">
        <v>4617</v>
      </c>
      <c r="T1334" s="14" t="s">
        <v>55</v>
      </c>
    </row>
    <row r="1335" spans="1:20" ht="16.5">
      <c r="A1335" s="17" t="s">
        <v>3658</v>
      </c>
      <c r="B1335" s="17" t="s">
        <v>60</v>
      </c>
      <c r="C1335" s="17" t="s">
        <v>62</v>
      </c>
      <c r="D1335" s="18" t="s">
        <v>4676</v>
      </c>
      <c r="E1335" s="17" t="s">
        <v>203</v>
      </c>
      <c r="F1335" s="17" t="s">
        <v>204</v>
      </c>
      <c r="G1335" s="18" t="s">
        <v>4970</v>
      </c>
      <c r="H1335" s="20" t="s">
        <v>4971</v>
      </c>
      <c r="I1335" s="17" t="s">
        <v>65</v>
      </c>
      <c r="J1335" s="21">
        <v>1</v>
      </c>
      <c r="K1335" s="21" t="s">
        <v>4600</v>
      </c>
      <c r="L1335" s="21" t="s">
        <v>4972</v>
      </c>
      <c r="M1335" s="19" t="s">
        <v>4679</v>
      </c>
      <c r="N1335" s="19" t="s">
        <v>208</v>
      </c>
      <c r="O1335" s="19" t="s">
        <v>4973</v>
      </c>
      <c r="P1335" s="19"/>
      <c r="Q1335" s="18" t="s">
        <v>286</v>
      </c>
      <c r="R1335" s="22" t="s">
        <v>88</v>
      </c>
      <c r="S1335" s="18" t="s">
        <v>4617</v>
      </c>
      <c r="T1335" s="26" t="s">
        <v>673</v>
      </c>
    </row>
    <row r="1336" spans="1:20" ht="16.5">
      <c r="A1336" s="11" t="s">
        <v>3658</v>
      </c>
      <c r="B1336" s="11" t="s">
        <v>60</v>
      </c>
      <c r="C1336" s="11" t="s">
        <v>62</v>
      </c>
      <c r="D1336" s="12" t="s">
        <v>4676</v>
      </c>
      <c r="E1336" s="11" t="s">
        <v>203</v>
      </c>
      <c r="F1336" s="11" t="s">
        <v>204</v>
      </c>
      <c r="G1336" s="12" t="s">
        <v>4974</v>
      </c>
      <c r="H1336" s="13" t="s">
        <v>4975</v>
      </c>
      <c r="I1336" s="11" t="s">
        <v>65</v>
      </c>
      <c r="J1336" s="14">
        <v>1</v>
      </c>
      <c r="K1336" s="14" t="s">
        <v>4600</v>
      </c>
      <c r="L1336" s="14" t="s">
        <v>4976</v>
      </c>
      <c r="M1336" s="15" t="s">
        <v>4679</v>
      </c>
      <c r="N1336" s="15" t="s">
        <v>208</v>
      </c>
      <c r="O1336" s="15" t="s">
        <v>4977</v>
      </c>
      <c r="P1336" s="15"/>
      <c r="Q1336" s="12" t="s">
        <v>286</v>
      </c>
      <c r="R1336" s="22" t="s">
        <v>88</v>
      </c>
      <c r="S1336" s="12" t="s">
        <v>4617</v>
      </c>
      <c r="T1336" s="26" t="s">
        <v>673</v>
      </c>
    </row>
    <row r="1337" spans="1:20" ht="16.5">
      <c r="A1337" s="17" t="s">
        <v>3658</v>
      </c>
      <c r="B1337" s="17" t="s">
        <v>60</v>
      </c>
      <c r="C1337" s="17" t="s">
        <v>62</v>
      </c>
      <c r="D1337" s="18" t="s">
        <v>4676</v>
      </c>
      <c r="E1337" s="17" t="s">
        <v>203</v>
      </c>
      <c r="F1337" s="17" t="s">
        <v>204</v>
      </c>
      <c r="G1337" s="18" t="s">
        <v>4978</v>
      </c>
      <c r="H1337" s="20" t="s">
        <v>4979</v>
      </c>
      <c r="I1337" s="17" t="s">
        <v>65</v>
      </c>
      <c r="J1337" s="21">
        <v>1</v>
      </c>
      <c r="K1337" s="21" t="s">
        <v>4600</v>
      </c>
      <c r="L1337" s="21" t="s">
        <v>4980</v>
      </c>
      <c r="M1337" s="19" t="s">
        <v>4679</v>
      </c>
      <c r="N1337" s="19" t="s">
        <v>208</v>
      </c>
      <c r="O1337" s="19" t="s">
        <v>4981</v>
      </c>
      <c r="P1337" s="19"/>
      <c r="Q1337" s="18" t="s">
        <v>286</v>
      </c>
      <c r="R1337" s="22" t="s">
        <v>88</v>
      </c>
      <c r="S1337" s="18" t="s">
        <v>4617</v>
      </c>
      <c r="T1337" s="26" t="s">
        <v>673</v>
      </c>
    </row>
    <row r="1338" spans="1:20" ht="29.25">
      <c r="A1338" s="11" t="s">
        <v>3658</v>
      </c>
      <c r="B1338" s="11" t="s">
        <v>60</v>
      </c>
      <c r="C1338" s="11" t="s">
        <v>62</v>
      </c>
      <c r="D1338" s="12" t="s">
        <v>4676</v>
      </c>
      <c r="E1338" s="11" t="s">
        <v>203</v>
      </c>
      <c r="F1338" s="11" t="s">
        <v>204</v>
      </c>
      <c r="G1338" s="12" t="s">
        <v>4982</v>
      </c>
      <c r="H1338" s="13" t="s">
        <v>4983</v>
      </c>
      <c r="I1338" s="11" t="s">
        <v>65</v>
      </c>
      <c r="J1338" s="14">
        <v>1</v>
      </c>
      <c r="K1338" s="14" t="s">
        <v>4600</v>
      </c>
      <c r="L1338" s="14" t="s">
        <v>4984</v>
      </c>
      <c r="M1338" s="15" t="s">
        <v>4679</v>
      </c>
      <c r="N1338" s="15" t="s">
        <v>208</v>
      </c>
      <c r="O1338" s="15" t="s">
        <v>4985</v>
      </c>
      <c r="P1338" s="15"/>
      <c r="Q1338" s="12" t="s">
        <v>286</v>
      </c>
      <c r="R1338" s="22" t="s">
        <v>88</v>
      </c>
      <c r="S1338" s="12" t="s">
        <v>4617</v>
      </c>
      <c r="T1338" s="14" t="s">
        <v>55</v>
      </c>
    </row>
    <row r="1339" spans="1:20" ht="16.5">
      <c r="A1339" s="17" t="s">
        <v>3658</v>
      </c>
      <c r="B1339" s="17" t="s">
        <v>60</v>
      </c>
      <c r="C1339" s="17" t="s">
        <v>62</v>
      </c>
      <c r="D1339" s="18" t="s">
        <v>4613</v>
      </c>
      <c r="E1339" s="17" t="s">
        <v>203</v>
      </c>
      <c r="F1339" s="17" t="s">
        <v>204</v>
      </c>
      <c r="G1339" s="18" t="s">
        <v>4986</v>
      </c>
      <c r="H1339" s="20" t="s">
        <v>4987</v>
      </c>
      <c r="I1339" s="17" t="s">
        <v>65</v>
      </c>
      <c r="J1339" s="21">
        <v>1</v>
      </c>
      <c r="K1339" s="21" t="s">
        <v>4600</v>
      </c>
      <c r="L1339" s="21" t="s">
        <v>4988</v>
      </c>
      <c r="M1339" s="19" t="s">
        <v>4616</v>
      </c>
      <c r="N1339" s="19" t="s">
        <v>208</v>
      </c>
      <c r="O1339" s="19" t="s">
        <v>4989</v>
      </c>
      <c r="P1339" s="19"/>
      <c r="Q1339" s="18" t="s">
        <v>286</v>
      </c>
      <c r="R1339" s="22" t="s">
        <v>88</v>
      </c>
      <c r="S1339" s="18" t="s">
        <v>4617</v>
      </c>
      <c r="T1339" s="21" t="s">
        <v>55</v>
      </c>
    </row>
    <row r="1340" spans="1:20" ht="16.5">
      <c r="A1340" s="11" t="s">
        <v>3658</v>
      </c>
      <c r="B1340" s="11" t="s">
        <v>60</v>
      </c>
      <c r="C1340" s="11" t="s">
        <v>300</v>
      </c>
      <c r="D1340" s="12" t="s">
        <v>4990</v>
      </c>
      <c r="E1340" s="11" t="s">
        <v>203</v>
      </c>
      <c r="F1340" s="11" t="s">
        <v>204</v>
      </c>
      <c r="G1340" s="12" t="s">
        <v>4838</v>
      </c>
      <c r="H1340" s="13" t="s">
        <v>4991</v>
      </c>
      <c r="I1340" s="11" t="s">
        <v>65</v>
      </c>
      <c r="J1340" s="14">
        <v>1</v>
      </c>
      <c r="K1340" s="14" t="s">
        <v>4600</v>
      </c>
      <c r="L1340" s="14" t="s">
        <v>4992</v>
      </c>
      <c r="M1340" s="15" t="s">
        <v>4993</v>
      </c>
      <c r="N1340" s="15" t="s">
        <v>208</v>
      </c>
      <c r="O1340" s="15" t="s">
        <v>4841</v>
      </c>
      <c r="P1340" s="15" t="s">
        <v>4842</v>
      </c>
      <c r="Q1340" s="15" t="s">
        <v>211</v>
      </c>
      <c r="R1340" s="16" t="s">
        <v>54</v>
      </c>
      <c r="S1340" s="12" t="s">
        <v>4617</v>
      </c>
      <c r="T1340" s="26" t="s">
        <v>673</v>
      </c>
    </row>
    <row r="1341" spans="1:20" ht="16.5">
      <c r="A1341" s="17" t="s">
        <v>3658</v>
      </c>
      <c r="B1341" s="17" t="s">
        <v>60</v>
      </c>
      <c r="C1341" s="17" t="s">
        <v>300</v>
      </c>
      <c r="D1341" s="19" t="s">
        <v>4994</v>
      </c>
      <c r="E1341" s="17" t="s">
        <v>203</v>
      </c>
      <c r="F1341" s="17" t="s">
        <v>204</v>
      </c>
      <c r="G1341" s="18" t="s">
        <v>4903</v>
      </c>
      <c r="H1341" s="24" t="s">
        <v>4995</v>
      </c>
      <c r="I1341" s="17" t="s">
        <v>65</v>
      </c>
      <c r="J1341" s="21">
        <v>1</v>
      </c>
      <c r="K1341" s="21" t="s">
        <v>4600</v>
      </c>
      <c r="L1341" s="21" t="s">
        <v>4996</v>
      </c>
      <c r="M1341" s="19" t="s">
        <v>4997</v>
      </c>
      <c r="N1341" s="19" t="s">
        <v>208</v>
      </c>
      <c r="O1341" s="19" t="s">
        <v>4906</v>
      </c>
      <c r="P1341" s="19" t="s">
        <v>4907</v>
      </c>
      <c r="Q1341" s="19" t="s">
        <v>211</v>
      </c>
      <c r="R1341" s="16" t="s">
        <v>54</v>
      </c>
      <c r="S1341" s="18" t="s">
        <v>4617</v>
      </c>
      <c r="T1341" s="21" t="s">
        <v>55</v>
      </c>
    </row>
    <row r="1342" spans="1:20" ht="16.5">
      <c r="A1342" s="11" t="s">
        <v>3658</v>
      </c>
      <c r="B1342" s="11" t="s">
        <v>60</v>
      </c>
      <c r="C1342" s="11" t="s">
        <v>300</v>
      </c>
      <c r="D1342" s="15" t="s">
        <v>4994</v>
      </c>
      <c r="E1342" s="11" t="s">
        <v>203</v>
      </c>
      <c r="F1342" s="11" t="s">
        <v>204</v>
      </c>
      <c r="G1342" s="12" t="s">
        <v>4898</v>
      </c>
      <c r="H1342" s="23" t="s">
        <v>4998</v>
      </c>
      <c r="I1342" s="11" t="s">
        <v>65</v>
      </c>
      <c r="J1342" s="14">
        <v>1</v>
      </c>
      <c r="K1342" s="14" t="s">
        <v>4600</v>
      </c>
      <c r="L1342" s="14" t="s">
        <v>4999</v>
      </c>
      <c r="M1342" s="15" t="s">
        <v>4997</v>
      </c>
      <c r="N1342" s="15" t="s">
        <v>208</v>
      </c>
      <c r="O1342" s="15" t="s">
        <v>4901</v>
      </c>
      <c r="P1342" s="15" t="s">
        <v>4902</v>
      </c>
      <c r="Q1342" s="15" t="s">
        <v>211</v>
      </c>
      <c r="R1342" s="16" t="s">
        <v>54</v>
      </c>
      <c r="S1342" s="12" t="s">
        <v>4617</v>
      </c>
      <c r="T1342" s="14" t="s">
        <v>55</v>
      </c>
    </row>
    <row r="1343" spans="1:20" ht="16.5">
      <c r="A1343" s="17" t="s">
        <v>3658</v>
      </c>
      <c r="B1343" s="17" t="s">
        <v>60</v>
      </c>
      <c r="C1343" s="17" t="s">
        <v>300</v>
      </c>
      <c r="D1343" s="19" t="s">
        <v>4994</v>
      </c>
      <c r="E1343" s="17" t="s">
        <v>203</v>
      </c>
      <c r="F1343" s="17" t="s">
        <v>295</v>
      </c>
      <c r="G1343" s="18" t="s">
        <v>4958</v>
      </c>
      <c r="H1343" s="24" t="s">
        <v>5000</v>
      </c>
      <c r="I1343" s="17" t="s">
        <v>65</v>
      </c>
      <c r="J1343" s="21">
        <v>1</v>
      </c>
      <c r="K1343" s="21" t="s">
        <v>4600</v>
      </c>
      <c r="L1343" s="21" t="s">
        <v>5001</v>
      </c>
      <c r="M1343" s="19" t="s">
        <v>4997</v>
      </c>
      <c r="N1343" s="19" t="s">
        <v>208</v>
      </c>
      <c r="O1343" s="19" t="s">
        <v>4961</v>
      </c>
      <c r="P1343" s="19"/>
      <c r="Q1343" s="18" t="s">
        <v>286</v>
      </c>
      <c r="R1343" s="22" t="s">
        <v>88</v>
      </c>
      <c r="S1343" s="18" t="s">
        <v>4617</v>
      </c>
      <c r="T1343" s="21" t="s">
        <v>55</v>
      </c>
    </row>
    <row r="1344" spans="1:20" ht="16.5">
      <c r="A1344" s="11" t="s">
        <v>3658</v>
      </c>
      <c r="B1344" s="11" t="s">
        <v>311</v>
      </c>
      <c r="C1344" s="11" t="s">
        <v>204</v>
      </c>
      <c r="D1344" s="12" t="s">
        <v>4154</v>
      </c>
      <c r="E1344" s="11" t="s">
        <v>312</v>
      </c>
      <c r="F1344" s="14" t="s">
        <v>313</v>
      </c>
      <c r="G1344" s="15" t="s">
        <v>5002</v>
      </c>
      <c r="H1344" s="23" t="s">
        <v>5003</v>
      </c>
      <c r="I1344" s="11" t="s">
        <v>65</v>
      </c>
      <c r="J1344" s="14">
        <v>1</v>
      </c>
      <c r="K1344" s="14" t="s">
        <v>4600</v>
      </c>
      <c r="L1344" s="14" t="s">
        <v>5004</v>
      </c>
      <c r="M1344" s="15" t="s">
        <v>4157</v>
      </c>
      <c r="N1344" s="15" t="s">
        <v>316</v>
      </c>
      <c r="O1344" s="15" t="s">
        <v>5005</v>
      </c>
      <c r="P1344" s="15" t="s">
        <v>5002</v>
      </c>
      <c r="Q1344" s="15" t="s">
        <v>211</v>
      </c>
      <c r="R1344" s="16" t="s">
        <v>54</v>
      </c>
      <c r="S1344" s="12" t="s">
        <v>4617</v>
      </c>
      <c r="T1344" s="14" t="s">
        <v>55</v>
      </c>
    </row>
    <row r="1345" spans="1:20" ht="16.5">
      <c r="A1345" s="17" t="s">
        <v>3658</v>
      </c>
      <c r="B1345" s="17" t="s">
        <v>311</v>
      </c>
      <c r="C1345" s="17" t="s">
        <v>204</v>
      </c>
      <c r="D1345" s="18" t="s">
        <v>4154</v>
      </c>
      <c r="E1345" s="17" t="s">
        <v>312</v>
      </c>
      <c r="F1345" s="21" t="s">
        <v>313</v>
      </c>
      <c r="G1345" s="19" t="s">
        <v>5006</v>
      </c>
      <c r="H1345" s="24" t="s">
        <v>5007</v>
      </c>
      <c r="I1345" s="17" t="s">
        <v>65</v>
      </c>
      <c r="J1345" s="21">
        <v>1</v>
      </c>
      <c r="K1345" s="21" t="s">
        <v>4600</v>
      </c>
      <c r="L1345" s="21" t="s">
        <v>5008</v>
      </c>
      <c r="M1345" s="19" t="s">
        <v>4157</v>
      </c>
      <c r="N1345" s="19" t="s">
        <v>316</v>
      </c>
      <c r="O1345" s="19" t="s">
        <v>5009</v>
      </c>
      <c r="P1345" s="19" t="s">
        <v>5006</v>
      </c>
      <c r="Q1345" s="19" t="s">
        <v>211</v>
      </c>
      <c r="R1345" s="16" t="s">
        <v>54</v>
      </c>
      <c r="S1345" s="18" t="s">
        <v>4617</v>
      </c>
      <c r="T1345" s="21" t="s">
        <v>55</v>
      </c>
    </row>
    <row r="1346" spans="1:20" ht="16.5">
      <c r="A1346" s="11" t="s">
        <v>3658</v>
      </c>
      <c r="B1346" s="11" t="s">
        <v>311</v>
      </c>
      <c r="C1346" s="11" t="s">
        <v>204</v>
      </c>
      <c r="D1346" s="12" t="s">
        <v>4154</v>
      </c>
      <c r="E1346" s="11" t="s">
        <v>312</v>
      </c>
      <c r="F1346" s="14" t="s">
        <v>313</v>
      </c>
      <c r="G1346" s="15" t="s">
        <v>5010</v>
      </c>
      <c r="H1346" s="23" t="s">
        <v>5011</v>
      </c>
      <c r="I1346" s="11" t="s">
        <v>65</v>
      </c>
      <c r="J1346" s="14">
        <v>1</v>
      </c>
      <c r="K1346" s="14" t="s">
        <v>4600</v>
      </c>
      <c r="L1346" s="14" t="s">
        <v>5012</v>
      </c>
      <c r="M1346" s="15" t="s">
        <v>4157</v>
      </c>
      <c r="N1346" s="15" t="s">
        <v>316</v>
      </c>
      <c r="O1346" s="15" t="s">
        <v>5013</v>
      </c>
      <c r="P1346" s="15" t="s">
        <v>5010</v>
      </c>
      <c r="Q1346" s="15" t="s">
        <v>211</v>
      </c>
      <c r="R1346" s="16" t="s">
        <v>54</v>
      </c>
      <c r="S1346" s="12" t="s">
        <v>4617</v>
      </c>
      <c r="T1346" s="14" t="s">
        <v>55</v>
      </c>
    </row>
    <row r="1347" spans="1:20" ht="16.5">
      <c r="A1347" s="17" t="s">
        <v>3658</v>
      </c>
      <c r="B1347" s="17" t="s">
        <v>311</v>
      </c>
      <c r="C1347" s="17" t="s">
        <v>204</v>
      </c>
      <c r="D1347" s="18" t="s">
        <v>4154</v>
      </c>
      <c r="E1347" s="17" t="s">
        <v>312</v>
      </c>
      <c r="F1347" s="21" t="s">
        <v>313</v>
      </c>
      <c r="G1347" s="19" t="s">
        <v>5014</v>
      </c>
      <c r="H1347" s="24" t="s">
        <v>5015</v>
      </c>
      <c r="I1347" s="17" t="s">
        <v>65</v>
      </c>
      <c r="J1347" s="21">
        <v>1</v>
      </c>
      <c r="K1347" s="21" t="s">
        <v>4600</v>
      </c>
      <c r="L1347" s="21" t="s">
        <v>5016</v>
      </c>
      <c r="M1347" s="19" t="s">
        <v>4157</v>
      </c>
      <c r="N1347" s="19" t="s">
        <v>316</v>
      </c>
      <c r="O1347" s="19" t="s">
        <v>5017</v>
      </c>
      <c r="P1347" s="19" t="s">
        <v>5014</v>
      </c>
      <c r="Q1347" s="19" t="s">
        <v>211</v>
      </c>
      <c r="R1347" s="16" t="s">
        <v>54</v>
      </c>
      <c r="S1347" s="18" t="s">
        <v>4617</v>
      </c>
      <c r="T1347" s="21" t="s">
        <v>55</v>
      </c>
    </row>
    <row r="1348" spans="1:20" ht="16.5">
      <c r="A1348" s="11" t="s">
        <v>3658</v>
      </c>
      <c r="B1348" s="11" t="s">
        <v>311</v>
      </c>
      <c r="C1348" s="11" t="s">
        <v>204</v>
      </c>
      <c r="D1348" s="12" t="s">
        <v>4816</v>
      </c>
      <c r="E1348" s="11" t="s">
        <v>312</v>
      </c>
      <c r="F1348" s="14" t="s">
        <v>313</v>
      </c>
      <c r="G1348" s="15" t="s">
        <v>5018</v>
      </c>
      <c r="H1348" s="23" t="s">
        <v>5019</v>
      </c>
      <c r="I1348" s="11" t="s">
        <v>65</v>
      </c>
      <c r="J1348" s="14">
        <v>1</v>
      </c>
      <c r="K1348" s="14" t="s">
        <v>4600</v>
      </c>
      <c r="L1348" s="14" t="s">
        <v>5020</v>
      </c>
      <c r="M1348" s="15" t="s">
        <v>4819</v>
      </c>
      <c r="N1348" s="15" t="s">
        <v>316</v>
      </c>
      <c r="O1348" s="15" t="s">
        <v>5021</v>
      </c>
      <c r="P1348" s="15" t="s">
        <v>5018</v>
      </c>
      <c r="Q1348" s="15" t="s">
        <v>211</v>
      </c>
      <c r="R1348" s="16" t="s">
        <v>54</v>
      </c>
      <c r="S1348" s="12" t="s">
        <v>4617</v>
      </c>
      <c r="T1348" s="14" t="s">
        <v>55</v>
      </c>
    </row>
    <row r="1349" spans="1:20" ht="16.5">
      <c r="A1349" s="17" t="s">
        <v>3658</v>
      </c>
      <c r="B1349" s="17" t="s">
        <v>311</v>
      </c>
      <c r="C1349" s="17" t="s">
        <v>204</v>
      </c>
      <c r="D1349" s="18" t="s">
        <v>4816</v>
      </c>
      <c r="E1349" s="17" t="s">
        <v>312</v>
      </c>
      <c r="F1349" s="21" t="s">
        <v>313</v>
      </c>
      <c r="G1349" s="19" t="s">
        <v>5022</v>
      </c>
      <c r="H1349" s="24" t="s">
        <v>5023</v>
      </c>
      <c r="I1349" s="17" t="s">
        <v>65</v>
      </c>
      <c r="J1349" s="21">
        <v>1</v>
      </c>
      <c r="K1349" s="21" t="s">
        <v>4600</v>
      </c>
      <c r="L1349" s="21" t="s">
        <v>5024</v>
      </c>
      <c r="M1349" s="19" t="s">
        <v>4819</v>
      </c>
      <c r="N1349" s="19" t="s">
        <v>316</v>
      </c>
      <c r="O1349" s="19" t="s">
        <v>5025</v>
      </c>
      <c r="P1349" s="19" t="s">
        <v>5022</v>
      </c>
      <c r="Q1349" s="19" t="s">
        <v>211</v>
      </c>
      <c r="R1349" s="16" t="s">
        <v>54</v>
      </c>
      <c r="S1349" s="18" t="s">
        <v>4617</v>
      </c>
      <c r="T1349" s="21" t="s">
        <v>55</v>
      </c>
    </row>
    <row r="1350" spans="1:20" ht="16.5">
      <c r="A1350" s="11" t="s">
        <v>3658</v>
      </c>
      <c r="B1350" s="11" t="s">
        <v>311</v>
      </c>
      <c r="C1350" s="11" t="s">
        <v>204</v>
      </c>
      <c r="D1350" s="12" t="s">
        <v>4816</v>
      </c>
      <c r="E1350" s="11" t="s">
        <v>312</v>
      </c>
      <c r="F1350" s="14" t="s">
        <v>313</v>
      </c>
      <c r="G1350" s="15" t="s">
        <v>5026</v>
      </c>
      <c r="H1350" s="23" t="s">
        <v>5027</v>
      </c>
      <c r="I1350" s="11" t="s">
        <v>65</v>
      </c>
      <c r="J1350" s="14">
        <v>1</v>
      </c>
      <c r="K1350" s="14" t="s">
        <v>4600</v>
      </c>
      <c r="L1350" s="14" t="s">
        <v>5028</v>
      </c>
      <c r="M1350" s="15" t="s">
        <v>4819</v>
      </c>
      <c r="N1350" s="15" t="s">
        <v>316</v>
      </c>
      <c r="O1350" s="15" t="s">
        <v>5029</v>
      </c>
      <c r="P1350" s="15" t="s">
        <v>5026</v>
      </c>
      <c r="Q1350" s="15" t="s">
        <v>211</v>
      </c>
      <c r="R1350" s="16" t="s">
        <v>54</v>
      </c>
      <c r="S1350" s="12" t="s">
        <v>4617</v>
      </c>
      <c r="T1350" s="14" t="s">
        <v>55</v>
      </c>
    </row>
    <row r="1351" spans="1:20" ht="16.5">
      <c r="A1351" s="17" t="s">
        <v>3658</v>
      </c>
      <c r="B1351" s="17" t="s">
        <v>311</v>
      </c>
      <c r="C1351" s="17" t="s">
        <v>204</v>
      </c>
      <c r="D1351" s="18" t="s">
        <v>4821</v>
      </c>
      <c r="E1351" s="17" t="s">
        <v>312</v>
      </c>
      <c r="F1351" s="21" t="s">
        <v>313</v>
      </c>
      <c r="G1351" s="19" t="s">
        <v>4825</v>
      </c>
      <c r="H1351" s="24" t="s">
        <v>5030</v>
      </c>
      <c r="I1351" s="17" t="s">
        <v>65</v>
      </c>
      <c r="J1351" s="21">
        <v>1</v>
      </c>
      <c r="K1351" s="21" t="s">
        <v>4600</v>
      </c>
      <c r="L1351" s="21" t="s">
        <v>5031</v>
      </c>
      <c r="M1351" s="19" t="s">
        <v>4824</v>
      </c>
      <c r="N1351" s="19" t="s">
        <v>316</v>
      </c>
      <c r="O1351" s="19" t="s">
        <v>5032</v>
      </c>
      <c r="P1351" s="19" t="s">
        <v>4825</v>
      </c>
      <c r="Q1351" s="19" t="s">
        <v>211</v>
      </c>
      <c r="R1351" s="16" t="s">
        <v>54</v>
      </c>
      <c r="S1351" s="18" t="s">
        <v>4617</v>
      </c>
      <c r="T1351" s="21" t="s">
        <v>55</v>
      </c>
    </row>
    <row r="1352" spans="1:20" ht="16.5">
      <c r="A1352" s="11" t="s">
        <v>3658</v>
      </c>
      <c r="B1352" s="11" t="s">
        <v>311</v>
      </c>
      <c r="C1352" s="11" t="s">
        <v>204</v>
      </c>
      <c r="D1352" s="12" t="s">
        <v>4826</v>
      </c>
      <c r="E1352" s="11" t="s">
        <v>312</v>
      </c>
      <c r="F1352" s="14" t="s">
        <v>313</v>
      </c>
      <c r="G1352" s="15" t="s">
        <v>5033</v>
      </c>
      <c r="H1352" s="23" t="s">
        <v>5034</v>
      </c>
      <c r="I1352" s="11" t="s">
        <v>65</v>
      </c>
      <c r="J1352" s="14">
        <v>1</v>
      </c>
      <c r="K1352" s="14" t="s">
        <v>4600</v>
      </c>
      <c r="L1352" s="14" t="s">
        <v>5035</v>
      </c>
      <c r="M1352" s="15" t="s">
        <v>4829</v>
      </c>
      <c r="N1352" s="15" t="s">
        <v>316</v>
      </c>
      <c r="O1352" s="15" t="s">
        <v>5036</v>
      </c>
      <c r="P1352" s="15" t="s">
        <v>5033</v>
      </c>
      <c r="Q1352" s="15" t="s">
        <v>211</v>
      </c>
      <c r="R1352" s="16" t="s">
        <v>54</v>
      </c>
      <c r="S1352" s="12" t="s">
        <v>4617</v>
      </c>
      <c r="T1352" s="14" t="s">
        <v>55</v>
      </c>
    </row>
    <row r="1353" spans="1:20" ht="16.5">
      <c r="A1353" s="17" t="s">
        <v>3658</v>
      </c>
      <c r="B1353" s="17" t="s">
        <v>311</v>
      </c>
      <c r="C1353" s="17" t="s">
        <v>204</v>
      </c>
      <c r="D1353" s="18" t="s">
        <v>4826</v>
      </c>
      <c r="E1353" s="17" t="s">
        <v>312</v>
      </c>
      <c r="F1353" s="21" t="s">
        <v>313</v>
      </c>
      <c r="G1353" s="19" t="s">
        <v>5037</v>
      </c>
      <c r="H1353" s="24" t="s">
        <v>5038</v>
      </c>
      <c r="I1353" s="17" t="s">
        <v>65</v>
      </c>
      <c r="J1353" s="21">
        <v>1</v>
      </c>
      <c r="K1353" s="21" t="s">
        <v>4600</v>
      </c>
      <c r="L1353" s="21" t="s">
        <v>5039</v>
      </c>
      <c r="M1353" s="19" t="s">
        <v>4829</v>
      </c>
      <c r="N1353" s="19" t="s">
        <v>316</v>
      </c>
      <c r="O1353" s="19" t="s">
        <v>5040</v>
      </c>
      <c r="P1353" s="19" t="s">
        <v>5037</v>
      </c>
      <c r="Q1353" s="19" t="s">
        <v>211</v>
      </c>
      <c r="R1353" s="16" t="s">
        <v>54</v>
      </c>
      <c r="S1353" s="18" t="s">
        <v>4617</v>
      </c>
      <c r="T1353" s="21" t="s">
        <v>55</v>
      </c>
    </row>
    <row r="1354" spans="1:20" ht="16.5">
      <c r="A1354" s="11" t="s">
        <v>3658</v>
      </c>
      <c r="B1354" s="11" t="s">
        <v>311</v>
      </c>
      <c r="C1354" s="11" t="s">
        <v>204</v>
      </c>
      <c r="D1354" s="12" t="s">
        <v>4148</v>
      </c>
      <c r="E1354" s="11" t="s">
        <v>312</v>
      </c>
      <c r="F1354" s="14" t="s">
        <v>313</v>
      </c>
      <c r="G1354" s="15" t="s">
        <v>4153</v>
      </c>
      <c r="H1354" s="23" t="s">
        <v>5041</v>
      </c>
      <c r="I1354" s="11" t="s">
        <v>65</v>
      </c>
      <c r="J1354" s="14">
        <v>1</v>
      </c>
      <c r="K1354" s="14" t="s">
        <v>4600</v>
      </c>
      <c r="L1354" s="14" t="s">
        <v>5042</v>
      </c>
      <c r="M1354" s="15" t="s">
        <v>4152</v>
      </c>
      <c r="N1354" s="15" t="s">
        <v>316</v>
      </c>
      <c r="O1354" s="15" t="s">
        <v>5043</v>
      </c>
      <c r="P1354" s="15" t="s">
        <v>4153</v>
      </c>
      <c r="Q1354" s="15" t="s">
        <v>211</v>
      </c>
      <c r="R1354" s="16" t="s">
        <v>54</v>
      </c>
      <c r="S1354" s="12" t="s">
        <v>4617</v>
      </c>
      <c r="T1354" s="14" t="s">
        <v>55</v>
      </c>
    </row>
    <row r="1355" spans="1:20" ht="16.5">
      <c r="A1355" s="17" t="s">
        <v>3658</v>
      </c>
      <c r="B1355" s="17" t="s">
        <v>311</v>
      </c>
      <c r="C1355" s="17" t="s">
        <v>204</v>
      </c>
      <c r="D1355" s="18" t="s">
        <v>4833</v>
      </c>
      <c r="E1355" s="17" t="s">
        <v>312</v>
      </c>
      <c r="F1355" s="21" t="s">
        <v>313</v>
      </c>
      <c r="G1355" s="19" t="s">
        <v>4837</v>
      </c>
      <c r="H1355" s="24" t="s">
        <v>5044</v>
      </c>
      <c r="I1355" s="17" t="s">
        <v>65</v>
      </c>
      <c r="J1355" s="21">
        <v>1</v>
      </c>
      <c r="K1355" s="21" t="s">
        <v>4600</v>
      </c>
      <c r="L1355" s="21" t="s">
        <v>5045</v>
      </c>
      <c r="M1355" s="19" t="s">
        <v>4836</v>
      </c>
      <c r="N1355" s="19" t="s">
        <v>316</v>
      </c>
      <c r="O1355" s="19" t="s">
        <v>5046</v>
      </c>
      <c r="P1355" s="19" t="s">
        <v>4837</v>
      </c>
      <c r="Q1355" s="19" t="s">
        <v>211</v>
      </c>
      <c r="R1355" s="16" t="s">
        <v>54</v>
      </c>
      <c r="S1355" s="18" t="s">
        <v>4617</v>
      </c>
      <c r="T1355" s="21" t="s">
        <v>55</v>
      </c>
    </row>
    <row r="1356" spans="1:20" ht="16.5">
      <c r="A1356" s="11" t="s">
        <v>3658</v>
      </c>
      <c r="B1356" s="11" t="s">
        <v>311</v>
      </c>
      <c r="C1356" s="11" t="s">
        <v>204</v>
      </c>
      <c r="D1356" s="12" t="s">
        <v>4838</v>
      </c>
      <c r="E1356" s="11" t="s">
        <v>312</v>
      </c>
      <c r="F1356" s="14" t="s">
        <v>313</v>
      </c>
      <c r="G1356" s="15" t="s">
        <v>4842</v>
      </c>
      <c r="H1356" s="23" t="s">
        <v>5047</v>
      </c>
      <c r="I1356" s="11" t="s">
        <v>65</v>
      </c>
      <c r="J1356" s="14">
        <v>1</v>
      </c>
      <c r="K1356" s="14" t="s">
        <v>4600</v>
      </c>
      <c r="L1356" s="14" t="s">
        <v>5048</v>
      </c>
      <c r="M1356" s="15" t="s">
        <v>4841</v>
      </c>
      <c r="N1356" s="15" t="s">
        <v>316</v>
      </c>
      <c r="O1356" s="15" t="s">
        <v>5049</v>
      </c>
      <c r="P1356" s="15" t="s">
        <v>4842</v>
      </c>
      <c r="Q1356" s="15" t="s">
        <v>211</v>
      </c>
      <c r="R1356" s="16" t="s">
        <v>54</v>
      </c>
      <c r="S1356" s="12" t="s">
        <v>4617</v>
      </c>
      <c r="T1356" s="14" t="s">
        <v>55</v>
      </c>
    </row>
    <row r="1357" spans="1:20" ht="16.5">
      <c r="A1357" s="17" t="s">
        <v>3658</v>
      </c>
      <c r="B1357" s="17" t="s">
        <v>311</v>
      </c>
      <c r="C1357" s="17" t="s">
        <v>204</v>
      </c>
      <c r="D1357" s="18" t="s">
        <v>4843</v>
      </c>
      <c r="E1357" s="17" t="s">
        <v>312</v>
      </c>
      <c r="F1357" s="21" t="s">
        <v>313</v>
      </c>
      <c r="G1357" s="19" t="s">
        <v>4847</v>
      </c>
      <c r="H1357" s="24" t="s">
        <v>5050</v>
      </c>
      <c r="I1357" s="17" t="s">
        <v>65</v>
      </c>
      <c r="J1357" s="21">
        <v>1</v>
      </c>
      <c r="K1357" s="21" t="s">
        <v>4600</v>
      </c>
      <c r="L1357" s="21" t="s">
        <v>5051</v>
      </c>
      <c r="M1357" s="19" t="s">
        <v>4846</v>
      </c>
      <c r="N1357" s="19" t="s">
        <v>316</v>
      </c>
      <c r="O1357" s="19" t="s">
        <v>5052</v>
      </c>
      <c r="P1357" s="19" t="s">
        <v>4847</v>
      </c>
      <c r="Q1357" s="19" t="s">
        <v>211</v>
      </c>
      <c r="R1357" s="16" t="s">
        <v>54</v>
      </c>
      <c r="S1357" s="18" t="s">
        <v>4617</v>
      </c>
      <c r="T1357" s="21" t="s">
        <v>55</v>
      </c>
    </row>
    <row r="1358" spans="1:20" ht="16.5">
      <c r="A1358" s="11" t="s">
        <v>3658</v>
      </c>
      <c r="B1358" s="11" t="s">
        <v>311</v>
      </c>
      <c r="C1358" s="11" t="s">
        <v>204</v>
      </c>
      <c r="D1358" s="12" t="s">
        <v>4848</v>
      </c>
      <c r="E1358" s="11" t="s">
        <v>312</v>
      </c>
      <c r="F1358" s="14" t="s">
        <v>313</v>
      </c>
      <c r="G1358" s="15" t="s">
        <v>4852</v>
      </c>
      <c r="H1358" s="23" t="s">
        <v>5053</v>
      </c>
      <c r="I1358" s="11" t="s">
        <v>65</v>
      </c>
      <c r="J1358" s="14">
        <v>1</v>
      </c>
      <c r="K1358" s="14" t="s">
        <v>4600</v>
      </c>
      <c r="L1358" s="14" t="s">
        <v>5054</v>
      </c>
      <c r="M1358" s="15" t="s">
        <v>4851</v>
      </c>
      <c r="N1358" s="15" t="s">
        <v>316</v>
      </c>
      <c r="O1358" s="15" t="s">
        <v>5055</v>
      </c>
      <c r="P1358" s="15" t="s">
        <v>4852</v>
      </c>
      <c r="Q1358" s="15" t="s">
        <v>211</v>
      </c>
      <c r="R1358" s="16" t="s">
        <v>54</v>
      </c>
      <c r="S1358" s="12" t="s">
        <v>4617</v>
      </c>
      <c r="T1358" s="14" t="s">
        <v>55</v>
      </c>
    </row>
    <row r="1359" spans="1:20" ht="16.5">
      <c r="A1359" s="17" t="s">
        <v>3658</v>
      </c>
      <c r="B1359" s="17" t="s">
        <v>311</v>
      </c>
      <c r="C1359" s="17" t="s">
        <v>204</v>
      </c>
      <c r="D1359" s="18" t="s">
        <v>4853</v>
      </c>
      <c r="E1359" s="17" t="s">
        <v>312</v>
      </c>
      <c r="F1359" s="21" t="s">
        <v>313</v>
      </c>
      <c r="G1359" s="19" t="s">
        <v>4857</v>
      </c>
      <c r="H1359" s="24" t="s">
        <v>5056</v>
      </c>
      <c r="I1359" s="17" t="s">
        <v>65</v>
      </c>
      <c r="J1359" s="21">
        <v>1</v>
      </c>
      <c r="K1359" s="21" t="s">
        <v>4600</v>
      </c>
      <c r="L1359" s="21" t="s">
        <v>5057</v>
      </c>
      <c r="M1359" s="19" t="s">
        <v>4856</v>
      </c>
      <c r="N1359" s="19" t="s">
        <v>316</v>
      </c>
      <c r="O1359" s="19" t="s">
        <v>5058</v>
      </c>
      <c r="P1359" s="19" t="s">
        <v>4857</v>
      </c>
      <c r="Q1359" s="19" t="s">
        <v>211</v>
      </c>
      <c r="R1359" s="16" t="s">
        <v>54</v>
      </c>
      <c r="S1359" s="18" t="s">
        <v>4617</v>
      </c>
      <c r="T1359" s="21" t="s">
        <v>55</v>
      </c>
    </row>
    <row r="1360" spans="1:20" ht="16.5">
      <c r="A1360" s="11" t="s">
        <v>3658</v>
      </c>
      <c r="B1360" s="11" t="s">
        <v>311</v>
      </c>
      <c r="C1360" s="11" t="s">
        <v>204</v>
      </c>
      <c r="D1360" s="12" t="s">
        <v>4858</v>
      </c>
      <c r="E1360" s="11" t="s">
        <v>312</v>
      </c>
      <c r="F1360" s="14" t="s">
        <v>313</v>
      </c>
      <c r="G1360" s="15" t="s">
        <v>4862</v>
      </c>
      <c r="H1360" s="23" t="s">
        <v>5059</v>
      </c>
      <c r="I1360" s="11" t="s">
        <v>65</v>
      </c>
      <c r="J1360" s="14">
        <v>1</v>
      </c>
      <c r="K1360" s="14" t="s">
        <v>4600</v>
      </c>
      <c r="L1360" s="14" t="s">
        <v>5060</v>
      </c>
      <c r="M1360" s="15" t="s">
        <v>4861</v>
      </c>
      <c r="N1360" s="15" t="s">
        <v>316</v>
      </c>
      <c r="O1360" s="15" t="s">
        <v>5061</v>
      </c>
      <c r="P1360" s="15" t="s">
        <v>4862</v>
      </c>
      <c r="Q1360" s="15" t="s">
        <v>211</v>
      </c>
      <c r="R1360" s="16" t="s">
        <v>54</v>
      </c>
      <c r="S1360" s="12" t="s">
        <v>4617</v>
      </c>
      <c r="T1360" s="14" t="s">
        <v>55</v>
      </c>
    </row>
    <row r="1361" spans="1:20" ht="16.5">
      <c r="A1361" s="17" t="s">
        <v>3658</v>
      </c>
      <c r="B1361" s="17" t="s">
        <v>311</v>
      </c>
      <c r="C1361" s="17" t="s">
        <v>204</v>
      </c>
      <c r="D1361" s="18" t="s">
        <v>4863</v>
      </c>
      <c r="E1361" s="17" t="s">
        <v>312</v>
      </c>
      <c r="F1361" s="21" t="s">
        <v>313</v>
      </c>
      <c r="G1361" s="19" t="s">
        <v>4867</v>
      </c>
      <c r="H1361" s="24" t="s">
        <v>5062</v>
      </c>
      <c r="I1361" s="17" t="s">
        <v>65</v>
      </c>
      <c r="J1361" s="21">
        <v>1</v>
      </c>
      <c r="K1361" s="21" t="s">
        <v>4600</v>
      </c>
      <c r="L1361" s="21" t="s">
        <v>5063</v>
      </c>
      <c r="M1361" s="19" t="s">
        <v>4866</v>
      </c>
      <c r="N1361" s="19" t="s">
        <v>316</v>
      </c>
      <c r="O1361" s="19" t="s">
        <v>5064</v>
      </c>
      <c r="P1361" s="19" t="s">
        <v>4867</v>
      </c>
      <c r="Q1361" s="19" t="s">
        <v>211</v>
      </c>
      <c r="R1361" s="16" t="s">
        <v>54</v>
      </c>
      <c r="S1361" s="18" t="s">
        <v>4617</v>
      </c>
      <c r="T1361" s="21" t="s">
        <v>55</v>
      </c>
    </row>
    <row r="1362" spans="1:20" ht="16.5">
      <c r="A1362" s="11" t="s">
        <v>3658</v>
      </c>
      <c r="B1362" s="11" t="s">
        <v>311</v>
      </c>
      <c r="C1362" s="11" t="s">
        <v>204</v>
      </c>
      <c r="D1362" s="12" t="s">
        <v>4868</v>
      </c>
      <c r="E1362" s="11" t="s">
        <v>312</v>
      </c>
      <c r="F1362" s="14" t="s">
        <v>313</v>
      </c>
      <c r="G1362" s="15" t="s">
        <v>4872</v>
      </c>
      <c r="H1362" s="23" t="s">
        <v>5065</v>
      </c>
      <c r="I1362" s="11" t="s">
        <v>65</v>
      </c>
      <c r="J1362" s="14">
        <v>1</v>
      </c>
      <c r="K1362" s="14" t="s">
        <v>4600</v>
      </c>
      <c r="L1362" s="14" t="s">
        <v>5066</v>
      </c>
      <c r="M1362" s="15" t="s">
        <v>4871</v>
      </c>
      <c r="N1362" s="15" t="s">
        <v>316</v>
      </c>
      <c r="O1362" s="15" t="s">
        <v>5067</v>
      </c>
      <c r="P1362" s="15" t="s">
        <v>4872</v>
      </c>
      <c r="Q1362" s="15" t="s">
        <v>211</v>
      </c>
      <c r="R1362" s="16" t="s">
        <v>54</v>
      </c>
      <c r="S1362" s="12" t="s">
        <v>4617</v>
      </c>
      <c r="T1362" s="14" t="s">
        <v>55</v>
      </c>
    </row>
    <row r="1363" spans="1:20" ht="16.5">
      <c r="A1363" s="17" t="s">
        <v>3658</v>
      </c>
      <c r="B1363" s="17" t="s">
        <v>311</v>
      </c>
      <c r="C1363" s="17" t="s">
        <v>204</v>
      </c>
      <c r="D1363" s="18" t="s">
        <v>4873</v>
      </c>
      <c r="E1363" s="17" t="s">
        <v>312</v>
      </c>
      <c r="F1363" s="21" t="s">
        <v>313</v>
      </c>
      <c r="G1363" s="19" t="s">
        <v>4877</v>
      </c>
      <c r="H1363" s="24" t="s">
        <v>5068</v>
      </c>
      <c r="I1363" s="17" t="s">
        <v>65</v>
      </c>
      <c r="J1363" s="21">
        <v>1</v>
      </c>
      <c r="K1363" s="21" t="s">
        <v>4600</v>
      </c>
      <c r="L1363" s="21" t="s">
        <v>5069</v>
      </c>
      <c r="M1363" s="19" t="s">
        <v>4876</v>
      </c>
      <c r="N1363" s="19" t="s">
        <v>316</v>
      </c>
      <c r="O1363" s="19" t="s">
        <v>5070</v>
      </c>
      <c r="P1363" s="19" t="s">
        <v>4877</v>
      </c>
      <c r="Q1363" s="19" t="s">
        <v>211</v>
      </c>
      <c r="R1363" s="16" t="s">
        <v>54</v>
      </c>
      <c r="S1363" s="18" t="s">
        <v>4617</v>
      </c>
      <c r="T1363" s="21" t="s">
        <v>55</v>
      </c>
    </row>
    <row r="1364" spans="1:20" ht="16.5">
      <c r="A1364" s="11" t="s">
        <v>3658</v>
      </c>
      <c r="B1364" s="11" t="s">
        <v>311</v>
      </c>
      <c r="C1364" s="11" t="s">
        <v>204</v>
      </c>
      <c r="D1364" s="12" t="s">
        <v>4878</v>
      </c>
      <c r="E1364" s="11" t="s">
        <v>312</v>
      </c>
      <c r="F1364" s="14" t="s">
        <v>313</v>
      </c>
      <c r="G1364" s="15" t="s">
        <v>5071</v>
      </c>
      <c r="H1364" s="23" t="s">
        <v>5072</v>
      </c>
      <c r="I1364" s="11" t="s">
        <v>65</v>
      </c>
      <c r="J1364" s="14">
        <v>1</v>
      </c>
      <c r="K1364" s="14" t="s">
        <v>4600</v>
      </c>
      <c r="L1364" s="14" t="s">
        <v>5073</v>
      </c>
      <c r="M1364" s="15" t="s">
        <v>4881</v>
      </c>
      <c r="N1364" s="15" t="s">
        <v>316</v>
      </c>
      <c r="O1364" s="15" t="s">
        <v>5074</v>
      </c>
      <c r="P1364" s="15" t="s">
        <v>5071</v>
      </c>
      <c r="Q1364" s="15" t="s">
        <v>211</v>
      </c>
      <c r="R1364" s="16" t="s">
        <v>54</v>
      </c>
      <c r="S1364" s="12" t="s">
        <v>4617</v>
      </c>
      <c r="T1364" s="14" t="s">
        <v>55</v>
      </c>
    </row>
    <row r="1365" spans="1:20" ht="16.5">
      <c r="A1365" s="17" t="s">
        <v>3658</v>
      </c>
      <c r="B1365" s="17" t="s">
        <v>311</v>
      </c>
      <c r="C1365" s="17" t="s">
        <v>204</v>
      </c>
      <c r="D1365" s="18" t="s">
        <v>4878</v>
      </c>
      <c r="E1365" s="17" t="s">
        <v>312</v>
      </c>
      <c r="F1365" s="21" t="s">
        <v>313</v>
      </c>
      <c r="G1365" s="19" t="s">
        <v>5075</v>
      </c>
      <c r="H1365" s="24" t="s">
        <v>5076</v>
      </c>
      <c r="I1365" s="17" t="s">
        <v>65</v>
      </c>
      <c r="J1365" s="21">
        <v>1</v>
      </c>
      <c r="K1365" s="21" t="s">
        <v>4600</v>
      </c>
      <c r="L1365" s="21" t="s">
        <v>5077</v>
      </c>
      <c r="M1365" s="19" t="s">
        <v>4881</v>
      </c>
      <c r="N1365" s="19" t="s">
        <v>316</v>
      </c>
      <c r="O1365" s="19" t="s">
        <v>5078</v>
      </c>
      <c r="P1365" s="19" t="s">
        <v>5075</v>
      </c>
      <c r="Q1365" s="19" t="s">
        <v>211</v>
      </c>
      <c r="R1365" s="16" t="s">
        <v>54</v>
      </c>
      <c r="S1365" s="18" t="s">
        <v>4617</v>
      </c>
      <c r="T1365" s="21" t="s">
        <v>55</v>
      </c>
    </row>
    <row r="1366" spans="1:20" ht="16.5">
      <c r="A1366" s="11" t="s">
        <v>3658</v>
      </c>
      <c r="B1366" s="11" t="s">
        <v>311</v>
      </c>
      <c r="C1366" s="11" t="s">
        <v>204</v>
      </c>
      <c r="D1366" s="12" t="s">
        <v>4878</v>
      </c>
      <c r="E1366" s="11" t="s">
        <v>312</v>
      </c>
      <c r="F1366" s="14" t="s">
        <v>313</v>
      </c>
      <c r="G1366" s="15" t="s">
        <v>5079</v>
      </c>
      <c r="H1366" s="23" t="s">
        <v>5080</v>
      </c>
      <c r="I1366" s="11" t="s">
        <v>65</v>
      </c>
      <c r="J1366" s="14">
        <v>1</v>
      </c>
      <c r="K1366" s="14" t="s">
        <v>4600</v>
      </c>
      <c r="L1366" s="14" t="s">
        <v>5081</v>
      </c>
      <c r="M1366" s="15" t="s">
        <v>4881</v>
      </c>
      <c r="N1366" s="15" t="s">
        <v>316</v>
      </c>
      <c r="O1366" s="15" t="s">
        <v>5082</v>
      </c>
      <c r="P1366" s="15" t="s">
        <v>5079</v>
      </c>
      <c r="Q1366" s="15" t="s">
        <v>211</v>
      </c>
      <c r="R1366" s="16" t="s">
        <v>54</v>
      </c>
      <c r="S1366" s="12" t="s">
        <v>4617</v>
      </c>
      <c r="T1366" s="14" t="s">
        <v>55</v>
      </c>
    </row>
    <row r="1367" spans="1:20" ht="16.5">
      <c r="A1367" s="17" t="s">
        <v>3658</v>
      </c>
      <c r="B1367" s="17" t="s">
        <v>311</v>
      </c>
      <c r="C1367" s="17" t="s">
        <v>204</v>
      </c>
      <c r="D1367" s="18" t="s">
        <v>4883</v>
      </c>
      <c r="E1367" s="17" t="s">
        <v>312</v>
      </c>
      <c r="F1367" s="21" t="s">
        <v>313</v>
      </c>
      <c r="G1367" s="19" t="s">
        <v>4887</v>
      </c>
      <c r="H1367" s="24" t="s">
        <v>5083</v>
      </c>
      <c r="I1367" s="17" t="s">
        <v>65</v>
      </c>
      <c r="J1367" s="21">
        <v>1</v>
      </c>
      <c r="K1367" s="21" t="s">
        <v>4600</v>
      </c>
      <c r="L1367" s="21" t="s">
        <v>5084</v>
      </c>
      <c r="M1367" s="19" t="s">
        <v>4886</v>
      </c>
      <c r="N1367" s="19" t="s">
        <v>316</v>
      </c>
      <c r="O1367" s="19" t="s">
        <v>5085</v>
      </c>
      <c r="P1367" s="19" t="s">
        <v>4887</v>
      </c>
      <c r="Q1367" s="19" t="s">
        <v>211</v>
      </c>
      <c r="R1367" s="16" t="s">
        <v>54</v>
      </c>
      <c r="S1367" s="18" t="s">
        <v>4617</v>
      </c>
      <c r="T1367" s="21" t="s">
        <v>55</v>
      </c>
    </row>
    <row r="1368" spans="1:20" ht="16.5">
      <c r="A1368" s="11" t="s">
        <v>3658</v>
      </c>
      <c r="B1368" s="11" t="s">
        <v>311</v>
      </c>
      <c r="C1368" s="11" t="s">
        <v>204</v>
      </c>
      <c r="D1368" s="12" t="s">
        <v>4888</v>
      </c>
      <c r="E1368" s="11" t="s">
        <v>312</v>
      </c>
      <c r="F1368" s="14" t="s">
        <v>313</v>
      </c>
      <c r="G1368" s="15" t="s">
        <v>5086</v>
      </c>
      <c r="H1368" s="23" t="s">
        <v>5087</v>
      </c>
      <c r="I1368" s="11" t="s">
        <v>65</v>
      </c>
      <c r="J1368" s="14">
        <v>1</v>
      </c>
      <c r="K1368" s="14" t="s">
        <v>4600</v>
      </c>
      <c r="L1368" s="14" t="s">
        <v>5088</v>
      </c>
      <c r="M1368" s="15" t="s">
        <v>4891</v>
      </c>
      <c r="N1368" s="15" t="s">
        <v>316</v>
      </c>
      <c r="O1368" s="15" t="s">
        <v>5089</v>
      </c>
      <c r="P1368" s="15" t="s">
        <v>5086</v>
      </c>
      <c r="Q1368" s="15" t="s">
        <v>211</v>
      </c>
      <c r="R1368" s="16" t="s">
        <v>54</v>
      </c>
      <c r="S1368" s="12" t="s">
        <v>4617</v>
      </c>
      <c r="T1368" s="14" t="s">
        <v>55</v>
      </c>
    </row>
    <row r="1369" spans="1:20" ht="16.5">
      <c r="A1369" s="17" t="s">
        <v>3658</v>
      </c>
      <c r="B1369" s="17" t="s">
        <v>311</v>
      </c>
      <c r="C1369" s="17" t="s">
        <v>204</v>
      </c>
      <c r="D1369" s="18" t="s">
        <v>4888</v>
      </c>
      <c r="E1369" s="17" t="s">
        <v>312</v>
      </c>
      <c r="F1369" s="21" t="s">
        <v>313</v>
      </c>
      <c r="G1369" s="19" t="s">
        <v>5090</v>
      </c>
      <c r="H1369" s="24" t="s">
        <v>5091</v>
      </c>
      <c r="I1369" s="17" t="s">
        <v>65</v>
      </c>
      <c r="J1369" s="21">
        <v>1</v>
      </c>
      <c r="K1369" s="21" t="s">
        <v>4600</v>
      </c>
      <c r="L1369" s="21" t="s">
        <v>5092</v>
      </c>
      <c r="M1369" s="19" t="s">
        <v>4891</v>
      </c>
      <c r="N1369" s="19" t="s">
        <v>316</v>
      </c>
      <c r="O1369" s="19" t="s">
        <v>5093</v>
      </c>
      <c r="P1369" s="19" t="s">
        <v>5090</v>
      </c>
      <c r="Q1369" s="19" t="s">
        <v>211</v>
      </c>
      <c r="R1369" s="16" t="s">
        <v>54</v>
      </c>
      <c r="S1369" s="18" t="s">
        <v>4617</v>
      </c>
      <c r="T1369" s="21" t="s">
        <v>55</v>
      </c>
    </row>
    <row r="1370" spans="1:20" ht="16.5">
      <c r="A1370" s="11" t="s">
        <v>3658</v>
      </c>
      <c r="B1370" s="11" t="s">
        <v>311</v>
      </c>
      <c r="C1370" s="11" t="s">
        <v>204</v>
      </c>
      <c r="D1370" s="12" t="s">
        <v>4893</v>
      </c>
      <c r="E1370" s="11" t="s">
        <v>312</v>
      </c>
      <c r="F1370" s="14" t="s">
        <v>313</v>
      </c>
      <c r="G1370" s="15" t="s">
        <v>5094</v>
      </c>
      <c r="H1370" s="23" t="s">
        <v>5095</v>
      </c>
      <c r="I1370" s="11" t="s">
        <v>65</v>
      </c>
      <c r="J1370" s="14">
        <v>1</v>
      </c>
      <c r="K1370" s="14" t="s">
        <v>4600</v>
      </c>
      <c r="L1370" s="14" t="s">
        <v>5096</v>
      </c>
      <c r="M1370" s="15" t="s">
        <v>4896</v>
      </c>
      <c r="N1370" s="15" t="s">
        <v>316</v>
      </c>
      <c r="O1370" s="15" t="s">
        <v>5097</v>
      </c>
      <c r="P1370" s="15" t="s">
        <v>5094</v>
      </c>
      <c r="Q1370" s="15" t="s">
        <v>211</v>
      </c>
      <c r="R1370" s="16" t="s">
        <v>54</v>
      </c>
      <c r="S1370" s="12" t="s">
        <v>4617</v>
      </c>
      <c r="T1370" s="14" t="s">
        <v>55</v>
      </c>
    </row>
    <row r="1371" spans="1:20" ht="16.5">
      <c r="A1371" s="17" t="s">
        <v>3658</v>
      </c>
      <c r="B1371" s="17" t="s">
        <v>311</v>
      </c>
      <c r="C1371" s="17" t="s">
        <v>204</v>
      </c>
      <c r="D1371" s="18" t="s">
        <v>4893</v>
      </c>
      <c r="E1371" s="17" t="s">
        <v>312</v>
      </c>
      <c r="F1371" s="21" t="s">
        <v>313</v>
      </c>
      <c r="G1371" s="19" t="s">
        <v>5098</v>
      </c>
      <c r="H1371" s="24" t="s">
        <v>5099</v>
      </c>
      <c r="I1371" s="17" t="s">
        <v>65</v>
      </c>
      <c r="J1371" s="21">
        <v>1</v>
      </c>
      <c r="K1371" s="21" t="s">
        <v>4600</v>
      </c>
      <c r="L1371" s="21" t="s">
        <v>5100</v>
      </c>
      <c r="M1371" s="19" t="s">
        <v>4896</v>
      </c>
      <c r="N1371" s="19" t="s">
        <v>316</v>
      </c>
      <c r="O1371" s="19" t="s">
        <v>5101</v>
      </c>
      <c r="P1371" s="19" t="s">
        <v>5098</v>
      </c>
      <c r="Q1371" s="19" t="s">
        <v>211</v>
      </c>
      <c r="R1371" s="16" t="s">
        <v>54</v>
      </c>
      <c r="S1371" s="18" t="s">
        <v>4617</v>
      </c>
      <c r="T1371" s="21" t="s">
        <v>55</v>
      </c>
    </row>
    <row r="1372" spans="1:20" ht="16.5">
      <c r="A1372" s="11" t="s">
        <v>3658</v>
      </c>
      <c r="B1372" s="11" t="s">
        <v>311</v>
      </c>
      <c r="C1372" s="11" t="s">
        <v>204</v>
      </c>
      <c r="D1372" s="12" t="s">
        <v>4893</v>
      </c>
      <c r="E1372" s="11" t="s">
        <v>312</v>
      </c>
      <c r="F1372" s="14" t="s">
        <v>313</v>
      </c>
      <c r="G1372" s="15" t="s">
        <v>5102</v>
      </c>
      <c r="H1372" s="23" t="s">
        <v>5103</v>
      </c>
      <c r="I1372" s="11" t="s">
        <v>65</v>
      </c>
      <c r="J1372" s="14">
        <v>1</v>
      </c>
      <c r="K1372" s="14" t="s">
        <v>4600</v>
      </c>
      <c r="L1372" s="14" t="s">
        <v>5104</v>
      </c>
      <c r="M1372" s="15" t="s">
        <v>4896</v>
      </c>
      <c r="N1372" s="15" t="s">
        <v>316</v>
      </c>
      <c r="O1372" s="15" t="s">
        <v>5105</v>
      </c>
      <c r="P1372" s="15" t="s">
        <v>5102</v>
      </c>
      <c r="Q1372" s="15" t="s">
        <v>211</v>
      </c>
      <c r="R1372" s="16" t="s">
        <v>54</v>
      </c>
      <c r="S1372" s="12" t="s">
        <v>4617</v>
      </c>
      <c r="T1372" s="14" t="s">
        <v>55</v>
      </c>
    </row>
    <row r="1373" spans="1:20" ht="16.5">
      <c r="A1373" s="17" t="s">
        <v>3658</v>
      </c>
      <c r="B1373" s="17" t="s">
        <v>311</v>
      </c>
      <c r="C1373" s="17" t="s">
        <v>204</v>
      </c>
      <c r="D1373" s="18" t="s">
        <v>4893</v>
      </c>
      <c r="E1373" s="17" t="s">
        <v>312</v>
      </c>
      <c r="F1373" s="21" t="s">
        <v>313</v>
      </c>
      <c r="G1373" s="19" t="s">
        <v>5106</v>
      </c>
      <c r="H1373" s="24" t="s">
        <v>5107</v>
      </c>
      <c r="I1373" s="17" t="s">
        <v>65</v>
      </c>
      <c r="J1373" s="21">
        <v>1</v>
      </c>
      <c r="K1373" s="21" t="s">
        <v>4600</v>
      </c>
      <c r="L1373" s="21" t="s">
        <v>5108</v>
      </c>
      <c r="M1373" s="19" t="s">
        <v>4896</v>
      </c>
      <c r="N1373" s="19" t="s">
        <v>316</v>
      </c>
      <c r="O1373" s="19" t="s">
        <v>5109</v>
      </c>
      <c r="P1373" s="19" t="s">
        <v>5106</v>
      </c>
      <c r="Q1373" s="19" t="s">
        <v>211</v>
      </c>
      <c r="R1373" s="16" t="s">
        <v>54</v>
      </c>
      <c r="S1373" s="18" t="s">
        <v>4617</v>
      </c>
      <c r="T1373" s="21" t="s">
        <v>55</v>
      </c>
    </row>
    <row r="1374" spans="1:20" ht="16.5">
      <c r="A1374" s="11" t="s">
        <v>3658</v>
      </c>
      <c r="B1374" s="11" t="s">
        <v>311</v>
      </c>
      <c r="C1374" s="11" t="s">
        <v>204</v>
      </c>
      <c r="D1374" s="12" t="s">
        <v>4898</v>
      </c>
      <c r="E1374" s="11" t="s">
        <v>312</v>
      </c>
      <c r="F1374" s="14" t="s">
        <v>313</v>
      </c>
      <c r="G1374" s="15" t="s">
        <v>5110</v>
      </c>
      <c r="H1374" s="23" t="s">
        <v>5111</v>
      </c>
      <c r="I1374" s="11" t="s">
        <v>65</v>
      </c>
      <c r="J1374" s="14">
        <v>1</v>
      </c>
      <c r="K1374" s="14" t="s">
        <v>4600</v>
      </c>
      <c r="L1374" s="14" t="s">
        <v>5112</v>
      </c>
      <c r="M1374" s="15" t="s">
        <v>4901</v>
      </c>
      <c r="N1374" s="15" t="s">
        <v>316</v>
      </c>
      <c r="O1374" s="15" t="s">
        <v>5113</v>
      </c>
      <c r="P1374" s="15" t="s">
        <v>5110</v>
      </c>
      <c r="Q1374" s="15" t="s">
        <v>211</v>
      </c>
      <c r="R1374" s="16" t="s">
        <v>54</v>
      </c>
      <c r="S1374" s="12" t="s">
        <v>4617</v>
      </c>
      <c r="T1374" s="14" t="s">
        <v>55</v>
      </c>
    </row>
    <row r="1375" spans="1:20" ht="16.5">
      <c r="A1375" s="17" t="s">
        <v>3658</v>
      </c>
      <c r="B1375" s="17" t="s">
        <v>311</v>
      </c>
      <c r="C1375" s="17" t="s">
        <v>204</v>
      </c>
      <c r="D1375" s="18" t="s">
        <v>4898</v>
      </c>
      <c r="E1375" s="17" t="s">
        <v>312</v>
      </c>
      <c r="F1375" s="21" t="s">
        <v>313</v>
      </c>
      <c r="G1375" s="19" t="s">
        <v>5114</v>
      </c>
      <c r="H1375" s="24" t="s">
        <v>5115</v>
      </c>
      <c r="I1375" s="17" t="s">
        <v>65</v>
      </c>
      <c r="J1375" s="21">
        <v>1</v>
      </c>
      <c r="K1375" s="21" t="s">
        <v>4600</v>
      </c>
      <c r="L1375" s="21" t="s">
        <v>5116</v>
      </c>
      <c r="M1375" s="19" t="s">
        <v>4901</v>
      </c>
      <c r="N1375" s="19" t="s">
        <v>316</v>
      </c>
      <c r="O1375" s="19" t="s">
        <v>5117</v>
      </c>
      <c r="P1375" s="19" t="s">
        <v>5114</v>
      </c>
      <c r="Q1375" s="19" t="s">
        <v>211</v>
      </c>
      <c r="R1375" s="16" t="s">
        <v>54</v>
      </c>
      <c r="S1375" s="18" t="s">
        <v>4617</v>
      </c>
      <c r="T1375" s="21" t="s">
        <v>55</v>
      </c>
    </row>
    <row r="1376" spans="1:20" ht="16.5">
      <c r="A1376" s="11" t="s">
        <v>3658</v>
      </c>
      <c r="B1376" s="11" t="s">
        <v>311</v>
      </c>
      <c r="C1376" s="11" t="s">
        <v>204</v>
      </c>
      <c r="D1376" s="12" t="s">
        <v>4898</v>
      </c>
      <c r="E1376" s="11" t="s">
        <v>312</v>
      </c>
      <c r="F1376" s="14" t="s">
        <v>313</v>
      </c>
      <c r="G1376" s="15" t="s">
        <v>5118</v>
      </c>
      <c r="H1376" s="23" t="s">
        <v>5119</v>
      </c>
      <c r="I1376" s="11" t="s">
        <v>65</v>
      </c>
      <c r="J1376" s="14">
        <v>1</v>
      </c>
      <c r="K1376" s="14" t="s">
        <v>4600</v>
      </c>
      <c r="L1376" s="14" t="s">
        <v>5120</v>
      </c>
      <c r="M1376" s="15" t="s">
        <v>4901</v>
      </c>
      <c r="N1376" s="15" t="s">
        <v>316</v>
      </c>
      <c r="O1376" s="15" t="s">
        <v>5121</v>
      </c>
      <c r="P1376" s="15" t="s">
        <v>5118</v>
      </c>
      <c r="Q1376" s="15" t="s">
        <v>211</v>
      </c>
      <c r="R1376" s="16" t="s">
        <v>54</v>
      </c>
      <c r="S1376" s="12" t="s">
        <v>4617</v>
      </c>
      <c r="T1376" s="14" t="s">
        <v>55</v>
      </c>
    </row>
    <row r="1377" spans="1:20" ht="16.5">
      <c r="A1377" s="17" t="s">
        <v>3658</v>
      </c>
      <c r="B1377" s="17" t="s">
        <v>311</v>
      </c>
      <c r="C1377" s="17" t="s">
        <v>204</v>
      </c>
      <c r="D1377" s="18" t="s">
        <v>4898</v>
      </c>
      <c r="E1377" s="17" t="s">
        <v>312</v>
      </c>
      <c r="F1377" s="21" t="s">
        <v>313</v>
      </c>
      <c r="G1377" s="19" t="s">
        <v>5122</v>
      </c>
      <c r="H1377" s="24" t="s">
        <v>5123</v>
      </c>
      <c r="I1377" s="17" t="s">
        <v>65</v>
      </c>
      <c r="J1377" s="21">
        <v>1</v>
      </c>
      <c r="K1377" s="21" t="s">
        <v>4600</v>
      </c>
      <c r="L1377" s="21" t="s">
        <v>5124</v>
      </c>
      <c r="M1377" s="19" t="s">
        <v>4901</v>
      </c>
      <c r="N1377" s="19" t="s">
        <v>316</v>
      </c>
      <c r="O1377" s="19" t="s">
        <v>5125</v>
      </c>
      <c r="P1377" s="19" t="s">
        <v>5122</v>
      </c>
      <c r="Q1377" s="19" t="s">
        <v>211</v>
      </c>
      <c r="R1377" s="16" t="s">
        <v>54</v>
      </c>
      <c r="S1377" s="18" t="s">
        <v>4617</v>
      </c>
      <c r="T1377" s="21" t="s">
        <v>55</v>
      </c>
    </row>
    <row r="1378" spans="1:20" ht="16.5">
      <c r="A1378" s="11" t="s">
        <v>3658</v>
      </c>
      <c r="B1378" s="11" t="s">
        <v>311</v>
      </c>
      <c r="C1378" s="11" t="s">
        <v>204</v>
      </c>
      <c r="D1378" s="12" t="s">
        <v>4898</v>
      </c>
      <c r="E1378" s="11" t="s">
        <v>312</v>
      </c>
      <c r="F1378" s="14" t="s">
        <v>313</v>
      </c>
      <c r="G1378" s="15" t="s">
        <v>5126</v>
      </c>
      <c r="H1378" s="23" t="s">
        <v>5127</v>
      </c>
      <c r="I1378" s="11" t="s">
        <v>65</v>
      </c>
      <c r="J1378" s="14">
        <v>1</v>
      </c>
      <c r="K1378" s="14" t="s">
        <v>4600</v>
      </c>
      <c r="L1378" s="14" t="s">
        <v>5128</v>
      </c>
      <c r="M1378" s="15" t="s">
        <v>4901</v>
      </c>
      <c r="N1378" s="15" t="s">
        <v>316</v>
      </c>
      <c r="O1378" s="15" t="s">
        <v>5129</v>
      </c>
      <c r="P1378" s="15" t="s">
        <v>5126</v>
      </c>
      <c r="Q1378" s="15" t="s">
        <v>211</v>
      </c>
      <c r="R1378" s="16" t="s">
        <v>54</v>
      </c>
      <c r="S1378" s="12" t="s">
        <v>4617</v>
      </c>
      <c r="T1378" s="14" t="s">
        <v>55</v>
      </c>
    </row>
    <row r="1379" spans="1:20" ht="16.5">
      <c r="A1379" s="17" t="s">
        <v>3658</v>
      </c>
      <c r="B1379" s="17" t="s">
        <v>311</v>
      </c>
      <c r="C1379" s="17" t="s">
        <v>204</v>
      </c>
      <c r="D1379" s="18" t="s">
        <v>4903</v>
      </c>
      <c r="E1379" s="17" t="s">
        <v>312</v>
      </c>
      <c r="F1379" s="21" t="s">
        <v>313</v>
      </c>
      <c r="G1379" s="19" t="s">
        <v>5130</v>
      </c>
      <c r="H1379" s="24" t="s">
        <v>5131</v>
      </c>
      <c r="I1379" s="17" t="s">
        <v>65</v>
      </c>
      <c r="J1379" s="21">
        <v>1</v>
      </c>
      <c r="K1379" s="21" t="s">
        <v>4600</v>
      </c>
      <c r="L1379" s="21" t="s">
        <v>5132</v>
      </c>
      <c r="M1379" s="19" t="s">
        <v>4906</v>
      </c>
      <c r="N1379" s="19" t="s">
        <v>316</v>
      </c>
      <c r="O1379" s="19" t="s">
        <v>5133</v>
      </c>
      <c r="P1379" s="19" t="s">
        <v>5130</v>
      </c>
      <c r="Q1379" s="19" t="s">
        <v>211</v>
      </c>
      <c r="R1379" s="16" t="s">
        <v>54</v>
      </c>
      <c r="S1379" s="18" t="s">
        <v>4617</v>
      </c>
      <c r="T1379" s="21" t="s">
        <v>55</v>
      </c>
    </row>
    <row r="1380" spans="1:20" ht="16.5">
      <c r="A1380" s="11" t="s">
        <v>3658</v>
      </c>
      <c r="B1380" s="11" t="s">
        <v>311</v>
      </c>
      <c r="C1380" s="11" t="s">
        <v>204</v>
      </c>
      <c r="D1380" s="12" t="s">
        <v>4903</v>
      </c>
      <c r="E1380" s="11" t="s">
        <v>312</v>
      </c>
      <c r="F1380" s="14" t="s">
        <v>313</v>
      </c>
      <c r="G1380" s="15" t="s">
        <v>5134</v>
      </c>
      <c r="H1380" s="23" t="s">
        <v>5135</v>
      </c>
      <c r="I1380" s="11" t="s">
        <v>65</v>
      </c>
      <c r="J1380" s="14">
        <v>1</v>
      </c>
      <c r="K1380" s="14" t="s">
        <v>4600</v>
      </c>
      <c r="L1380" s="14" t="s">
        <v>5136</v>
      </c>
      <c r="M1380" s="15" t="s">
        <v>4906</v>
      </c>
      <c r="N1380" s="15" t="s">
        <v>316</v>
      </c>
      <c r="O1380" s="15" t="s">
        <v>5137</v>
      </c>
      <c r="P1380" s="15" t="s">
        <v>5134</v>
      </c>
      <c r="Q1380" s="15" t="s">
        <v>211</v>
      </c>
      <c r="R1380" s="16" t="s">
        <v>54</v>
      </c>
      <c r="S1380" s="12" t="s">
        <v>4617</v>
      </c>
      <c r="T1380" s="14" t="s">
        <v>55</v>
      </c>
    </row>
    <row r="1381" spans="1:20" ht="16.5">
      <c r="A1381" s="17" t="s">
        <v>3658</v>
      </c>
      <c r="B1381" s="17" t="s">
        <v>311</v>
      </c>
      <c r="C1381" s="17" t="s">
        <v>204</v>
      </c>
      <c r="D1381" s="18" t="s">
        <v>4908</v>
      </c>
      <c r="E1381" s="17" t="s">
        <v>312</v>
      </c>
      <c r="F1381" s="21" t="s">
        <v>313</v>
      </c>
      <c r="G1381" s="19" t="s">
        <v>5138</v>
      </c>
      <c r="H1381" s="24" t="s">
        <v>5139</v>
      </c>
      <c r="I1381" s="17" t="s">
        <v>65</v>
      </c>
      <c r="J1381" s="21">
        <v>1</v>
      </c>
      <c r="K1381" s="21" t="s">
        <v>4600</v>
      </c>
      <c r="L1381" s="21" t="s">
        <v>5140</v>
      </c>
      <c r="M1381" s="19" t="s">
        <v>4911</v>
      </c>
      <c r="N1381" s="19" t="s">
        <v>316</v>
      </c>
      <c r="O1381" s="19" t="s">
        <v>5141</v>
      </c>
      <c r="P1381" s="19" t="s">
        <v>5138</v>
      </c>
      <c r="Q1381" s="19" t="s">
        <v>211</v>
      </c>
      <c r="R1381" s="16" t="s">
        <v>54</v>
      </c>
      <c r="S1381" s="18" t="s">
        <v>4617</v>
      </c>
      <c r="T1381" s="21" t="s">
        <v>55</v>
      </c>
    </row>
    <row r="1382" spans="1:20" ht="16.5">
      <c r="A1382" s="11" t="s">
        <v>3658</v>
      </c>
      <c r="B1382" s="11" t="s">
        <v>311</v>
      </c>
      <c r="C1382" s="11" t="s">
        <v>204</v>
      </c>
      <c r="D1382" s="12" t="s">
        <v>4908</v>
      </c>
      <c r="E1382" s="11" t="s">
        <v>312</v>
      </c>
      <c r="F1382" s="14" t="s">
        <v>313</v>
      </c>
      <c r="G1382" s="15" t="s">
        <v>5142</v>
      </c>
      <c r="H1382" s="23" t="s">
        <v>5143</v>
      </c>
      <c r="I1382" s="11" t="s">
        <v>65</v>
      </c>
      <c r="J1382" s="14">
        <v>1</v>
      </c>
      <c r="K1382" s="14" t="s">
        <v>4600</v>
      </c>
      <c r="L1382" s="14" t="s">
        <v>5144</v>
      </c>
      <c r="M1382" s="15" t="s">
        <v>4911</v>
      </c>
      <c r="N1382" s="15" t="s">
        <v>316</v>
      </c>
      <c r="O1382" s="15" t="s">
        <v>5145</v>
      </c>
      <c r="P1382" s="15" t="s">
        <v>5142</v>
      </c>
      <c r="Q1382" s="15" t="s">
        <v>211</v>
      </c>
      <c r="R1382" s="16" t="s">
        <v>54</v>
      </c>
      <c r="S1382" s="12" t="s">
        <v>4617</v>
      </c>
      <c r="T1382" s="14" t="s">
        <v>55</v>
      </c>
    </row>
    <row r="1383" spans="1:20" ht="16.5">
      <c r="A1383" s="17" t="s">
        <v>3658</v>
      </c>
      <c r="B1383" s="17" t="s">
        <v>311</v>
      </c>
      <c r="C1383" s="17" t="s">
        <v>204</v>
      </c>
      <c r="D1383" s="18" t="s">
        <v>4913</v>
      </c>
      <c r="E1383" s="17" t="s">
        <v>312</v>
      </c>
      <c r="F1383" s="21" t="s">
        <v>313</v>
      </c>
      <c r="G1383" s="19" t="s">
        <v>4917</v>
      </c>
      <c r="H1383" s="24" t="s">
        <v>5146</v>
      </c>
      <c r="I1383" s="17" t="s">
        <v>65</v>
      </c>
      <c r="J1383" s="21">
        <v>1</v>
      </c>
      <c r="K1383" s="21" t="s">
        <v>4600</v>
      </c>
      <c r="L1383" s="21" t="s">
        <v>5147</v>
      </c>
      <c r="M1383" s="19" t="s">
        <v>4916</v>
      </c>
      <c r="N1383" s="19" t="s">
        <v>316</v>
      </c>
      <c r="O1383" s="19" t="s">
        <v>5148</v>
      </c>
      <c r="P1383" s="19" t="s">
        <v>4917</v>
      </c>
      <c r="Q1383" s="19" t="s">
        <v>211</v>
      </c>
      <c r="R1383" s="16" t="s">
        <v>54</v>
      </c>
      <c r="S1383" s="18" t="s">
        <v>4617</v>
      </c>
      <c r="T1383" s="21" t="s">
        <v>55</v>
      </c>
    </row>
    <row r="1384" spans="1:20" ht="16.5">
      <c r="A1384" s="11" t="s">
        <v>3658</v>
      </c>
      <c r="B1384" s="11" t="s">
        <v>311</v>
      </c>
      <c r="C1384" s="11" t="s">
        <v>204</v>
      </c>
      <c r="D1384" s="12" t="s">
        <v>4918</v>
      </c>
      <c r="E1384" s="11" t="s">
        <v>312</v>
      </c>
      <c r="F1384" s="14" t="s">
        <v>313</v>
      </c>
      <c r="G1384" s="15" t="s">
        <v>4922</v>
      </c>
      <c r="H1384" s="23" t="s">
        <v>5149</v>
      </c>
      <c r="I1384" s="11" t="s">
        <v>65</v>
      </c>
      <c r="J1384" s="14">
        <v>1</v>
      </c>
      <c r="K1384" s="14" t="s">
        <v>4600</v>
      </c>
      <c r="L1384" s="14" t="s">
        <v>5150</v>
      </c>
      <c r="M1384" s="15" t="s">
        <v>4921</v>
      </c>
      <c r="N1384" s="15" t="s">
        <v>316</v>
      </c>
      <c r="O1384" s="15" t="s">
        <v>5151</v>
      </c>
      <c r="P1384" s="15" t="s">
        <v>4922</v>
      </c>
      <c r="Q1384" s="15" t="s">
        <v>211</v>
      </c>
      <c r="R1384" s="16" t="s">
        <v>54</v>
      </c>
      <c r="S1384" s="12" t="s">
        <v>4617</v>
      </c>
      <c r="T1384" s="14" t="s">
        <v>55</v>
      </c>
    </row>
    <row r="1385" spans="1:20" ht="16.5">
      <c r="A1385" s="17" t="s">
        <v>3658</v>
      </c>
      <c r="B1385" s="17" t="s">
        <v>311</v>
      </c>
      <c r="C1385" s="17" t="s">
        <v>204</v>
      </c>
      <c r="D1385" s="18" t="s">
        <v>4923</v>
      </c>
      <c r="E1385" s="17" t="s">
        <v>312</v>
      </c>
      <c r="F1385" s="21" t="s">
        <v>313</v>
      </c>
      <c r="G1385" s="19" t="s">
        <v>4927</v>
      </c>
      <c r="H1385" s="24" t="s">
        <v>5152</v>
      </c>
      <c r="I1385" s="17" t="s">
        <v>65</v>
      </c>
      <c r="J1385" s="21">
        <v>1</v>
      </c>
      <c r="K1385" s="21" t="s">
        <v>4600</v>
      </c>
      <c r="L1385" s="21" t="s">
        <v>5153</v>
      </c>
      <c r="M1385" s="19" t="s">
        <v>4926</v>
      </c>
      <c r="N1385" s="19" t="s">
        <v>316</v>
      </c>
      <c r="O1385" s="19" t="s">
        <v>5154</v>
      </c>
      <c r="P1385" s="19" t="s">
        <v>4927</v>
      </c>
      <c r="Q1385" s="19" t="s">
        <v>211</v>
      </c>
      <c r="R1385" s="16" t="s">
        <v>54</v>
      </c>
      <c r="S1385" s="18" t="s">
        <v>4617</v>
      </c>
      <c r="T1385" s="21" t="s">
        <v>55</v>
      </c>
    </row>
    <row r="1386" spans="1:20" ht="16.5">
      <c r="A1386" s="11" t="s">
        <v>3658</v>
      </c>
      <c r="B1386" s="11" t="s">
        <v>311</v>
      </c>
      <c r="C1386" s="11" t="s">
        <v>204</v>
      </c>
      <c r="D1386" s="12" t="s">
        <v>4928</v>
      </c>
      <c r="E1386" s="11" t="s">
        <v>312</v>
      </c>
      <c r="F1386" s="14" t="s">
        <v>313</v>
      </c>
      <c r="G1386" s="15" t="s">
        <v>5155</v>
      </c>
      <c r="H1386" s="23" t="s">
        <v>5156</v>
      </c>
      <c r="I1386" s="11" t="s">
        <v>65</v>
      </c>
      <c r="J1386" s="14">
        <v>1</v>
      </c>
      <c r="K1386" s="14" t="s">
        <v>4600</v>
      </c>
      <c r="L1386" s="14" t="s">
        <v>5157</v>
      </c>
      <c r="M1386" s="15" t="s">
        <v>4931</v>
      </c>
      <c r="N1386" s="15" t="s">
        <v>316</v>
      </c>
      <c r="O1386" s="15" t="s">
        <v>5158</v>
      </c>
      <c r="P1386" s="15" t="s">
        <v>5155</v>
      </c>
      <c r="Q1386" s="15" t="s">
        <v>211</v>
      </c>
      <c r="R1386" s="16" t="s">
        <v>54</v>
      </c>
      <c r="S1386" s="12" t="s">
        <v>4617</v>
      </c>
      <c r="T1386" s="14" t="s">
        <v>55</v>
      </c>
    </row>
    <row r="1387" spans="1:20" ht="16.5">
      <c r="A1387" s="17" t="s">
        <v>3658</v>
      </c>
      <c r="B1387" s="17" t="s">
        <v>311</v>
      </c>
      <c r="C1387" s="17" t="s">
        <v>204</v>
      </c>
      <c r="D1387" s="18" t="s">
        <v>4928</v>
      </c>
      <c r="E1387" s="17" t="s">
        <v>312</v>
      </c>
      <c r="F1387" s="21" t="s">
        <v>313</v>
      </c>
      <c r="G1387" s="19" t="s">
        <v>5159</v>
      </c>
      <c r="H1387" s="24" t="s">
        <v>5160</v>
      </c>
      <c r="I1387" s="17" t="s">
        <v>65</v>
      </c>
      <c r="J1387" s="21">
        <v>1</v>
      </c>
      <c r="K1387" s="21" t="s">
        <v>4600</v>
      </c>
      <c r="L1387" s="21" t="s">
        <v>5161</v>
      </c>
      <c r="M1387" s="19" t="s">
        <v>4931</v>
      </c>
      <c r="N1387" s="19" t="s">
        <v>316</v>
      </c>
      <c r="O1387" s="19" t="s">
        <v>5162</v>
      </c>
      <c r="P1387" s="19" t="s">
        <v>5159</v>
      </c>
      <c r="Q1387" s="19" t="s">
        <v>211</v>
      </c>
      <c r="R1387" s="16" t="s">
        <v>54</v>
      </c>
      <c r="S1387" s="18" t="s">
        <v>4617</v>
      </c>
      <c r="T1387" s="21" t="s">
        <v>55</v>
      </c>
    </row>
    <row r="1388" spans="1:20" ht="16.5">
      <c r="A1388" s="11" t="s">
        <v>3658</v>
      </c>
      <c r="B1388" s="11" t="s">
        <v>311</v>
      </c>
      <c r="C1388" s="11" t="s">
        <v>204</v>
      </c>
      <c r="D1388" s="12" t="s">
        <v>4933</v>
      </c>
      <c r="E1388" s="11" t="s">
        <v>312</v>
      </c>
      <c r="F1388" s="14" t="s">
        <v>313</v>
      </c>
      <c r="G1388" s="15" t="s">
        <v>4937</v>
      </c>
      <c r="H1388" s="23" t="s">
        <v>5163</v>
      </c>
      <c r="I1388" s="11" t="s">
        <v>65</v>
      </c>
      <c r="J1388" s="14">
        <v>1</v>
      </c>
      <c r="K1388" s="14" t="s">
        <v>4600</v>
      </c>
      <c r="L1388" s="14" t="s">
        <v>5164</v>
      </c>
      <c r="M1388" s="15" t="s">
        <v>4936</v>
      </c>
      <c r="N1388" s="15" t="s">
        <v>316</v>
      </c>
      <c r="O1388" s="15" t="s">
        <v>5165</v>
      </c>
      <c r="P1388" s="15" t="s">
        <v>4937</v>
      </c>
      <c r="Q1388" s="15" t="s">
        <v>211</v>
      </c>
      <c r="R1388" s="16" t="s">
        <v>54</v>
      </c>
      <c r="S1388" s="12" t="s">
        <v>4617</v>
      </c>
      <c r="T1388" s="14" t="s">
        <v>55</v>
      </c>
    </row>
    <row r="1389" spans="1:20" ht="16.5">
      <c r="A1389" s="17" t="s">
        <v>3658</v>
      </c>
      <c r="B1389" s="17" t="s">
        <v>487</v>
      </c>
      <c r="C1389" s="17" t="s">
        <v>488</v>
      </c>
      <c r="D1389" s="18" t="s">
        <v>5166</v>
      </c>
      <c r="E1389" s="17" t="s">
        <v>490</v>
      </c>
      <c r="F1389" s="17" t="s">
        <v>491</v>
      </c>
      <c r="G1389" s="18" t="s">
        <v>5167</v>
      </c>
      <c r="H1389" s="20" t="s">
        <v>5168</v>
      </c>
      <c r="I1389" s="17" t="s">
        <v>494</v>
      </c>
      <c r="J1389" s="21">
        <v>1</v>
      </c>
      <c r="K1389" s="21" t="s">
        <v>4600</v>
      </c>
      <c r="L1389" s="21" t="s">
        <v>5169</v>
      </c>
      <c r="M1389" s="19" t="s">
        <v>5170</v>
      </c>
      <c r="N1389" s="19" t="s">
        <v>497</v>
      </c>
      <c r="O1389" s="19" t="s">
        <v>5171</v>
      </c>
      <c r="P1389" s="19" t="s">
        <v>5172</v>
      </c>
      <c r="Q1389" s="19" t="s">
        <v>500</v>
      </c>
      <c r="R1389" s="16" t="s">
        <v>54</v>
      </c>
      <c r="S1389" s="18" t="s">
        <v>4617</v>
      </c>
      <c r="T1389" s="26" t="s">
        <v>673</v>
      </c>
    </row>
    <row r="1390" spans="1:20" ht="33">
      <c r="A1390" s="11" t="s">
        <v>3658</v>
      </c>
      <c r="B1390" s="11" t="s">
        <v>487</v>
      </c>
      <c r="C1390" s="11" t="s">
        <v>204</v>
      </c>
      <c r="D1390" s="12" t="s">
        <v>4154</v>
      </c>
      <c r="E1390" s="11" t="s">
        <v>501</v>
      </c>
      <c r="F1390" s="11" t="s">
        <v>488</v>
      </c>
      <c r="G1390" s="12" t="s">
        <v>5166</v>
      </c>
      <c r="H1390" s="13" t="s">
        <v>5173</v>
      </c>
      <c r="I1390" s="11" t="s">
        <v>494</v>
      </c>
      <c r="J1390" s="14">
        <v>1</v>
      </c>
      <c r="K1390" s="14" t="s">
        <v>4600</v>
      </c>
      <c r="L1390" s="14" t="s">
        <v>5174</v>
      </c>
      <c r="M1390" s="15" t="s">
        <v>4157</v>
      </c>
      <c r="N1390" s="15" t="s">
        <v>504</v>
      </c>
      <c r="O1390" s="15" t="s">
        <v>5170</v>
      </c>
      <c r="P1390" s="15"/>
      <c r="Q1390" s="15" t="s">
        <v>211</v>
      </c>
      <c r="R1390" s="16" t="s">
        <v>54</v>
      </c>
      <c r="S1390" s="12" t="s">
        <v>4617</v>
      </c>
      <c r="T1390" s="26" t="s">
        <v>673</v>
      </c>
    </row>
    <row r="1391" spans="1:20" ht="29.25">
      <c r="A1391" s="17" t="s">
        <v>3658</v>
      </c>
      <c r="B1391" s="17" t="s">
        <v>487</v>
      </c>
      <c r="C1391" s="17" t="s">
        <v>491</v>
      </c>
      <c r="D1391" s="18" t="s">
        <v>5167</v>
      </c>
      <c r="E1391" s="17" t="s">
        <v>505</v>
      </c>
      <c r="F1391" s="17" t="s">
        <v>204</v>
      </c>
      <c r="G1391" s="18" t="s">
        <v>4154</v>
      </c>
      <c r="H1391" s="20" t="s">
        <v>5175</v>
      </c>
      <c r="I1391" s="17" t="s">
        <v>507</v>
      </c>
      <c r="J1391" s="21">
        <v>1</v>
      </c>
      <c r="K1391" s="21" t="s">
        <v>4600</v>
      </c>
      <c r="L1391" s="21" t="s">
        <v>5176</v>
      </c>
      <c r="M1391" s="19" t="s">
        <v>5171</v>
      </c>
      <c r="N1391" s="19" t="s">
        <v>509</v>
      </c>
      <c r="O1391" s="19" t="s">
        <v>4157</v>
      </c>
      <c r="P1391" s="19" t="s">
        <v>5172</v>
      </c>
      <c r="Q1391" s="18" t="s">
        <v>286</v>
      </c>
      <c r="R1391" s="22" t="s">
        <v>88</v>
      </c>
      <c r="S1391" s="18" t="s">
        <v>4617</v>
      </c>
      <c r="T1391" s="21" t="s">
        <v>55</v>
      </c>
    </row>
    <row r="1392" spans="1:20" ht="16.5">
      <c r="A1392" s="11" t="s">
        <v>3658</v>
      </c>
      <c r="B1392" s="11" t="s">
        <v>487</v>
      </c>
      <c r="C1392" s="11" t="s">
        <v>488</v>
      </c>
      <c r="D1392" s="12" t="s">
        <v>5177</v>
      </c>
      <c r="E1392" s="11" t="s">
        <v>490</v>
      </c>
      <c r="F1392" s="11" t="s">
        <v>491</v>
      </c>
      <c r="G1392" s="12" t="s">
        <v>5178</v>
      </c>
      <c r="H1392" s="23" t="s">
        <v>584</v>
      </c>
      <c r="I1392" s="11" t="s">
        <v>494</v>
      </c>
      <c r="J1392" s="14">
        <v>1</v>
      </c>
      <c r="K1392" s="14" t="s">
        <v>4600</v>
      </c>
      <c r="L1392" s="14" t="s">
        <v>5179</v>
      </c>
      <c r="M1392" s="15" t="s">
        <v>5180</v>
      </c>
      <c r="N1392" s="15" t="s">
        <v>497</v>
      </c>
      <c r="O1392" s="15" t="s">
        <v>5181</v>
      </c>
      <c r="P1392" s="15" t="s">
        <v>5182</v>
      </c>
      <c r="Q1392" s="15" t="s">
        <v>500</v>
      </c>
      <c r="R1392" s="16" t="s">
        <v>54</v>
      </c>
      <c r="S1392" s="12" t="s">
        <v>4617</v>
      </c>
      <c r="T1392" s="14" t="s">
        <v>55</v>
      </c>
    </row>
    <row r="1393" spans="1:20" ht="33">
      <c r="A1393" s="17" t="s">
        <v>3658</v>
      </c>
      <c r="B1393" s="17" t="s">
        <v>487</v>
      </c>
      <c r="C1393" s="17" t="s">
        <v>204</v>
      </c>
      <c r="D1393" s="18" t="s">
        <v>4816</v>
      </c>
      <c r="E1393" s="17" t="s">
        <v>501</v>
      </c>
      <c r="F1393" s="17" t="s">
        <v>488</v>
      </c>
      <c r="G1393" s="18" t="s">
        <v>5177</v>
      </c>
      <c r="H1393" s="20" t="s">
        <v>5183</v>
      </c>
      <c r="I1393" s="17" t="s">
        <v>494</v>
      </c>
      <c r="J1393" s="21">
        <v>1</v>
      </c>
      <c r="K1393" s="21" t="s">
        <v>4600</v>
      </c>
      <c r="L1393" s="21" t="s">
        <v>5184</v>
      </c>
      <c r="M1393" s="19" t="s">
        <v>4819</v>
      </c>
      <c r="N1393" s="19" t="s">
        <v>504</v>
      </c>
      <c r="O1393" s="19" t="s">
        <v>5180</v>
      </c>
      <c r="P1393" s="19"/>
      <c r="Q1393" s="19" t="s">
        <v>211</v>
      </c>
      <c r="R1393" s="16" t="s">
        <v>54</v>
      </c>
      <c r="S1393" s="18" t="s">
        <v>4617</v>
      </c>
      <c r="T1393" s="21" t="s">
        <v>55</v>
      </c>
    </row>
    <row r="1394" spans="1:20" ht="29.25">
      <c r="A1394" s="11" t="s">
        <v>3658</v>
      </c>
      <c r="B1394" s="11" t="s">
        <v>487</v>
      </c>
      <c r="C1394" s="11" t="s">
        <v>491</v>
      </c>
      <c r="D1394" s="12" t="s">
        <v>5178</v>
      </c>
      <c r="E1394" s="11" t="s">
        <v>505</v>
      </c>
      <c r="F1394" s="11" t="s">
        <v>204</v>
      </c>
      <c r="G1394" s="12" t="s">
        <v>4816</v>
      </c>
      <c r="H1394" s="13" t="s">
        <v>5185</v>
      </c>
      <c r="I1394" s="11" t="s">
        <v>507</v>
      </c>
      <c r="J1394" s="14">
        <v>1</v>
      </c>
      <c r="K1394" s="14" t="s">
        <v>4600</v>
      </c>
      <c r="L1394" s="14" t="s">
        <v>5186</v>
      </c>
      <c r="M1394" s="15" t="s">
        <v>5181</v>
      </c>
      <c r="N1394" s="15" t="s">
        <v>509</v>
      </c>
      <c r="O1394" s="15" t="s">
        <v>4819</v>
      </c>
      <c r="P1394" s="15" t="s">
        <v>5182</v>
      </c>
      <c r="Q1394" s="12" t="s">
        <v>286</v>
      </c>
      <c r="R1394" s="22" t="s">
        <v>88</v>
      </c>
      <c r="S1394" s="12" t="s">
        <v>4617</v>
      </c>
      <c r="T1394" s="14" t="s">
        <v>55</v>
      </c>
    </row>
    <row r="1395" spans="1:20" ht="16.5">
      <c r="A1395" s="17" t="s">
        <v>3658</v>
      </c>
      <c r="B1395" s="17" t="s">
        <v>487</v>
      </c>
      <c r="C1395" s="17" t="s">
        <v>488</v>
      </c>
      <c r="D1395" s="18" t="s">
        <v>5187</v>
      </c>
      <c r="E1395" s="17" t="s">
        <v>490</v>
      </c>
      <c r="F1395" s="17" t="s">
        <v>491</v>
      </c>
      <c r="G1395" s="18" t="s">
        <v>5188</v>
      </c>
      <c r="H1395" s="24" t="s">
        <v>584</v>
      </c>
      <c r="I1395" s="17" t="s">
        <v>494</v>
      </c>
      <c r="J1395" s="21">
        <v>1</v>
      </c>
      <c r="K1395" s="21" t="s">
        <v>4600</v>
      </c>
      <c r="L1395" s="21" t="s">
        <v>5189</v>
      </c>
      <c r="M1395" s="19" t="s">
        <v>5190</v>
      </c>
      <c r="N1395" s="19" t="s">
        <v>497</v>
      </c>
      <c r="O1395" s="19" t="s">
        <v>5191</v>
      </c>
      <c r="P1395" s="19" t="s">
        <v>5192</v>
      </c>
      <c r="Q1395" s="19" t="s">
        <v>500</v>
      </c>
      <c r="R1395" s="16" t="s">
        <v>54</v>
      </c>
      <c r="S1395" s="18" t="s">
        <v>4617</v>
      </c>
      <c r="T1395" s="21" t="s">
        <v>55</v>
      </c>
    </row>
    <row r="1396" spans="1:20" ht="33">
      <c r="A1396" s="11" t="s">
        <v>3658</v>
      </c>
      <c r="B1396" s="11" t="s">
        <v>487</v>
      </c>
      <c r="C1396" s="11" t="s">
        <v>204</v>
      </c>
      <c r="D1396" s="12" t="s">
        <v>4148</v>
      </c>
      <c r="E1396" s="11" t="s">
        <v>501</v>
      </c>
      <c r="F1396" s="11" t="s">
        <v>488</v>
      </c>
      <c r="G1396" s="12" t="s">
        <v>5187</v>
      </c>
      <c r="H1396" s="13" t="s">
        <v>5193</v>
      </c>
      <c r="I1396" s="11" t="s">
        <v>494</v>
      </c>
      <c r="J1396" s="14">
        <v>1</v>
      </c>
      <c r="K1396" s="14" t="s">
        <v>4600</v>
      </c>
      <c r="L1396" s="14" t="s">
        <v>5194</v>
      </c>
      <c r="M1396" s="15" t="s">
        <v>4152</v>
      </c>
      <c r="N1396" s="15" t="s">
        <v>504</v>
      </c>
      <c r="O1396" s="15" t="s">
        <v>5190</v>
      </c>
      <c r="P1396" s="15"/>
      <c r="Q1396" s="15" t="s">
        <v>211</v>
      </c>
      <c r="R1396" s="16" t="s">
        <v>54</v>
      </c>
      <c r="S1396" s="12" t="s">
        <v>4617</v>
      </c>
      <c r="T1396" s="14" t="s">
        <v>55</v>
      </c>
    </row>
    <row r="1397" spans="1:20" ht="16.5">
      <c r="A1397" s="17" t="s">
        <v>3658</v>
      </c>
      <c r="B1397" s="17" t="s">
        <v>487</v>
      </c>
      <c r="C1397" s="17" t="s">
        <v>491</v>
      </c>
      <c r="D1397" s="18" t="s">
        <v>5188</v>
      </c>
      <c r="E1397" s="17" t="s">
        <v>505</v>
      </c>
      <c r="F1397" s="17" t="s">
        <v>204</v>
      </c>
      <c r="G1397" s="18" t="s">
        <v>4148</v>
      </c>
      <c r="H1397" s="20" t="s">
        <v>5195</v>
      </c>
      <c r="I1397" s="17" t="s">
        <v>507</v>
      </c>
      <c r="J1397" s="21">
        <v>1</v>
      </c>
      <c r="K1397" s="21" t="s">
        <v>4600</v>
      </c>
      <c r="L1397" s="21" t="s">
        <v>5196</v>
      </c>
      <c r="M1397" s="19" t="s">
        <v>5191</v>
      </c>
      <c r="N1397" s="19" t="s">
        <v>509</v>
      </c>
      <c r="O1397" s="19" t="s">
        <v>4152</v>
      </c>
      <c r="P1397" s="19" t="s">
        <v>5192</v>
      </c>
      <c r="Q1397" s="18" t="s">
        <v>286</v>
      </c>
      <c r="R1397" s="22" t="s">
        <v>88</v>
      </c>
      <c r="S1397" s="18" t="s">
        <v>4617</v>
      </c>
      <c r="T1397" s="21" t="s">
        <v>55</v>
      </c>
    </row>
    <row r="1398" spans="1:20" ht="16.5">
      <c r="A1398" s="11" t="s">
        <v>3658</v>
      </c>
      <c r="B1398" s="11" t="s">
        <v>487</v>
      </c>
      <c r="C1398" s="11" t="s">
        <v>488</v>
      </c>
      <c r="D1398" s="12" t="s">
        <v>5197</v>
      </c>
      <c r="E1398" s="11" t="s">
        <v>490</v>
      </c>
      <c r="F1398" s="11" t="s">
        <v>491</v>
      </c>
      <c r="G1398" s="12" t="s">
        <v>5198</v>
      </c>
      <c r="H1398" s="13" t="s">
        <v>5199</v>
      </c>
      <c r="I1398" s="11" t="s">
        <v>494</v>
      </c>
      <c r="J1398" s="14">
        <v>1</v>
      </c>
      <c r="K1398" s="14" t="s">
        <v>4600</v>
      </c>
      <c r="L1398" s="14" t="s">
        <v>5200</v>
      </c>
      <c r="M1398" s="15" t="s">
        <v>5201</v>
      </c>
      <c r="N1398" s="15" t="s">
        <v>497</v>
      </c>
      <c r="O1398" s="15" t="s">
        <v>5202</v>
      </c>
      <c r="P1398" s="15" t="s">
        <v>5203</v>
      </c>
      <c r="Q1398" s="15" t="s">
        <v>500</v>
      </c>
      <c r="R1398" s="16" t="s">
        <v>54</v>
      </c>
      <c r="S1398" s="12" t="s">
        <v>4617</v>
      </c>
      <c r="T1398" s="26" t="s">
        <v>673</v>
      </c>
    </row>
    <row r="1399" spans="1:20" ht="16.5">
      <c r="A1399" s="17" t="s">
        <v>3658</v>
      </c>
      <c r="B1399" s="17" t="s">
        <v>487</v>
      </c>
      <c r="C1399" s="17" t="s">
        <v>204</v>
      </c>
      <c r="D1399" s="18" t="s">
        <v>4821</v>
      </c>
      <c r="E1399" s="17" t="s">
        <v>501</v>
      </c>
      <c r="F1399" s="17" t="s">
        <v>488</v>
      </c>
      <c r="G1399" s="18" t="s">
        <v>5197</v>
      </c>
      <c r="H1399" s="20" t="s">
        <v>5204</v>
      </c>
      <c r="I1399" s="17" t="s">
        <v>494</v>
      </c>
      <c r="J1399" s="21">
        <v>1</v>
      </c>
      <c r="K1399" s="21" t="s">
        <v>4600</v>
      </c>
      <c r="L1399" s="21" t="s">
        <v>5205</v>
      </c>
      <c r="M1399" s="19" t="s">
        <v>4824</v>
      </c>
      <c r="N1399" s="19" t="s">
        <v>504</v>
      </c>
      <c r="O1399" s="19" t="s">
        <v>5201</v>
      </c>
      <c r="P1399" s="19"/>
      <c r="Q1399" s="19" t="s">
        <v>211</v>
      </c>
      <c r="R1399" s="16" t="s">
        <v>54</v>
      </c>
      <c r="S1399" s="18" t="s">
        <v>4617</v>
      </c>
      <c r="T1399" s="26" t="s">
        <v>673</v>
      </c>
    </row>
    <row r="1400" spans="1:20" ht="16.5">
      <c r="A1400" s="11" t="s">
        <v>3658</v>
      </c>
      <c r="B1400" s="11" t="s">
        <v>487</v>
      </c>
      <c r="C1400" s="11" t="s">
        <v>491</v>
      </c>
      <c r="D1400" s="12" t="s">
        <v>5198</v>
      </c>
      <c r="E1400" s="11" t="s">
        <v>505</v>
      </c>
      <c r="F1400" s="11" t="s">
        <v>204</v>
      </c>
      <c r="G1400" s="12" t="s">
        <v>4821</v>
      </c>
      <c r="H1400" s="13" t="s">
        <v>5206</v>
      </c>
      <c r="I1400" s="11" t="s">
        <v>507</v>
      </c>
      <c r="J1400" s="14">
        <v>1</v>
      </c>
      <c r="K1400" s="14" t="s">
        <v>4600</v>
      </c>
      <c r="L1400" s="14" t="s">
        <v>5207</v>
      </c>
      <c r="M1400" s="15" t="s">
        <v>5202</v>
      </c>
      <c r="N1400" s="15" t="s">
        <v>509</v>
      </c>
      <c r="O1400" s="15" t="s">
        <v>4824</v>
      </c>
      <c r="P1400" s="15" t="s">
        <v>5203</v>
      </c>
      <c r="Q1400" s="12" t="s">
        <v>286</v>
      </c>
      <c r="R1400" s="22" t="s">
        <v>88</v>
      </c>
      <c r="S1400" s="12" t="s">
        <v>4617</v>
      </c>
      <c r="T1400" s="14" t="s">
        <v>55</v>
      </c>
    </row>
    <row r="1401" spans="1:20" ht="16.5">
      <c r="A1401" s="17" t="s">
        <v>3658</v>
      </c>
      <c r="B1401" s="17" t="s">
        <v>487</v>
      </c>
      <c r="C1401" s="17" t="s">
        <v>488</v>
      </c>
      <c r="D1401" s="18" t="s">
        <v>5208</v>
      </c>
      <c r="E1401" s="17" t="s">
        <v>490</v>
      </c>
      <c r="F1401" s="17" t="s">
        <v>491</v>
      </c>
      <c r="G1401" s="18" t="s">
        <v>5209</v>
      </c>
      <c r="H1401" s="20" t="s">
        <v>5210</v>
      </c>
      <c r="I1401" s="17" t="s">
        <v>513</v>
      </c>
      <c r="J1401" s="21">
        <v>1</v>
      </c>
      <c r="K1401" s="21" t="s">
        <v>4600</v>
      </c>
      <c r="L1401" s="21" t="s">
        <v>5211</v>
      </c>
      <c r="M1401" s="19" t="s">
        <v>5212</v>
      </c>
      <c r="N1401" s="19" t="s">
        <v>497</v>
      </c>
      <c r="O1401" s="19" t="s">
        <v>5213</v>
      </c>
      <c r="P1401" s="19" t="s">
        <v>5214</v>
      </c>
      <c r="Q1401" s="19" t="s">
        <v>500</v>
      </c>
      <c r="R1401" s="16" t="s">
        <v>54</v>
      </c>
      <c r="S1401" s="18" t="s">
        <v>4617</v>
      </c>
      <c r="T1401" s="26" t="s">
        <v>673</v>
      </c>
    </row>
    <row r="1402" spans="1:20" ht="33">
      <c r="A1402" s="11" t="s">
        <v>3658</v>
      </c>
      <c r="B1402" s="11" t="s">
        <v>487</v>
      </c>
      <c r="C1402" s="11" t="s">
        <v>204</v>
      </c>
      <c r="D1402" s="12" t="s">
        <v>4838</v>
      </c>
      <c r="E1402" s="11" t="s">
        <v>501</v>
      </c>
      <c r="F1402" s="11" t="s">
        <v>488</v>
      </c>
      <c r="G1402" s="12" t="s">
        <v>5208</v>
      </c>
      <c r="H1402" s="13" t="s">
        <v>5215</v>
      </c>
      <c r="I1402" s="11" t="s">
        <v>513</v>
      </c>
      <c r="J1402" s="14">
        <v>1</v>
      </c>
      <c r="K1402" s="14" t="s">
        <v>4600</v>
      </c>
      <c r="L1402" s="14" t="s">
        <v>5216</v>
      </c>
      <c r="M1402" s="15" t="s">
        <v>4841</v>
      </c>
      <c r="N1402" s="15" t="s">
        <v>504</v>
      </c>
      <c r="O1402" s="15" t="s">
        <v>5212</v>
      </c>
      <c r="P1402" s="15"/>
      <c r="Q1402" s="15" t="s">
        <v>211</v>
      </c>
      <c r="R1402" s="16" t="s">
        <v>54</v>
      </c>
      <c r="S1402" s="12" t="s">
        <v>4617</v>
      </c>
      <c r="T1402" s="14" t="s">
        <v>55</v>
      </c>
    </row>
    <row r="1403" spans="1:20" ht="16.5">
      <c r="A1403" s="17" t="s">
        <v>3658</v>
      </c>
      <c r="B1403" s="17" t="s">
        <v>487</v>
      </c>
      <c r="C1403" s="17" t="s">
        <v>491</v>
      </c>
      <c r="D1403" s="18" t="s">
        <v>5209</v>
      </c>
      <c r="E1403" s="17" t="s">
        <v>505</v>
      </c>
      <c r="F1403" s="17" t="s">
        <v>204</v>
      </c>
      <c r="G1403" s="18" t="s">
        <v>4838</v>
      </c>
      <c r="H1403" s="20" t="s">
        <v>5217</v>
      </c>
      <c r="I1403" s="17" t="s">
        <v>507</v>
      </c>
      <c r="J1403" s="21">
        <v>1</v>
      </c>
      <c r="K1403" s="21" t="s">
        <v>4600</v>
      </c>
      <c r="L1403" s="21" t="s">
        <v>5218</v>
      </c>
      <c r="M1403" s="19" t="s">
        <v>5213</v>
      </c>
      <c r="N1403" s="19" t="s">
        <v>509</v>
      </c>
      <c r="O1403" s="19" t="s">
        <v>4841</v>
      </c>
      <c r="P1403" s="19" t="s">
        <v>5214</v>
      </c>
      <c r="Q1403" s="18" t="s">
        <v>286</v>
      </c>
      <c r="R1403" s="22" t="s">
        <v>88</v>
      </c>
      <c r="S1403" s="18" t="s">
        <v>4617</v>
      </c>
      <c r="T1403" s="21" t="s">
        <v>55</v>
      </c>
    </row>
    <row r="1404" spans="1:20" ht="16.5">
      <c r="A1404" s="11" t="s">
        <v>3658</v>
      </c>
      <c r="B1404" s="11" t="s">
        <v>487</v>
      </c>
      <c r="C1404" s="11" t="s">
        <v>488</v>
      </c>
      <c r="D1404" s="12" t="s">
        <v>5219</v>
      </c>
      <c r="E1404" s="11" t="s">
        <v>490</v>
      </c>
      <c r="F1404" s="11" t="s">
        <v>491</v>
      </c>
      <c r="G1404" s="12" t="s">
        <v>5220</v>
      </c>
      <c r="H1404" s="23" t="s">
        <v>584</v>
      </c>
      <c r="I1404" s="11" t="s">
        <v>494</v>
      </c>
      <c r="J1404" s="14">
        <v>1</v>
      </c>
      <c r="K1404" s="14" t="s">
        <v>4600</v>
      </c>
      <c r="L1404" s="14" t="s">
        <v>5221</v>
      </c>
      <c r="M1404" s="15" t="s">
        <v>5222</v>
      </c>
      <c r="N1404" s="15" t="s">
        <v>497</v>
      </c>
      <c r="O1404" s="15" t="s">
        <v>5223</v>
      </c>
      <c r="P1404" s="15" t="s">
        <v>5224</v>
      </c>
      <c r="Q1404" s="15" t="s">
        <v>500</v>
      </c>
      <c r="R1404" s="16" t="s">
        <v>54</v>
      </c>
      <c r="S1404" s="12" t="s">
        <v>4617</v>
      </c>
      <c r="T1404" s="14" t="s">
        <v>55</v>
      </c>
    </row>
    <row r="1405" spans="1:20" ht="33">
      <c r="A1405" s="17" t="s">
        <v>3658</v>
      </c>
      <c r="B1405" s="17" t="s">
        <v>487</v>
      </c>
      <c r="C1405" s="17" t="s">
        <v>204</v>
      </c>
      <c r="D1405" s="18" t="s">
        <v>4843</v>
      </c>
      <c r="E1405" s="17" t="s">
        <v>501</v>
      </c>
      <c r="F1405" s="17" t="s">
        <v>488</v>
      </c>
      <c r="G1405" s="18" t="s">
        <v>5219</v>
      </c>
      <c r="H1405" s="20" t="s">
        <v>5225</v>
      </c>
      <c r="I1405" s="17" t="s">
        <v>494</v>
      </c>
      <c r="J1405" s="21">
        <v>1</v>
      </c>
      <c r="K1405" s="21" t="s">
        <v>4600</v>
      </c>
      <c r="L1405" s="21" t="s">
        <v>5226</v>
      </c>
      <c r="M1405" s="19" t="s">
        <v>4846</v>
      </c>
      <c r="N1405" s="19" t="s">
        <v>504</v>
      </c>
      <c r="O1405" s="19" t="s">
        <v>5222</v>
      </c>
      <c r="P1405" s="19"/>
      <c r="Q1405" s="19" t="s">
        <v>211</v>
      </c>
      <c r="R1405" s="16" t="s">
        <v>54</v>
      </c>
      <c r="S1405" s="18" t="s">
        <v>4617</v>
      </c>
      <c r="T1405" s="21" t="s">
        <v>55</v>
      </c>
    </row>
    <row r="1406" spans="1:20" ht="29.25">
      <c r="A1406" s="11" t="s">
        <v>3658</v>
      </c>
      <c r="B1406" s="11" t="s">
        <v>487</v>
      </c>
      <c r="C1406" s="11" t="s">
        <v>491</v>
      </c>
      <c r="D1406" s="12" t="s">
        <v>5220</v>
      </c>
      <c r="E1406" s="11" t="s">
        <v>505</v>
      </c>
      <c r="F1406" s="11" t="s">
        <v>204</v>
      </c>
      <c r="G1406" s="12" t="s">
        <v>4843</v>
      </c>
      <c r="H1406" s="13" t="s">
        <v>5227</v>
      </c>
      <c r="I1406" s="11" t="s">
        <v>507</v>
      </c>
      <c r="J1406" s="14">
        <v>1</v>
      </c>
      <c r="K1406" s="14" t="s">
        <v>4600</v>
      </c>
      <c r="L1406" s="14" t="s">
        <v>5228</v>
      </c>
      <c r="M1406" s="15" t="s">
        <v>5223</v>
      </c>
      <c r="N1406" s="15" t="s">
        <v>509</v>
      </c>
      <c r="O1406" s="15" t="s">
        <v>4846</v>
      </c>
      <c r="P1406" s="15" t="s">
        <v>5224</v>
      </c>
      <c r="Q1406" s="12" t="s">
        <v>286</v>
      </c>
      <c r="R1406" s="22" t="s">
        <v>88</v>
      </c>
      <c r="S1406" s="12" t="s">
        <v>4617</v>
      </c>
      <c r="T1406" s="14" t="s">
        <v>55</v>
      </c>
    </row>
    <row r="1407" spans="1:20" ht="16.5">
      <c r="A1407" s="17" t="s">
        <v>3658</v>
      </c>
      <c r="B1407" s="17" t="s">
        <v>487</v>
      </c>
      <c r="C1407" s="17" t="s">
        <v>488</v>
      </c>
      <c r="D1407" s="18" t="s">
        <v>5229</v>
      </c>
      <c r="E1407" s="17" t="s">
        <v>490</v>
      </c>
      <c r="F1407" s="17" t="s">
        <v>491</v>
      </c>
      <c r="G1407" s="18" t="s">
        <v>5230</v>
      </c>
      <c r="H1407" s="20" t="s">
        <v>5231</v>
      </c>
      <c r="I1407" s="17" t="s">
        <v>5232</v>
      </c>
      <c r="J1407" s="21">
        <v>1</v>
      </c>
      <c r="K1407" s="21" t="s">
        <v>4600</v>
      </c>
      <c r="L1407" s="21" t="s">
        <v>5233</v>
      </c>
      <c r="M1407" s="19" t="s">
        <v>5234</v>
      </c>
      <c r="N1407" s="19" t="s">
        <v>497</v>
      </c>
      <c r="O1407" s="19" t="s">
        <v>5235</v>
      </c>
      <c r="P1407" s="19" t="s">
        <v>5236</v>
      </c>
      <c r="Q1407" s="19" t="s">
        <v>500</v>
      </c>
      <c r="R1407" s="16" t="s">
        <v>54</v>
      </c>
      <c r="S1407" s="18" t="s">
        <v>4617</v>
      </c>
      <c r="T1407" s="21" t="s">
        <v>55</v>
      </c>
    </row>
    <row r="1408" spans="1:20" ht="16.5">
      <c r="A1408" s="11" t="s">
        <v>3658</v>
      </c>
      <c r="B1408" s="11" t="s">
        <v>487</v>
      </c>
      <c r="C1408" s="11" t="s">
        <v>204</v>
      </c>
      <c r="D1408" s="12" t="s">
        <v>4863</v>
      </c>
      <c r="E1408" s="11" t="s">
        <v>501</v>
      </c>
      <c r="F1408" s="11" t="s">
        <v>488</v>
      </c>
      <c r="G1408" s="12" t="s">
        <v>5229</v>
      </c>
      <c r="H1408" s="13" t="s">
        <v>5237</v>
      </c>
      <c r="I1408" s="11" t="s">
        <v>5232</v>
      </c>
      <c r="J1408" s="14">
        <v>1</v>
      </c>
      <c r="K1408" s="14" t="s">
        <v>4600</v>
      </c>
      <c r="L1408" s="14" t="s">
        <v>5238</v>
      </c>
      <c r="M1408" s="15" t="s">
        <v>4866</v>
      </c>
      <c r="N1408" s="15" t="s">
        <v>504</v>
      </c>
      <c r="O1408" s="15" t="s">
        <v>5234</v>
      </c>
      <c r="P1408" s="15"/>
      <c r="Q1408" s="15" t="s">
        <v>211</v>
      </c>
      <c r="R1408" s="16" t="s">
        <v>54</v>
      </c>
      <c r="S1408" s="12" t="s">
        <v>4617</v>
      </c>
      <c r="T1408" s="14" t="s">
        <v>55</v>
      </c>
    </row>
    <row r="1409" spans="1:20" ht="16.5">
      <c r="A1409" s="17" t="s">
        <v>3658</v>
      </c>
      <c r="B1409" s="17" t="s">
        <v>487</v>
      </c>
      <c r="C1409" s="17" t="s">
        <v>491</v>
      </c>
      <c r="D1409" s="18" t="s">
        <v>5230</v>
      </c>
      <c r="E1409" s="17" t="s">
        <v>505</v>
      </c>
      <c r="F1409" s="17" t="s">
        <v>204</v>
      </c>
      <c r="G1409" s="18" t="s">
        <v>4863</v>
      </c>
      <c r="H1409" s="20" t="s">
        <v>5239</v>
      </c>
      <c r="I1409" s="17" t="s">
        <v>507</v>
      </c>
      <c r="J1409" s="21">
        <v>1</v>
      </c>
      <c r="K1409" s="21" t="s">
        <v>4600</v>
      </c>
      <c r="L1409" s="21" t="s">
        <v>5240</v>
      </c>
      <c r="M1409" s="19" t="s">
        <v>5235</v>
      </c>
      <c r="N1409" s="19" t="s">
        <v>509</v>
      </c>
      <c r="O1409" s="19" t="s">
        <v>4866</v>
      </c>
      <c r="P1409" s="19" t="s">
        <v>5236</v>
      </c>
      <c r="Q1409" s="18" t="s">
        <v>286</v>
      </c>
      <c r="R1409" s="22" t="s">
        <v>88</v>
      </c>
      <c r="S1409" s="18" t="s">
        <v>4617</v>
      </c>
      <c r="T1409" s="21" t="s">
        <v>55</v>
      </c>
    </row>
    <row r="1410" spans="1:20" ht="16.5">
      <c r="A1410" s="11" t="s">
        <v>3658</v>
      </c>
      <c r="B1410" s="11" t="s">
        <v>487</v>
      </c>
      <c r="C1410" s="11" t="s">
        <v>488</v>
      </c>
      <c r="D1410" s="12" t="s">
        <v>5241</v>
      </c>
      <c r="E1410" s="11" t="s">
        <v>490</v>
      </c>
      <c r="F1410" s="11" t="s">
        <v>491</v>
      </c>
      <c r="G1410" s="12" t="s">
        <v>5242</v>
      </c>
      <c r="H1410" s="23" t="s">
        <v>584</v>
      </c>
      <c r="I1410" s="11" t="s">
        <v>494</v>
      </c>
      <c r="J1410" s="14">
        <v>1</v>
      </c>
      <c r="K1410" s="14" t="s">
        <v>4600</v>
      </c>
      <c r="L1410" s="14" t="s">
        <v>5243</v>
      </c>
      <c r="M1410" s="15" t="s">
        <v>5244</v>
      </c>
      <c r="N1410" s="15" t="s">
        <v>497</v>
      </c>
      <c r="O1410" s="15" t="s">
        <v>5245</v>
      </c>
      <c r="P1410" s="15" t="s">
        <v>5246</v>
      </c>
      <c r="Q1410" s="15" t="s">
        <v>500</v>
      </c>
      <c r="R1410" s="16" t="s">
        <v>54</v>
      </c>
      <c r="S1410" s="12" t="s">
        <v>4617</v>
      </c>
      <c r="T1410" s="14" t="s">
        <v>55</v>
      </c>
    </row>
    <row r="1411" spans="1:20" ht="16.5">
      <c r="A1411" s="17" t="s">
        <v>3658</v>
      </c>
      <c r="B1411" s="17" t="s">
        <v>487</v>
      </c>
      <c r="C1411" s="17" t="s">
        <v>204</v>
      </c>
      <c r="D1411" s="18" t="s">
        <v>4868</v>
      </c>
      <c r="E1411" s="17" t="s">
        <v>501</v>
      </c>
      <c r="F1411" s="17" t="s">
        <v>488</v>
      </c>
      <c r="G1411" s="18" t="s">
        <v>5241</v>
      </c>
      <c r="H1411" s="20" t="s">
        <v>5247</v>
      </c>
      <c r="I1411" s="17" t="s">
        <v>494</v>
      </c>
      <c r="J1411" s="21">
        <v>1</v>
      </c>
      <c r="K1411" s="21" t="s">
        <v>4600</v>
      </c>
      <c r="L1411" s="21" t="s">
        <v>5248</v>
      </c>
      <c r="M1411" s="19" t="s">
        <v>4871</v>
      </c>
      <c r="N1411" s="19" t="s">
        <v>504</v>
      </c>
      <c r="O1411" s="19" t="s">
        <v>5244</v>
      </c>
      <c r="P1411" s="19"/>
      <c r="Q1411" s="19" t="s">
        <v>211</v>
      </c>
      <c r="R1411" s="16" t="s">
        <v>54</v>
      </c>
      <c r="S1411" s="18" t="s">
        <v>4617</v>
      </c>
      <c r="T1411" s="21" t="s">
        <v>55</v>
      </c>
    </row>
    <row r="1412" spans="1:20" ht="16.5">
      <c r="A1412" s="11" t="s">
        <v>3658</v>
      </c>
      <c r="B1412" s="11" t="s">
        <v>487</v>
      </c>
      <c r="C1412" s="11" t="s">
        <v>491</v>
      </c>
      <c r="D1412" s="12" t="s">
        <v>5242</v>
      </c>
      <c r="E1412" s="11" t="s">
        <v>505</v>
      </c>
      <c r="F1412" s="11" t="s">
        <v>204</v>
      </c>
      <c r="G1412" s="12" t="s">
        <v>4868</v>
      </c>
      <c r="H1412" s="13" t="s">
        <v>5249</v>
      </c>
      <c r="I1412" s="11" t="s">
        <v>507</v>
      </c>
      <c r="J1412" s="14">
        <v>1</v>
      </c>
      <c r="K1412" s="14" t="s">
        <v>4600</v>
      </c>
      <c r="L1412" s="14" t="s">
        <v>5250</v>
      </c>
      <c r="M1412" s="15" t="s">
        <v>5245</v>
      </c>
      <c r="N1412" s="15" t="s">
        <v>509</v>
      </c>
      <c r="O1412" s="15" t="s">
        <v>4871</v>
      </c>
      <c r="P1412" s="15" t="s">
        <v>5246</v>
      </c>
      <c r="Q1412" s="12" t="s">
        <v>286</v>
      </c>
      <c r="R1412" s="22" t="s">
        <v>88</v>
      </c>
      <c r="S1412" s="12" t="s">
        <v>4617</v>
      </c>
      <c r="T1412" s="14" t="s">
        <v>55</v>
      </c>
    </row>
    <row r="1413" spans="1:20" ht="16.5">
      <c r="A1413" s="17" t="s">
        <v>3658</v>
      </c>
      <c r="B1413" s="17" t="s">
        <v>487</v>
      </c>
      <c r="C1413" s="17" t="s">
        <v>488</v>
      </c>
      <c r="D1413" s="18" t="s">
        <v>5251</v>
      </c>
      <c r="E1413" s="17" t="s">
        <v>490</v>
      </c>
      <c r="F1413" s="17" t="s">
        <v>491</v>
      </c>
      <c r="G1413" s="18" t="s">
        <v>5252</v>
      </c>
      <c r="H1413" s="24" t="s">
        <v>584</v>
      </c>
      <c r="I1413" s="17" t="s">
        <v>494</v>
      </c>
      <c r="J1413" s="21">
        <v>1</v>
      </c>
      <c r="K1413" s="21" t="s">
        <v>4600</v>
      </c>
      <c r="L1413" s="21" t="s">
        <v>5253</v>
      </c>
      <c r="M1413" s="19" t="s">
        <v>5254</v>
      </c>
      <c r="N1413" s="19" t="s">
        <v>497</v>
      </c>
      <c r="O1413" s="19" t="s">
        <v>5255</v>
      </c>
      <c r="P1413" s="19" t="s">
        <v>5256</v>
      </c>
      <c r="Q1413" s="19" t="s">
        <v>500</v>
      </c>
      <c r="R1413" s="16" t="s">
        <v>54</v>
      </c>
      <c r="S1413" s="18" t="s">
        <v>4617</v>
      </c>
      <c r="T1413" s="21" t="s">
        <v>55</v>
      </c>
    </row>
    <row r="1414" spans="1:20" ht="16.5">
      <c r="A1414" s="11" t="s">
        <v>3658</v>
      </c>
      <c r="B1414" s="11" t="s">
        <v>487</v>
      </c>
      <c r="C1414" s="11" t="s">
        <v>204</v>
      </c>
      <c r="D1414" s="12" t="s">
        <v>4913</v>
      </c>
      <c r="E1414" s="11" t="s">
        <v>501</v>
      </c>
      <c r="F1414" s="11" t="s">
        <v>488</v>
      </c>
      <c r="G1414" s="12" t="s">
        <v>5251</v>
      </c>
      <c r="H1414" s="13" t="s">
        <v>5257</v>
      </c>
      <c r="I1414" s="11" t="s">
        <v>494</v>
      </c>
      <c r="J1414" s="14">
        <v>1</v>
      </c>
      <c r="K1414" s="14" t="s">
        <v>4600</v>
      </c>
      <c r="L1414" s="14" t="s">
        <v>5258</v>
      </c>
      <c r="M1414" s="15" t="s">
        <v>4916</v>
      </c>
      <c r="N1414" s="15" t="s">
        <v>504</v>
      </c>
      <c r="O1414" s="15" t="s">
        <v>5254</v>
      </c>
      <c r="P1414" s="15"/>
      <c r="Q1414" s="15" t="s">
        <v>211</v>
      </c>
      <c r="R1414" s="16" t="s">
        <v>54</v>
      </c>
      <c r="S1414" s="12" t="s">
        <v>4617</v>
      </c>
      <c r="T1414" s="14" t="s">
        <v>55</v>
      </c>
    </row>
    <row r="1415" spans="1:20" ht="29.25">
      <c r="A1415" s="17" t="s">
        <v>3658</v>
      </c>
      <c r="B1415" s="17" t="s">
        <v>487</v>
      </c>
      <c r="C1415" s="17" t="s">
        <v>491</v>
      </c>
      <c r="D1415" s="18" t="s">
        <v>5252</v>
      </c>
      <c r="E1415" s="17" t="s">
        <v>505</v>
      </c>
      <c r="F1415" s="17" t="s">
        <v>204</v>
      </c>
      <c r="G1415" s="18" t="s">
        <v>4913</v>
      </c>
      <c r="H1415" s="20" t="s">
        <v>5259</v>
      </c>
      <c r="I1415" s="17" t="s">
        <v>507</v>
      </c>
      <c r="J1415" s="21">
        <v>1</v>
      </c>
      <c r="K1415" s="21" t="s">
        <v>4600</v>
      </c>
      <c r="L1415" s="21" t="s">
        <v>5260</v>
      </c>
      <c r="M1415" s="19" t="s">
        <v>5255</v>
      </c>
      <c r="N1415" s="19" t="s">
        <v>509</v>
      </c>
      <c r="O1415" s="19" t="s">
        <v>4916</v>
      </c>
      <c r="P1415" s="19" t="s">
        <v>5256</v>
      </c>
      <c r="Q1415" s="18" t="s">
        <v>286</v>
      </c>
      <c r="R1415" s="22" t="s">
        <v>88</v>
      </c>
      <c r="S1415" s="18" t="s">
        <v>4617</v>
      </c>
      <c r="T1415" s="21" t="s">
        <v>55</v>
      </c>
    </row>
    <row r="1416" spans="1:20" ht="16.5">
      <c r="A1416" s="11" t="s">
        <v>3658</v>
      </c>
      <c r="B1416" s="11" t="s">
        <v>487</v>
      </c>
      <c r="C1416" s="11" t="s">
        <v>488</v>
      </c>
      <c r="D1416" s="12" t="s">
        <v>5261</v>
      </c>
      <c r="E1416" s="11" t="s">
        <v>490</v>
      </c>
      <c r="F1416" s="11" t="s">
        <v>491</v>
      </c>
      <c r="G1416" s="12" t="s">
        <v>5262</v>
      </c>
      <c r="H1416" s="23" t="s">
        <v>584</v>
      </c>
      <c r="I1416" s="11" t="s">
        <v>494</v>
      </c>
      <c r="J1416" s="14">
        <v>1</v>
      </c>
      <c r="K1416" s="14" t="s">
        <v>4600</v>
      </c>
      <c r="L1416" s="14" t="s">
        <v>5263</v>
      </c>
      <c r="M1416" s="15" t="s">
        <v>5264</v>
      </c>
      <c r="N1416" s="15" t="s">
        <v>497</v>
      </c>
      <c r="O1416" s="15" t="s">
        <v>5265</v>
      </c>
      <c r="P1416" s="15" t="s">
        <v>5266</v>
      </c>
      <c r="Q1416" s="15" t="s">
        <v>500</v>
      </c>
      <c r="R1416" s="16" t="s">
        <v>54</v>
      </c>
      <c r="S1416" s="12" t="s">
        <v>4617</v>
      </c>
      <c r="T1416" s="14" t="s">
        <v>55</v>
      </c>
    </row>
    <row r="1417" spans="1:20" ht="33">
      <c r="A1417" s="17" t="s">
        <v>3658</v>
      </c>
      <c r="B1417" s="17" t="s">
        <v>487</v>
      </c>
      <c r="C1417" s="17" t="s">
        <v>204</v>
      </c>
      <c r="D1417" s="18" t="s">
        <v>4898</v>
      </c>
      <c r="E1417" s="17" t="s">
        <v>501</v>
      </c>
      <c r="F1417" s="17" t="s">
        <v>488</v>
      </c>
      <c r="G1417" s="18" t="s">
        <v>5261</v>
      </c>
      <c r="H1417" s="20" t="s">
        <v>5267</v>
      </c>
      <c r="I1417" s="17" t="s">
        <v>494</v>
      </c>
      <c r="J1417" s="21">
        <v>1</v>
      </c>
      <c r="K1417" s="21" t="s">
        <v>4600</v>
      </c>
      <c r="L1417" s="21" t="s">
        <v>5268</v>
      </c>
      <c r="M1417" s="19" t="s">
        <v>4901</v>
      </c>
      <c r="N1417" s="19" t="s">
        <v>504</v>
      </c>
      <c r="O1417" s="19" t="s">
        <v>5264</v>
      </c>
      <c r="P1417" s="19"/>
      <c r="Q1417" s="19" t="s">
        <v>211</v>
      </c>
      <c r="R1417" s="16" t="s">
        <v>54</v>
      </c>
      <c r="S1417" s="18" t="s">
        <v>4617</v>
      </c>
      <c r="T1417" s="21" t="s">
        <v>55</v>
      </c>
    </row>
    <row r="1418" spans="1:20" ht="29.25">
      <c r="A1418" s="11" t="s">
        <v>3658</v>
      </c>
      <c r="B1418" s="11" t="s">
        <v>487</v>
      </c>
      <c r="C1418" s="11" t="s">
        <v>491</v>
      </c>
      <c r="D1418" s="12" t="s">
        <v>5262</v>
      </c>
      <c r="E1418" s="11" t="s">
        <v>505</v>
      </c>
      <c r="F1418" s="11" t="s">
        <v>204</v>
      </c>
      <c r="G1418" s="12" t="s">
        <v>4898</v>
      </c>
      <c r="H1418" s="13" t="s">
        <v>5269</v>
      </c>
      <c r="I1418" s="11" t="s">
        <v>507</v>
      </c>
      <c r="J1418" s="14">
        <v>1</v>
      </c>
      <c r="K1418" s="14" t="s">
        <v>4600</v>
      </c>
      <c r="L1418" s="14" t="s">
        <v>5270</v>
      </c>
      <c r="M1418" s="15" t="s">
        <v>5265</v>
      </c>
      <c r="N1418" s="15" t="s">
        <v>509</v>
      </c>
      <c r="O1418" s="15" t="s">
        <v>4901</v>
      </c>
      <c r="P1418" s="15" t="s">
        <v>5266</v>
      </c>
      <c r="Q1418" s="12" t="s">
        <v>286</v>
      </c>
      <c r="R1418" s="22" t="s">
        <v>88</v>
      </c>
      <c r="S1418" s="12" t="s">
        <v>4617</v>
      </c>
      <c r="T1418" s="14" t="s">
        <v>55</v>
      </c>
    </row>
    <row r="1419" spans="1:20" ht="16.5">
      <c r="A1419" s="17" t="s">
        <v>3658</v>
      </c>
      <c r="B1419" s="17" t="s">
        <v>487</v>
      </c>
      <c r="C1419" s="17" t="s">
        <v>488</v>
      </c>
      <c r="D1419" s="18" t="s">
        <v>5271</v>
      </c>
      <c r="E1419" s="17" t="s">
        <v>490</v>
      </c>
      <c r="F1419" s="17" t="s">
        <v>491</v>
      </c>
      <c r="G1419" s="18" t="s">
        <v>5272</v>
      </c>
      <c r="H1419" s="24" t="s">
        <v>584</v>
      </c>
      <c r="I1419" s="17" t="s">
        <v>494</v>
      </c>
      <c r="J1419" s="21">
        <v>1</v>
      </c>
      <c r="K1419" s="21" t="s">
        <v>4600</v>
      </c>
      <c r="L1419" s="21" t="s">
        <v>5273</v>
      </c>
      <c r="M1419" s="19" t="s">
        <v>5274</v>
      </c>
      <c r="N1419" s="19" t="s">
        <v>497</v>
      </c>
      <c r="O1419" s="19" t="s">
        <v>5275</v>
      </c>
      <c r="P1419" s="19" t="s">
        <v>5276</v>
      </c>
      <c r="Q1419" s="19" t="s">
        <v>500</v>
      </c>
      <c r="R1419" s="16" t="s">
        <v>54</v>
      </c>
      <c r="S1419" s="18" t="s">
        <v>4617</v>
      </c>
      <c r="T1419" s="21" t="s">
        <v>55</v>
      </c>
    </row>
    <row r="1420" spans="1:20" ht="16.5">
      <c r="A1420" s="11" t="s">
        <v>3658</v>
      </c>
      <c r="B1420" s="11" t="s">
        <v>487</v>
      </c>
      <c r="C1420" s="11" t="s">
        <v>204</v>
      </c>
      <c r="D1420" s="12" t="s">
        <v>4893</v>
      </c>
      <c r="E1420" s="11" t="s">
        <v>501</v>
      </c>
      <c r="F1420" s="11" t="s">
        <v>488</v>
      </c>
      <c r="G1420" s="12" t="s">
        <v>5271</v>
      </c>
      <c r="H1420" s="13" t="s">
        <v>5277</v>
      </c>
      <c r="I1420" s="11" t="s">
        <v>494</v>
      </c>
      <c r="J1420" s="14">
        <v>1</v>
      </c>
      <c r="K1420" s="14" t="s">
        <v>4600</v>
      </c>
      <c r="L1420" s="14" t="s">
        <v>5278</v>
      </c>
      <c r="M1420" s="15" t="s">
        <v>4896</v>
      </c>
      <c r="N1420" s="15" t="s">
        <v>504</v>
      </c>
      <c r="O1420" s="15" t="s">
        <v>5274</v>
      </c>
      <c r="P1420" s="15"/>
      <c r="Q1420" s="15" t="s">
        <v>211</v>
      </c>
      <c r="R1420" s="16" t="s">
        <v>54</v>
      </c>
      <c r="S1420" s="12" t="s">
        <v>4617</v>
      </c>
      <c r="T1420" s="14" t="s">
        <v>55</v>
      </c>
    </row>
    <row r="1421" spans="1:20" ht="29.25">
      <c r="A1421" s="17" t="s">
        <v>3658</v>
      </c>
      <c r="B1421" s="17" t="s">
        <v>487</v>
      </c>
      <c r="C1421" s="17" t="s">
        <v>491</v>
      </c>
      <c r="D1421" s="18" t="s">
        <v>5272</v>
      </c>
      <c r="E1421" s="17" t="s">
        <v>505</v>
      </c>
      <c r="F1421" s="17" t="s">
        <v>204</v>
      </c>
      <c r="G1421" s="18" t="s">
        <v>4893</v>
      </c>
      <c r="H1421" s="20" t="s">
        <v>5279</v>
      </c>
      <c r="I1421" s="17" t="s">
        <v>507</v>
      </c>
      <c r="J1421" s="21">
        <v>1</v>
      </c>
      <c r="K1421" s="21" t="s">
        <v>4600</v>
      </c>
      <c r="L1421" s="21" t="s">
        <v>5280</v>
      </c>
      <c r="M1421" s="19" t="s">
        <v>5275</v>
      </c>
      <c r="N1421" s="19" t="s">
        <v>509</v>
      </c>
      <c r="O1421" s="19" t="s">
        <v>4896</v>
      </c>
      <c r="P1421" s="19" t="s">
        <v>5276</v>
      </c>
      <c r="Q1421" s="18" t="s">
        <v>286</v>
      </c>
      <c r="R1421" s="22" t="s">
        <v>88</v>
      </c>
      <c r="S1421" s="18" t="s">
        <v>4617</v>
      </c>
      <c r="T1421" s="21" t="s">
        <v>55</v>
      </c>
    </row>
    <row r="1422" spans="1:20" ht="16.5">
      <c r="A1422" s="11" t="s">
        <v>3658</v>
      </c>
      <c r="B1422" s="11" t="s">
        <v>487</v>
      </c>
      <c r="C1422" s="11" t="s">
        <v>488</v>
      </c>
      <c r="D1422" s="12" t="s">
        <v>5281</v>
      </c>
      <c r="E1422" s="11" t="s">
        <v>490</v>
      </c>
      <c r="F1422" s="11" t="s">
        <v>491</v>
      </c>
      <c r="G1422" s="12" t="s">
        <v>5282</v>
      </c>
      <c r="H1422" s="23" t="s">
        <v>584</v>
      </c>
      <c r="I1422" s="11" t="s">
        <v>494</v>
      </c>
      <c r="J1422" s="14">
        <v>1</v>
      </c>
      <c r="K1422" s="14" t="s">
        <v>4600</v>
      </c>
      <c r="L1422" s="14" t="s">
        <v>5283</v>
      </c>
      <c r="M1422" s="15" t="s">
        <v>5284</v>
      </c>
      <c r="N1422" s="15" t="s">
        <v>497</v>
      </c>
      <c r="O1422" s="15" t="s">
        <v>5285</v>
      </c>
      <c r="P1422" s="15" t="s">
        <v>5286</v>
      </c>
      <c r="Q1422" s="15" t="s">
        <v>500</v>
      </c>
      <c r="R1422" s="16" t="s">
        <v>54</v>
      </c>
      <c r="S1422" s="12" t="s">
        <v>4617</v>
      </c>
      <c r="T1422" s="14" t="s">
        <v>55</v>
      </c>
    </row>
    <row r="1423" spans="1:20" ht="16.5">
      <c r="A1423" s="17" t="s">
        <v>3658</v>
      </c>
      <c r="B1423" s="17" t="s">
        <v>487</v>
      </c>
      <c r="C1423" s="17" t="s">
        <v>204</v>
      </c>
      <c r="D1423" s="18" t="s">
        <v>4878</v>
      </c>
      <c r="E1423" s="17" t="s">
        <v>501</v>
      </c>
      <c r="F1423" s="17" t="s">
        <v>488</v>
      </c>
      <c r="G1423" s="18" t="s">
        <v>5281</v>
      </c>
      <c r="H1423" s="20" t="s">
        <v>5287</v>
      </c>
      <c r="I1423" s="17" t="s">
        <v>494</v>
      </c>
      <c r="J1423" s="21">
        <v>1</v>
      </c>
      <c r="K1423" s="21" t="s">
        <v>4600</v>
      </c>
      <c r="L1423" s="21" t="s">
        <v>5288</v>
      </c>
      <c r="M1423" s="19" t="s">
        <v>4881</v>
      </c>
      <c r="N1423" s="19" t="s">
        <v>504</v>
      </c>
      <c r="O1423" s="19" t="s">
        <v>5284</v>
      </c>
      <c r="P1423" s="19"/>
      <c r="Q1423" s="19" t="s">
        <v>211</v>
      </c>
      <c r="R1423" s="16" t="s">
        <v>54</v>
      </c>
      <c r="S1423" s="18" t="s">
        <v>4617</v>
      </c>
      <c r="T1423" s="21" t="s">
        <v>55</v>
      </c>
    </row>
    <row r="1424" spans="1:20" ht="16.5">
      <c r="A1424" s="11" t="s">
        <v>3658</v>
      </c>
      <c r="B1424" s="11" t="s">
        <v>487</v>
      </c>
      <c r="C1424" s="11" t="s">
        <v>491</v>
      </c>
      <c r="D1424" s="12" t="s">
        <v>5282</v>
      </c>
      <c r="E1424" s="11" t="s">
        <v>505</v>
      </c>
      <c r="F1424" s="11" t="s">
        <v>204</v>
      </c>
      <c r="G1424" s="12" t="s">
        <v>4878</v>
      </c>
      <c r="H1424" s="13" t="s">
        <v>5289</v>
      </c>
      <c r="I1424" s="11" t="s">
        <v>507</v>
      </c>
      <c r="J1424" s="14">
        <v>1</v>
      </c>
      <c r="K1424" s="14" t="s">
        <v>4600</v>
      </c>
      <c r="L1424" s="14" t="s">
        <v>5290</v>
      </c>
      <c r="M1424" s="15" t="s">
        <v>5285</v>
      </c>
      <c r="N1424" s="15" t="s">
        <v>509</v>
      </c>
      <c r="O1424" s="15" t="s">
        <v>4881</v>
      </c>
      <c r="P1424" s="15" t="s">
        <v>5286</v>
      </c>
      <c r="Q1424" s="12" t="s">
        <v>286</v>
      </c>
      <c r="R1424" s="22" t="s">
        <v>88</v>
      </c>
      <c r="S1424" s="12" t="s">
        <v>4617</v>
      </c>
      <c r="T1424" s="14" t="s">
        <v>55</v>
      </c>
    </row>
    <row r="1425" spans="1:20" ht="16.5">
      <c r="A1425" s="17" t="s">
        <v>3658</v>
      </c>
      <c r="B1425" s="17" t="s">
        <v>487</v>
      </c>
      <c r="C1425" s="17" t="s">
        <v>62</v>
      </c>
      <c r="D1425" s="18" t="s">
        <v>4637</v>
      </c>
      <c r="E1425" s="17" t="s">
        <v>555</v>
      </c>
      <c r="F1425" s="17" t="s">
        <v>556</v>
      </c>
      <c r="G1425" s="18" t="s">
        <v>5291</v>
      </c>
      <c r="H1425" s="20" t="s">
        <v>5292</v>
      </c>
      <c r="I1425" s="17" t="s">
        <v>559</v>
      </c>
      <c r="J1425" s="21">
        <v>1</v>
      </c>
      <c r="K1425" s="21" t="s">
        <v>4600</v>
      </c>
      <c r="L1425" s="21" t="s">
        <v>5293</v>
      </c>
      <c r="M1425" s="19" t="s">
        <v>4640</v>
      </c>
      <c r="N1425" s="19" t="s">
        <v>561</v>
      </c>
      <c r="O1425" s="19" t="s">
        <v>5294</v>
      </c>
      <c r="P1425" s="19"/>
      <c r="Q1425" s="18" t="s">
        <v>53</v>
      </c>
      <c r="R1425" s="16" t="s">
        <v>54</v>
      </c>
      <c r="S1425" s="18" t="s">
        <v>4617</v>
      </c>
      <c r="T1425" s="21" t="s">
        <v>55</v>
      </c>
    </row>
    <row r="1426" spans="1:20" ht="16.5">
      <c r="A1426" s="11" t="s">
        <v>3658</v>
      </c>
      <c r="B1426" s="11" t="s">
        <v>487</v>
      </c>
      <c r="C1426" s="11" t="s">
        <v>62</v>
      </c>
      <c r="D1426" s="12" t="s">
        <v>4676</v>
      </c>
      <c r="E1426" s="11" t="s">
        <v>555</v>
      </c>
      <c r="F1426" s="11" t="s">
        <v>556</v>
      </c>
      <c r="G1426" s="12" t="s">
        <v>5291</v>
      </c>
      <c r="H1426" s="13" t="s">
        <v>5292</v>
      </c>
      <c r="I1426" s="11" t="s">
        <v>559</v>
      </c>
      <c r="J1426" s="14">
        <v>1</v>
      </c>
      <c r="K1426" s="14" t="s">
        <v>4600</v>
      </c>
      <c r="L1426" s="14" t="s">
        <v>5295</v>
      </c>
      <c r="M1426" s="15" t="s">
        <v>4679</v>
      </c>
      <c r="N1426" s="15" t="s">
        <v>561</v>
      </c>
      <c r="O1426" s="15" t="s">
        <v>5294</v>
      </c>
      <c r="P1426" s="15"/>
      <c r="Q1426" s="12" t="s">
        <v>53</v>
      </c>
      <c r="R1426" s="16" t="s">
        <v>54</v>
      </c>
      <c r="S1426" s="12" t="s">
        <v>4617</v>
      </c>
      <c r="T1426" s="14" t="s">
        <v>55</v>
      </c>
    </row>
    <row r="1427" spans="1:20" ht="16.5">
      <c r="A1427" s="17" t="s">
        <v>3658</v>
      </c>
      <c r="B1427" s="17" t="s">
        <v>487</v>
      </c>
      <c r="C1427" s="17" t="s">
        <v>62</v>
      </c>
      <c r="D1427" s="18" t="s">
        <v>4701</v>
      </c>
      <c r="E1427" s="17" t="s">
        <v>555</v>
      </c>
      <c r="F1427" s="17" t="s">
        <v>556</v>
      </c>
      <c r="G1427" s="18" t="s">
        <v>5291</v>
      </c>
      <c r="H1427" s="20" t="s">
        <v>5292</v>
      </c>
      <c r="I1427" s="17" t="s">
        <v>559</v>
      </c>
      <c r="J1427" s="21">
        <v>1</v>
      </c>
      <c r="K1427" s="21" t="s">
        <v>4600</v>
      </c>
      <c r="L1427" s="21" t="s">
        <v>5296</v>
      </c>
      <c r="M1427" s="19" t="s">
        <v>4704</v>
      </c>
      <c r="N1427" s="19" t="s">
        <v>561</v>
      </c>
      <c r="O1427" s="19" t="s">
        <v>5294</v>
      </c>
      <c r="P1427" s="19"/>
      <c r="Q1427" s="18" t="s">
        <v>53</v>
      </c>
      <c r="R1427" s="16" t="s">
        <v>54</v>
      </c>
      <c r="S1427" s="18" t="s">
        <v>4617</v>
      </c>
      <c r="T1427" s="21" t="s">
        <v>55</v>
      </c>
    </row>
    <row r="1428" spans="1:20" ht="33">
      <c r="A1428" s="11" t="s">
        <v>3658</v>
      </c>
      <c r="B1428" s="11" t="s">
        <v>564</v>
      </c>
      <c r="C1428" s="11" t="s">
        <v>204</v>
      </c>
      <c r="D1428" s="12" t="s">
        <v>4821</v>
      </c>
      <c r="E1428" s="11" t="s">
        <v>565</v>
      </c>
      <c r="F1428" s="11" t="s">
        <v>566</v>
      </c>
      <c r="G1428" s="12" t="s">
        <v>5297</v>
      </c>
      <c r="H1428" s="13" t="s">
        <v>5298</v>
      </c>
      <c r="I1428" s="11" t="s">
        <v>569</v>
      </c>
      <c r="J1428" s="14">
        <v>1</v>
      </c>
      <c r="K1428" s="14" t="s">
        <v>4600</v>
      </c>
      <c r="L1428" s="14" t="s">
        <v>5299</v>
      </c>
      <c r="M1428" s="15" t="s">
        <v>4824</v>
      </c>
      <c r="N1428" s="15" t="s">
        <v>571</v>
      </c>
      <c r="O1428" s="15" t="s">
        <v>5300</v>
      </c>
      <c r="P1428" s="15" t="s">
        <v>4825</v>
      </c>
      <c r="Q1428" s="12" t="s">
        <v>53</v>
      </c>
      <c r="R1428" s="16" t="s">
        <v>54</v>
      </c>
      <c r="S1428" s="12" t="s">
        <v>4617</v>
      </c>
      <c r="T1428" s="14" t="s">
        <v>55</v>
      </c>
    </row>
    <row r="1429" spans="1:20" ht="16.5">
      <c r="A1429" s="17" t="s">
        <v>3658</v>
      </c>
      <c r="B1429" s="17" t="s">
        <v>578</v>
      </c>
      <c r="C1429" s="17" t="s">
        <v>62</v>
      </c>
      <c r="D1429" s="18" t="s">
        <v>4065</v>
      </c>
      <c r="E1429" s="17" t="s">
        <v>45</v>
      </c>
      <c r="F1429" s="17" t="s">
        <v>62</v>
      </c>
      <c r="G1429" s="18" t="s">
        <v>4613</v>
      </c>
      <c r="H1429" s="20" t="s">
        <v>5301</v>
      </c>
      <c r="I1429" s="17" t="s">
        <v>5302</v>
      </c>
      <c r="J1429" s="21">
        <v>1</v>
      </c>
      <c r="K1429" s="21" t="s">
        <v>4600</v>
      </c>
      <c r="L1429" s="21" t="s">
        <v>5303</v>
      </c>
      <c r="M1429" s="19" t="s">
        <v>4068</v>
      </c>
      <c r="N1429" s="19" t="s">
        <v>51</v>
      </c>
      <c r="O1429" s="19" t="s">
        <v>4616</v>
      </c>
      <c r="P1429" s="19"/>
      <c r="Q1429" s="18" t="s">
        <v>53</v>
      </c>
      <c r="R1429" s="16" t="s">
        <v>54</v>
      </c>
      <c r="S1429" s="18" t="s">
        <v>4617</v>
      </c>
      <c r="T1429" s="21" t="s">
        <v>55</v>
      </c>
    </row>
    <row r="1430" spans="1:20" ht="16.5">
      <c r="A1430" s="11" t="s">
        <v>3658</v>
      </c>
      <c r="B1430" s="11" t="s">
        <v>578</v>
      </c>
      <c r="C1430" s="11" t="s">
        <v>1250</v>
      </c>
      <c r="D1430" s="12" t="s">
        <v>3606</v>
      </c>
      <c r="E1430" s="11" t="s">
        <v>1386</v>
      </c>
      <c r="F1430" s="11" t="s">
        <v>62</v>
      </c>
      <c r="G1430" s="12" t="s">
        <v>4613</v>
      </c>
      <c r="H1430" s="23" t="s">
        <v>5304</v>
      </c>
      <c r="I1430" s="11" t="s">
        <v>5302</v>
      </c>
      <c r="J1430" s="14">
        <v>1</v>
      </c>
      <c r="K1430" s="14" t="s">
        <v>4600</v>
      </c>
      <c r="L1430" s="14" t="s">
        <v>5305</v>
      </c>
      <c r="M1430" s="15" t="s">
        <v>3609</v>
      </c>
      <c r="N1430" s="15" t="s">
        <v>1390</v>
      </c>
      <c r="O1430" s="15" t="s">
        <v>4616</v>
      </c>
      <c r="P1430" s="15"/>
      <c r="Q1430" s="12" t="s">
        <v>53</v>
      </c>
      <c r="R1430" s="16" t="s">
        <v>54</v>
      </c>
      <c r="S1430" s="12" t="s">
        <v>4617</v>
      </c>
      <c r="T1430" s="14" t="s">
        <v>55</v>
      </c>
    </row>
    <row r="1431" spans="1:20" ht="16.5">
      <c r="A1431" s="17" t="s">
        <v>3658</v>
      </c>
      <c r="B1431" s="17" t="s">
        <v>578</v>
      </c>
      <c r="C1431" s="17" t="s">
        <v>300</v>
      </c>
      <c r="D1431" s="18" t="s">
        <v>4147</v>
      </c>
      <c r="E1431" s="17" t="s">
        <v>579</v>
      </c>
      <c r="F1431" s="17" t="s">
        <v>62</v>
      </c>
      <c r="G1431" s="18" t="s">
        <v>4637</v>
      </c>
      <c r="H1431" s="20" t="s">
        <v>5306</v>
      </c>
      <c r="I1431" s="17" t="s">
        <v>2767</v>
      </c>
      <c r="J1431" s="21">
        <v>1</v>
      </c>
      <c r="K1431" s="21" t="s">
        <v>4600</v>
      </c>
      <c r="L1431" s="21" t="s">
        <v>5307</v>
      </c>
      <c r="M1431" s="19" t="s">
        <v>4151</v>
      </c>
      <c r="N1431" s="19" t="s">
        <v>583</v>
      </c>
      <c r="O1431" s="19" t="s">
        <v>4640</v>
      </c>
      <c r="P1431" s="19"/>
      <c r="Q1431" s="18" t="s">
        <v>53</v>
      </c>
      <c r="R1431" s="16" t="s">
        <v>54</v>
      </c>
      <c r="S1431" s="18" t="s">
        <v>4617</v>
      </c>
      <c r="T1431" s="26" t="s">
        <v>673</v>
      </c>
    </row>
    <row r="1432" spans="1:20" ht="16.5">
      <c r="A1432" s="11" t="s">
        <v>3658</v>
      </c>
      <c r="B1432" s="11" t="s">
        <v>578</v>
      </c>
      <c r="C1432" s="11" t="s">
        <v>300</v>
      </c>
      <c r="D1432" s="12" t="s">
        <v>5308</v>
      </c>
      <c r="E1432" s="11" t="s">
        <v>589</v>
      </c>
      <c r="F1432" s="11" t="s">
        <v>62</v>
      </c>
      <c r="G1432" s="12" t="s">
        <v>4637</v>
      </c>
      <c r="H1432" s="13" t="s">
        <v>5309</v>
      </c>
      <c r="I1432" s="11" t="s">
        <v>591</v>
      </c>
      <c r="J1432" s="14">
        <v>1</v>
      </c>
      <c r="K1432" s="14" t="s">
        <v>4600</v>
      </c>
      <c r="L1432" s="14" t="s">
        <v>5310</v>
      </c>
      <c r="M1432" s="15" t="s">
        <v>5311</v>
      </c>
      <c r="N1432" s="15" t="s">
        <v>594</v>
      </c>
      <c r="O1432" s="15" t="s">
        <v>4640</v>
      </c>
      <c r="P1432" s="15"/>
      <c r="Q1432" s="12" t="s">
        <v>53</v>
      </c>
      <c r="R1432" s="16" t="s">
        <v>54</v>
      </c>
      <c r="S1432" s="12" t="s">
        <v>4617</v>
      </c>
      <c r="T1432" s="26" t="s">
        <v>673</v>
      </c>
    </row>
    <row r="1433" spans="1:20" ht="16.5">
      <c r="A1433" s="17" t="s">
        <v>3658</v>
      </c>
      <c r="B1433" s="17" t="s">
        <v>578</v>
      </c>
      <c r="C1433" s="17" t="s">
        <v>300</v>
      </c>
      <c r="D1433" s="18" t="s">
        <v>4990</v>
      </c>
      <c r="E1433" s="17" t="s">
        <v>579</v>
      </c>
      <c r="F1433" s="17" t="s">
        <v>62</v>
      </c>
      <c r="G1433" s="18" t="s">
        <v>4637</v>
      </c>
      <c r="H1433" s="24" t="s">
        <v>4842</v>
      </c>
      <c r="I1433" s="17" t="s">
        <v>2767</v>
      </c>
      <c r="J1433" s="21">
        <v>1</v>
      </c>
      <c r="K1433" s="21" t="s">
        <v>4600</v>
      </c>
      <c r="L1433" s="21" t="s">
        <v>5312</v>
      </c>
      <c r="M1433" s="19" t="s">
        <v>4993</v>
      </c>
      <c r="N1433" s="19" t="s">
        <v>583</v>
      </c>
      <c r="O1433" s="19" t="s">
        <v>4640</v>
      </c>
      <c r="P1433" s="19"/>
      <c r="Q1433" s="18" t="s">
        <v>53</v>
      </c>
      <c r="R1433" s="16" t="s">
        <v>54</v>
      </c>
      <c r="S1433" s="18" t="s">
        <v>4617</v>
      </c>
      <c r="T1433" s="26" t="s">
        <v>673</v>
      </c>
    </row>
    <row r="1434" spans="1:20" ht="16.5">
      <c r="A1434" s="11" t="s">
        <v>3658</v>
      </c>
      <c r="B1434" s="11" t="s">
        <v>578</v>
      </c>
      <c r="C1434" s="11" t="s">
        <v>62</v>
      </c>
      <c r="D1434" s="12" t="s">
        <v>4637</v>
      </c>
      <c r="E1434" s="11" t="s">
        <v>635</v>
      </c>
      <c r="F1434" s="11" t="s">
        <v>300</v>
      </c>
      <c r="G1434" s="12" t="s">
        <v>5313</v>
      </c>
      <c r="H1434" s="23" t="s">
        <v>584</v>
      </c>
      <c r="I1434" s="11" t="s">
        <v>2767</v>
      </c>
      <c r="J1434" s="14">
        <v>1</v>
      </c>
      <c r="K1434" s="14" t="s">
        <v>4600</v>
      </c>
      <c r="L1434" s="14" t="s">
        <v>5314</v>
      </c>
      <c r="M1434" s="15" t="s">
        <v>4640</v>
      </c>
      <c r="N1434" s="15" t="s">
        <v>640</v>
      </c>
      <c r="O1434" s="15" t="s">
        <v>5315</v>
      </c>
      <c r="P1434" s="15"/>
      <c r="Q1434" s="12" t="s">
        <v>53</v>
      </c>
      <c r="R1434" s="16" t="s">
        <v>54</v>
      </c>
      <c r="S1434" s="12" t="s">
        <v>4617</v>
      </c>
      <c r="T1434" s="14" t="s">
        <v>55</v>
      </c>
    </row>
    <row r="1435" spans="1:20" ht="16.5">
      <c r="A1435" s="17" t="s">
        <v>3658</v>
      </c>
      <c r="B1435" s="17" t="s">
        <v>578</v>
      </c>
      <c r="C1435" s="17" t="s">
        <v>300</v>
      </c>
      <c r="D1435" s="18" t="s">
        <v>5313</v>
      </c>
      <c r="E1435" s="17" t="s">
        <v>579</v>
      </c>
      <c r="F1435" s="17" t="s">
        <v>62</v>
      </c>
      <c r="G1435" s="18" t="s">
        <v>4676</v>
      </c>
      <c r="H1435" s="24" t="s">
        <v>584</v>
      </c>
      <c r="I1435" s="17" t="s">
        <v>2771</v>
      </c>
      <c r="J1435" s="21">
        <v>1</v>
      </c>
      <c r="K1435" s="21" t="s">
        <v>4600</v>
      </c>
      <c r="L1435" s="21" t="s">
        <v>5316</v>
      </c>
      <c r="M1435" s="19" t="s">
        <v>5315</v>
      </c>
      <c r="N1435" s="19" t="s">
        <v>583</v>
      </c>
      <c r="O1435" s="19" t="s">
        <v>4679</v>
      </c>
      <c r="P1435" s="19"/>
      <c r="Q1435" s="18" t="s">
        <v>53</v>
      </c>
      <c r="R1435" s="16" t="s">
        <v>54</v>
      </c>
      <c r="S1435" s="18" t="s">
        <v>4617</v>
      </c>
      <c r="T1435" s="26" t="s">
        <v>673</v>
      </c>
    </row>
    <row r="1436" spans="1:20" ht="16.5">
      <c r="A1436" s="11" t="s">
        <v>3658</v>
      </c>
      <c r="B1436" s="11" t="s">
        <v>578</v>
      </c>
      <c r="C1436" s="11" t="s">
        <v>62</v>
      </c>
      <c r="D1436" s="12" t="s">
        <v>4676</v>
      </c>
      <c r="E1436" s="11" t="s">
        <v>612</v>
      </c>
      <c r="F1436" s="11" t="s">
        <v>300</v>
      </c>
      <c r="G1436" s="12" t="s">
        <v>5317</v>
      </c>
      <c r="H1436" s="23" t="s">
        <v>4852</v>
      </c>
      <c r="I1436" s="11" t="s">
        <v>614</v>
      </c>
      <c r="J1436" s="14">
        <v>1</v>
      </c>
      <c r="K1436" s="14" t="s">
        <v>4600</v>
      </c>
      <c r="L1436" s="14" t="s">
        <v>5318</v>
      </c>
      <c r="M1436" s="15" t="s">
        <v>4679</v>
      </c>
      <c r="N1436" s="15" t="s">
        <v>616</v>
      </c>
      <c r="O1436" s="15" t="s">
        <v>5319</v>
      </c>
      <c r="P1436" s="15"/>
      <c r="Q1436" s="12" t="s">
        <v>53</v>
      </c>
      <c r="R1436" s="16" t="s">
        <v>54</v>
      </c>
      <c r="S1436" s="12" t="s">
        <v>4617</v>
      </c>
      <c r="T1436" s="14" t="s">
        <v>55</v>
      </c>
    </row>
    <row r="1437" spans="1:20" ht="16.5">
      <c r="A1437" s="17" t="s">
        <v>3658</v>
      </c>
      <c r="B1437" s="17" t="s">
        <v>578</v>
      </c>
      <c r="C1437" s="17" t="s">
        <v>62</v>
      </c>
      <c r="D1437" s="18" t="s">
        <v>4676</v>
      </c>
      <c r="E1437" s="17" t="s">
        <v>612</v>
      </c>
      <c r="F1437" s="17" t="s">
        <v>300</v>
      </c>
      <c r="G1437" s="18" t="s">
        <v>5320</v>
      </c>
      <c r="H1437" s="24" t="s">
        <v>584</v>
      </c>
      <c r="I1437" s="17" t="s">
        <v>614</v>
      </c>
      <c r="J1437" s="21">
        <v>1</v>
      </c>
      <c r="K1437" s="21" t="s">
        <v>4600</v>
      </c>
      <c r="L1437" s="21" t="s">
        <v>5321</v>
      </c>
      <c r="M1437" s="19" t="s">
        <v>4679</v>
      </c>
      <c r="N1437" s="19" t="s">
        <v>616</v>
      </c>
      <c r="O1437" s="19" t="s">
        <v>5322</v>
      </c>
      <c r="P1437" s="19"/>
      <c r="Q1437" s="18" t="s">
        <v>53</v>
      </c>
      <c r="R1437" s="16" t="s">
        <v>54</v>
      </c>
      <c r="S1437" s="18" t="s">
        <v>4617</v>
      </c>
      <c r="T1437" s="26" t="s">
        <v>673</v>
      </c>
    </row>
    <row r="1438" spans="1:20" ht="16.5">
      <c r="A1438" s="11" t="s">
        <v>3658</v>
      </c>
      <c r="B1438" s="11" t="s">
        <v>578</v>
      </c>
      <c r="C1438" s="11" t="s">
        <v>300</v>
      </c>
      <c r="D1438" s="12" t="s">
        <v>5317</v>
      </c>
      <c r="E1438" s="11" t="s">
        <v>579</v>
      </c>
      <c r="F1438" s="11" t="s">
        <v>62</v>
      </c>
      <c r="G1438" s="12" t="s">
        <v>4701</v>
      </c>
      <c r="H1438" s="23" t="s">
        <v>584</v>
      </c>
      <c r="I1438" s="11" t="s">
        <v>2771</v>
      </c>
      <c r="J1438" s="14">
        <v>1</v>
      </c>
      <c r="K1438" s="14" t="s">
        <v>4600</v>
      </c>
      <c r="L1438" s="14" t="s">
        <v>5323</v>
      </c>
      <c r="M1438" s="15" t="s">
        <v>5319</v>
      </c>
      <c r="N1438" s="15" t="s">
        <v>583</v>
      </c>
      <c r="O1438" s="15" t="s">
        <v>4704</v>
      </c>
      <c r="P1438" s="15"/>
      <c r="Q1438" s="12" t="s">
        <v>53</v>
      </c>
      <c r="R1438" s="16" t="s">
        <v>54</v>
      </c>
      <c r="S1438" s="12" t="s">
        <v>4617</v>
      </c>
      <c r="T1438" s="14" t="s">
        <v>55</v>
      </c>
    </row>
    <row r="1439" spans="1:20" ht="16.5">
      <c r="A1439" s="17" t="s">
        <v>3658</v>
      </c>
      <c r="B1439" s="17" t="s">
        <v>578</v>
      </c>
      <c r="C1439" s="17" t="s">
        <v>300</v>
      </c>
      <c r="D1439" s="18" t="s">
        <v>4990</v>
      </c>
      <c r="E1439" s="17" t="s">
        <v>579</v>
      </c>
      <c r="F1439" s="17" t="s">
        <v>62</v>
      </c>
      <c r="G1439" s="18" t="s">
        <v>4701</v>
      </c>
      <c r="H1439" s="20" t="s">
        <v>5324</v>
      </c>
      <c r="I1439" s="17" t="s">
        <v>2771</v>
      </c>
      <c r="J1439" s="21">
        <v>1</v>
      </c>
      <c r="K1439" s="21" t="s">
        <v>4600</v>
      </c>
      <c r="L1439" s="21" t="s">
        <v>5325</v>
      </c>
      <c r="M1439" s="19" t="s">
        <v>4993</v>
      </c>
      <c r="N1439" s="19" t="s">
        <v>583</v>
      </c>
      <c r="O1439" s="19" t="s">
        <v>4704</v>
      </c>
      <c r="P1439" s="19"/>
      <c r="Q1439" s="18" t="s">
        <v>53</v>
      </c>
      <c r="R1439" s="16" t="s">
        <v>54</v>
      </c>
      <c r="S1439" s="18" t="s">
        <v>4617</v>
      </c>
      <c r="T1439" s="21" t="s">
        <v>55</v>
      </c>
    </row>
    <row r="1440" spans="1:20" ht="16.5">
      <c r="A1440" s="11" t="s">
        <v>3658</v>
      </c>
      <c r="B1440" s="11" t="s">
        <v>578</v>
      </c>
      <c r="C1440" s="11" t="s">
        <v>62</v>
      </c>
      <c r="D1440" s="12" t="s">
        <v>4701</v>
      </c>
      <c r="E1440" s="11" t="s">
        <v>612</v>
      </c>
      <c r="F1440" s="11" t="s">
        <v>300</v>
      </c>
      <c r="G1440" s="15" t="s">
        <v>4994</v>
      </c>
      <c r="H1440" s="13" t="s">
        <v>5326</v>
      </c>
      <c r="I1440" s="11" t="s">
        <v>614</v>
      </c>
      <c r="J1440" s="14">
        <v>1</v>
      </c>
      <c r="K1440" s="14" t="s">
        <v>4600</v>
      </c>
      <c r="L1440" s="14" t="s">
        <v>5327</v>
      </c>
      <c r="M1440" s="15" t="s">
        <v>4704</v>
      </c>
      <c r="N1440" s="15" t="s">
        <v>616</v>
      </c>
      <c r="O1440" s="15" t="s">
        <v>4997</v>
      </c>
      <c r="P1440" s="15"/>
      <c r="Q1440" s="12" t="s">
        <v>53</v>
      </c>
      <c r="R1440" s="16" t="s">
        <v>54</v>
      </c>
      <c r="S1440" s="12" t="s">
        <v>4617</v>
      </c>
      <c r="T1440" s="26" t="s">
        <v>673</v>
      </c>
    </row>
    <row r="1441" spans="1:20" ht="16.5">
      <c r="A1441" s="17" t="s">
        <v>3658</v>
      </c>
      <c r="B1441" s="17" t="s">
        <v>578</v>
      </c>
      <c r="C1441" s="17" t="s">
        <v>62</v>
      </c>
      <c r="D1441" s="18" t="s">
        <v>4701</v>
      </c>
      <c r="E1441" s="17" t="s">
        <v>612</v>
      </c>
      <c r="F1441" s="17" t="s">
        <v>300</v>
      </c>
      <c r="G1441" s="18" t="s">
        <v>5320</v>
      </c>
      <c r="H1441" s="24" t="s">
        <v>584</v>
      </c>
      <c r="I1441" s="17" t="s">
        <v>614</v>
      </c>
      <c r="J1441" s="21">
        <v>1</v>
      </c>
      <c r="K1441" s="21" t="s">
        <v>4600</v>
      </c>
      <c r="L1441" s="21" t="s">
        <v>5328</v>
      </c>
      <c r="M1441" s="19" t="s">
        <v>4704</v>
      </c>
      <c r="N1441" s="19" t="s">
        <v>616</v>
      </c>
      <c r="O1441" s="19" t="s">
        <v>5322</v>
      </c>
      <c r="P1441" s="19"/>
      <c r="Q1441" s="18" t="s">
        <v>53</v>
      </c>
      <c r="R1441" s="16" t="s">
        <v>54</v>
      </c>
      <c r="S1441" s="18" t="s">
        <v>4617</v>
      </c>
      <c r="T1441" s="21" t="s">
        <v>55</v>
      </c>
    </row>
    <row r="1442" spans="1:20" ht="16.5">
      <c r="A1442" s="11" t="s">
        <v>3658</v>
      </c>
      <c r="B1442" s="11" t="s">
        <v>578</v>
      </c>
      <c r="C1442" s="11" t="s">
        <v>300</v>
      </c>
      <c r="D1442" s="15" t="s">
        <v>4994</v>
      </c>
      <c r="E1442" s="11" t="s">
        <v>579</v>
      </c>
      <c r="F1442" s="11" t="s">
        <v>62</v>
      </c>
      <c r="G1442" s="12" t="s">
        <v>4741</v>
      </c>
      <c r="H1442" s="23" t="s">
        <v>584</v>
      </c>
      <c r="I1442" s="11" t="s">
        <v>5329</v>
      </c>
      <c r="J1442" s="14">
        <v>1</v>
      </c>
      <c r="K1442" s="14" t="s">
        <v>4600</v>
      </c>
      <c r="L1442" s="14" t="s">
        <v>5330</v>
      </c>
      <c r="M1442" s="15" t="s">
        <v>4997</v>
      </c>
      <c r="N1442" s="15" t="s">
        <v>583</v>
      </c>
      <c r="O1442" s="15" t="s">
        <v>4744</v>
      </c>
      <c r="P1442" s="15"/>
      <c r="Q1442" s="12" t="s">
        <v>53</v>
      </c>
      <c r="R1442" s="16" t="s">
        <v>54</v>
      </c>
      <c r="S1442" s="12" t="s">
        <v>4617</v>
      </c>
      <c r="T1442" s="14" t="s">
        <v>55</v>
      </c>
    </row>
    <row r="1443" spans="1:20" ht="16.5">
      <c r="A1443" s="17" t="s">
        <v>3658</v>
      </c>
      <c r="B1443" s="17" t="s">
        <v>578</v>
      </c>
      <c r="C1443" s="17" t="s">
        <v>62</v>
      </c>
      <c r="D1443" s="18" t="s">
        <v>4741</v>
      </c>
      <c r="E1443" s="17" t="s">
        <v>45</v>
      </c>
      <c r="F1443" s="17" t="s">
        <v>62</v>
      </c>
      <c r="G1443" s="18" t="s">
        <v>4757</v>
      </c>
      <c r="H1443" s="24" t="s">
        <v>584</v>
      </c>
      <c r="I1443" s="17" t="s">
        <v>5329</v>
      </c>
      <c r="J1443" s="21">
        <v>1</v>
      </c>
      <c r="K1443" s="21" t="s">
        <v>4600</v>
      </c>
      <c r="L1443" s="21" t="s">
        <v>5331</v>
      </c>
      <c r="M1443" s="19" t="s">
        <v>4744</v>
      </c>
      <c r="N1443" s="19" t="s">
        <v>51</v>
      </c>
      <c r="O1443" s="19" t="s">
        <v>4760</v>
      </c>
      <c r="P1443" s="19"/>
      <c r="Q1443" s="18" t="s">
        <v>53</v>
      </c>
      <c r="R1443" s="16" t="s">
        <v>54</v>
      </c>
      <c r="S1443" s="18" t="s">
        <v>4617</v>
      </c>
      <c r="T1443" s="21" t="s">
        <v>55</v>
      </c>
    </row>
    <row r="1444" spans="1:20" ht="16.5">
      <c r="A1444" s="11" t="s">
        <v>3658</v>
      </c>
      <c r="B1444" s="11" t="s">
        <v>578</v>
      </c>
      <c r="C1444" s="11" t="s">
        <v>62</v>
      </c>
      <c r="D1444" s="12" t="s">
        <v>4757</v>
      </c>
      <c r="E1444" s="11" t="s">
        <v>45</v>
      </c>
      <c r="F1444" s="11" t="s">
        <v>62</v>
      </c>
      <c r="G1444" s="12" t="s">
        <v>4779</v>
      </c>
      <c r="H1444" s="23" t="s">
        <v>584</v>
      </c>
      <c r="I1444" s="11" t="s">
        <v>2130</v>
      </c>
      <c r="J1444" s="14">
        <v>1</v>
      </c>
      <c r="K1444" s="14" t="s">
        <v>4600</v>
      </c>
      <c r="L1444" s="14" t="s">
        <v>5332</v>
      </c>
      <c r="M1444" s="15" t="s">
        <v>4760</v>
      </c>
      <c r="N1444" s="15" t="s">
        <v>51</v>
      </c>
      <c r="O1444" s="15" t="s">
        <v>4782</v>
      </c>
      <c r="P1444" s="15"/>
      <c r="Q1444" s="12" t="s">
        <v>649</v>
      </c>
      <c r="R1444" s="22" t="s">
        <v>88</v>
      </c>
      <c r="S1444" s="12" t="s">
        <v>4617</v>
      </c>
      <c r="T1444" s="14" t="s">
        <v>55</v>
      </c>
    </row>
    <row r="1445" spans="1:20" ht="16.5">
      <c r="A1445" s="17" t="s">
        <v>3658</v>
      </c>
      <c r="B1445" s="17" t="s">
        <v>578</v>
      </c>
      <c r="C1445" s="17" t="s">
        <v>62</v>
      </c>
      <c r="D1445" s="18" t="s">
        <v>4779</v>
      </c>
      <c r="E1445" s="17" t="s">
        <v>45</v>
      </c>
      <c r="F1445" s="17" t="s">
        <v>62</v>
      </c>
      <c r="G1445" s="19" t="s">
        <v>5333</v>
      </c>
      <c r="H1445" s="20" t="s">
        <v>5334</v>
      </c>
      <c r="I1445" s="17" t="s">
        <v>43</v>
      </c>
      <c r="J1445" s="21">
        <v>1</v>
      </c>
      <c r="K1445" s="21" t="s">
        <v>4600</v>
      </c>
      <c r="L1445" s="21" t="s">
        <v>5335</v>
      </c>
      <c r="M1445" s="19" t="s">
        <v>4782</v>
      </c>
      <c r="N1445" s="19" t="s">
        <v>51</v>
      </c>
      <c r="O1445" s="19" t="s">
        <v>5336</v>
      </c>
      <c r="P1445" s="19"/>
      <c r="Q1445" s="18" t="s">
        <v>53</v>
      </c>
      <c r="R1445" s="16" t="s">
        <v>54</v>
      </c>
      <c r="S1445" s="18" t="s">
        <v>4617</v>
      </c>
      <c r="T1445" s="26" t="s">
        <v>673</v>
      </c>
    </row>
    <row r="1446" spans="1:20" ht="16.5">
      <c r="A1446" s="11" t="s">
        <v>3658</v>
      </c>
      <c r="B1446" s="11" t="s">
        <v>578</v>
      </c>
      <c r="C1446" s="11" t="s">
        <v>300</v>
      </c>
      <c r="D1446" s="12" t="s">
        <v>5320</v>
      </c>
      <c r="E1446" s="11" t="s">
        <v>579</v>
      </c>
      <c r="F1446" s="11" t="s">
        <v>62</v>
      </c>
      <c r="G1446" s="12" t="s">
        <v>4787</v>
      </c>
      <c r="H1446" s="23" t="s">
        <v>584</v>
      </c>
      <c r="I1446" s="11" t="s">
        <v>614</v>
      </c>
      <c r="J1446" s="14">
        <v>1</v>
      </c>
      <c r="K1446" s="14" t="s">
        <v>4600</v>
      </c>
      <c r="L1446" s="14" t="s">
        <v>5337</v>
      </c>
      <c r="M1446" s="15" t="s">
        <v>5322</v>
      </c>
      <c r="N1446" s="15" t="s">
        <v>583</v>
      </c>
      <c r="O1446" s="15" t="s">
        <v>4790</v>
      </c>
      <c r="P1446" s="15"/>
      <c r="Q1446" s="12" t="s">
        <v>53</v>
      </c>
      <c r="R1446" s="16" t="s">
        <v>54</v>
      </c>
      <c r="S1446" s="12" t="s">
        <v>4617</v>
      </c>
      <c r="T1446" s="14" t="s">
        <v>55</v>
      </c>
    </row>
    <row r="1447" spans="1:20" ht="16.5">
      <c r="A1447" s="17" t="s">
        <v>3658</v>
      </c>
      <c r="B1447" s="17" t="s">
        <v>578</v>
      </c>
      <c r="C1447" s="17" t="s">
        <v>62</v>
      </c>
      <c r="D1447" s="18" t="s">
        <v>4787</v>
      </c>
      <c r="E1447" s="17" t="s">
        <v>45</v>
      </c>
      <c r="F1447" s="17" t="s">
        <v>62</v>
      </c>
      <c r="G1447" s="18" t="s">
        <v>4726</v>
      </c>
      <c r="H1447" s="24" t="s">
        <v>584</v>
      </c>
      <c r="I1447" s="17" t="s">
        <v>2758</v>
      </c>
      <c r="J1447" s="21">
        <v>1</v>
      </c>
      <c r="K1447" s="21" t="s">
        <v>4600</v>
      </c>
      <c r="L1447" s="21" t="s">
        <v>5338</v>
      </c>
      <c r="M1447" s="19" t="s">
        <v>4790</v>
      </c>
      <c r="N1447" s="19" t="s">
        <v>51</v>
      </c>
      <c r="O1447" s="19" t="s">
        <v>4729</v>
      </c>
      <c r="P1447" s="19"/>
      <c r="Q1447" s="18" t="s">
        <v>53</v>
      </c>
      <c r="R1447" s="16" t="s">
        <v>54</v>
      </c>
      <c r="S1447" s="18" t="s">
        <v>4617</v>
      </c>
      <c r="T1447" s="21" t="s">
        <v>55</v>
      </c>
    </row>
    <row r="1448" spans="1:20" ht="16.5">
      <c r="A1448" s="11" t="s">
        <v>3658</v>
      </c>
      <c r="B1448" s="11" t="s">
        <v>578</v>
      </c>
      <c r="C1448" s="11" t="s">
        <v>300</v>
      </c>
      <c r="D1448" s="12" t="s">
        <v>630</v>
      </c>
      <c r="E1448" s="11" t="s">
        <v>589</v>
      </c>
      <c r="F1448" s="11" t="s">
        <v>62</v>
      </c>
      <c r="G1448" s="12" t="s">
        <v>4726</v>
      </c>
      <c r="H1448" s="23" t="s">
        <v>4867</v>
      </c>
      <c r="I1448" s="11" t="s">
        <v>2758</v>
      </c>
      <c r="J1448" s="14">
        <v>1</v>
      </c>
      <c r="K1448" s="14" t="s">
        <v>4600</v>
      </c>
      <c r="L1448" s="14" t="s">
        <v>5339</v>
      </c>
      <c r="M1448" s="15" t="s">
        <v>634</v>
      </c>
      <c r="N1448" s="15" t="s">
        <v>594</v>
      </c>
      <c r="O1448" s="15" t="s">
        <v>4729</v>
      </c>
      <c r="P1448" s="15"/>
      <c r="Q1448" s="12" t="s">
        <v>53</v>
      </c>
      <c r="R1448" s="16" t="s">
        <v>54</v>
      </c>
      <c r="S1448" s="12" t="s">
        <v>4617</v>
      </c>
      <c r="T1448" s="14" t="s">
        <v>55</v>
      </c>
    </row>
    <row r="1449" spans="1:20" ht="16.5">
      <c r="A1449" s="17" t="s">
        <v>3658</v>
      </c>
      <c r="B1449" s="17" t="s">
        <v>578</v>
      </c>
      <c r="C1449" s="17" t="s">
        <v>62</v>
      </c>
      <c r="D1449" s="18" t="s">
        <v>4726</v>
      </c>
      <c r="E1449" s="17" t="s">
        <v>612</v>
      </c>
      <c r="F1449" s="17" t="s">
        <v>300</v>
      </c>
      <c r="G1449" s="18" t="s">
        <v>5340</v>
      </c>
      <c r="H1449" s="24" t="s">
        <v>584</v>
      </c>
      <c r="I1449" s="17" t="s">
        <v>614</v>
      </c>
      <c r="J1449" s="21">
        <v>1</v>
      </c>
      <c r="K1449" s="21" t="s">
        <v>4600</v>
      </c>
      <c r="L1449" s="21" t="s">
        <v>5341</v>
      </c>
      <c r="M1449" s="19" t="s">
        <v>4729</v>
      </c>
      <c r="N1449" s="19" t="s">
        <v>616</v>
      </c>
      <c r="O1449" s="19" t="s">
        <v>5342</v>
      </c>
      <c r="P1449" s="19"/>
      <c r="Q1449" s="18" t="s">
        <v>649</v>
      </c>
      <c r="R1449" s="22" t="s">
        <v>88</v>
      </c>
      <c r="S1449" s="18" t="s">
        <v>4617</v>
      </c>
      <c r="T1449" s="21" t="s">
        <v>55</v>
      </c>
    </row>
    <row r="1450" spans="1:20" ht="16.5">
      <c r="A1450" s="11" t="s">
        <v>3658</v>
      </c>
      <c r="B1450" s="11" t="s">
        <v>578</v>
      </c>
      <c r="C1450" s="11" t="s">
        <v>62</v>
      </c>
      <c r="D1450" s="12" t="s">
        <v>4726</v>
      </c>
      <c r="E1450" s="11" t="s">
        <v>612</v>
      </c>
      <c r="F1450" s="11" t="s">
        <v>300</v>
      </c>
      <c r="G1450" s="12" t="s">
        <v>5343</v>
      </c>
      <c r="H1450" s="23" t="s">
        <v>584</v>
      </c>
      <c r="I1450" s="11" t="s">
        <v>614</v>
      </c>
      <c r="J1450" s="14">
        <v>1</v>
      </c>
      <c r="K1450" s="14" t="s">
        <v>4600</v>
      </c>
      <c r="L1450" s="14" t="s">
        <v>5344</v>
      </c>
      <c r="M1450" s="15" t="s">
        <v>4729</v>
      </c>
      <c r="N1450" s="15" t="s">
        <v>616</v>
      </c>
      <c r="O1450" s="15" t="s">
        <v>5345</v>
      </c>
      <c r="P1450" s="15"/>
      <c r="Q1450" s="12" t="s">
        <v>53</v>
      </c>
      <c r="R1450" s="16" t="s">
        <v>54</v>
      </c>
      <c r="S1450" s="12" t="s">
        <v>4617</v>
      </c>
      <c r="T1450" s="14" t="s">
        <v>55</v>
      </c>
    </row>
    <row r="1451" spans="1:20" ht="16.5">
      <c r="A1451" s="17" t="s">
        <v>3658</v>
      </c>
      <c r="B1451" s="17" t="s">
        <v>578</v>
      </c>
      <c r="C1451" s="17" t="s">
        <v>300</v>
      </c>
      <c r="D1451" s="18" t="s">
        <v>5343</v>
      </c>
      <c r="E1451" s="17" t="s">
        <v>579</v>
      </c>
      <c r="F1451" s="17" t="s">
        <v>62</v>
      </c>
      <c r="G1451" s="18" t="s">
        <v>4802</v>
      </c>
      <c r="H1451" s="24" t="s">
        <v>584</v>
      </c>
      <c r="I1451" s="17" t="s">
        <v>614</v>
      </c>
      <c r="J1451" s="21">
        <v>1</v>
      </c>
      <c r="K1451" s="21" t="s">
        <v>4600</v>
      </c>
      <c r="L1451" s="21" t="s">
        <v>5346</v>
      </c>
      <c r="M1451" s="19" t="s">
        <v>5345</v>
      </c>
      <c r="N1451" s="19" t="s">
        <v>583</v>
      </c>
      <c r="O1451" s="19" t="s">
        <v>4805</v>
      </c>
      <c r="P1451" s="19"/>
      <c r="Q1451" s="18" t="s">
        <v>53</v>
      </c>
      <c r="R1451" s="16" t="s">
        <v>54</v>
      </c>
      <c r="S1451" s="18" t="s">
        <v>4617</v>
      </c>
      <c r="T1451" s="21" t="s">
        <v>55</v>
      </c>
    </row>
    <row r="1452" spans="1:20" ht="16.5">
      <c r="A1452" s="11" t="s">
        <v>3658</v>
      </c>
      <c r="B1452" s="11" t="s">
        <v>578</v>
      </c>
      <c r="C1452" s="11" t="s">
        <v>62</v>
      </c>
      <c r="D1452" s="12" t="s">
        <v>4802</v>
      </c>
      <c r="E1452" s="11" t="s">
        <v>45</v>
      </c>
      <c r="F1452" s="11" t="s">
        <v>62</v>
      </c>
      <c r="G1452" s="12" t="s">
        <v>4654</v>
      </c>
      <c r="H1452" s="13" t="s">
        <v>5347</v>
      </c>
      <c r="I1452" s="11" t="s">
        <v>1015</v>
      </c>
      <c r="J1452" s="14">
        <v>1</v>
      </c>
      <c r="K1452" s="14" t="s">
        <v>4600</v>
      </c>
      <c r="L1452" s="14" t="s">
        <v>5348</v>
      </c>
      <c r="M1452" s="15" t="s">
        <v>4805</v>
      </c>
      <c r="N1452" s="15" t="s">
        <v>51</v>
      </c>
      <c r="O1452" s="15" t="s">
        <v>4657</v>
      </c>
      <c r="P1452" s="15"/>
      <c r="Q1452" s="12" t="s">
        <v>53</v>
      </c>
      <c r="R1452" s="16" t="s">
        <v>54</v>
      </c>
      <c r="S1452" s="12" t="s">
        <v>4617</v>
      </c>
      <c r="T1452" s="14" t="s">
        <v>55</v>
      </c>
    </row>
    <row r="1453" spans="1:20" ht="16.5">
      <c r="A1453" s="17" t="s">
        <v>3658</v>
      </c>
      <c r="B1453" s="17" t="s">
        <v>578</v>
      </c>
      <c r="C1453" s="17" t="s">
        <v>300</v>
      </c>
      <c r="D1453" s="18" t="s">
        <v>1018</v>
      </c>
      <c r="E1453" s="17" t="s">
        <v>579</v>
      </c>
      <c r="F1453" s="17" t="s">
        <v>62</v>
      </c>
      <c r="G1453" s="18" t="s">
        <v>4654</v>
      </c>
      <c r="H1453" s="20" t="s">
        <v>5349</v>
      </c>
      <c r="I1453" s="17" t="s">
        <v>1015</v>
      </c>
      <c r="J1453" s="21">
        <v>1</v>
      </c>
      <c r="K1453" s="21" t="s">
        <v>4600</v>
      </c>
      <c r="L1453" s="21" t="s">
        <v>5350</v>
      </c>
      <c r="M1453" s="19" t="s">
        <v>1021</v>
      </c>
      <c r="N1453" s="19" t="s">
        <v>583</v>
      </c>
      <c r="O1453" s="19" t="s">
        <v>4657</v>
      </c>
      <c r="P1453" s="19"/>
      <c r="Q1453" s="18" t="s">
        <v>53</v>
      </c>
      <c r="R1453" s="16" t="s">
        <v>54</v>
      </c>
      <c r="S1453" s="18" t="s">
        <v>4617</v>
      </c>
      <c r="T1453" s="21" t="s">
        <v>55</v>
      </c>
    </row>
    <row r="1454" spans="1:20" ht="16.5">
      <c r="A1454" s="11" t="s">
        <v>3658</v>
      </c>
      <c r="B1454" s="11" t="s">
        <v>578</v>
      </c>
      <c r="C1454" s="11" t="s">
        <v>62</v>
      </c>
      <c r="D1454" s="12" t="s">
        <v>4654</v>
      </c>
      <c r="E1454" s="11" t="s">
        <v>635</v>
      </c>
      <c r="F1454" s="11" t="s">
        <v>300</v>
      </c>
      <c r="G1454" s="12" t="s">
        <v>4990</v>
      </c>
      <c r="H1454" s="23" t="s">
        <v>584</v>
      </c>
      <c r="I1454" s="11" t="s">
        <v>5351</v>
      </c>
      <c r="J1454" s="14">
        <v>1</v>
      </c>
      <c r="K1454" s="14" t="s">
        <v>4600</v>
      </c>
      <c r="L1454" s="14" t="s">
        <v>5352</v>
      </c>
      <c r="M1454" s="15" t="s">
        <v>4657</v>
      </c>
      <c r="N1454" s="15" t="s">
        <v>640</v>
      </c>
      <c r="O1454" s="15" t="s">
        <v>4993</v>
      </c>
      <c r="P1454" s="15"/>
      <c r="Q1454" s="12" t="s">
        <v>53</v>
      </c>
      <c r="R1454" s="16" t="s">
        <v>54</v>
      </c>
      <c r="S1454" s="12" t="s">
        <v>4617</v>
      </c>
      <c r="T1454" s="14" t="s">
        <v>55</v>
      </c>
    </row>
    <row r="1455" spans="1:20" ht="16.5">
      <c r="A1455" s="17" t="s">
        <v>3658</v>
      </c>
      <c r="B1455" s="17" t="s">
        <v>578</v>
      </c>
      <c r="C1455" s="17" t="s">
        <v>62</v>
      </c>
      <c r="D1455" s="18" t="s">
        <v>4629</v>
      </c>
      <c r="E1455" s="17" t="s">
        <v>45</v>
      </c>
      <c r="F1455" s="17" t="s">
        <v>62</v>
      </c>
      <c r="G1455" s="18" t="s">
        <v>4637</v>
      </c>
      <c r="H1455" s="24" t="s">
        <v>584</v>
      </c>
      <c r="I1455" s="17" t="s">
        <v>591</v>
      </c>
      <c r="J1455" s="21">
        <v>1</v>
      </c>
      <c r="K1455" s="21" t="s">
        <v>4600</v>
      </c>
      <c r="L1455" s="21" t="s">
        <v>5353</v>
      </c>
      <c r="M1455" s="19" t="s">
        <v>4632</v>
      </c>
      <c r="N1455" s="19" t="s">
        <v>51</v>
      </c>
      <c r="O1455" s="19" t="s">
        <v>4640</v>
      </c>
      <c r="P1455" s="19"/>
      <c r="Q1455" s="18" t="s">
        <v>53</v>
      </c>
      <c r="R1455" s="16" t="s">
        <v>54</v>
      </c>
      <c r="S1455" s="18" t="s">
        <v>4617</v>
      </c>
      <c r="T1455" s="21" t="s">
        <v>55</v>
      </c>
    </row>
    <row r="1456" spans="1:20" ht="16.5">
      <c r="A1456" s="11" t="s">
        <v>3658</v>
      </c>
      <c r="B1456" s="11" t="s">
        <v>578</v>
      </c>
      <c r="C1456" s="11" t="s">
        <v>300</v>
      </c>
      <c r="D1456" s="12" t="s">
        <v>4147</v>
      </c>
      <c r="E1456" s="11" t="s">
        <v>579</v>
      </c>
      <c r="F1456" s="11" t="s">
        <v>62</v>
      </c>
      <c r="G1456" s="12" t="s">
        <v>4613</v>
      </c>
      <c r="H1456" s="13" t="s">
        <v>5354</v>
      </c>
      <c r="I1456" s="11" t="s">
        <v>5302</v>
      </c>
      <c r="J1456" s="14">
        <v>1</v>
      </c>
      <c r="K1456" s="14" t="s">
        <v>4600</v>
      </c>
      <c r="L1456" s="14" t="s">
        <v>5355</v>
      </c>
      <c r="M1456" s="15" t="s">
        <v>4151</v>
      </c>
      <c r="N1456" s="15" t="s">
        <v>583</v>
      </c>
      <c r="O1456" s="15" t="s">
        <v>4616</v>
      </c>
      <c r="P1456" s="15"/>
      <c r="Q1456" s="12" t="s">
        <v>53</v>
      </c>
      <c r="R1456" s="16" t="s">
        <v>54</v>
      </c>
      <c r="S1456" s="12" t="s">
        <v>4617</v>
      </c>
      <c r="T1456" s="26" t="s">
        <v>673</v>
      </c>
    </row>
    <row r="1457" spans="1:20" ht="16.5">
      <c r="A1457" s="17" t="s">
        <v>3658</v>
      </c>
      <c r="B1457" s="17" t="s">
        <v>650</v>
      </c>
      <c r="C1457" s="17" t="s">
        <v>204</v>
      </c>
      <c r="D1457" s="18" t="s">
        <v>4816</v>
      </c>
      <c r="E1457" s="17" t="s">
        <v>667</v>
      </c>
      <c r="F1457" s="17" t="s">
        <v>204</v>
      </c>
      <c r="G1457" s="18" t="s">
        <v>4154</v>
      </c>
      <c r="H1457" s="24" t="s">
        <v>584</v>
      </c>
      <c r="I1457" s="17" t="s">
        <v>680</v>
      </c>
      <c r="J1457" s="21">
        <v>2</v>
      </c>
      <c r="K1457" s="21" t="s">
        <v>4600</v>
      </c>
      <c r="L1457" s="21" t="s">
        <v>5356</v>
      </c>
      <c r="M1457" s="19" t="s">
        <v>4819</v>
      </c>
      <c r="N1457" s="19" t="s">
        <v>670</v>
      </c>
      <c r="O1457" s="19" t="s">
        <v>4157</v>
      </c>
      <c r="P1457" s="19" t="s">
        <v>5357</v>
      </c>
      <c r="Q1457" s="18" t="s">
        <v>286</v>
      </c>
      <c r="R1457" s="22" t="s">
        <v>88</v>
      </c>
      <c r="S1457" s="18" t="s">
        <v>4617</v>
      </c>
      <c r="T1457" s="21" t="s">
        <v>55</v>
      </c>
    </row>
    <row r="1458" spans="1:20" ht="16.5">
      <c r="A1458" s="11" t="s">
        <v>3658</v>
      </c>
      <c r="B1458" s="11" t="s">
        <v>650</v>
      </c>
      <c r="C1458" s="11" t="s">
        <v>204</v>
      </c>
      <c r="D1458" s="12" t="s">
        <v>4154</v>
      </c>
      <c r="E1458" s="11" t="s">
        <v>667</v>
      </c>
      <c r="F1458" s="11" t="s">
        <v>204</v>
      </c>
      <c r="G1458" s="12" t="s">
        <v>4948</v>
      </c>
      <c r="H1458" s="13" t="s">
        <v>5358</v>
      </c>
      <c r="I1458" s="11" t="s">
        <v>652</v>
      </c>
      <c r="J1458" s="14">
        <v>1</v>
      </c>
      <c r="K1458" s="14" t="s">
        <v>4600</v>
      </c>
      <c r="L1458" s="14" t="s">
        <v>5359</v>
      </c>
      <c r="M1458" s="15" t="s">
        <v>4157</v>
      </c>
      <c r="N1458" s="15" t="s">
        <v>670</v>
      </c>
      <c r="O1458" s="15" t="s">
        <v>4951</v>
      </c>
      <c r="P1458" s="15" t="s">
        <v>4158</v>
      </c>
      <c r="Q1458" s="12" t="s">
        <v>286</v>
      </c>
      <c r="R1458" s="22" t="s">
        <v>88</v>
      </c>
      <c r="S1458" s="12" t="s">
        <v>4617</v>
      </c>
      <c r="T1458" s="26" t="s">
        <v>3848</v>
      </c>
    </row>
    <row r="1459" spans="1:20" ht="16.5">
      <c r="A1459" s="17" t="s">
        <v>3658</v>
      </c>
      <c r="B1459" s="17" t="s">
        <v>650</v>
      </c>
      <c r="C1459" s="17" t="s">
        <v>204</v>
      </c>
      <c r="D1459" s="18" t="s">
        <v>4154</v>
      </c>
      <c r="E1459" s="17" t="s">
        <v>667</v>
      </c>
      <c r="F1459" s="17" t="s">
        <v>204</v>
      </c>
      <c r="G1459" s="19" t="s">
        <v>4954</v>
      </c>
      <c r="H1459" s="20" t="s">
        <v>5360</v>
      </c>
      <c r="I1459" s="17" t="s">
        <v>652</v>
      </c>
      <c r="J1459" s="21">
        <v>1</v>
      </c>
      <c r="K1459" s="21" t="s">
        <v>4600</v>
      </c>
      <c r="L1459" s="21" t="s">
        <v>5361</v>
      </c>
      <c r="M1459" s="19" t="s">
        <v>4157</v>
      </c>
      <c r="N1459" s="19" t="s">
        <v>670</v>
      </c>
      <c r="O1459" s="19" t="s">
        <v>4957</v>
      </c>
      <c r="P1459" s="19" t="s">
        <v>4158</v>
      </c>
      <c r="Q1459" s="18" t="s">
        <v>286</v>
      </c>
      <c r="R1459" s="22" t="s">
        <v>88</v>
      </c>
      <c r="S1459" s="18" t="s">
        <v>4617</v>
      </c>
      <c r="T1459" s="21" t="s">
        <v>55</v>
      </c>
    </row>
    <row r="1460" spans="1:20" ht="16.5">
      <c r="A1460" s="11" t="s">
        <v>3658</v>
      </c>
      <c r="B1460" s="11" t="s">
        <v>650</v>
      </c>
      <c r="C1460" s="11" t="s">
        <v>204</v>
      </c>
      <c r="D1460" s="12" t="s">
        <v>4833</v>
      </c>
      <c r="E1460" s="11" t="s">
        <v>654</v>
      </c>
      <c r="F1460" s="11" t="s">
        <v>204</v>
      </c>
      <c r="G1460" s="12" t="s">
        <v>4821</v>
      </c>
      <c r="H1460" s="13" t="s">
        <v>658</v>
      </c>
      <c r="I1460" s="11" t="s">
        <v>507</v>
      </c>
      <c r="J1460" s="14">
        <v>1</v>
      </c>
      <c r="K1460" s="14" t="s">
        <v>4600</v>
      </c>
      <c r="L1460" s="14" t="s">
        <v>5362</v>
      </c>
      <c r="M1460" s="15" t="s">
        <v>4836</v>
      </c>
      <c r="N1460" s="15" t="s">
        <v>657</v>
      </c>
      <c r="O1460" s="15" t="s">
        <v>4824</v>
      </c>
      <c r="P1460" s="15" t="s">
        <v>5363</v>
      </c>
      <c r="Q1460" s="15" t="s">
        <v>661</v>
      </c>
      <c r="R1460" s="16" t="s">
        <v>54</v>
      </c>
      <c r="S1460" s="12" t="s">
        <v>4617</v>
      </c>
      <c r="T1460" s="26" t="s">
        <v>673</v>
      </c>
    </row>
    <row r="1461" spans="1:20" ht="16.5">
      <c r="A1461" s="17" t="s">
        <v>3658</v>
      </c>
      <c r="B1461" s="17" t="s">
        <v>650</v>
      </c>
      <c r="C1461" s="17" t="s">
        <v>204</v>
      </c>
      <c r="D1461" s="18" t="s">
        <v>4821</v>
      </c>
      <c r="E1461" s="17" t="s">
        <v>505</v>
      </c>
      <c r="F1461" s="17" t="s">
        <v>204</v>
      </c>
      <c r="G1461" s="18" t="s">
        <v>4938</v>
      </c>
      <c r="H1461" s="24" t="s">
        <v>5364</v>
      </c>
      <c r="I1461" s="17" t="s">
        <v>652</v>
      </c>
      <c r="J1461" s="21">
        <v>1</v>
      </c>
      <c r="K1461" s="21" t="s">
        <v>4600</v>
      </c>
      <c r="L1461" s="21" t="s">
        <v>5365</v>
      </c>
      <c r="M1461" s="19" t="s">
        <v>4824</v>
      </c>
      <c r="N1461" s="19" t="s">
        <v>509</v>
      </c>
      <c r="O1461" s="19" t="s">
        <v>4941</v>
      </c>
      <c r="P1461" s="19" t="s">
        <v>4825</v>
      </c>
      <c r="Q1461" s="18" t="s">
        <v>286</v>
      </c>
      <c r="R1461" s="22" t="s">
        <v>88</v>
      </c>
      <c r="S1461" s="18" t="s">
        <v>4617</v>
      </c>
      <c r="T1461" s="26" t="s">
        <v>3848</v>
      </c>
    </row>
    <row r="1462" spans="1:20" ht="16.5">
      <c r="A1462" s="11" t="s">
        <v>3658</v>
      </c>
      <c r="B1462" s="11" t="s">
        <v>650</v>
      </c>
      <c r="C1462" s="11" t="s">
        <v>204</v>
      </c>
      <c r="D1462" s="12" t="s">
        <v>4821</v>
      </c>
      <c r="E1462" s="11" t="s">
        <v>654</v>
      </c>
      <c r="F1462" s="11" t="s">
        <v>204</v>
      </c>
      <c r="G1462" s="15" t="s">
        <v>4954</v>
      </c>
      <c r="H1462" s="23" t="s">
        <v>5366</v>
      </c>
      <c r="I1462" s="11" t="s">
        <v>652</v>
      </c>
      <c r="J1462" s="14">
        <v>1</v>
      </c>
      <c r="K1462" s="14" t="s">
        <v>4600</v>
      </c>
      <c r="L1462" s="14" t="s">
        <v>5367</v>
      </c>
      <c r="M1462" s="15" t="s">
        <v>4824</v>
      </c>
      <c r="N1462" s="15" t="s">
        <v>657</v>
      </c>
      <c r="O1462" s="15" t="s">
        <v>4957</v>
      </c>
      <c r="P1462" s="15" t="s">
        <v>4825</v>
      </c>
      <c r="Q1462" s="12" t="s">
        <v>286</v>
      </c>
      <c r="R1462" s="22" t="s">
        <v>88</v>
      </c>
      <c r="S1462" s="12" t="s">
        <v>4617</v>
      </c>
      <c r="T1462" s="14" t="s">
        <v>55</v>
      </c>
    </row>
    <row r="1463" spans="1:20" ht="16.5">
      <c r="A1463" s="17" t="s">
        <v>3658</v>
      </c>
      <c r="B1463" s="17" t="s">
        <v>650</v>
      </c>
      <c r="C1463" s="17" t="s">
        <v>204</v>
      </c>
      <c r="D1463" s="18" t="s">
        <v>4838</v>
      </c>
      <c r="E1463" s="17" t="s">
        <v>667</v>
      </c>
      <c r="F1463" s="17" t="s">
        <v>204</v>
      </c>
      <c r="G1463" s="18" t="s">
        <v>678</v>
      </c>
      <c r="H1463" s="20" t="s">
        <v>5368</v>
      </c>
      <c r="I1463" s="17" t="s">
        <v>680</v>
      </c>
      <c r="J1463" s="21">
        <v>1</v>
      </c>
      <c r="K1463" s="21" t="s">
        <v>4600</v>
      </c>
      <c r="L1463" s="21" t="s">
        <v>5369</v>
      </c>
      <c r="M1463" s="19" t="s">
        <v>4841</v>
      </c>
      <c r="N1463" s="19" t="s">
        <v>670</v>
      </c>
      <c r="O1463" s="19" t="s">
        <v>682</v>
      </c>
      <c r="P1463" s="19" t="s">
        <v>4842</v>
      </c>
      <c r="Q1463" s="19" t="s">
        <v>661</v>
      </c>
      <c r="R1463" s="16" t="s">
        <v>54</v>
      </c>
      <c r="S1463" s="18" t="s">
        <v>4617</v>
      </c>
      <c r="T1463" s="26" t="s">
        <v>673</v>
      </c>
    </row>
    <row r="1464" spans="1:20" ht="16.5">
      <c r="A1464" s="11" t="s">
        <v>3658</v>
      </c>
      <c r="B1464" s="11" t="s">
        <v>650</v>
      </c>
      <c r="C1464" s="11" t="s">
        <v>204</v>
      </c>
      <c r="D1464" s="12" t="s">
        <v>4148</v>
      </c>
      <c r="E1464" s="11" t="s">
        <v>654</v>
      </c>
      <c r="F1464" s="11" t="s">
        <v>204</v>
      </c>
      <c r="G1464" s="12" t="s">
        <v>678</v>
      </c>
      <c r="H1464" s="23" t="s">
        <v>584</v>
      </c>
      <c r="I1464" s="11" t="s">
        <v>680</v>
      </c>
      <c r="J1464" s="14">
        <v>1</v>
      </c>
      <c r="K1464" s="14" t="s">
        <v>4600</v>
      </c>
      <c r="L1464" s="14" t="s">
        <v>5370</v>
      </c>
      <c r="M1464" s="15" t="s">
        <v>4152</v>
      </c>
      <c r="N1464" s="15" t="s">
        <v>657</v>
      </c>
      <c r="O1464" s="15" t="s">
        <v>682</v>
      </c>
      <c r="P1464" s="15" t="s">
        <v>4153</v>
      </c>
      <c r="Q1464" s="15" t="s">
        <v>661</v>
      </c>
      <c r="R1464" s="16" t="s">
        <v>54</v>
      </c>
      <c r="S1464" s="12" t="s">
        <v>4617</v>
      </c>
      <c r="T1464" s="14" t="s">
        <v>55</v>
      </c>
    </row>
    <row r="1465" spans="1:20" ht="16.5">
      <c r="A1465" s="17" t="s">
        <v>3658</v>
      </c>
      <c r="B1465" s="17" t="s">
        <v>650</v>
      </c>
      <c r="C1465" s="17" t="s">
        <v>204</v>
      </c>
      <c r="D1465" s="18" t="s">
        <v>678</v>
      </c>
      <c r="E1465" s="17" t="s">
        <v>505</v>
      </c>
      <c r="F1465" s="17" t="s">
        <v>204</v>
      </c>
      <c r="G1465" s="18" t="s">
        <v>4944</v>
      </c>
      <c r="H1465" s="20" t="s">
        <v>5371</v>
      </c>
      <c r="I1465" s="17" t="s">
        <v>652</v>
      </c>
      <c r="J1465" s="21">
        <v>1</v>
      </c>
      <c r="K1465" s="21" t="s">
        <v>4600</v>
      </c>
      <c r="L1465" s="21" t="s">
        <v>5372</v>
      </c>
      <c r="M1465" s="19" t="s">
        <v>682</v>
      </c>
      <c r="N1465" s="19" t="s">
        <v>509</v>
      </c>
      <c r="O1465" s="19" t="s">
        <v>4947</v>
      </c>
      <c r="P1465" s="19"/>
      <c r="Q1465" s="18" t="s">
        <v>286</v>
      </c>
      <c r="R1465" s="22" t="s">
        <v>88</v>
      </c>
      <c r="S1465" s="18" t="s">
        <v>4617</v>
      </c>
      <c r="T1465" s="26" t="s">
        <v>3848</v>
      </c>
    </row>
    <row r="1466" spans="1:20" ht="16.5">
      <c r="A1466" s="11" t="s">
        <v>3658</v>
      </c>
      <c r="B1466" s="11" t="s">
        <v>650</v>
      </c>
      <c r="C1466" s="11" t="s">
        <v>204</v>
      </c>
      <c r="D1466" s="12" t="s">
        <v>4938</v>
      </c>
      <c r="E1466" s="11" t="s">
        <v>654</v>
      </c>
      <c r="F1466" s="11" t="s">
        <v>295</v>
      </c>
      <c r="G1466" s="12" t="s">
        <v>4958</v>
      </c>
      <c r="H1466" s="23" t="s">
        <v>584</v>
      </c>
      <c r="I1466" s="11" t="s">
        <v>652</v>
      </c>
      <c r="J1466" s="14">
        <v>1</v>
      </c>
      <c r="K1466" s="14" t="s">
        <v>4600</v>
      </c>
      <c r="L1466" s="14" t="s">
        <v>5373</v>
      </c>
      <c r="M1466" s="15" t="s">
        <v>4941</v>
      </c>
      <c r="N1466" s="15" t="s">
        <v>657</v>
      </c>
      <c r="O1466" s="15" t="s">
        <v>4961</v>
      </c>
      <c r="P1466" s="15"/>
      <c r="Q1466" s="12" t="s">
        <v>286</v>
      </c>
      <c r="R1466" s="22" t="s">
        <v>88</v>
      </c>
      <c r="S1466" s="12" t="s">
        <v>4617</v>
      </c>
      <c r="T1466" s="14" t="s">
        <v>55</v>
      </c>
    </row>
    <row r="1467" spans="1:20" ht="16.5">
      <c r="A1467" s="17" t="s">
        <v>3658</v>
      </c>
      <c r="B1467" s="17" t="s">
        <v>650</v>
      </c>
      <c r="C1467" s="17" t="s">
        <v>204</v>
      </c>
      <c r="D1467" s="18" t="s">
        <v>4944</v>
      </c>
      <c r="E1467" s="17" t="s">
        <v>654</v>
      </c>
      <c r="F1467" s="17" t="s">
        <v>295</v>
      </c>
      <c r="G1467" s="18" t="s">
        <v>4958</v>
      </c>
      <c r="H1467" s="24" t="s">
        <v>584</v>
      </c>
      <c r="I1467" s="17" t="s">
        <v>652</v>
      </c>
      <c r="J1467" s="21">
        <v>1</v>
      </c>
      <c r="K1467" s="21" t="s">
        <v>4600</v>
      </c>
      <c r="L1467" s="21" t="s">
        <v>5374</v>
      </c>
      <c r="M1467" s="19" t="s">
        <v>4947</v>
      </c>
      <c r="N1467" s="19" t="s">
        <v>657</v>
      </c>
      <c r="O1467" s="19" t="s">
        <v>4961</v>
      </c>
      <c r="P1467" s="19"/>
      <c r="Q1467" s="18" t="s">
        <v>286</v>
      </c>
      <c r="R1467" s="22" t="s">
        <v>88</v>
      </c>
      <c r="S1467" s="18" t="s">
        <v>4617</v>
      </c>
      <c r="T1467" s="21" t="s">
        <v>55</v>
      </c>
    </row>
    <row r="1468" spans="1:20" ht="16.5">
      <c r="A1468" s="11" t="s">
        <v>3658</v>
      </c>
      <c r="B1468" s="11" t="s">
        <v>650</v>
      </c>
      <c r="C1468" s="11" t="s">
        <v>204</v>
      </c>
      <c r="D1468" s="12" t="s">
        <v>4948</v>
      </c>
      <c r="E1468" s="11" t="s">
        <v>654</v>
      </c>
      <c r="F1468" s="11" t="s">
        <v>295</v>
      </c>
      <c r="G1468" s="12" t="s">
        <v>674</v>
      </c>
      <c r="H1468" s="13" t="s">
        <v>5375</v>
      </c>
      <c r="I1468" s="11" t="s">
        <v>652</v>
      </c>
      <c r="J1468" s="14">
        <v>1</v>
      </c>
      <c r="K1468" s="14" t="s">
        <v>4600</v>
      </c>
      <c r="L1468" s="14" t="s">
        <v>5376</v>
      </c>
      <c r="M1468" s="15" t="s">
        <v>4951</v>
      </c>
      <c r="N1468" s="15" t="s">
        <v>657</v>
      </c>
      <c r="O1468" s="15" t="s">
        <v>677</v>
      </c>
      <c r="P1468" s="15"/>
      <c r="Q1468" s="12" t="s">
        <v>286</v>
      </c>
      <c r="R1468" s="22" t="s">
        <v>88</v>
      </c>
      <c r="S1468" s="12" t="s">
        <v>4617</v>
      </c>
      <c r="T1468" s="26" t="s">
        <v>3848</v>
      </c>
    </row>
    <row r="1469" spans="1:20" ht="16.5">
      <c r="A1469" s="17" t="s">
        <v>3658</v>
      </c>
      <c r="B1469" s="17" t="s">
        <v>650</v>
      </c>
      <c r="C1469" s="17" t="s">
        <v>295</v>
      </c>
      <c r="D1469" s="18" t="s">
        <v>674</v>
      </c>
      <c r="E1469" s="17" t="s">
        <v>654</v>
      </c>
      <c r="F1469" s="17" t="s">
        <v>295</v>
      </c>
      <c r="G1469" s="18" t="s">
        <v>4962</v>
      </c>
      <c r="H1469" s="20" t="s">
        <v>5377</v>
      </c>
      <c r="I1469" s="17" t="s">
        <v>652</v>
      </c>
      <c r="J1469" s="21">
        <v>1</v>
      </c>
      <c r="K1469" s="21" t="s">
        <v>4600</v>
      </c>
      <c r="L1469" s="21" t="s">
        <v>5378</v>
      </c>
      <c r="M1469" s="19" t="s">
        <v>677</v>
      </c>
      <c r="N1469" s="19" t="s">
        <v>657</v>
      </c>
      <c r="O1469" s="19" t="s">
        <v>4965</v>
      </c>
      <c r="P1469" s="19"/>
      <c r="Q1469" s="18" t="s">
        <v>286</v>
      </c>
      <c r="R1469" s="22" t="s">
        <v>88</v>
      </c>
      <c r="S1469" s="18" t="s">
        <v>4617</v>
      </c>
      <c r="T1469" s="26" t="s">
        <v>3848</v>
      </c>
    </row>
    <row r="1470" spans="1:20" ht="16.5">
      <c r="A1470" s="11" t="s">
        <v>3658</v>
      </c>
      <c r="B1470" s="11" t="s">
        <v>650</v>
      </c>
      <c r="C1470" s="11" t="s">
        <v>204</v>
      </c>
      <c r="D1470" s="12" t="s">
        <v>4898</v>
      </c>
      <c r="E1470" s="11" t="s">
        <v>667</v>
      </c>
      <c r="F1470" s="11" t="s">
        <v>204</v>
      </c>
      <c r="G1470" s="15" t="s">
        <v>4954</v>
      </c>
      <c r="H1470" s="13" t="s">
        <v>5379</v>
      </c>
      <c r="I1470" s="11" t="s">
        <v>652</v>
      </c>
      <c r="J1470" s="14">
        <v>2</v>
      </c>
      <c r="K1470" s="14" t="s">
        <v>4600</v>
      </c>
      <c r="L1470" s="14" t="s">
        <v>5380</v>
      </c>
      <c r="M1470" s="15" t="s">
        <v>4901</v>
      </c>
      <c r="N1470" s="15" t="s">
        <v>670</v>
      </c>
      <c r="O1470" s="15" t="s">
        <v>4957</v>
      </c>
      <c r="P1470" s="15" t="s">
        <v>4902</v>
      </c>
      <c r="Q1470" s="12" t="s">
        <v>286</v>
      </c>
      <c r="R1470" s="22" t="s">
        <v>88</v>
      </c>
      <c r="S1470" s="12" t="s">
        <v>4617</v>
      </c>
      <c r="T1470" s="14" t="s">
        <v>55</v>
      </c>
    </row>
    <row r="1471" spans="1:20" ht="16.5">
      <c r="A1471" s="17" t="s">
        <v>3658</v>
      </c>
      <c r="B1471" s="17" t="s">
        <v>650</v>
      </c>
      <c r="C1471" s="17" t="s">
        <v>204</v>
      </c>
      <c r="D1471" s="18" t="s">
        <v>4863</v>
      </c>
      <c r="E1471" s="17" t="s">
        <v>667</v>
      </c>
      <c r="F1471" s="17" t="s">
        <v>204</v>
      </c>
      <c r="G1471" s="18" t="s">
        <v>4873</v>
      </c>
      <c r="H1471" s="24" t="s">
        <v>584</v>
      </c>
      <c r="I1471" s="17" t="s">
        <v>507</v>
      </c>
      <c r="J1471" s="21">
        <v>1</v>
      </c>
      <c r="K1471" s="21" t="s">
        <v>4600</v>
      </c>
      <c r="L1471" s="21" t="s">
        <v>5381</v>
      </c>
      <c r="M1471" s="19" t="s">
        <v>4866</v>
      </c>
      <c r="N1471" s="19" t="s">
        <v>670</v>
      </c>
      <c r="O1471" s="19" t="s">
        <v>4876</v>
      </c>
      <c r="P1471" s="19" t="s">
        <v>5382</v>
      </c>
      <c r="Q1471" s="19" t="s">
        <v>661</v>
      </c>
      <c r="R1471" s="16" t="s">
        <v>54</v>
      </c>
      <c r="S1471" s="18" t="s">
        <v>4617</v>
      </c>
      <c r="T1471" s="21" t="s">
        <v>55</v>
      </c>
    </row>
    <row r="1472" spans="1:20" ht="16.5">
      <c r="A1472" s="11" t="s">
        <v>3658</v>
      </c>
      <c r="B1472" s="11" t="s">
        <v>650</v>
      </c>
      <c r="C1472" s="11" t="s">
        <v>204</v>
      </c>
      <c r="D1472" s="12" t="s">
        <v>4873</v>
      </c>
      <c r="E1472" s="11" t="s">
        <v>667</v>
      </c>
      <c r="F1472" s="11" t="s">
        <v>295</v>
      </c>
      <c r="G1472" s="12" t="s">
        <v>4966</v>
      </c>
      <c r="H1472" s="13" t="s">
        <v>5383</v>
      </c>
      <c r="I1472" s="11" t="s">
        <v>652</v>
      </c>
      <c r="J1472" s="14">
        <v>1</v>
      </c>
      <c r="K1472" s="14" t="s">
        <v>4600</v>
      </c>
      <c r="L1472" s="14" t="s">
        <v>5384</v>
      </c>
      <c r="M1472" s="15" t="s">
        <v>4876</v>
      </c>
      <c r="N1472" s="15" t="s">
        <v>670</v>
      </c>
      <c r="O1472" s="15" t="s">
        <v>4969</v>
      </c>
      <c r="P1472" s="15" t="s">
        <v>4877</v>
      </c>
      <c r="Q1472" s="12" t="s">
        <v>286</v>
      </c>
      <c r="R1472" s="22" t="s">
        <v>88</v>
      </c>
      <c r="S1472" s="12" t="s">
        <v>4617</v>
      </c>
      <c r="T1472" s="14" t="s">
        <v>55</v>
      </c>
    </row>
    <row r="1473" spans="1:20" ht="16.5">
      <c r="A1473" s="17" t="s">
        <v>3658</v>
      </c>
      <c r="B1473" s="17" t="s">
        <v>650</v>
      </c>
      <c r="C1473" s="17" t="s">
        <v>204</v>
      </c>
      <c r="D1473" s="18" t="s">
        <v>4986</v>
      </c>
      <c r="E1473" s="17" t="s">
        <v>654</v>
      </c>
      <c r="F1473" s="17" t="s">
        <v>204</v>
      </c>
      <c r="G1473" s="18" t="s">
        <v>4154</v>
      </c>
      <c r="H1473" s="20" t="s">
        <v>5385</v>
      </c>
      <c r="I1473" s="17" t="s">
        <v>507</v>
      </c>
      <c r="J1473" s="21">
        <v>1</v>
      </c>
      <c r="K1473" s="21" t="s">
        <v>4600</v>
      </c>
      <c r="L1473" s="21" t="s">
        <v>5386</v>
      </c>
      <c r="M1473" s="19" t="s">
        <v>4989</v>
      </c>
      <c r="N1473" s="19" t="s">
        <v>657</v>
      </c>
      <c r="O1473" s="19" t="s">
        <v>4157</v>
      </c>
      <c r="P1473" s="19" t="s">
        <v>4158</v>
      </c>
      <c r="Q1473" s="19" t="s">
        <v>661</v>
      </c>
      <c r="R1473" s="16" t="s">
        <v>54</v>
      </c>
      <c r="S1473" s="18" t="s">
        <v>4617</v>
      </c>
      <c r="T1473" s="26" t="s">
        <v>673</v>
      </c>
    </row>
    <row r="1474" spans="1:20" ht="16.5">
      <c r="A1474" s="11" t="s">
        <v>3658</v>
      </c>
      <c r="B1474" s="11" t="s">
        <v>650</v>
      </c>
      <c r="C1474" s="11" t="s">
        <v>204</v>
      </c>
      <c r="D1474" s="12" t="s">
        <v>4982</v>
      </c>
      <c r="E1474" s="11" t="s">
        <v>505</v>
      </c>
      <c r="F1474" s="11" t="s">
        <v>204</v>
      </c>
      <c r="G1474" s="12" t="s">
        <v>683</v>
      </c>
      <c r="H1474" s="13" t="s">
        <v>5387</v>
      </c>
      <c r="I1474" s="11" t="s">
        <v>507</v>
      </c>
      <c r="J1474" s="14">
        <v>1</v>
      </c>
      <c r="K1474" s="14" t="s">
        <v>4600</v>
      </c>
      <c r="L1474" s="14" t="s">
        <v>5388</v>
      </c>
      <c r="M1474" s="15" t="s">
        <v>4985</v>
      </c>
      <c r="N1474" s="15" t="s">
        <v>509</v>
      </c>
      <c r="O1474" s="15" t="s">
        <v>686</v>
      </c>
      <c r="P1474" s="15"/>
      <c r="Q1474" s="12" t="s">
        <v>286</v>
      </c>
      <c r="R1474" s="22" t="s">
        <v>88</v>
      </c>
      <c r="S1474" s="12" t="s">
        <v>4617</v>
      </c>
      <c r="T1474" s="26" t="s">
        <v>673</v>
      </c>
    </row>
    <row r="1475" spans="1:20" ht="16.5">
      <c r="A1475" s="17" t="s">
        <v>3658</v>
      </c>
      <c r="B1475" s="17" t="s">
        <v>650</v>
      </c>
      <c r="C1475" s="17" t="s">
        <v>204</v>
      </c>
      <c r="D1475" s="18" t="s">
        <v>4974</v>
      </c>
      <c r="E1475" s="17" t="s">
        <v>505</v>
      </c>
      <c r="F1475" s="17" t="s">
        <v>204</v>
      </c>
      <c r="G1475" s="18" t="s">
        <v>4982</v>
      </c>
      <c r="H1475" s="24" t="s">
        <v>584</v>
      </c>
      <c r="I1475" s="17" t="s">
        <v>680</v>
      </c>
      <c r="J1475" s="21">
        <v>2</v>
      </c>
      <c r="K1475" s="21" t="s">
        <v>4600</v>
      </c>
      <c r="L1475" s="21" t="s">
        <v>5389</v>
      </c>
      <c r="M1475" s="19" t="s">
        <v>4977</v>
      </c>
      <c r="N1475" s="19" t="s">
        <v>509</v>
      </c>
      <c r="O1475" s="19" t="s">
        <v>4985</v>
      </c>
      <c r="P1475" s="19"/>
      <c r="Q1475" s="18" t="s">
        <v>286</v>
      </c>
      <c r="R1475" s="22" t="s">
        <v>88</v>
      </c>
      <c r="S1475" s="18" t="s">
        <v>4617</v>
      </c>
      <c r="T1475" s="21" t="s">
        <v>55</v>
      </c>
    </row>
    <row r="1476" spans="1:20" ht="16.5">
      <c r="A1476" s="11" t="s">
        <v>3658</v>
      </c>
      <c r="B1476" s="11" t="s">
        <v>650</v>
      </c>
      <c r="C1476" s="11" t="s">
        <v>204</v>
      </c>
      <c r="D1476" s="12" t="s">
        <v>4978</v>
      </c>
      <c r="E1476" s="11" t="s">
        <v>505</v>
      </c>
      <c r="F1476" s="11" t="s">
        <v>204</v>
      </c>
      <c r="G1476" s="12" t="s">
        <v>4982</v>
      </c>
      <c r="H1476" s="23" t="s">
        <v>584</v>
      </c>
      <c r="I1476" s="11" t="s">
        <v>680</v>
      </c>
      <c r="J1476" s="14">
        <v>2</v>
      </c>
      <c r="K1476" s="14" t="s">
        <v>4600</v>
      </c>
      <c r="L1476" s="14" t="s">
        <v>5390</v>
      </c>
      <c r="M1476" s="15" t="s">
        <v>4981</v>
      </c>
      <c r="N1476" s="15" t="s">
        <v>509</v>
      </c>
      <c r="O1476" s="15" t="s">
        <v>4985</v>
      </c>
      <c r="P1476" s="15"/>
      <c r="Q1476" s="12" t="s">
        <v>286</v>
      </c>
      <c r="R1476" s="22" t="s">
        <v>88</v>
      </c>
      <c r="S1476" s="12" t="s">
        <v>4617</v>
      </c>
      <c r="T1476" s="14" t="s">
        <v>55</v>
      </c>
    </row>
    <row r="1477" spans="1:20" ht="16.5">
      <c r="A1477" s="17" t="s">
        <v>3658</v>
      </c>
      <c r="B1477" s="17" t="s">
        <v>650</v>
      </c>
      <c r="C1477" s="17" t="s">
        <v>204</v>
      </c>
      <c r="D1477" s="18" t="s">
        <v>683</v>
      </c>
      <c r="E1477" s="17" t="s">
        <v>505</v>
      </c>
      <c r="F1477" s="17" t="s">
        <v>295</v>
      </c>
      <c r="G1477" s="18" t="s">
        <v>674</v>
      </c>
      <c r="H1477" s="20" t="s">
        <v>5391</v>
      </c>
      <c r="I1477" s="17" t="s">
        <v>652</v>
      </c>
      <c r="J1477" s="21">
        <v>1</v>
      </c>
      <c r="K1477" s="21" t="s">
        <v>4600</v>
      </c>
      <c r="L1477" s="21" t="s">
        <v>5392</v>
      </c>
      <c r="M1477" s="19" t="s">
        <v>686</v>
      </c>
      <c r="N1477" s="19" t="s">
        <v>509</v>
      </c>
      <c r="O1477" s="19" t="s">
        <v>677</v>
      </c>
      <c r="P1477" s="19"/>
      <c r="Q1477" s="18" t="s">
        <v>286</v>
      </c>
      <c r="R1477" s="22" t="s">
        <v>88</v>
      </c>
      <c r="S1477" s="18" t="s">
        <v>4617</v>
      </c>
      <c r="T1477" s="21" t="s">
        <v>55</v>
      </c>
    </row>
    <row r="1478" spans="1:20" ht="16.5">
      <c r="A1478" s="11" t="s">
        <v>3658</v>
      </c>
      <c r="B1478" s="11" t="s">
        <v>650</v>
      </c>
      <c r="C1478" s="11" t="s">
        <v>204</v>
      </c>
      <c r="D1478" s="12" t="s">
        <v>4970</v>
      </c>
      <c r="E1478" s="11" t="s">
        <v>667</v>
      </c>
      <c r="F1478" s="11" t="s">
        <v>295</v>
      </c>
      <c r="G1478" s="12" t="s">
        <v>674</v>
      </c>
      <c r="H1478" s="13" t="s">
        <v>5393</v>
      </c>
      <c r="I1478" s="11" t="s">
        <v>652</v>
      </c>
      <c r="J1478" s="14">
        <v>2</v>
      </c>
      <c r="K1478" s="14" t="s">
        <v>4600</v>
      </c>
      <c r="L1478" s="14" t="s">
        <v>5394</v>
      </c>
      <c r="M1478" s="15" t="s">
        <v>4973</v>
      </c>
      <c r="N1478" s="15" t="s">
        <v>670</v>
      </c>
      <c r="O1478" s="15" t="s">
        <v>677</v>
      </c>
      <c r="P1478" s="15"/>
      <c r="Q1478" s="12" t="s">
        <v>286</v>
      </c>
      <c r="R1478" s="22" t="s">
        <v>88</v>
      </c>
      <c r="S1478" s="12" t="s">
        <v>4617</v>
      </c>
      <c r="T1478" s="14" t="s">
        <v>55</v>
      </c>
    </row>
    <row r="1479" spans="1:20" ht="16.5">
      <c r="A1479" s="17" t="s">
        <v>3658</v>
      </c>
      <c r="B1479" s="17" t="s">
        <v>695</v>
      </c>
      <c r="C1479" s="17" t="s">
        <v>295</v>
      </c>
      <c r="D1479" s="18" t="s">
        <v>4962</v>
      </c>
      <c r="E1479" s="17" t="s">
        <v>654</v>
      </c>
      <c r="F1479" s="17" t="s">
        <v>698</v>
      </c>
      <c r="G1479" s="18" t="s">
        <v>2167</v>
      </c>
      <c r="H1479" s="20" t="s">
        <v>5395</v>
      </c>
      <c r="I1479" s="17" t="s">
        <v>701</v>
      </c>
      <c r="J1479" s="21">
        <v>1</v>
      </c>
      <c r="K1479" s="21" t="s">
        <v>4600</v>
      </c>
      <c r="L1479" s="21" t="s">
        <v>5396</v>
      </c>
      <c r="M1479" s="19" t="s">
        <v>4965</v>
      </c>
      <c r="N1479" s="19" t="s">
        <v>657</v>
      </c>
      <c r="O1479" s="19" t="s">
        <v>2169</v>
      </c>
      <c r="P1479" s="19"/>
      <c r="Q1479" s="18" t="s">
        <v>286</v>
      </c>
      <c r="R1479" s="22" t="s">
        <v>88</v>
      </c>
      <c r="S1479" s="18" t="s">
        <v>4617</v>
      </c>
      <c r="T1479" s="26" t="s">
        <v>3848</v>
      </c>
    </row>
    <row r="1480" spans="1:20" ht="16.5">
      <c r="A1480" s="11" t="s">
        <v>3658</v>
      </c>
      <c r="B1480" s="11" t="s">
        <v>695</v>
      </c>
      <c r="C1480" s="11" t="s">
        <v>204</v>
      </c>
      <c r="D1480" s="15" t="s">
        <v>4954</v>
      </c>
      <c r="E1480" s="11" t="s">
        <v>654</v>
      </c>
      <c r="F1480" s="11" t="s">
        <v>698</v>
      </c>
      <c r="G1480" s="12" t="s">
        <v>2167</v>
      </c>
      <c r="H1480" s="23" t="s">
        <v>584</v>
      </c>
      <c r="I1480" s="11" t="s">
        <v>701</v>
      </c>
      <c r="J1480" s="14">
        <v>1</v>
      </c>
      <c r="K1480" s="14" t="s">
        <v>4600</v>
      </c>
      <c r="L1480" s="14" t="s">
        <v>5397</v>
      </c>
      <c r="M1480" s="15" t="s">
        <v>4957</v>
      </c>
      <c r="N1480" s="15" t="s">
        <v>657</v>
      </c>
      <c r="O1480" s="15" t="s">
        <v>2169</v>
      </c>
      <c r="P1480" s="15"/>
      <c r="Q1480" s="12" t="s">
        <v>286</v>
      </c>
      <c r="R1480" s="22" t="s">
        <v>88</v>
      </c>
      <c r="S1480" s="12" t="s">
        <v>4617</v>
      </c>
      <c r="T1480" s="14" t="s">
        <v>55</v>
      </c>
    </row>
    <row r="1481" spans="1:20" ht="16.5">
      <c r="A1481" s="17" t="s">
        <v>3658</v>
      </c>
      <c r="B1481" s="17" t="s">
        <v>695</v>
      </c>
      <c r="C1481" s="17" t="s">
        <v>295</v>
      </c>
      <c r="D1481" s="18" t="s">
        <v>4958</v>
      </c>
      <c r="E1481" s="17" t="s">
        <v>654</v>
      </c>
      <c r="F1481" s="17" t="s">
        <v>295</v>
      </c>
      <c r="G1481" s="19" t="s">
        <v>2170</v>
      </c>
      <c r="H1481" s="20" t="s">
        <v>5398</v>
      </c>
      <c r="I1481" s="17" t="s">
        <v>696</v>
      </c>
      <c r="J1481" s="21">
        <v>1</v>
      </c>
      <c r="K1481" s="21" t="s">
        <v>4600</v>
      </c>
      <c r="L1481" s="21" t="s">
        <v>5399</v>
      </c>
      <c r="M1481" s="19" t="s">
        <v>4961</v>
      </c>
      <c r="N1481" s="19" t="s">
        <v>657</v>
      </c>
      <c r="O1481" s="19" t="s">
        <v>2173</v>
      </c>
      <c r="P1481" s="19"/>
      <c r="Q1481" s="18" t="s">
        <v>286</v>
      </c>
      <c r="R1481" s="22" t="s">
        <v>88</v>
      </c>
      <c r="S1481" s="18" t="s">
        <v>4617</v>
      </c>
      <c r="T1481" s="21" t="s">
        <v>55</v>
      </c>
    </row>
    <row r="1482" spans="1:20" ht="16.5">
      <c r="A1482" s="11" t="s">
        <v>3658</v>
      </c>
      <c r="B1482" s="11" t="s">
        <v>695</v>
      </c>
      <c r="C1482" s="11" t="s">
        <v>295</v>
      </c>
      <c r="D1482" s="12" t="s">
        <v>4966</v>
      </c>
      <c r="E1482" s="11" t="s">
        <v>654</v>
      </c>
      <c r="F1482" s="11" t="s">
        <v>698</v>
      </c>
      <c r="G1482" s="12" t="s">
        <v>3638</v>
      </c>
      <c r="H1482" s="23" t="s">
        <v>584</v>
      </c>
      <c r="I1482" s="11" t="s">
        <v>4592</v>
      </c>
      <c r="J1482" s="14">
        <v>2</v>
      </c>
      <c r="K1482" s="14" t="s">
        <v>4600</v>
      </c>
      <c r="L1482" s="14" t="s">
        <v>5400</v>
      </c>
      <c r="M1482" s="15" t="s">
        <v>4969</v>
      </c>
      <c r="N1482" s="15" t="s">
        <v>657</v>
      </c>
      <c r="O1482" s="15" t="s">
        <v>3641</v>
      </c>
      <c r="P1482" s="15"/>
      <c r="Q1482" s="12" t="s">
        <v>286</v>
      </c>
      <c r="R1482" s="22" t="s">
        <v>88</v>
      </c>
      <c r="S1482" s="12" t="s">
        <v>4617</v>
      </c>
      <c r="T1482" s="14" t="s">
        <v>55</v>
      </c>
    </row>
    <row r="1483" spans="1:20" ht="16.5">
      <c r="A1483" s="17" t="s">
        <v>3658</v>
      </c>
      <c r="B1483" s="17" t="s">
        <v>695</v>
      </c>
      <c r="C1483" s="17" t="s">
        <v>295</v>
      </c>
      <c r="D1483" s="18" t="s">
        <v>4966</v>
      </c>
      <c r="E1483" s="17" t="s">
        <v>667</v>
      </c>
      <c r="F1483" s="17" t="s">
        <v>295</v>
      </c>
      <c r="G1483" s="18" t="s">
        <v>5401</v>
      </c>
      <c r="H1483" s="24" t="s">
        <v>584</v>
      </c>
      <c r="I1483" s="17" t="s">
        <v>696</v>
      </c>
      <c r="J1483" s="21">
        <v>2</v>
      </c>
      <c r="K1483" s="21" t="s">
        <v>4600</v>
      </c>
      <c r="L1483" s="21" t="s">
        <v>5402</v>
      </c>
      <c r="M1483" s="19" t="s">
        <v>4969</v>
      </c>
      <c r="N1483" s="19" t="s">
        <v>670</v>
      </c>
      <c r="O1483" s="19" t="s">
        <v>5403</v>
      </c>
      <c r="P1483" s="19"/>
      <c r="Q1483" s="18" t="s">
        <v>286</v>
      </c>
      <c r="R1483" s="22" t="s">
        <v>88</v>
      </c>
      <c r="S1483" s="18" t="s">
        <v>4617</v>
      </c>
      <c r="T1483" s="21" t="s">
        <v>55</v>
      </c>
    </row>
    <row r="1484" spans="1:20" ht="16.5">
      <c r="A1484" s="14" t="s">
        <v>4598</v>
      </c>
      <c r="B1484" s="11" t="s">
        <v>43</v>
      </c>
      <c r="C1484" s="11" t="s">
        <v>44</v>
      </c>
      <c r="D1484" s="15" t="s">
        <v>4598</v>
      </c>
      <c r="E1484" s="11" t="s">
        <v>45</v>
      </c>
      <c r="F1484" s="11" t="s">
        <v>44</v>
      </c>
      <c r="G1484" s="15" t="s">
        <v>5404</v>
      </c>
      <c r="H1484" s="13" t="s">
        <v>5405</v>
      </c>
      <c r="I1484" s="11" t="s">
        <v>43</v>
      </c>
      <c r="J1484" s="14">
        <v>1</v>
      </c>
      <c r="K1484" s="14" t="s">
        <v>5406</v>
      </c>
      <c r="L1484" s="14" t="s">
        <v>5407</v>
      </c>
      <c r="M1484" s="15" t="s">
        <v>4602</v>
      </c>
      <c r="N1484" s="15" t="s">
        <v>51</v>
      </c>
      <c r="O1484" s="15" t="s">
        <v>5408</v>
      </c>
      <c r="P1484" s="15"/>
      <c r="Q1484" s="12" t="s">
        <v>53</v>
      </c>
      <c r="R1484" s="22" t="s">
        <v>88</v>
      </c>
      <c r="S1484" s="15"/>
      <c r="T1484" s="14" t="s">
        <v>55</v>
      </c>
    </row>
    <row r="1485" spans="1:20" ht="16.5">
      <c r="A1485" s="21" t="s">
        <v>4598</v>
      </c>
      <c r="B1485" s="17" t="s">
        <v>43</v>
      </c>
      <c r="C1485" s="17" t="s">
        <v>44</v>
      </c>
      <c r="D1485" s="19" t="s">
        <v>4598</v>
      </c>
      <c r="E1485" s="17" t="s">
        <v>45</v>
      </c>
      <c r="F1485" s="17" t="s">
        <v>44</v>
      </c>
      <c r="G1485" s="18" t="s">
        <v>5409</v>
      </c>
      <c r="H1485" s="20" t="s">
        <v>5410</v>
      </c>
      <c r="I1485" s="17" t="s">
        <v>43</v>
      </c>
      <c r="J1485" s="21">
        <v>1</v>
      </c>
      <c r="K1485" s="21" t="s">
        <v>5406</v>
      </c>
      <c r="L1485" s="21" t="s">
        <v>5411</v>
      </c>
      <c r="M1485" s="19" t="s">
        <v>4602</v>
      </c>
      <c r="N1485" s="19" t="s">
        <v>51</v>
      </c>
      <c r="O1485" s="19" t="s">
        <v>5412</v>
      </c>
      <c r="P1485" s="19"/>
      <c r="Q1485" s="18" t="s">
        <v>53</v>
      </c>
      <c r="R1485" s="16" t="s">
        <v>54</v>
      </c>
      <c r="S1485" s="19"/>
      <c r="T1485" s="21" t="s">
        <v>55</v>
      </c>
    </row>
    <row r="1486" spans="1:20" ht="16.5">
      <c r="A1486" s="14" t="s">
        <v>4598</v>
      </c>
      <c r="B1486" s="11" t="s">
        <v>60</v>
      </c>
      <c r="C1486" s="11" t="s">
        <v>44</v>
      </c>
      <c r="D1486" s="15" t="s">
        <v>4598</v>
      </c>
      <c r="E1486" s="11" t="s">
        <v>61</v>
      </c>
      <c r="F1486" s="11" t="s">
        <v>62</v>
      </c>
      <c r="G1486" s="15" t="s">
        <v>5333</v>
      </c>
      <c r="H1486" s="23" t="s">
        <v>5413</v>
      </c>
      <c r="I1486" s="11" t="s">
        <v>65</v>
      </c>
      <c r="J1486" s="14">
        <v>1</v>
      </c>
      <c r="K1486" s="14" t="s">
        <v>5406</v>
      </c>
      <c r="L1486" s="14" t="s">
        <v>5414</v>
      </c>
      <c r="M1486" s="15" t="s">
        <v>4602</v>
      </c>
      <c r="N1486" s="15" t="s">
        <v>67</v>
      </c>
      <c r="O1486" s="15" t="s">
        <v>5336</v>
      </c>
      <c r="P1486" s="15"/>
      <c r="Q1486" s="12" t="s">
        <v>69</v>
      </c>
      <c r="R1486" s="16" t="s">
        <v>54</v>
      </c>
      <c r="S1486" s="15" t="s">
        <v>5415</v>
      </c>
      <c r="T1486" s="14" t="s">
        <v>55</v>
      </c>
    </row>
    <row r="1487" spans="1:20" ht="16.5">
      <c r="A1487" s="21" t="s">
        <v>4598</v>
      </c>
      <c r="B1487" s="17" t="s">
        <v>60</v>
      </c>
      <c r="C1487" s="17" t="s">
        <v>62</v>
      </c>
      <c r="D1487" s="19" t="s">
        <v>5333</v>
      </c>
      <c r="E1487" s="17" t="s">
        <v>71</v>
      </c>
      <c r="F1487" s="17" t="s">
        <v>72</v>
      </c>
      <c r="G1487" s="19" t="s">
        <v>5416</v>
      </c>
      <c r="H1487" s="24" t="s">
        <v>5417</v>
      </c>
      <c r="I1487" s="17" t="s">
        <v>65</v>
      </c>
      <c r="J1487" s="21">
        <v>1</v>
      </c>
      <c r="K1487" s="21" t="s">
        <v>5406</v>
      </c>
      <c r="L1487" s="21" t="s">
        <v>5418</v>
      </c>
      <c r="M1487" s="19" t="s">
        <v>5336</v>
      </c>
      <c r="N1487" s="19" t="s">
        <v>76</v>
      </c>
      <c r="O1487" s="19" t="s">
        <v>5419</v>
      </c>
      <c r="P1487" s="19"/>
      <c r="Q1487" s="18" t="s">
        <v>69</v>
      </c>
      <c r="R1487" s="16" t="s">
        <v>54</v>
      </c>
      <c r="S1487" s="19" t="s">
        <v>5415</v>
      </c>
      <c r="T1487" s="21" t="s">
        <v>55</v>
      </c>
    </row>
    <row r="1488" spans="1:20" ht="16.5">
      <c r="A1488" s="14" t="s">
        <v>4598</v>
      </c>
      <c r="B1488" s="11" t="s">
        <v>60</v>
      </c>
      <c r="C1488" s="11" t="s">
        <v>62</v>
      </c>
      <c r="D1488" s="15" t="s">
        <v>5333</v>
      </c>
      <c r="E1488" s="11" t="s">
        <v>71</v>
      </c>
      <c r="F1488" s="11" t="s">
        <v>72</v>
      </c>
      <c r="G1488" s="15" t="s">
        <v>5420</v>
      </c>
      <c r="H1488" s="23" t="s">
        <v>5417</v>
      </c>
      <c r="I1488" s="11" t="s">
        <v>65</v>
      </c>
      <c r="J1488" s="14">
        <v>1</v>
      </c>
      <c r="K1488" s="14" t="s">
        <v>5406</v>
      </c>
      <c r="L1488" s="14" t="s">
        <v>5421</v>
      </c>
      <c r="M1488" s="15" t="s">
        <v>5336</v>
      </c>
      <c r="N1488" s="15" t="s">
        <v>76</v>
      </c>
      <c r="O1488" s="15" t="s">
        <v>5422</v>
      </c>
      <c r="P1488" s="15"/>
      <c r="Q1488" s="12" t="s">
        <v>69</v>
      </c>
      <c r="R1488" s="16" t="s">
        <v>54</v>
      </c>
      <c r="S1488" s="15" t="s">
        <v>5415</v>
      </c>
      <c r="T1488" s="14" t="s">
        <v>55</v>
      </c>
    </row>
    <row r="1489" spans="1:20" ht="16.5">
      <c r="A1489" s="21" t="s">
        <v>4598</v>
      </c>
      <c r="B1489" s="17" t="s">
        <v>60</v>
      </c>
      <c r="C1489" s="17" t="s">
        <v>62</v>
      </c>
      <c r="D1489" s="19" t="s">
        <v>5333</v>
      </c>
      <c r="E1489" s="17" t="s">
        <v>71</v>
      </c>
      <c r="F1489" s="17" t="s">
        <v>72</v>
      </c>
      <c r="G1489" s="19" t="s">
        <v>5423</v>
      </c>
      <c r="H1489" s="24" t="s">
        <v>5417</v>
      </c>
      <c r="I1489" s="17" t="s">
        <v>65</v>
      </c>
      <c r="J1489" s="21">
        <v>1</v>
      </c>
      <c r="K1489" s="21" t="s">
        <v>5406</v>
      </c>
      <c r="L1489" s="21" t="s">
        <v>5424</v>
      </c>
      <c r="M1489" s="19" t="s">
        <v>5336</v>
      </c>
      <c r="N1489" s="19" t="s">
        <v>76</v>
      </c>
      <c r="O1489" s="19" t="s">
        <v>5425</v>
      </c>
      <c r="P1489" s="19"/>
      <c r="Q1489" s="18" t="s">
        <v>69</v>
      </c>
      <c r="R1489" s="16" t="s">
        <v>54</v>
      </c>
      <c r="S1489" s="19" t="s">
        <v>5415</v>
      </c>
      <c r="T1489" s="21" t="s">
        <v>55</v>
      </c>
    </row>
    <row r="1490" spans="1:20" ht="16.5">
      <c r="A1490" s="14" t="s">
        <v>4598</v>
      </c>
      <c r="B1490" s="11" t="s">
        <v>60</v>
      </c>
      <c r="C1490" s="11" t="s">
        <v>62</v>
      </c>
      <c r="D1490" s="15" t="s">
        <v>5333</v>
      </c>
      <c r="E1490" s="11" t="s">
        <v>71</v>
      </c>
      <c r="F1490" s="11" t="s">
        <v>72</v>
      </c>
      <c r="G1490" s="15" t="s">
        <v>5426</v>
      </c>
      <c r="H1490" s="23" t="s">
        <v>5417</v>
      </c>
      <c r="I1490" s="11" t="s">
        <v>65</v>
      </c>
      <c r="J1490" s="14">
        <v>1</v>
      </c>
      <c r="K1490" s="14" t="s">
        <v>5406</v>
      </c>
      <c r="L1490" s="14" t="s">
        <v>5427</v>
      </c>
      <c r="M1490" s="15" t="s">
        <v>5336</v>
      </c>
      <c r="N1490" s="15" t="s">
        <v>76</v>
      </c>
      <c r="O1490" s="15" t="s">
        <v>5428</v>
      </c>
      <c r="P1490" s="15"/>
      <c r="Q1490" s="12" t="s">
        <v>69</v>
      </c>
      <c r="R1490" s="16" t="s">
        <v>54</v>
      </c>
      <c r="S1490" s="15" t="s">
        <v>5415</v>
      </c>
      <c r="T1490" s="14" t="s">
        <v>55</v>
      </c>
    </row>
    <row r="1491" spans="1:20" ht="16.5">
      <c r="A1491" s="21" t="s">
        <v>4598</v>
      </c>
      <c r="B1491" s="17" t="s">
        <v>60</v>
      </c>
      <c r="C1491" s="17" t="s">
        <v>62</v>
      </c>
      <c r="D1491" s="19" t="s">
        <v>5333</v>
      </c>
      <c r="E1491" s="17" t="s">
        <v>71</v>
      </c>
      <c r="F1491" s="17" t="s">
        <v>72</v>
      </c>
      <c r="G1491" s="19" t="s">
        <v>5429</v>
      </c>
      <c r="H1491" s="24" t="s">
        <v>5417</v>
      </c>
      <c r="I1491" s="17" t="s">
        <v>65</v>
      </c>
      <c r="J1491" s="21">
        <v>1</v>
      </c>
      <c r="K1491" s="21" t="s">
        <v>5406</v>
      </c>
      <c r="L1491" s="21" t="s">
        <v>5430</v>
      </c>
      <c r="M1491" s="19" t="s">
        <v>5336</v>
      </c>
      <c r="N1491" s="19" t="s">
        <v>76</v>
      </c>
      <c r="O1491" s="19" t="s">
        <v>5431</v>
      </c>
      <c r="P1491" s="19"/>
      <c r="Q1491" s="18" t="s">
        <v>69</v>
      </c>
      <c r="R1491" s="16" t="s">
        <v>54</v>
      </c>
      <c r="S1491" s="19" t="s">
        <v>5415</v>
      </c>
      <c r="T1491" s="21" t="s">
        <v>55</v>
      </c>
    </row>
    <row r="1492" spans="1:20" ht="16.5">
      <c r="A1492" s="14" t="s">
        <v>4598</v>
      </c>
      <c r="B1492" s="11" t="s">
        <v>60</v>
      </c>
      <c r="C1492" s="11" t="s">
        <v>62</v>
      </c>
      <c r="D1492" s="15" t="s">
        <v>5333</v>
      </c>
      <c r="E1492" s="11" t="s">
        <v>71</v>
      </c>
      <c r="F1492" s="11" t="s">
        <v>72</v>
      </c>
      <c r="G1492" s="15" t="s">
        <v>5432</v>
      </c>
      <c r="H1492" s="23" t="s">
        <v>5417</v>
      </c>
      <c r="I1492" s="11" t="s">
        <v>65</v>
      </c>
      <c r="J1492" s="14">
        <v>1</v>
      </c>
      <c r="K1492" s="14" t="s">
        <v>5406</v>
      </c>
      <c r="L1492" s="14" t="s">
        <v>5433</v>
      </c>
      <c r="M1492" s="15" t="s">
        <v>5336</v>
      </c>
      <c r="N1492" s="15" t="s">
        <v>76</v>
      </c>
      <c r="O1492" s="15" t="s">
        <v>5434</v>
      </c>
      <c r="P1492" s="15"/>
      <c r="Q1492" s="12" t="s">
        <v>69</v>
      </c>
      <c r="R1492" s="16" t="s">
        <v>54</v>
      </c>
      <c r="S1492" s="15" t="s">
        <v>5415</v>
      </c>
      <c r="T1492" s="14" t="s">
        <v>55</v>
      </c>
    </row>
    <row r="1493" spans="1:20" ht="16.5">
      <c r="A1493" s="21" t="s">
        <v>4598</v>
      </c>
      <c r="B1493" s="17" t="s">
        <v>60</v>
      </c>
      <c r="C1493" s="17" t="s">
        <v>62</v>
      </c>
      <c r="D1493" s="19" t="s">
        <v>5333</v>
      </c>
      <c r="E1493" s="17" t="s">
        <v>71</v>
      </c>
      <c r="F1493" s="17" t="s">
        <v>72</v>
      </c>
      <c r="G1493" s="19" t="s">
        <v>5435</v>
      </c>
      <c r="H1493" s="24" t="s">
        <v>5417</v>
      </c>
      <c r="I1493" s="17" t="s">
        <v>65</v>
      </c>
      <c r="J1493" s="21">
        <v>1</v>
      </c>
      <c r="K1493" s="21" t="s">
        <v>5406</v>
      </c>
      <c r="L1493" s="21" t="s">
        <v>5436</v>
      </c>
      <c r="M1493" s="19" t="s">
        <v>5336</v>
      </c>
      <c r="N1493" s="19" t="s">
        <v>76</v>
      </c>
      <c r="O1493" s="19" t="s">
        <v>5437</v>
      </c>
      <c r="P1493" s="19"/>
      <c r="Q1493" s="18" t="s">
        <v>69</v>
      </c>
      <c r="R1493" s="16" t="s">
        <v>54</v>
      </c>
      <c r="S1493" s="19" t="s">
        <v>5415</v>
      </c>
      <c r="T1493" s="21" t="s">
        <v>55</v>
      </c>
    </row>
    <row r="1494" spans="1:20" ht="16.5">
      <c r="A1494" s="14" t="s">
        <v>4598</v>
      </c>
      <c r="B1494" s="11" t="s">
        <v>60</v>
      </c>
      <c r="C1494" s="11" t="s">
        <v>62</v>
      </c>
      <c r="D1494" s="15" t="s">
        <v>5333</v>
      </c>
      <c r="E1494" s="11" t="s">
        <v>71</v>
      </c>
      <c r="F1494" s="11" t="s">
        <v>72</v>
      </c>
      <c r="G1494" s="15" t="s">
        <v>5438</v>
      </c>
      <c r="H1494" s="23" t="s">
        <v>5417</v>
      </c>
      <c r="I1494" s="11" t="s">
        <v>65</v>
      </c>
      <c r="J1494" s="14">
        <v>1</v>
      </c>
      <c r="K1494" s="14" t="s">
        <v>5406</v>
      </c>
      <c r="L1494" s="14" t="s">
        <v>5439</v>
      </c>
      <c r="M1494" s="15" t="s">
        <v>5336</v>
      </c>
      <c r="N1494" s="15" t="s">
        <v>76</v>
      </c>
      <c r="O1494" s="15" t="s">
        <v>5440</v>
      </c>
      <c r="P1494" s="15"/>
      <c r="Q1494" s="12" t="s">
        <v>69</v>
      </c>
      <c r="R1494" s="16" t="s">
        <v>54</v>
      </c>
      <c r="S1494" s="15" t="s">
        <v>5415</v>
      </c>
      <c r="T1494" s="14" t="s">
        <v>55</v>
      </c>
    </row>
    <row r="1495" spans="1:20" ht="16.5">
      <c r="A1495" s="21" t="s">
        <v>4598</v>
      </c>
      <c r="B1495" s="17" t="s">
        <v>60</v>
      </c>
      <c r="C1495" s="17" t="s">
        <v>62</v>
      </c>
      <c r="D1495" s="19" t="s">
        <v>5333</v>
      </c>
      <c r="E1495" s="17" t="s">
        <v>71</v>
      </c>
      <c r="F1495" s="17" t="s">
        <v>72</v>
      </c>
      <c r="G1495" s="19" t="s">
        <v>5441</v>
      </c>
      <c r="H1495" s="24" t="s">
        <v>5417</v>
      </c>
      <c r="I1495" s="17" t="s">
        <v>65</v>
      </c>
      <c r="J1495" s="21">
        <v>1</v>
      </c>
      <c r="K1495" s="21" t="s">
        <v>5406</v>
      </c>
      <c r="L1495" s="21" t="s">
        <v>5442</v>
      </c>
      <c r="M1495" s="19" t="s">
        <v>5336</v>
      </c>
      <c r="N1495" s="19" t="s">
        <v>76</v>
      </c>
      <c r="O1495" s="19" t="s">
        <v>5443</v>
      </c>
      <c r="P1495" s="19"/>
      <c r="Q1495" s="18" t="s">
        <v>69</v>
      </c>
      <c r="R1495" s="16" t="s">
        <v>54</v>
      </c>
      <c r="S1495" s="19" t="s">
        <v>5415</v>
      </c>
      <c r="T1495" s="21" t="s">
        <v>55</v>
      </c>
    </row>
    <row r="1496" spans="1:20" ht="16.5">
      <c r="A1496" s="14" t="s">
        <v>4598</v>
      </c>
      <c r="B1496" s="11" t="s">
        <v>60</v>
      </c>
      <c r="C1496" s="11" t="s">
        <v>62</v>
      </c>
      <c r="D1496" s="15" t="s">
        <v>5333</v>
      </c>
      <c r="E1496" s="11" t="s">
        <v>71</v>
      </c>
      <c r="F1496" s="11" t="s">
        <v>72</v>
      </c>
      <c r="G1496" s="15" t="s">
        <v>5444</v>
      </c>
      <c r="H1496" s="23" t="s">
        <v>5417</v>
      </c>
      <c r="I1496" s="11" t="s">
        <v>65</v>
      </c>
      <c r="J1496" s="14">
        <v>1</v>
      </c>
      <c r="K1496" s="14" t="s">
        <v>5406</v>
      </c>
      <c r="L1496" s="14" t="s">
        <v>5445</v>
      </c>
      <c r="M1496" s="15" t="s">
        <v>5336</v>
      </c>
      <c r="N1496" s="15" t="s">
        <v>76</v>
      </c>
      <c r="O1496" s="15" t="s">
        <v>5446</v>
      </c>
      <c r="P1496" s="15"/>
      <c r="Q1496" s="12" t="s">
        <v>69</v>
      </c>
      <c r="R1496" s="16" t="s">
        <v>54</v>
      </c>
      <c r="S1496" s="15" t="s">
        <v>5415</v>
      </c>
      <c r="T1496" s="14" t="s">
        <v>55</v>
      </c>
    </row>
    <row r="1497" spans="1:20" ht="16.5">
      <c r="A1497" s="21" t="s">
        <v>4598</v>
      </c>
      <c r="B1497" s="17" t="s">
        <v>60</v>
      </c>
      <c r="C1497" s="17" t="s">
        <v>62</v>
      </c>
      <c r="D1497" s="19" t="s">
        <v>5333</v>
      </c>
      <c r="E1497" s="17" t="s">
        <v>71</v>
      </c>
      <c r="F1497" s="17" t="s">
        <v>72</v>
      </c>
      <c r="G1497" s="19" t="s">
        <v>5447</v>
      </c>
      <c r="H1497" s="24" t="s">
        <v>5417</v>
      </c>
      <c r="I1497" s="17" t="s">
        <v>65</v>
      </c>
      <c r="J1497" s="21">
        <v>1</v>
      </c>
      <c r="K1497" s="21" t="s">
        <v>5406</v>
      </c>
      <c r="L1497" s="21" t="s">
        <v>5448</v>
      </c>
      <c r="M1497" s="19" t="s">
        <v>5336</v>
      </c>
      <c r="N1497" s="19" t="s">
        <v>76</v>
      </c>
      <c r="O1497" s="19" t="s">
        <v>5449</v>
      </c>
      <c r="P1497" s="19"/>
      <c r="Q1497" s="18" t="s">
        <v>69</v>
      </c>
      <c r="R1497" s="16" t="s">
        <v>54</v>
      </c>
      <c r="S1497" s="19" t="s">
        <v>5415</v>
      </c>
      <c r="T1497" s="21" t="s">
        <v>55</v>
      </c>
    </row>
    <row r="1498" spans="1:20" ht="16.5">
      <c r="A1498" s="14" t="s">
        <v>4598</v>
      </c>
      <c r="B1498" s="11" t="s">
        <v>60</v>
      </c>
      <c r="C1498" s="11" t="s">
        <v>62</v>
      </c>
      <c r="D1498" s="15" t="s">
        <v>5333</v>
      </c>
      <c r="E1498" s="11" t="s">
        <v>71</v>
      </c>
      <c r="F1498" s="11" t="s">
        <v>72</v>
      </c>
      <c r="G1498" s="15" t="s">
        <v>5450</v>
      </c>
      <c r="H1498" s="23" t="s">
        <v>5417</v>
      </c>
      <c r="I1498" s="11" t="s">
        <v>65</v>
      </c>
      <c r="J1498" s="14">
        <v>1</v>
      </c>
      <c r="K1498" s="14" t="s">
        <v>5406</v>
      </c>
      <c r="L1498" s="14" t="s">
        <v>5451</v>
      </c>
      <c r="M1498" s="15" t="s">
        <v>5336</v>
      </c>
      <c r="N1498" s="15" t="s">
        <v>76</v>
      </c>
      <c r="O1498" s="15" t="s">
        <v>5452</v>
      </c>
      <c r="P1498" s="15"/>
      <c r="Q1498" s="12" t="s">
        <v>69</v>
      </c>
      <c r="R1498" s="16" t="s">
        <v>54</v>
      </c>
      <c r="S1498" s="15" t="s">
        <v>5415</v>
      </c>
      <c r="T1498" s="14" t="s">
        <v>55</v>
      </c>
    </row>
    <row r="1499" spans="1:20" ht="16.5">
      <c r="A1499" s="21" t="s">
        <v>4598</v>
      </c>
      <c r="B1499" s="17" t="s">
        <v>60</v>
      </c>
      <c r="C1499" s="17" t="s">
        <v>62</v>
      </c>
      <c r="D1499" s="19" t="s">
        <v>5333</v>
      </c>
      <c r="E1499" s="17" t="s">
        <v>71</v>
      </c>
      <c r="F1499" s="17" t="s">
        <v>72</v>
      </c>
      <c r="G1499" s="19" t="s">
        <v>5453</v>
      </c>
      <c r="H1499" s="24" t="s">
        <v>5417</v>
      </c>
      <c r="I1499" s="17" t="s">
        <v>65</v>
      </c>
      <c r="J1499" s="21">
        <v>1</v>
      </c>
      <c r="K1499" s="21" t="s">
        <v>5406</v>
      </c>
      <c r="L1499" s="21" t="s">
        <v>5454</v>
      </c>
      <c r="M1499" s="19" t="s">
        <v>5336</v>
      </c>
      <c r="N1499" s="19" t="s">
        <v>76</v>
      </c>
      <c r="O1499" s="19" t="s">
        <v>5455</v>
      </c>
      <c r="P1499" s="19"/>
      <c r="Q1499" s="18" t="s">
        <v>69</v>
      </c>
      <c r="R1499" s="16" t="s">
        <v>54</v>
      </c>
      <c r="S1499" s="19" t="s">
        <v>5415</v>
      </c>
      <c r="T1499" s="21" t="s">
        <v>55</v>
      </c>
    </row>
    <row r="1500" spans="1:20" ht="16.5">
      <c r="A1500" s="14" t="s">
        <v>4598</v>
      </c>
      <c r="B1500" s="11" t="s">
        <v>60</v>
      </c>
      <c r="C1500" s="11" t="s">
        <v>62</v>
      </c>
      <c r="D1500" s="15" t="s">
        <v>5333</v>
      </c>
      <c r="E1500" s="11" t="s">
        <v>71</v>
      </c>
      <c r="F1500" s="11" t="s">
        <v>72</v>
      </c>
      <c r="G1500" s="15" t="s">
        <v>5456</v>
      </c>
      <c r="H1500" s="23" t="s">
        <v>5417</v>
      </c>
      <c r="I1500" s="11" t="s">
        <v>65</v>
      </c>
      <c r="J1500" s="14">
        <v>1</v>
      </c>
      <c r="K1500" s="14" t="s">
        <v>5406</v>
      </c>
      <c r="L1500" s="14" t="s">
        <v>5457</v>
      </c>
      <c r="M1500" s="15" t="s">
        <v>5336</v>
      </c>
      <c r="N1500" s="15" t="s">
        <v>76</v>
      </c>
      <c r="O1500" s="15" t="s">
        <v>5458</v>
      </c>
      <c r="P1500" s="15"/>
      <c r="Q1500" s="12" t="s">
        <v>69</v>
      </c>
      <c r="R1500" s="16" t="s">
        <v>54</v>
      </c>
      <c r="S1500" s="15" t="s">
        <v>5415</v>
      </c>
      <c r="T1500" s="14" t="s">
        <v>55</v>
      </c>
    </row>
    <row r="1501" spans="1:20" ht="16.5">
      <c r="A1501" s="21" t="s">
        <v>4598</v>
      </c>
      <c r="B1501" s="17" t="s">
        <v>60</v>
      </c>
      <c r="C1501" s="17" t="s">
        <v>62</v>
      </c>
      <c r="D1501" s="19" t="s">
        <v>5333</v>
      </c>
      <c r="E1501" s="17" t="s">
        <v>81</v>
      </c>
      <c r="F1501" s="17" t="s">
        <v>82</v>
      </c>
      <c r="G1501" s="19" t="s">
        <v>5459</v>
      </c>
      <c r="H1501" s="24" t="s">
        <v>5460</v>
      </c>
      <c r="I1501" s="17" t="s">
        <v>65</v>
      </c>
      <c r="J1501" s="21">
        <v>1</v>
      </c>
      <c r="K1501" s="21" t="s">
        <v>5406</v>
      </c>
      <c r="L1501" s="21" t="s">
        <v>5461</v>
      </c>
      <c r="M1501" s="19" t="s">
        <v>5336</v>
      </c>
      <c r="N1501" s="19" t="s">
        <v>86</v>
      </c>
      <c r="O1501" s="19" t="s">
        <v>5462</v>
      </c>
      <c r="P1501" s="19"/>
      <c r="Q1501" s="18" t="s">
        <v>53</v>
      </c>
      <c r="R1501" s="22" t="s">
        <v>88</v>
      </c>
      <c r="S1501" s="19" t="s">
        <v>5415</v>
      </c>
      <c r="T1501" s="21" t="s">
        <v>55</v>
      </c>
    </row>
    <row r="1502" spans="1:20" ht="16.5">
      <c r="A1502" s="14" t="s">
        <v>4598</v>
      </c>
      <c r="B1502" s="11" t="s">
        <v>60</v>
      </c>
      <c r="C1502" s="11" t="s">
        <v>62</v>
      </c>
      <c r="D1502" s="15" t="s">
        <v>5333</v>
      </c>
      <c r="E1502" s="11" t="s">
        <v>81</v>
      </c>
      <c r="F1502" s="11" t="s">
        <v>82</v>
      </c>
      <c r="G1502" s="15" t="s">
        <v>5463</v>
      </c>
      <c r="H1502" s="23" t="s">
        <v>5464</v>
      </c>
      <c r="I1502" s="11" t="s">
        <v>65</v>
      </c>
      <c r="J1502" s="14">
        <v>1</v>
      </c>
      <c r="K1502" s="14" t="s">
        <v>5406</v>
      </c>
      <c r="L1502" s="14" t="s">
        <v>5465</v>
      </c>
      <c r="M1502" s="15" t="s">
        <v>5336</v>
      </c>
      <c r="N1502" s="15" t="s">
        <v>86</v>
      </c>
      <c r="O1502" s="15" t="s">
        <v>5466</v>
      </c>
      <c r="P1502" s="15"/>
      <c r="Q1502" s="12" t="s">
        <v>53</v>
      </c>
      <c r="R1502" s="22" t="s">
        <v>88</v>
      </c>
      <c r="S1502" s="15" t="s">
        <v>5415</v>
      </c>
      <c r="T1502" s="14" t="s">
        <v>55</v>
      </c>
    </row>
    <row r="1503" spans="1:20" ht="16.5">
      <c r="A1503" s="21" t="s">
        <v>4598</v>
      </c>
      <c r="B1503" s="17" t="s">
        <v>60</v>
      </c>
      <c r="C1503" s="17" t="s">
        <v>62</v>
      </c>
      <c r="D1503" s="19" t="s">
        <v>5333</v>
      </c>
      <c r="E1503" s="17" t="s">
        <v>81</v>
      </c>
      <c r="F1503" s="17" t="s">
        <v>82</v>
      </c>
      <c r="G1503" s="19" t="s">
        <v>5467</v>
      </c>
      <c r="H1503" s="24" t="s">
        <v>5468</v>
      </c>
      <c r="I1503" s="17" t="s">
        <v>65</v>
      </c>
      <c r="J1503" s="21">
        <v>1</v>
      </c>
      <c r="K1503" s="21" t="s">
        <v>5406</v>
      </c>
      <c r="L1503" s="21" t="s">
        <v>5469</v>
      </c>
      <c r="M1503" s="19" t="s">
        <v>5336</v>
      </c>
      <c r="N1503" s="19" t="s">
        <v>86</v>
      </c>
      <c r="O1503" s="19" t="s">
        <v>5470</v>
      </c>
      <c r="P1503" s="19"/>
      <c r="Q1503" s="18" t="s">
        <v>53</v>
      </c>
      <c r="R1503" s="22" t="s">
        <v>88</v>
      </c>
      <c r="S1503" s="19" t="s">
        <v>5415</v>
      </c>
      <c r="T1503" s="21" t="s">
        <v>55</v>
      </c>
    </row>
    <row r="1504" spans="1:20" ht="16.5">
      <c r="A1504" s="14" t="s">
        <v>4598</v>
      </c>
      <c r="B1504" s="11" t="s">
        <v>60</v>
      </c>
      <c r="C1504" s="11" t="s">
        <v>62</v>
      </c>
      <c r="D1504" s="15" t="s">
        <v>5333</v>
      </c>
      <c r="E1504" s="11" t="s">
        <v>81</v>
      </c>
      <c r="F1504" s="11" t="s">
        <v>82</v>
      </c>
      <c r="G1504" s="15" t="s">
        <v>5471</v>
      </c>
      <c r="H1504" s="23" t="s">
        <v>5472</v>
      </c>
      <c r="I1504" s="11" t="s">
        <v>65</v>
      </c>
      <c r="J1504" s="14">
        <v>1</v>
      </c>
      <c r="K1504" s="14" t="s">
        <v>5406</v>
      </c>
      <c r="L1504" s="14" t="s">
        <v>5473</v>
      </c>
      <c r="M1504" s="15" t="s">
        <v>5336</v>
      </c>
      <c r="N1504" s="15" t="s">
        <v>86</v>
      </c>
      <c r="O1504" s="15" t="s">
        <v>5474</v>
      </c>
      <c r="P1504" s="15"/>
      <c r="Q1504" s="12" t="s">
        <v>53</v>
      </c>
      <c r="R1504" s="22" t="s">
        <v>88</v>
      </c>
      <c r="S1504" s="15" t="s">
        <v>5415</v>
      </c>
      <c r="T1504" s="14" t="s">
        <v>55</v>
      </c>
    </row>
    <row r="1505" spans="1:20" ht="16.5">
      <c r="A1505" s="21" t="s">
        <v>4598</v>
      </c>
      <c r="B1505" s="17" t="s">
        <v>60</v>
      </c>
      <c r="C1505" s="17" t="s">
        <v>62</v>
      </c>
      <c r="D1505" s="19" t="s">
        <v>5333</v>
      </c>
      <c r="E1505" s="17" t="s">
        <v>81</v>
      </c>
      <c r="F1505" s="17" t="s">
        <v>82</v>
      </c>
      <c r="G1505" s="19" t="s">
        <v>5475</v>
      </c>
      <c r="H1505" s="24" t="s">
        <v>5476</v>
      </c>
      <c r="I1505" s="17" t="s">
        <v>65</v>
      </c>
      <c r="J1505" s="21">
        <v>1</v>
      </c>
      <c r="K1505" s="21" t="s">
        <v>5406</v>
      </c>
      <c r="L1505" s="21" t="s">
        <v>5477</v>
      </c>
      <c r="M1505" s="19" t="s">
        <v>5336</v>
      </c>
      <c r="N1505" s="19" t="s">
        <v>86</v>
      </c>
      <c r="O1505" s="19" t="s">
        <v>5478</v>
      </c>
      <c r="P1505" s="19"/>
      <c r="Q1505" s="18" t="s">
        <v>53</v>
      </c>
      <c r="R1505" s="22" t="s">
        <v>88</v>
      </c>
      <c r="S1505" s="19" t="s">
        <v>5415</v>
      </c>
      <c r="T1505" s="21" t="s">
        <v>55</v>
      </c>
    </row>
    <row r="1506" spans="1:20" ht="16.5">
      <c r="A1506" s="14" t="s">
        <v>4598</v>
      </c>
      <c r="B1506" s="11" t="s">
        <v>60</v>
      </c>
      <c r="C1506" s="11" t="s">
        <v>62</v>
      </c>
      <c r="D1506" s="15" t="s">
        <v>5333</v>
      </c>
      <c r="E1506" s="11" t="s">
        <v>81</v>
      </c>
      <c r="F1506" s="11" t="s">
        <v>82</v>
      </c>
      <c r="G1506" s="15" t="s">
        <v>5479</v>
      </c>
      <c r="H1506" s="23" t="s">
        <v>5480</v>
      </c>
      <c r="I1506" s="11" t="s">
        <v>65</v>
      </c>
      <c r="J1506" s="14">
        <v>1</v>
      </c>
      <c r="K1506" s="14" t="s">
        <v>5406</v>
      </c>
      <c r="L1506" s="14" t="s">
        <v>5481</v>
      </c>
      <c r="M1506" s="15" t="s">
        <v>5336</v>
      </c>
      <c r="N1506" s="15" t="s">
        <v>86</v>
      </c>
      <c r="O1506" s="15" t="s">
        <v>5482</v>
      </c>
      <c r="P1506" s="15"/>
      <c r="Q1506" s="12" t="s">
        <v>53</v>
      </c>
      <c r="R1506" s="22" t="s">
        <v>88</v>
      </c>
      <c r="S1506" s="15" t="s">
        <v>5415</v>
      </c>
      <c r="T1506" s="14" t="s">
        <v>55</v>
      </c>
    </row>
    <row r="1507" spans="1:20" ht="16.5">
      <c r="A1507" s="21" t="s">
        <v>4598</v>
      </c>
      <c r="B1507" s="17" t="s">
        <v>60</v>
      </c>
      <c r="C1507" s="17" t="s">
        <v>44</v>
      </c>
      <c r="D1507" s="19" t="s">
        <v>4598</v>
      </c>
      <c r="E1507" s="17" t="s">
        <v>61</v>
      </c>
      <c r="F1507" s="17" t="s">
        <v>62</v>
      </c>
      <c r="G1507" s="18" t="s">
        <v>5483</v>
      </c>
      <c r="H1507" s="24" t="s">
        <v>5484</v>
      </c>
      <c r="I1507" s="17" t="s">
        <v>65</v>
      </c>
      <c r="J1507" s="21">
        <v>1</v>
      </c>
      <c r="K1507" s="21" t="s">
        <v>5406</v>
      </c>
      <c r="L1507" s="21" t="s">
        <v>5485</v>
      </c>
      <c r="M1507" s="19" t="s">
        <v>4602</v>
      </c>
      <c r="N1507" s="19" t="s">
        <v>67</v>
      </c>
      <c r="O1507" s="19" t="s">
        <v>5486</v>
      </c>
      <c r="P1507" s="19"/>
      <c r="Q1507" s="18" t="s">
        <v>69</v>
      </c>
      <c r="R1507" s="16" t="s">
        <v>54</v>
      </c>
      <c r="S1507" s="19" t="s">
        <v>5415</v>
      </c>
      <c r="T1507" s="21" t="s">
        <v>55</v>
      </c>
    </row>
    <row r="1508" spans="1:20" ht="16.5">
      <c r="A1508" s="14" t="s">
        <v>4598</v>
      </c>
      <c r="B1508" s="11" t="s">
        <v>60</v>
      </c>
      <c r="C1508" s="11" t="s">
        <v>62</v>
      </c>
      <c r="D1508" s="12" t="s">
        <v>5483</v>
      </c>
      <c r="E1508" s="11" t="s">
        <v>71</v>
      </c>
      <c r="F1508" s="11" t="s">
        <v>72</v>
      </c>
      <c r="G1508" s="12" t="s">
        <v>5487</v>
      </c>
      <c r="H1508" s="13" t="s">
        <v>5488</v>
      </c>
      <c r="I1508" s="11" t="s">
        <v>65</v>
      </c>
      <c r="J1508" s="14">
        <v>1</v>
      </c>
      <c r="K1508" s="14" t="s">
        <v>5406</v>
      </c>
      <c r="L1508" s="14" t="s">
        <v>5489</v>
      </c>
      <c r="M1508" s="15" t="s">
        <v>5486</v>
      </c>
      <c r="N1508" s="15" t="s">
        <v>76</v>
      </c>
      <c r="O1508" s="15" t="s">
        <v>5490</v>
      </c>
      <c r="P1508" s="15"/>
      <c r="Q1508" s="12" t="s">
        <v>69</v>
      </c>
      <c r="R1508" s="16" t="s">
        <v>54</v>
      </c>
      <c r="S1508" s="15" t="s">
        <v>5415</v>
      </c>
      <c r="T1508" s="14" t="s">
        <v>55</v>
      </c>
    </row>
    <row r="1509" spans="1:20" ht="16.5">
      <c r="A1509" s="21" t="s">
        <v>4598</v>
      </c>
      <c r="B1509" s="17" t="s">
        <v>60</v>
      </c>
      <c r="C1509" s="17" t="s">
        <v>62</v>
      </c>
      <c r="D1509" s="18" t="s">
        <v>5483</v>
      </c>
      <c r="E1509" s="17" t="s">
        <v>71</v>
      </c>
      <c r="F1509" s="17" t="s">
        <v>72</v>
      </c>
      <c r="G1509" s="18" t="s">
        <v>5491</v>
      </c>
      <c r="H1509" s="20" t="s">
        <v>5488</v>
      </c>
      <c r="I1509" s="17" t="s">
        <v>65</v>
      </c>
      <c r="J1509" s="21">
        <v>1</v>
      </c>
      <c r="K1509" s="21" t="s">
        <v>5406</v>
      </c>
      <c r="L1509" s="21" t="s">
        <v>5492</v>
      </c>
      <c r="M1509" s="19" t="s">
        <v>5486</v>
      </c>
      <c r="N1509" s="19" t="s">
        <v>76</v>
      </c>
      <c r="O1509" s="19" t="s">
        <v>5493</v>
      </c>
      <c r="P1509" s="19"/>
      <c r="Q1509" s="18" t="s">
        <v>69</v>
      </c>
      <c r="R1509" s="16" t="s">
        <v>54</v>
      </c>
      <c r="S1509" s="19" t="s">
        <v>5415</v>
      </c>
      <c r="T1509" s="21" t="s">
        <v>55</v>
      </c>
    </row>
    <row r="1510" spans="1:20" ht="16.5">
      <c r="A1510" s="14" t="s">
        <v>4598</v>
      </c>
      <c r="B1510" s="11" t="s">
        <v>60</v>
      </c>
      <c r="C1510" s="11" t="s">
        <v>62</v>
      </c>
      <c r="D1510" s="12" t="s">
        <v>5483</v>
      </c>
      <c r="E1510" s="11" t="s">
        <v>71</v>
      </c>
      <c r="F1510" s="11" t="s">
        <v>72</v>
      </c>
      <c r="G1510" s="12" t="s">
        <v>5494</v>
      </c>
      <c r="H1510" s="13" t="s">
        <v>5488</v>
      </c>
      <c r="I1510" s="11" t="s">
        <v>65</v>
      </c>
      <c r="J1510" s="14">
        <v>1</v>
      </c>
      <c r="K1510" s="14" t="s">
        <v>5406</v>
      </c>
      <c r="L1510" s="14" t="s">
        <v>5495</v>
      </c>
      <c r="M1510" s="15" t="s">
        <v>5486</v>
      </c>
      <c r="N1510" s="15" t="s">
        <v>76</v>
      </c>
      <c r="O1510" s="15" t="s">
        <v>5496</v>
      </c>
      <c r="P1510" s="15"/>
      <c r="Q1510" s="12" t="s">
        <v>69</v>
      </c>
      <c r="R1510" s="16" t="s">
        <v>54</v>
      </c>
      <c r="S1510" s="15" t="s">
        <v>5415</v>
      </c>
      <c r="T1510" s="14" t="s">
        <v>55</v>
      </c>
    </row>
    <row r="1511" spans="1:20" ht="16.5">
      <c r="A1511" s="21" t="s">
        <v>4598</v>
      </c>
      <c r="B1511" s="17" t="s">
        <v>60</v>
      </c>
      <c r="C1511" s="17" t="s">
        <v>62</v>
      </c>
      <c r="D1511" s="18" t="s">
        <v>5483</v>
      </c>
      <c r="E1511" s="17" t="s">
        <v>71</v>
      </c>
      <c r="F1511" s="17" t="s">
        <v>72</v>
      </c>
      <c r="G1511" s="18" t="s">
        <v>5497</v>
      </c>
      <c r="H1511" s="20" t="s">
        <v>5488</v>
      </c>
      <c r="I1511" s="17" t="s">
        <v>65</v>
      </c>
      <c r="J1511" s="21">
        <v>1</v>
      </c>
      <c r="K1511" s="21" t="s">
        <v>5406</v>
      </c>
      <c r="L1511" s="21" t="s">
        <v>5498</v>
      </c>
      <c r="M1511" s="19" t="s">
        <v>5486</v>
      </c>
      <c r="N1511" s="19" t="s">
        <v>76</v>
      </c>
      <c r="O1511" s="19" t="s">
        <v>5499</v>
      </c>
      <c r="P1511" s="19"/>
      <c r="Q1511" s="18" t="s">
        <v>69</v>
      </c>
      <c r="R1511" s="16" t="s">
        <v>54</v>
      </c>
      <c r="S1511" s="19" t="s">
        <v>5415</v>
      </c>
      <c r="T1511" s="21" t="s">
        <v>55</v>
      </c>
    </row>
    <row r="1512" spans="1:20" ht="16.5">
      <c r="A1512" s="14" t="s">
        <v>4598</v>
      </c>
      <c r="B1512" s="11" t="s">
        <v>60</v>
      </c>
      <c r="C1512" s="11" t="s">
        <v>62</v>
      </c>
      <c r="D1512" s="12" t="s">
        <v>5483</v>
      </c>
      <c r="E1512" s="11" t="s">
        <v>71</v>
      </c>
      <c r="F1512" s="11" t="s">
        <v>72</v>
      </c>
      <c r="G1512" s="12" t="s">
        <v>5500</v>
      </c>
      <c r="H1512" s="13" t="s">
        <v>5488</v>
      </c>
      <c r="I1512" s="11" t="s">
        <v>65</v>
      </c>
      <c r="J1512" s="14">
        <v>1</v>
      </c>
      <c r="K1512" s="14" t="s">
        <v>5406</v>
      </c>
      <c r="L1512" s="14" t="s">
        <v>5501</v>
      </c>
      <c r="M1512" s="15" t="s">
        <v>5486</v>
      </c>
      <c r="N1512" s="15" t="s">
        <v>76</v>
      </c>
      <c r="O1512" s="15" t="s">
        <v>5502</v>
      </c>
      <c r="P1512" s="15"/>
      <c r="Q1512" s="12" t="s">
        <v>69</v>
      </c>
      <c r="R1512" s="16" t="s">
        <v>54</v>
      </c>
      <c r="S1512" s="15" t="s">
        <v>5415</v>
      </c>
      <c r="T1512" s="14" t="s">
        <v>55</v>
      </c>
    </row>
    <row r="1513" spans="1:20" ht="16.5">
      <c r="A1513" s="21" t="s">
        <v>4598</v>
      </c>
      <c r="B1513" s="17" t="s">
        <v>60</v>
      </c>
      <c r="C1513" s="17" t="s">
        <v>62</v>
      </c>
      <c r="D1513" s="18" t="s">
        <v>5483</v>
      </c>
      <c r="E1513" s="17" t="s">
        <v>71</v>
      </c>
      <c r="F1513" s="17" t="s">
        <v>72</v>
      </c>
      <c r="G1513" s="18" t="s">
        <v>5503</v>
      </c>
      <c r="H1513" s="20" t="s">
        <v>5488</v>
      </c>
      <c r="I1513" s="17" t="s">
        <v>65</v>
      </c>
      <c r="J1513" s="21">
        <v>1</v>
      </c>
      <c r="K1513" s="21" t="s">
        <v>5406</v>
      </c>
      <c r="L1513" s="21" t="s">
        <v>5504</v>
      </c>
      <c r="M1513" s="19" t="s">
        <v>5486</v>
      </c>
      <c r="N1513" s="19" t="s">
        <v>76</v>
      </c>
      <c r="O1513" s="19" t="s">
        <v>5505</v>
      </c>
      <c r="P1513" s="19"/>
      <c r="Q1513" s="18" t="s">
        <v>69</v>
      </c>
      <c r="R1513" s="16" t="s">
        <v>54</v>
      </c>
      <c r="S1513" s="19" t="s">
        <v>5415</v>
      </c>
      <c r="T1513" s="21" t="s">
        <v>55</v>
      </c>
    </row>
    <row r="1514" spans="1:20" ht="16.5">
      <c r="A1514" s="14" t="s">
        <v>4598</v>
      </c>
      <c r="B1514" s="11" t="s">
        <v>60</v>
      </c>
      <c r="C1514" s="11" t="s">
        <v>62</v>
      </c>
      <c r="D1514" s="12" t="s">
        <v>5483</v>
      </c>
      <c r="E1514" s="11" t="s">
        <v>71</v>
      </c>
      <c r="F1514" s="11" t="s">
        <v>72</v>
      </c>
      <c r="G1514" s="12" t="s">
        <v>5506</v>
      </c>
      <c r="H1514" s="13" t="s">
        <v>5488</v>
      </c>
      <c r="I1514" s="11" t="s">
        <v>65</v>
      </c>
      <c r="J1514" s="14">
        <v>1</v>
      </c>
      <c r="K1514" s="14" t="s">
        <v>5406</v>
      </c>
      <c r="L1514" s="14" t="s">
        <v>5507</v>
      </c>
      <c r="M1514" s="15" t="s">
        <v>5486</v>
      </c>
      <c r="N1514" s="15" t="s">
        <v>76</v>
      </c>
      <c r="O1514" s="15" t="s">
        <v>5508</v>
      </c>
      <c r="P1514" s="15"/>
      <c r="Q1514" s="12" t="s">
        <v>69</v>
      </c>
      <c r="R1514" s="16" t="s">
        <v>54</v>
      </c>
      <c r="S1514" s="15" t="s">
        <v>5415</v>
      </c>
      <c r="T1514" s="14" t="s">
        <v>55</v>
      </c>
    </row>
    <row r="1515" spans="1:20" ht="16.5">
      <c r="A1515" s="21" t="s">
        <v>4598</v>
      </c>
      <c r="B1515" s="17" t="s">
        <v>60</v>
      </c>
      <c r="C1515" s="17" t="s">
        <v>62</v>
      </c>
      <c r="D1515" s="18" t="s">
        <v>5483</v>
      </c>
      <c r="E1515" s="17" t="s">
        <v>71</v>
      </c>
      <c r="F1515" s="17" t="s">
        <v>72</v>
      </c>
      <c r="G1515" s="18" t="s">
        <v>5509</v>
      </c>
      <c r="H1515" s="20" t="s">
        <v>5488</v>
      </c>
      <c r="I1515" s="17" t="s">
        <v>65</v>
      </c>
      <c r="J1515" s="21">
        <v>1</v>
      </c>
      <c r="K1515" s="21" t="s">
        <v>5406</v>
      </c>
      <c r="L1515" s="21" t="s">
        <v>5510</v>
      </c>
      <c r="M1515" s="19" t="s">
        <v>5486</v>
      </c>
      <c r="N1515" s="19" t="s">
        <v>76</v>
      </c>
      <c r="O1515" s="19" t="s">
        <v>5511</v>
      </c>
      <c r="P1515" s="19"/>
      <c r="Q1515" s="18" t="s">
        <v>69</v>
      </c>
      <c r="R1515" s="16" t="s">
        <v>54</v>
      </c>
      <c r="S1515" s="19" t="s">
        <v>5415</v>
      </c>
      <c r="T1515" s="21" t="s">
        <v>55</v>
      </c>
    </row>
    <row r="1516" spans="1:20" ht="16.5">
      <c r="A1516" s="14" t="s">
        <v>4598</v>
      </c>
      <c r="B1516" s="11" t="s">
        <v>60</v>
      </c>
      <c r="C1516" s="11" t="s">
        <v>62</v>
      </c>
      <c r="D1516" s="12" t="s">
        <v>5483</v>
      </c>
      <c r="E1516" s="11" t="s">
        <v>81</v>
      </c>
      <c r="F1516" s="11" t="s">
        <v>82</v>
      </c>
      <c r="G1516" s="12" t="s">
        <v>5512</v>
      </c>
      <c r="H1516" s="13" t="s">
        <v>5513</v>
      </c>
      <c r="I1516" s="11" t="s">
        <v>65</v>
      </c>
      <c r="J1516" s="14">
        <v>1</v>
      </c>
      <c r="K1516" s="14" t="s">
        <v>5406</v>
      </c>
      <c r="L1516" s="14" t="s">
        <v>5514</v>
      </c>
      <c r="M1516" s="15" t="s">
        <v>5486</v>
      </c>
      <c r="N1516" s="15" t="s">
        <v>86</v>
      </c>
      <c r="O1516" s="15" t="s">
        <v>5515</v>
      </c>
      <c r="P1516" s="15"/>
      <c r="Q1516" s="12" t="s">
        <v>53</v>
      </c>
      <c r="R1516" s="22" t="s">
        <v>88</v>
      </c>
      <c r="S1516" s="15" t="s">
        <v>5415</v>
      </c>
      <c r="T1516" s="14" t="s">
        <v>55</v>
      </c>
    </row>
    <row r="1517" spans="1:20" ht="16.5">
      <c r="A1517" s="21" t="s">
        <v>4598</v>
      </c>
      <c r="B1517" s="17" t="s">
        <v>60</v>
      </c>
      <c r="C1517" s="17" t="s">
        <v>44</v>
      </c>
      <c r="D1517" s="19" t="s">
        <v>4598</v>
      </c>
      <c r="E1517" s="17" t="s">
        <v>61</v>
      </c>
      <c r="F1517" s="17" t="s">
        <v>62</v>
      </c>
      <c r="G1517" s="19" t="s">
        <v>5516</v>
      </c>
      <c r="H1517" s="24" t="s">
        <v>5517</v>
      </c>
      <c r="I1517" s="17" t="s">
        <v>65</v>
      </c>
      <c r="J1517" s="21">
        <v>1</v>
      </c>
      <c r="K1517" s="21" t="s">
        <v>5406</v>
      </c>
      <c r="L1517" s="21" t="s">
        <v>5518</v>
      </c>
      <c r="M1517" s="19" t="s">
        <v>4602</v>
      </c>
      <c r="N1517" s="19" t="s">
        <v>67</v>
      </c>
      <c r="O1517" s="19" t="s">
        <v>5519</v>
      </c>
      <c r="P1517" s="19"/>
      <c r="Q1517" s="18" t="s">
        <v>69</v>
      </c>
      <c r="R1517" s="16" t="s">
        <v>54</v>
      </c>
      <c r="S1517" s="19" t="s">
        <v>5415</v>
      </c>
      <c r="T1517" s="21" t="s">
        <v>55</v>
      </c>
    </row>
    <row r="1518" spans="1:20" ht="16.5">
      <c r="A1518" s="14" t="s">
        <v>4598</v>
      </c>
      <c r="B1518" s="11" t="s">
        <v>60</v>
      </c>
      <c r="C1518" s="11" t="s">
        <v>62</v>
      </c>
      <c r="D1518" s="15" t="s">
        <v>5516</v>
      </c>
      <c r="E1518" s="11" t="s">
        <v>71</v>
      </c>
      <c r="F1518" s="11" t="s">
        <v>72</v>
      </c>
      <c r="G1518" s="15" t="s">
        <v>5520</v>
      </c>
      <c r="H1518" s="23" t="s">
        <v>5521</v>
      </c>
      <c r="I1518" s="11" t="s">
        <v>65</v>
      </c>
      <c r="J1518" s="14">
        <v>1</v>
      </c>
      <c r="K1518" s="14" t="s">
        <v>5406</v>
      </c>
      <c r="L1518" s="14" t="s">
        <v>5522</v>
      </c>
      <c r="M1518" s="15" t="s">
        <v>5519</v>
      </c>
      <c r="N1518" s="15" t="s">
        <v>76</v>
      </c>
      <c r="O1518" s="15" t="s">
        <v>5523</v>
      </c>
      <c r="P1518" s="15"/>
      <c r="Q1518" s="12" t="s">
        <v>69</v>
      </c>
      <c r="R1518" s="16" t="s">
        <v>54</v>
      </c>
      <c r="S1518" s="15" t="s">
        <v>5415</v>
      </c>
      <c r="T1518" s="14" t="s">
        <v>55</v>
      </c>
    </row>
    <row r="1519" spans="1:20" ht="16.5">
      <c r="A1519" s="21" t="s">
        <v>4598</v>
      </c>
      <c r="B1519" s="17" t="s">
        <v>60</v>
      </c>
      <c r="C1519" s="17" t="s">
        <v>62</v>
      </c>
      <c r="D1519" s="19" t="s">
        <v>5516</v>
      </c>
      <c r="E1519" s="17" t="s">
        <v>71</v>
      </c>
      <c r="F1519" s="17" t="s">
        <v>72</v>
      </c>
      <c r="G1519" s="19" t="s">
        <v>5524</v>
      </c>
      <c r="H1519" s="24" t="s">
        <v>5521</v>
      </c>
      <c r="I1519" s="17" t="s">
        <v>65</v>
      </c>
      <c r="J1519" s="21">
        <v>1</v>
      </c>
      <c r="K1519" s="21" t="s">
        <v>5406</v>
      </c>
      <c r="L1519" s="21" t="s">
        <v>5525</v>
      </c>
      <c r="M1519" s="19" t="s">
        <v>5519</v>
      </c>
      <c r="N1519" s="19" t="s">
        <v>76</v>
      </c>
      <c r="O1519" s="19" t="s">
        <v>5526</v>
      </c>
      <c r="P1519" s="19"/>
      <c r="Q1519" s="18" t="s">
        <v>69</v>
      </c>
      <c r="R1519" s="16" t="s">
        <v>54</v>
      </c>
      <c r="S1519" s="19" t="s">
        <v>5415</v>
      </c>
      <c r="T1519" s="21" t="s">
        <v>55</v>
      </c>
    </row>
    <row r="1520" spans="1:20" ht="16.5">
      <c r="A1520" s="14" t="s">
        <v>4598</v>
      </c>
      <c r="B1520" s="11" t="s">
        <v>60</v>
      </c>
      <c r="C1520" s="11" t="s">
        <v>62</v>
      </c>
      <c r="D1520" s="15" t="s">
        <v>5516</v>
      </c>
      <c r="E1520" s="11" t="s">
        <v>71</v>
      </c>
      <c r="F1520" s="11" t="s">
        <v>72</v>
      </c>
      <c r="G1520" s="15" t="s">
        <v>5527</v>
      </c>
      <c r="H1520" s="23" t="s">
        <v>5521</v>
      </c>
      <c r="I1520" s="11" t="s">
        <v>65</v>
      </c>
      <c r="J1520" s="14">
        <v>1</v>
      </c>
      <c r="K1520" s="14" t="s">
        <v>5406</v>
      </c>
      <c r="L1520" s="14" t="s">
        <v>5528</v>
      </c>
      <c r="M1520" s="15" t="s">
        <v>5519</v>
      </c>
      <c r="N1520" s="15" t="s">
        <v>76</v>
      </c>
      <c r="O1520" s="15" t="s">
        <v>5529</v>
      </c>
      <c r="P1520" s="15"/>
      <c r="Q1520" s="12" t="s">
        <v>69</v>
      </c>
      <c r="R1520" s="16" t="s">
        <v>54</v>
      </c>
      <c r="S1520" s="15" t="s">
        <v>5415</v>
      </c>
      <c r="T1520" s="14" t="s">
        <v>55</v>
      </c>
    </row>
    <row r="1521" spans="1:20" ht="16.5">
      <c r="A1521" s="21" t="s">
        <v>4598</v>
      </c>
      <c r="B1521" s="17" t="s">
        <v>60</v>
      </c>
      <c r="C1521" s="17" t="s">
        <v>62</v>
      </c>
      <c r="D1521" s="19" t="s">
        <v>5516</v>
      </c>
      <c r="E1521" s="17" t="s">
        <v>71</v>
      </c>
      <c r="F1521" s="17" t="s">
        <v>72</v>
      </c>
      <c r="G1521" s="19" t="s">
        <v>5530</v>
      </c>
      <c r="H1521" s="24" t="s">
        <v>5521</v>
      </c>
      <c r="I1521" s="17" t="s">
        <v>65</v>
      </c>
      <c r="J1521" s="21">
        <v>1</v>
      </c>
      <c r="K1521" s="21" t="s">
        <v>5406</v>
      </c>
      <c r="L1521" s="21" t="s">
        <v>5531</v>
      </c>
      <c r="M1521" s="19" t="s">
        <v>5519</v>
      </c>
      <c r="N1521" s="19" t="s">
        <v>76</v>
      </c>
      <c r="O1521" s="19" t="s">
        <v>5532</v>
      </c>
      <c r="P1521" s="19"/>
      <c r="Q1521" s="18" t="s">
        <v>69</v>
      </c>
      <c r="R1521" s="16" t="s">
        <v>54</v>
      </c>
      <c r="S1521" s="19" t="s">
        <v>5415</v>
      </c>
      <c r="T1521" s="21" t="s">
        <v>55</v>
      </c>
    </row>
    <row r="1522" spans="1:20" ht="16.5">
      <c r="A1522" s="14" t="s">
        <v>4598</v>
      </c>
      <c r="B1522" s="11" t="s">
        <v>60</v>
      </c>
      <c r="C1522" s="11" t="s">
        <v>62</v>
      </c>
      <c r="D1522" s="15" t="s">
        <v>5516</v>
      </c>
      <c r="E1522" s="11" t="s">
        <v>71</v>
      </c>
      <c r="F1522" s="11" t="s">
        <v>72</v>
      </c>
      <c r="G1522" s="15" t="s">
        <v>5533</v>
      </c>
      <c r="H1522" s="23" t="s">
        <v>5521</v>
      </c>
      <c r="I1522" s="11" t="s">
        <v>65</v>
      </c>
      <c r="J1522" s="14">
        <v>1</v>
      </c>
      <c r="K1522" s="14" t="s">
        <v>5406</v>
      </c>
      <c r="L1522" s="14" t="s">
        <v>5534</v>
      </c>
      <c r="M1522" s="15" t="s">
        <v>5519</v>
      </c>
      <c r="N1522" s="15" t="s">
        <v>76</v>
      </c>
      <c r="O1522" s="15" t="s">
        <v>5535</v>
      </c>
      <c r="P1522" s="15"/>
      <c r="Q1522" s="12" t="s">
        <v>69</v>
      </c>
      <c r="R1522" s="16" t="s">
        <v>54</v>
      </c>
      <c r="S1522" s="15" t="s">
        <v>5415</v>
      </c>
      <c r="T1522" s="14" t="s">
        <v>55</v>
      </c>
    </row>
    <row r="1523" spans="1:20" ht="16.5">
      <c r="A1523" s="21" t="s">
        <v>4598</v>
      </c>
      <c r="B1523" s="17" t="s">
        <v>60</v>
      </c>
      <c r="C1523" s="17" t="s">
        <v>62</v>
      </c>
      <c r="D1523" s="19" t="s">
        <v>5516</v>
      </c>
      <c r="E1523" s="17" t="s">
        <v>71</v>
      </c>
      <c r="F1523" s="17" t="s">
        <v>72</v>
      </c>
      <c r="G1523" s="19" t="s">
        <v>5536</v>
      </c>
      <c r="H1523" s="24" t="s">
        <v>5521</v>
      </c>
      <c r="I1523" s="17" t="s">
        <v>65</v>
      </c>
      <c r="J1523" s="21">
        <v>1</v>
      </c>
      <c r="K1523" s="21" t="s">
        <v>5406</v>
      </c>
      <c r="L1523" s="21" t="s">
        <v>5537</v>
      </c>
      <c r="M1523" s="19" t="s">
        <v>5519</v>
      </c>
      <c r="N1523" s="19" t="s">
        <v>76</v>
      </c>
      <c r="O1523" s="19" t="s">
        <v>5538</v>
      </c>
      <c r="P1523" s="19"/>
      <c r="Q1523" s="18" t="s">
        <v>69</v>
      </c>
      <c r="R1523" s="16" t="s">
        <v>54</v>
      </c>
      <c r="S1523" s="19" t="s">
        <v>5415</v>
      </c>
      <c r="T1523" s="21" t="s">
        <v>55</v>
      </c>
    </row>
    <row r="1524" spans="1:20" ht="16.5">
      <c r="A1524" s="14" t="s">
        <v>4598</v>
      </c>
      <c r="B1524" s="11" t="s">
        <v>60</v>
      </c>
      <c r="C1524" s="11" t="s">
        <v>62</v>
      </c>
      <c r="D1524" s="15" t="s">
        <v>5516</v>
      </c>
      <c r="E1524" s="11" t="s">
        <v>71</v>
      </c>
      <c r="F1524" s="11" t="s">
        <v>72</v>
      </c>
      <c r="G1524" s="15" t="s">
        <v>5539</v>
      </c>
      <c r="H1524" s="23" t="s">
        <v>5521</v>
      </c>
      <c r="I1524" s="11" t="s">
        <v>65</v>
      </c>
      <c r="J1524" s="14">
        <v>1</v>
      </c>
      <c r="K1524" s="14" t="s">
        <v>5406</v>
      </c>
      <c r="L1524" s="14" t="s">
        <v>5540</v>
      </c>
      <c r="M1524" s="15" t="s">
        <v>5519</v>
      </c>
      <c r="N1524" s="15" t="s">
        <v>76</v>
      </c>
      <c r="O1524" s="15" t="s">
        <v>5541</v>
      </c>
      <c r="P1524" s="15"/>
      <c r="Q1524" s="12" t="s">
        <v>69</v>
      </c>
      <c r="R1524" s="16" t="s">
        <v>54</v>
      </c>
      <c r="S1524" s="15" t="s">
        <v>5415</v>
      </c>
      <c r="T1524" s="14" t="s">
        <v>55</v>
      </c>
    </row>
    <row r="1525" spans="1:20" ht="16.5">
      <c r="A1525" s="21" t="s">
        <v>4598</v>
      </c>
      <c r="B1525" s="17" t="s">
        <v>60</v>
      </c>
      <c r="C1525" s="17" t="s">
        <v>62</v>
      </c>
      <c r="D1525" s="19" t="s">
        <v>5516</v>
      </c>
      <c r="E1525" s="17" t="s">
        <v>71</v>
      </c>
      <c r="F1525" s="17" t="s">
        <v>72</v>
      </c>
      <c r="G1525" s="19" t="s">
        <v>5542</v>
      </c>
      <c r="H1525" s="24" t="s">
        <v>5521</v>
      </c>
      <c r="I1525" s="17" t="s">
        <v>65</v>
      </c>
      <c r="J1525" s="21">
        <v>1</v>
      </c>
      <c r="K1525" s="21" t="s">
        <v>5406</v>
      </c>
      <c r="L1525" s="21" t="s">
        <v>5543</v>
      </c>
      <c r="M1525" s="19" t="s">
        <v>5519</v>
      </c>
      <c r="N1525" s="19" t="s">
        <v>76</v>
      </c>
      <c r="O1525" s="19" t="s">
        <v>5544</v>
      </c>
      <c r="P1525" s="19"/>
      <c r="Q1525" s="18" t="s">
        <v>69</v>
      </c>
      <c r="R1525" s="16" t="s">
        <v>54</v>
      </c>
      <c r="S1525" s="19" t="s">
        <v>5415</v>
      </c>
      <c r="T1525" s="21" t="s">
        <v>55</v>
      </c>
    </row>
    <row r="1526" spans="1:20" ht="16.5">
      <c r="A1526" s="14" t="s">
        <v>4598</v>
      </c>
      <c r="B1526" s="11" t="s">
        <v>60</v>
      </c>
      <c r="C1526" s="11" t="s">
        <v>62</v>
      </c>
      <c r="D1526" s="15" t="s">
        <v>5516</v>
      </c>
      <c r="E1526" s="11" t="s">
        <v>71</v>
      </c>
      <c r="F1526" s="11" t="s">
        <v>72</v>
      </c>
      <c r="G1526" s="15" t="s">
        <v>5545</v>
      </c>
      <c r="H1526" s="23" t="s">
        <v>5521</v>
      </c>
      <c r="I1526" s="11" t="s">
        <v>65</v>
      </c>
      <c r="J1526" s="14">
        <v>1</v>
      </c>
      <c r="K1526" s="14" t="s">
        <v>5406</v>
      </c>
      <c r="L1526" s="14" t="s">
        <v>5546</v>
      </c>
      <c r="M1526" s="15" t="s">
        <v>5519</v>
      </c>
      <c r="N1526" s="15" t="s">
        <v>76</v>
      </c>
      <c r="O1526" s="15" t="s">
        <v>5547</v>
      </c>
      <c r="P1526" s="15"/>
      <c r="Q1526" s="12" t="s">
        <v>69</v>
      </c>
      <c r="R1526" s="16" t="s">
        <v>54</v>
      </c>
      <c r="S1526" s="15" t="s">
        <v>5415</v>
      </c>
      <c r="T1526" s="14" t="s">
        <v>55</v>
      </c>
    </row>
    <row r="1527" spans="1:20" ht="16.5">
      <c r="A1527" s="21" t="s">
        <v>4598</v>
      </c>
      <c r="B1527" s="17" t="s">
        <v>60</v>
      </c>
      <c r="C1527" s="17" t="s">
        <v>62</v>
      </c>
      <c r="D1527" s="19" t="s">
        <v>5516</v>
      </c>
      <c r="E1527" s="17" t="s">
        <v>71</v>
      </c>
      <c r="F1527" s="17" t="s">
        <v>72</v>
      </c>
      <c r="G1527" s="19" t="s">
        <v>5548</v>
      </c>
      <c r="H1527" s="24" t="s">
        <v>5521</v>
      </c>
      <c r="I1527" s="17" t="s">
        <v>65</v>
      </c>
      <c r="J1527" s="21">
        <v>1</v>
      </c>
      <c r="K1527" s="21" t="s">
        <v>5406</v>
      </c>
      <c r="L1527" s="21" t="s">
        <v>5549</v>
      </c>
      <c r="M1527" s="19" t="s">
        <v>5519</v>
      </c>
      <c r="N1527" s="19" t="s">
        <v>76</v>
      </c>
      <c r="O1527" s="19" t="s">
        <v>5550</v>
      </c>
      <c r="P1527" s="19"/>
      <c r="Q1527" s="18" t="s">
        <v>69</v>
      </c>
      <c r="R1527" s="16" t="s">
        <v>54</v>
      </c>
      <c r="S1527" s="19" t="s">
        <v>5415</v>
      </c>
      <c r="T1527" s="21" t="s">
        <v>55</v>
      </c>
    </row>
    <row r="1528" spans="1:20" ht="16.5">
      <c r="A1528" s="14" t="s">
        <v>4598</v>
      </c>
      <c r="B1528" s="11" t="s">
        <v>60</v>
      </c>
      <c r="C1528" s="11" t="s">
        <v>62</v>
      </c>
      <c r="D1528" s="15" t="s">
        <v>5516</v>
      </c>
      <c r="E1528" s="11" t="s">
        <v>71</v>
      </c>
      <c r="F1528" s="11" t="s">
        <v>72</v>
      </c>
      <c r="G1528" s="15" t="s">
        <v>5551</v>
      </c>
      <c r="H1528" s="23" t="s">
        <v>5521</v>
      </c>
      <c r="I1528" s="11" t="s">
        <v>65</v>
      </c>
      <c r="J1528" s="14">
        <v>1</v>
      </c>
      <c r="K1528" s="14" t="s">
        <v>5406</v>
      </c>
      <c r="L1528" s="14" t="s">
        <v>5552</v>
      </c>
      <c r="M1528" s="15" t="s">
        <v>5519</v>
      </c>
      <c r="N1528" s="15" t="s">
        <v>76</v>
      </c>
      <c r="O1528" s="15" t="s">
        <v>5553</v>
      </c>
      <c r="P1528" s="15"/>
      <c r="Q1528" s="12" t="s">
        <v>69</v>
      </c>
      <c r="R1528" s="16" t="s">
        <v>54</v>
      </c>
      <c r="S1528" s="15" t="s">
        <v>5415</v>
      </c>
      <c r="T1528" s="14" t="s">
        <v>55</v>
      </c>
    </row>
    <row r="1529" spans="1:20" ht="16.5">
      <c r="A1529" s="21" t="s">
        <v>4598</v>
      </c>
      <c r="B1529" s="17" t="s">
        <v>60</v>
      </c>
      <c r="C1529" s="17" t="s">
        <v>62</v>
      </c>
      <c r="D1529" s="19" t="s">
        <v>5516</v>
      </c>
      <c r="E1529" s="17" t="s">
        <v>81</v>
      </c>
      <c r="F1529" s="17" t="s">
        <v>82</v>
      </c>
      <c r="G1529" s="19" t="s">
        <v>5554</v>
      </c>
      <c r="H1529" s="24" t="s">
        <v>5555</v>
      </c>
      <c r="I1529" s="17" t="s">
        <v>65</v>
      </c>
      <c r="J1529" s="21">
        <v>1</v>
      </c>
      <c r="K1529" s="21" t="s">
        <v>5406</v>
      </c>
      <c r="L1529" s="21" t="s">
        <v>5556</v>
      </c>
      <c r="M1529" s="19" t="s">
        <v>5519</v>
      </c>
      <c r="N1529" s="19" t="s">
        <v>86</v>
      </c>
      <c r="O1529" s="19" t="s">
        <v>5557</v>
      </c>
      <c r="P1529" s="19"/>
      <c r="Q1529" s="18" t="s">
        <v>53</v>
      </c>
      <c r="R1529" s="22" t="s">
        <v>88</v>
      </c>
      <c r="S1529" s="19" t="s">
        <v>5415</v>
      </c>
      <c r="T1529" s="21" t="s">
        <v>55</v>
      </c>
    </row>
    <row r="1530" spans="1:20" ht="16.5">
      <c r="A1530" s="14" t="s">
        <v>4598</v>
      </c>
      <c r="B1530" s="11" t="s">
        <v>60</v>
      </c>
      <c r="C1530" s="11" t="s">
        <v>62</v>
      </c>
      <c r="D1530" s="15" t="s">
        <v>5516</v>
      </c>
      <c r="E1530" s="11" t="s">
        <v>81</v>
      </c>
      <c r="F1530" s="11" t="s">
        <v>82</v>
      </c>
      <c r="G1530" s="15" t="s">
        <v>5558</v>
      </c>
      <c r="H1530" s="23" t="s">
        <v>5559</v>
      </c>
      <c r="I1530" s="11" t="s">
        <v>65</v>
      </c>
      <c r="J1530" s="14">
        <v>1</v>
      </c>
      <c r="K1530" s="14" t="s">
        <v>5406</v>
      </c>
      <c r="L1530" s="14" t="s">
        <v>5560</v>
      </c>
      <c r="M1530" s="15" t="s">
        <v>5519</v>
      </c>
      <c r="N1530" s="15" t="s">
        <v>86</v>
      </c>
      <c r="O1530" s="15" t="s">
        <v>5561</v>
      </c>
      <c r="P1530" s="15"/>
      <c r="Q1530" s="12" t="s">
        <v>53</v>
      </c>
      <c r="R1530" s="22" t="s">
        <v>88</v>
      </c>
      <c r="S1530" s="15" t="s">
        <v>5415</v>
      </c>
      <c r="T1530" s="14" t="s">
        <v>55</v>
      </c>
    </row>
    <row r="1531" spans="1:20" ht="16.5">
      <c r="A1531" s="21" t="s">
        <v>4598</v>
      </c>
      <c r="B1531" s="17" t="s">
        <v>60</v>
      </c>
      <c r="C1531" s="17" t="s">
        <v>62</v>
      </c>
      <c r="D1531" s="19" t="s">
        <v>5516</v>
      </c>
      <c r="E1531" s="17" t="s">
        <v>81</v>
      </c>
      <c r="F1531" s="17" t="s">
        <v>82</v>
      </c>
      <c r="G1531" s="19" t="s">
        <v>5562</v>
      </c>
      <c r="H1531" s="24" t="s">
        <v>5563</v>
      </c>
      <c r="I1531" s="17" t="s">
        <v>65</v>
      </c>
      <c r="J1531" s="21">
        <v>1</v>
      </c>
      <c r="K1531" s="21" t="s">
        <v>5406</v>
      </c>
      <c r="L1531" s="21" t="s">
        <v>5564</v>
      </c>
      <c r="M1531" s="19" t="s">
        <v>5519</v>
      </c>
      <c r="N1531" s="19" t="s">
        <v>86</v>
      </c>
      <c r="O1531" s="19" t="s">
        <v>5565</v>
      </c>
      <c r="P1531" s="19"/>
      <c r="Q1531" s="18" t="s">
        <v>53</v>
      </c>
      <c r="R1531" s="22" t="s">
        <v>88</v>
      </c>
      <c r="S1531" s="19" t="s">
        <v>5415</v>
      </c>
      <c r="T1531" s="21" t="s">
        <v>55</v>
      </c>
    </row>
    <row r="1532" spans="1:20" ht="16.5">
      <c r="A1532" s="14" t="s">
        <v>4598</v>
      </c>
      <c r="B1532" s="11" t="s">
        <v>60</v>
      </c>
      <c r="C1532" s="11" t="s">
        <v>44</v>
      </c>
      <c r="D1532" s="15" t="s">
        <v>4598</v>
      </c>
      <c r="E1532" s="11" t="s">
        <v>61</v>
      </c>
      <c r="F1532" s="11" t="s">
        <v>62</v>
      </c>
      <c r="G1532" s="15" t="s">
        <v>5566</v>
      </c>
      <c r="H1532" s="23" t="s">
        <v>5567</v>
      </c>
      <c r="I1532" s="11" t="s">
        <v>65</v>
      </c>
      <c r="J1532" s="14">
        <v>1</v>
      </c>
      <c r="K1532" s="14" t="s">
        <v>5406</v>
      </c>
      <c r="L1532" s="14" t="s">
        <v>5568</v>
      </c>
      <c r="M1532" s="15" t="s">
        <v>4602</v>
      </c>
      <c r="N1532" s="15" t="s">
        <v>67</v>
      </c>
      <c r="O1532" s="15" t="s">
        <v>5569</v>
      </c>
      <c r="P1532" s="15"/>
      <c r="Q1532" s="12" t="s">
        <v>69</v>
      </c>
      <c r="R1532" s="16" t="s">
        <v>54</v>
      </c>
      <c r="S1532" s="15" t="s">
        <v>5415</v>
      </c>
      <c r="T1532" s="14" t="s">
        <v>55</v>
      </c>
    </row>
    <row r="1533" spans="1:20" ht="16.5">
      <c r="A1533" s="21" t="s">
        <v>4598</v>
      </c>
      <c r="B1533" s="17" t="s">
        <v>60</v>
      </c>
      <c r="C1533" s="17" t="s">
        <v>62</v>
      </c>
      <c r="D1533" s="19" t="s">
        <v>5566</v>
      </c>
      <c r="E1533" s="17" t="s">
        <v>81</v>
      </c>
      <c r="F1533" s="17" t="s">
        <v>82</v>
      </c>
      <c r="G1533" s="19" t="s">
        <v>5570</v>
      </c>
      <c r="H1533" s="24" t="s">
        <v>5571</v>
      </c>
      <c r="I1533" s="17" t="s">
        <v>65</v>
      </c>
      <c r="J1533" s="21">
        <v>1</v>
      </c>
      <c r="K1533" s="21" t="s">
        <v>5406</v>
      </c>
      <c r="L1533" s="21" t="s">
        <v>5572</v>
      </c>
      <c r="M1533" s="19" t="s">
        <v>5569</v>
      </c>
      <c r="N1533" s="19" t="s">
        <v>86</v>
      </c>
      <c r="O1533" s="19" t="s">
        <v>5573</v>
      </c>
      <c r="P1533" s="19"/>
      <c r="Q1533" s="18" t="s">
        <v>53</v>
      </c>
      <c r="R1533" s="22" t="s">
        <v>88</v>
      </c>
      <c r="S1533" s="19" t="s">
        <v>5415</v>
      </c>
      <c r="T1533" s="21" t="s">
        <v>55</v>
      </c>
    </row>
    <row r="1534" spans="1:20" ht="16.5">
      <c r="A1534" s="14" t="s">
        <v>4598</v>
      </c>
      <c r="B1534" s="11" t="s">
        <v>60</v>
      </c>
      <c r="C1534" s="11" t="s">
        <v>44</v>
      </c>
      <c r="D1534" s="15" t="s">
        <v>4598</v>
      </c>
      <c r="E1534" s="11" t="s">
        <v>61</v>
      </c>
      <c r="F1534" s="11" t="s">
        <v>62</v>
      </c>
      <c r="G1534" s="12" t="s">
        <v>5574</v>
      </c>
      <c r="H1534" s="23" t="s">
        <v>5575</v>
      </c>
      <c r="I1534" s="11" t="s">
        <v>65</v>
      </c>
      <c r="J1534" s="14">
        <v>1</v>
      </c>
      <c r="K1534" s="14" t="s">
        <v>5406</v>
      </c>
      <c r="L1534" s="14" t="s">
        <v>5576</v>
      </c>
      <c r="M1534" s="15" t="s">
        <v>4602</v>
      </c>
      <c r="N1534" s="15" t="s">
        <v>67</v>
      </c>
      <c r="O1534" s="15" t="s">
        <v>5577</v>
      </c>
      <c r="P1534" s="15"/>
      <c r="Q1534" s="12" t="s">
        <v>69</v>
      </c>
      <c r="R1534" s="16" t="s">
        <v>54</v>
      </c>
      <c r="S1534" s="15" t="s">
        <v>5415</v>
      </c>
      <c r="T1534" s="14" t="s">
        <v>55</v>
      </c>
    </row>
    <row r="1535" spans="1:20" ht="16.5">
      <c r="A1535" s="21" t="s">
        <v>4598</v>
      </c>
      <c r="B1535" s="17" t="s">
        <v>60</v>
      </c>
      <c r="C1535" s="17" t="s">
        <v>62</v>
      </c>
      <c r="D1535" s="18" t="s">
        <v>5574</v>
      </c>
      <c r="E1535" s="17" t="s">
        <v>71</v>
      </c>
      <c r="F1535" s="17" t="s">
        <v>72</v>
      </c>
      <c r="G1535" s="18" t="s">
        <v>5578</v>
      </c>
      <c r="H1535" s="20" t="s">
        <v>5579</v>
      </c>
      <c r="I1535" s="17" t="s">
        <v>65</v>
      </c>
      <c r="J1535" s="21">
        <v>1</v>
      </c>
      <c r="K1535" s="21" t="s">
        <v>5406</v>
      </c>
      <c r="L1535" s="21" t="s">
        <v>5580</v>
      </c>
      <c r="M1535" s="19" t="s">
        <v>5577</v>
      </c>
      <c r="N1535" s="19" t="s">
        <v>76</v>
      </c>
      <c r="O1535" s="19" t="s">
        <v>5581</v>
      </c>
      <c r="P1535" s="19"/>
      <c r="Q1535" s="18" t="s">
        <v>69</v>
      </c>
      <c r="R1535" s="16" t="s">
        <v>54</v>
      </c>
      <c r="S1535" s="19" t="s">
        <v>5415</v>
      </c>
      <c r="T1535" s="21" t="s">
        <v>55</v>
      </c>
    </row>
    <row r="1536" spans="1:20" ht="16.5">
      <c r="A1536" s="14" t="s">
        <v>4598</v>
      </c>
      <c r="B1536" s="11" t="s">
        <v>60</v>
      </c>
      <c r="C1536" s="11" t="s">
        <v>62</v>
      </c>
      <c r="D1536" s="12" t="s">
        <v>5574</v>
      </c>
      <c r="E1536" s="11" t="s">
        <v>71</v>
      </c>
      <c r="F1536" s="11" t="s">
        <v>72</v>
      </c>
      <c r="G1536" s="12" t="s">
        <v>5582</v>
      </c>
      <c r="H1536" s="13" t="s">
        <v>5579</v>
      </c>
      <c r="I1536" s="11" t="s">
        <v>65</v>
      </c>
      <c r="J1536" s="14">
        <v>1</v>
      </c>
      <c r="K1536" s="14" t="s">
        <v>5406</v>
      </c>
      <c r="L1536" s="14" t="s">
        <v>5583</v>
      </c>
      <c r="M1536" s="15" t="s">
        <v>5577</v>
      </c>
      <c r="N1536" s="15" t="s">
        <v>76</v>
      </c>
      <c r="O1536" s="15" t="s">
        <v>5584</v>
      </c>
      <c r="P1536" s="15"/>
      <c r="Q1536" s="12" t="s">
        <v>69</v>
      </c>
      <c r="R1536" s="16" t="s">
        <v>54</v>
      </c>
      <c r="S1536" s="15" t="s">
        <v>5415</v>
      </c>
      <c r="T1536" s="14" t="s">
        <v>55</v>
      </c>
    </row>
    <row r="1537" spans="1:20" ht="16.5">
      <c r="A1537" s="21" t="s">
        <v>4598</v>
      </c>
      <c r="B1537" s="17" t="s">
        <v>60</v>
      </c>
      <c r="C1537" s="17" t="s">
        <v>62</v>
      </c>
      <c r="D1537" s="18" t="s">
        <v>5574</v>
      </c>
      <c r="E1537" s="17" t="s">
        <v>71</v>
      </c>
      <c r="F1537" s="17" t="s">
        <v>72</v>
      </c>
      <c r="G1537" s="18" t="s">
        <v>5585</v>
      </c>
      <c r="H1537" s="20" t="s">
        <v>5579</v>
      </c>
      <c r="I1537" s="17" t="s">
        <v>65</v>
      </c>
      <c r="J1537" s="21">
        <v>1</v>
      </c>
      <c r="K1537" s="21" t="s">
        <v>5406</v>
      </c>
      <c r="L1537" s="21" t="s">
        <v>5586</v>
      </c>
      <c r="M1537" s="19" t="s">
        <v>5577</v>
      </c>
      <c r="N1537" s="19" t="s">
        <v>76</v>
      </c>
      <c r="O1537" s="19" t="s">
        <v>5587</v>
      </c>
      <c r="P1537" s="19"/>
      <c r="Q1537" s="18" t="s">
        <v>69</v>
      </c>
      <c r="R1537" s="16" t="s">
        <v>54</v>
      </c>
      <c r="S1537" s="19" t="s">
        <v>5415</v>
      </c>
      <c r="T1537" s="21" t="s">
        <v>55</v>
      </c>
    </row>
    <row r="1538" spans="1:20" ht="16.5">
      <c r="A1538" s="14" t="s">
        <v>4598</v>
      </c>
      <c r="B1538" s="11" t="s">
        <v>60</v>
      </c>
      <c r="C1538" s="11" t="s">
        <v>62</v>
      </c>
      <c r="D1538" s="12" t="s">
        <v>5574</v>
      </c>
      <c r="E1538" s="11" t="s">
        <v>81</v>
      </c>
      <c r="F1538" s="11" t="s">
        <v>82</v>
      </c>
      <c r="G1538" s="12" t="s">
        <v>5588</v>
      </c>
      <c r="H1538" s="13" t="s">
        <v>5589</v>
      </c>
      <c r="I1538" s="11" t="s">
        <v>65</v>
      </c>
      <c r="J1538" s="14">
        <v>1</v>
      </c>
      <c r="K1538" s="14" t="s">
        <v>5406</v>
      </c>
      <c r="L1538" s="14" t="s">
        <v>5590</v>
      </c>
      <c r="M1538" s="15" t="s">
        <v>5577</v>
      </c>
      <c r="N1538" s="15" t="s">
        <v>86</v>
      </c>
      <c r="O1538" s="15" t="s">
        <v>5591</v>
      </c>
      <c r="P1538" s="15"/>
      <c r="Q1538" s="12" t="s">
        <v>53</v>
      </c>
      <c r="R1538" s="22" t="s">
        <v>88</v>
      </c>
      <c r="S1538" s="15" t="s">
        <v>5415</v>
      </c>
      <c r="T1538" s="14" t="s">
        <v>55</v>
      </c>
    </row>
    <row r="1539" spans="1:20" ht="16.5">
      <c r="A1539" s="21" t="s">
        <v>4598</v>
      </c>
      <c r="B1539" s="17" t="s">
        <v>60</v>
      </c>
      <c r="C1539" s="17" t="s">
        <v>62</v>
      </c>
      <c r="D1539" s="19" t="s">
        <v>5333</v>
      </c>
      <c r="E1539" s="17" t="s">
        <v>203</v>
      </c>
      <c r="F1539" s="17" t="s">
        <v>204</v>
      </c>
      <c r="G1539" s="18" t="s">
        <v>5592</v>
      </c>
      <c r="H1539" s="24" t="s">
        <v>5593</v>
      </c>
      <c r="I1539" s="17" t="s">
        <v>65</v>
      </c>
      <c r="J1539" s="21">
        <v>1</v>
      </c>
      <c r="K1539" s="21" t="s">
        <v>5406</v>
      </c>
      <c r="L1539" s="21" t="s">
        <v>5594</v>
      </c>
      <c r="M1539" s="19" t="s">
        <v>5336</v>
      </c>
      <c r="N1539" s="19" t="s">
        <v>208</v>
      </c>
      <c r="O1539" s="19" t="s">
        <v>5595</v>
      </c>
      <c r="P1539" s="19" t="s">
        <v>5596</v>
      </c>
      <c r="Q1539" s="19" t="s">
        <v>211</v>
      </c>
      <c r="R1539" s="16" t="s">
        <v>54</v>
      </c>
      <c r="S1539" s="19" t="s">
        <v>5415</v>
      </c>
      <c r="T1539" s="21" t="s">
        <v>55</v>
      </c>
    </row>
    <row r="1540" spans="1:20" ht="16.5">
      <c r="A1540" s="14" t="s">
        <v>4598</v>
      </c>
      <c r="B1540" s="11" t="s">
        <v>60</v>
      </c>
      <c r="C1540" s="11" t="s">
        <v>62</v>
      </c>
      <c r="D1540" s="15" t="s">
        <v>5333</v>
      </c>
      <c r="E1540" s="11" t="s">
        <v>203</v>
      </c>
      <c r="F1540" s="11" t="s">
        <v>204</v>
      </c>
      <c r="G1540" s="12" t="s">
        <v>5597</v>
      </c>
      <c r="H1540" s="23" t="s">
        <v>5598</v>
      </c>
      <c r="I1540" s="11" t="s">
        <v>65</v>
      </c>
      <c r="J1540" s="14">
        <v>1</v>
      </c>
      <c r="K1540" s="14" t="s">
        <v>5406</v>
      </c>
      <c r="L1540" s="14" t="s">
        <v>5599</v>
      </c>
      <c r="M1540" s="15" t="s">
        <v>5336</v>
      </c>
      <c r="N1540" s="15" t="s">
        <v>208</v>
      </c>
      <c r="O1540" s="15" t="s">
        <v>5600</v>
      </c>
      <c r="P1540" s="15" t="s">
        <v>5601</v>
      </c>
      <c r="Q1540" s="15" t="s">
        <v>211</v>
      </c>
      <c r="R1540" s="16" t="s">
        <v>54</v>
      </c>
      <c r="S1540" s="15" t="s">
        <v>5415</v>
      </c>
      <c r="T1540" s="14" t="s">
        <v>55</v>
      </c>
    </row>
    <row r="1541" spans="1:20" ht="16.5">
      <c r="A1541" s="21" t="s">
        <v>4598</v>
      </c>
      <c r="B1541" s="17" t="s">
        <v>60</v>
      </c>
      <c r="C1541" s="17" t="s">
        <v>62</v>
      </c>
      <c r="D1541" s="19" t="s">
        <v>5333</v>
      </c>
      <c r="E1541" s="17" t="s">
        <v>203</v>
      </c>
      <c r="F1541" s="17" t="s">
        <v>204</v>
      </c>
      <c r="G1541" s="18" t="s">
        <v>5602</v>
      </c>
      <c r="H1541" s="24" t="s">
        <v>5603</v>
      </c>
      <c r="I1541" s="17" t="s">
        <v>65</v>
      </c>
      <c r="J1541" s="21">
        <v>1</v>
      </c>
      <c r="K1541" s="21" t="s">
        <v>5406</v>
      </c>
      <c r="L1541" s="21" t="s">
        <v>5604</v>
      </c>
      <c r="M1541" s="19" t="s">
        <v>5336</v>
      </c>
      <c r="N1541" s="19" t="s">
        <v>208</v>
      </c>
      <c r="O1541" s="19" t="s">
        <v>5605</v>
      </c>
      <c r="P1541" s="19" t="s">
        <v>5606</v>
      </c>
      <c r="Q1541" s="19" t="s">
        <v>211</v>
      </c>
      <c r="R1541" s="16" t="s">
        <v>54</v>
      </c>
      <c r="S1541" s="19" t="s">
        <v>5415</v>
      </c>
      <c r="T1541" s="21" t="s">
        <v>55</v>
      </c>
    </row>
    <row r="1542" spans="1:20" ht="16.5">
      <c r="A1542" s="14" t="s">
        <v>4598</v>
      </c>
      <c r="B1542" s="11" t="s">
        <v>60</v>
      </c>
      <c r="C1542" s="11" t="s">
        <v>62</v>
      </c>
      <c r="D1542" s="15" t="s">
        <v>5333</v>
      </c>
      <c r="E1542" s="11" t="s">
        <v>203</v>
      </c>
      <c r="F1542" s="11" t="s">
        <v>204</v>
      </c>
      <c r="G1542" s="12" t="s">
        <v>5607</v>
      </c>
      <c r="H1542" s="13" t="s">
        <v>5608</v>
      </c>
      <c r="I1542" s="11" t="s">
        <v>65</v>
      </c>
      <c r="J1542" s="14">
        <v>1</v>
      </c>
      <c r="K1542" s="14" t="s">
        <v>5406</v>
      </c>
      <c r="L1542" s="14" t="s">
        <v>5609</v>
      </c>
      <c r="M1542" s="15" t="s">
        <v>5336</v>
      </c>
      <c r="N1542" s="15" t="s">
        <v>208</v>
      </c>
      <c r="O1542" s="15" t="s">
        <v>5610</v>
      </c>
      <c r="P1542" s="15" t="s">
        <v>5611</v>
      </c>
      <c r="Q1542" s="15" t="s">
        <v>211</v>
      </c>
      <c r="R1542" s="16" t="s">
        <v>54</v>
      </c>
      <c r="S1542" s="15" t="s">
        <v>5415</v>
      </c>
      <c r="T1542" s="14" t="s">
        <v>55</v>
      </c>
    </row>
    <row r="1543" spans="1:20" ht="16.5">
      <c r="A1543" s="21" t="s">
        <v>4598</v>
      </c>
      <c r="B1543" s="17" t="s">
        <v>60</v>
      </c>
      <c r="C1543" s="17" t="s">
        <v>62</v>
      </c>
      <c r="D1543" s="19" t="s">
        <v>5333</v>
      </c>
      <c r="E1543" s="17" t="s">
        <v>203</v>
      </c>
      <c r="F1543" s="17" t="s">
        <v>204</v>
      </c>
      <c r="G1543" s="18" t="s">
        <v>5612</v>
      </c>
      <c r="H1543" s="24" t="s">
        <v>5613</v>
      </c>
      <c r="I1543" s="17" t="s">
        <v>65</v>
      </c>
      <c r="J1543" s="21">
        <v>1</v>
      </c>
      <c r="K1543" s="21" t="s">
        <v>5406</v>
      </c>
      <c r="L1543" s="21" t="s">
        <v>5614</v>
      </c>
      <c r="M1543" s="19" t="s">
        <v>5336</v>
      </c>
      <c r="N1543" s="19" t="s">
        <v>208</v>
      </c>
      <c r="O1543" s="19" t="s">
        <v>5615</v>
      </c>
      <c r="P1543" s="19" t="s">
        <v>5616</v>
      </c>
      <c r="Q1543" s="19" t="s">
        <v>211</v>
      </c>
      <c r="R1543" s="16" t="s">
        <v>54</v>
      </c>
      <c r="S1543" s="19" t="s">
        <v>5415</v>
      </c>
      <c r="T1543" s="21" t="s">
        <v>55</v>
      </c>
    </row>
    <row r="1544" spans="1:20" ht="16.5">
      <c r="A1544" s="14" t="s">
        <v>4598</v>
      </c>
      <c r="B1544" s="11" t="s">
        <v>60</v>
      </c>
      <c r="C1544" s="11" t="s">
        <v>62</v>
      </c>
      <c r="D1544" s="15" t="s">
        <v>5333</v>
      </c>
      <c r="E1544" s="11" t="s">
        <v>203</v>
      </c>
      <c r="F1544" s="11" t="s">
        <v>204</v>
      </c>
      <c r="G1544" s="12" t="s">
        <v>5617</v>
      </c>
      <c r="H1544" s="23" t="s">
        <v>5618</v>
      </c>
      <c r="I1544" s="11" t="s">
        <v>65</v>
      </c>
      <c r="J1544" s="14">
        <v>1</v>
      </c>
      <c r="K1544" s="14" t="s">
        <v>5406</v>
      </c>
      <c r="L1544" s="14" t="s">
        <v>5619</v>
      </c>
      <c r="M1544" s="15" t="s">
        <v>5336</v>
      </c>
      <c r="N1544" s="15" t="s">
        <v>208</v>
      </c>
      <c r="O1544" s="15" t="s">
        <v>5620</v>
      </c>
      <c r="P1544" s="15" t="s">
        <v>5621</v>
      </c>
      <c r="Q1544" s="15" t="s">
        <v>211</v>
      </c>
      <c r="R1544" s="16" t="s">
        <v>54</v>
      </c>
      <c r="S1544" s="15" t="s">
        <v>5415</v>
      </c>
      <c r="T1544" s="14" t="s">
        <v>55</v>
      </c>
    </row>
    <row r="1545" spans="1:20" ht="16.5">
      <c r="A1545" s="21" t="s">
        <v>4598</v>
      </c>
      <c r="B1545" s="17" t="s">
        <v>60</v>
      </c>
      <c r="C1545" s="17" t="s">
        <v>62</v>
      </c>
      <c r="D1545" s="19" t="s">
        <v>5333</v>
      </c>
      <c r="E1545" s="17" t="s">
        <v>203</v>
      </c>
      <c r="F1545" s="17" t="s">
        <v>204</v>
      </c>
      <c r="G1545" s="18" t="s">
        <v>5622</v>
      </c>
      <c r="H1545" s="24" t="s">
        <v>5623</v>
      </c>
      <c r="I1545" s="17" t="s">
        <v>65</v>
      </c>
      <c r="J1545" s="21">
        <v>1</v>
      </c>
      <c r="K1545" s="21" t="s">
        <v>5406</v>
      </c>
      <c r="L1545" s="21" t="s">
        <v>5624</v>
      </c>
      <c r="M1545" s="19" t="s">
        <v>5336</v>
      </c>
      <c r="N1545" s="19" t="s">
        <v>208</v>
      </c>
      <c r="O1545" s="19" t="s">
        <v>5625</v>
      </c>
      <c r="P1545" s="19" t="s">
        <v>5626</v>
      </c>
      <c r="Q1545" s="19" t="s">
        <v>211</v>
      </c>
      <c r="R1545" s="16" t="s">
        <v>54</v>
      </c>
      <c r="S1545" s="19" t="s">
        <v>5415</v>
      </c>
      <c r="T1545" s="21" t="s">
        <v>55</v>
      </c>
    </row>
    <row r="1546" spans="1:20" ht="16.5">
      <c r="A1546" s="14" t="s">
        <v>4598</v>
      </c>
      <c r="B1546" s="11" t="s">
        <v>60</v>
      </c>
      <c r="C1546" s="11" t="s">
        <v>62</v>
      </c>
      <c r="D1546" s="15" t="s">
        <v>5333</v>
      </c>
      <c r="E1546" s="11" t="s">
        <v>203</v>
      </c>
      <c r="F1546" s="11" t="s">
        <v>204</v>
      </c>
      <c r="G1546" s="12" t="s">
        <v>5627</v>
      </c>
      <c r="H1546" s="23" t="s">
        <v>5628</v>
      </c>
      <c r="I1546" s="11" t="s">
        <v>65</v>
      </c>
      <c r="J1546" s="14">
        <v>1</v>
      </c>
      <c r="K1546" s="14" t="s">
        <v>5406</v>
      </c>
      <c r="L1546" s="14" t="s">
        <v>5629</v>
      </c>
      <c r="M1546" s="15" t="s">
        <v>5336</v>
      </c>
      <c r="N1546" s="15" t="s">
        <v>208</v>
      </c>
      <c r="O1546" s="15" t="s">
        <v>5630</v>
      </c>
      <c r="P1546" s="15" t="s">
        <v>5631</v>
      </c>
      <c r="Q1546" s="15" t="s">
        <v>211</v>
      </c>
      <c r="R1546" s="16" t="s">
        <v>54</v>
      </c>
      <c r="S1546" s="15" t="s">
        <v>5415</v>
      </c>
      <c r="T1546" s="14" t="s">
        <v>55</v>
      </c>
    </row>
    <row r="1547" spans="1:20" ht="16.5">
      <c r="A1547" s="21" t="s">
        <v>4598</v>
      </c>
      <c r="B1547" s="17" t="s">
        <v>60</v>
      </c>
      <c r="C1547" s="17" t="s">
        <v>62</v>
      </c>
      <c r="D1547" s="19" t="s">
        <v>5516</v>
      </c>
      <c r="E1547" s="17" t="s">
        <v>203</v>
      </c>
      <c r="F1547" s="17" t="s">
        <v>204</v>
      </c>
      <c r="G1547" s="18" t="s">
        <v>5632</v>
      </c>
      <c r="H1547" s="24" t="s">
        <v>5633</v>
      </c>
      <c r="I1547" s="17" t="s">
        <v>65</v>
      </c>
      <c r="J1547" s="21">
        <v>1</v>
      </c>
      <c r="K1547" s="21" t="s">
        <v>5406</v>
      </c>
      <c r="L1547" s="21" t="s">
        <v>5634</v>
      </c>
      <c r="M1547" s="19" t="s">
        <v>5519</v>
      </c>
      <c r="N1547" s="19" t="s">
        <v>208</v>
      </c>
      <c r="O1547" s="19" t="s">
        <v>5635</v>
      </c>
      <c r="P1547" s="19" t="s">
        <v>5636</v>
      </c>
      <c r="Q1547" s="19" t="s">
        <v>211</v>
      </c>
      <c r="R1547" s="16" t="s">
        <v>54</v>
      </c>
      <c r="S1547" s="19" t="s">
        <v>5415</v>
      </c>
      <c r="T1547" s="21" t="s">
        <v>55</v>
      </c>
    </row>
    <row r="1548" spans="1:20" ht="16.5">
      <c r="A1548" s="14" t="s">
        <v>4598</v>
      </c>
      <c r="B1548" s="11" t="s">
        <v>60</v>
      </c>
      <c r="C1548" s="11" t="s">
        <v>62</v>
      </c>
      <c r="D1548" s="15" t="s">
        <v>5516</v>
      </c>
      <c r="E1548" s="11" t="s">
        <v>203</v>
      </c>
      <c r="F1548" s="11" t="s">
        <v>204</v>
      </c>
      <c r="G1548" s="12" t="s">
        <v>5637</v>
      </c>
      <c r="H1548" s="23" t="s">
        <v>5638</v>
      </c>
      <c r="I1548" s="11" t="s">
        <v>65</v>
      </c>
      <c r="J1548" s="14">
        <v>1</v>
      </c>
      <c r="K1548" s="14" t="s">
        <v>5406</v>
      </c>
      <c r="L1548" s="14" t="s">
        <v>5639</v>
      </c>
      <c r="M1548" s="15" t="s">
        <v>5519</v>
      </c>
      <c r="N1548" s="15" t="s">
        <v>208</v>
      </c>
      <c r="O1548" s="15" t="s">
        <v>5640</v>
      </c>
      <c r="P1548" s="15" t="s">
        <v>5641</v>
      </c>
      <c r="Q1548" s="15" t="s">
        <v>211</v>
      </c>
      <c r="R1548" s="16" t="s">
        <v>54</v>
      </c>
      <c r="S1548" s="15" t="s">
        <v>5415</v>
      </c>
      <c r="T1548" s="14" t="s">
        <v>55</v>
      </c>
    </row>
    <row r="1549" spans="1:20" ht="16.5">
      <c r="A1549" s="21" t="s">
        <v>4598</v>
      </c>
      <c r="B1549" s="17" t="s">
        <v>60</v>
      </c>
      <c r="C1549" s="17" t="s">
        <v>62</v>
      </c>
      <c r="D1549" s="19" t="s">
        <v>5566</v>
      </c>
      <c r="E1549" s="17" t="s">
        <v>203</v>
      </c>
      <c r="F1549" s="17" t="s">
        <v>204</v>
      </c>
      <c r="G1549" s="18" t="s">
        <v>5642</v>
      </c>
      <c r="H1549" s="24" t="s">
        <v>5643</v>
      </c>
      <c r="I1549" s="17" t="s">
        <v>65</v>
      </c>
      <c r="J1549" s="21">
        <v>1</v>
      </c>
      <c r="K1549" s="21" t="s">
        <v>5406</v>
      </c>
      <c r="L1549" s="21" t="s">
        <v>5644</v>
      </c>
      <c r="M1549" s="19" t="s">
        <v>5569</v>
      </c>
      <c r="N1549" s="19" t="s">
        <v>208</v>
      </c>
      <c r="O1549" s="19" t="s">
        <v>5645</v>
      </c>
      <c r="P1549" s="19" t="s">
        <v>5646</v>
      </c>
      <c r="Q1549" s="19" t="s">
        <v>211</v>
      </c>
      <c r="R1549" s="16" t="s">
        <v>54</v>
      </c>
      <c r="S1549" s="19" t="s">
        <v>5415</v>
      </c>
      <c r="T1549" s="21" t="s">
        <v>55</v>
      </c>
    </row>
    <row r="1550" spans="1:20" ht="16.5">
      <c r="A1550" s="14" t="s">
        <v>4598</v>
      </c>
      <c r="B1550" s="11" t="s">
        <v>60</v>
      </c>
      <c r="C1550" s="11" t="s">
        <v>62</v>
      </c>
      <c r="D1550" s="15" t="s">
        <v>5566</v>
      </c>
      <c r="E1550" s="11" t="s">
        <v>203</v>
      </c>
      <c r="F1550" s="11" t="s">
        <v>204</v>
      </c>
      <c r="G1550" s="12" t="s">
        <v>5647</v>
      </c>
      <c r="H1550" s="23" t="s">
        <v>5648</v>
      </c>
      <c r="I1550" s="11" t="s">
        <v>65</v>
      </c>
      <c r="J1550" s="14">
        <v>1</v>
      </c>
      <c r="K1550" s="14" t="s">
        <v>5406</v>
      </c>
      <c r="L1550" s="14" t="s">
        <v>5649</v>
      </c>
      <c r="M1550" s="15" t="s">
        <v>5569</v>
      </c>
      <c r="N1550" s="15" t="s">
        <v>208</v>
      </c>
      <c r="O1550" s="15" t="s">
        <v>5650</v>
      </c>
      <c r="P1550" s="15" t="s">
        <v>5651</v>
      </c>
      <c r="Q1550" s="15" t="s">
        <v>211</v>
      </c>
      <c r="R1550" s="16" t="s">
        <v>54</v>
      </c>
      <c r="S1550" s="15" t="s">
        <v>5415</v>
      </c>
      <c r="T1550" s="14" t="s">
        <v>55</v>
      </c>
    </row>
    <row r="1551" spans="1:20" ht="16.5">
      <c r="A1551" s="21" t="s">
        <v>4598</v>
      </c>
      <c r="B1551" s="17" t="s">
        <v>60</v>
      </c>
      <c r="C1551" s="17" t="s">
        <v>62</v>
      </c>
      <c r="D1551" s="18" t="s">
        <v>5574</v>
      </c>
      <c r="E1551" s="17" t="s">
        <v>203</v>
      </c>
      <c r="F1551" s="17" t="s">
        <v>204</v>
      </c>
      <c r="G1551" s="18" t="s">
        <v>5652</v>
      </c>
      <c r="H1551" s="20" t="s">
        <v>5653</v>
      </c>
      <c r="I1551" s="17" t="s">
        <v>65</v>
      </c>
      <c r="J1551" s="21">
        <v>1</v>
      </c>
      <c r="K1551" s="21" t="s">
        <v>5406</v>
      </c>
      <c r="L1551" s="21" t="s">
        <v>5654</v>
      </c>
      <c r="M1551" s="19" t="s">
        <v>5577</v>
      </c>
      <c r="N1551" s="19" t="s">
        <v>208</v>
      </c>
      <c r="O1551" s="19" t="s">
        <v>5655</v>
      </c>
      <c r="P1551" s="19" t="s">
        <v>5656</v>
      </c>
      <c r="Q1551" s="19" t="s">
        <v>211</v>
      </c>
      <c r="R1551" s="16" t="s">
        <v>54</v>
      </c>
      <c r="S1551" s="19" t="s">
        <v>5415</v>
      </c>
      <c r="T1551" s="21" t="s">
        <v>55</v>
      </c>
    </row>
    <row r="1552" spans="1:20" ht="29.25">
      <c r="A1552" s="14" t="s">
        <v>4598</v>
      </c>
      <c r="B1552" s="11" t="s">
        <v>60</v>
      </c>
      <c r="C1552" s="11" t="s">
        <v>62</v>
      </c>
      <c r="D1552" s="15" t="s">
        <v>5333</v>
      </c>
      <c r="E1552" s="11" t="s">
        <v>203</v>
      </c>
      <c r="F1552" s="11" t="s">
        <v>204</v>
      </c>
      <c r="G1552" s="12" t="s">
        <v>5657</v>
      </c>
      <c r="H1552" s="23" t="s">
        <v>5658</v>
      </c>
      <c r="I1552" s="11" t="s">
        <v>65</v>
      </c>
      <c r="J1552" s="14">
        <v>1</v>
      </c>
      <c r="K1552" s="14" t="s">
        <v>5406</v>
      </c>
      <c r="L1552" s="14" t="s">
        <v>5659</v>
      </c>
      <c r="M1552" s="15" t="s">
        <v>5336</v>
      </c>
      <c r="N1552" s="15" t="s">
        <v>208</v>
      </c>
      <c r="O1552" s="15" t="s">
        <v>5660</v>
      </c>
      <c r="P1552" s="15"/>
      <c r="Q1552" s="12" t="s">
        <v>286</v>
      </c>
      <c r="R1552" s="22" t="s">
        <v>88</v>
      </c>
      <c r="S1552" s="15" t="s">
        <v>5415</v>
      </c>
      <c r="T1552" s="14" t="s">
        <v>55</v>
      </c>
    </row>
    <row r="1553" spans="1:20" ht="29.25">
      <c r="A1553" s="21" t="s">
        <v>4598</v>
      </c>
      <c r="B1553" s="17" t="s">
        <v>60</v>
      </c>
      <c r="C1553" s="17" t="s">
        <v>62</v>
      </c>
      <c r="D1553" s="19" t="s">
        <v>5333</v>
      </c>
      <c r="E1553" s="17" t="s">
        <v>203</v>
      </c>
      <c r="F1553" s="17" t="s">
        <v>295</v>
      </c>
      <c r="G1553" s="18" t="s">
        <v>5661</v>
      </c>
      <c r="H1553" s="24" t="s">
        <v>5662</v>
      </c>
      <c r="I1553" s="17" t="s">
        <v>65</v>
      </c>
      <c r="J1553" s="21">
        <v>1</v>
      </c>
      <c r="K1553" s="21" t="s">
        <v>5406</v>
      </c>
      <c r="L1553" s="21" t="s">
        <v>5663</v>
      </c>
      <c r="M1553" s="19" t="s">
        <v>5336</v>
      </c>
      <c r="N1553" s="19" t="s">
        <v>208</v>
      </c>
      <c r="O1553" s="19" t="s">
        <v>5664</v>
      </c>
      <c r="P1553" s="19"/>
      <c r="Q1553" s="18" t="s">
        <v>286</v>
      </c>
      <c r="R1553" s="22" t="s">
        <v>88</v>
      </c>
      <c r="S1553" s="19" t="s">
        <v>5415</v>
      </c>
      <c r="T1553" s="21" t="s">
        <v>55</v>
      </c>
    </row>
    <row r="1554" spans="1:20" ht="16.5">
      <c r="A1554" s="14" t="s">
        <v>4598</v>
      </c>
      <c r="B1554" s="11" t="s">
        <v>60</v>
      </c>
      <c r="C1554" s="11" t="s">
        <v>62</v>
      </c>
      <c r="D1554" s="15" t="s">
        <v>5333</v>
      </c>
      <c r="E1554" s="11" t="s">
        <v>203</v>
      </c>
      <c r="F1554" s="11" t="s">
        <v>204</v>
      </c>
      <c r="G1554" s="12" t="s">
        <v>5665</v>
      </c>
      <c r="H1554" s="13" t="s">
        <v>5666</v>
      </c>
      <c r="I1554" s="11" t="s">
        <v>65</v>
      </c>
      <c r="J1554" s="14">
        <v>1</v>
      </c>
      <c r="K1554" s="14" t="s">
        <v>5406</v>
      </c>
      <c r="L1554" s="14" t="s">
        <v>5667</v>
      </c>
      <c r="M1554" s="15" t="s">
        <v>5336</v>
      </c>
      <c r="N1554" s="15" t="s">
        <v>208</v>
      </c>
      <c r="O1554" s="15" t="s">
        <v>5668</v>
      </c>
      <c r="P1554" s="15"/>
      <c r="Q1554" s="12" t="s">
        <v>286</v>
      </c>
      <c r="R1554" s="22" t="s">
        <v>88</v>
      </c>
      <c r="S1554" s="15" t="s">
        <v>5415</v>
      </c>
      <c r="T1554" s="14" t="s">
        <v>55</v>
      </c>
    </row>
    <row r="1555" spans="1:20" ht="16.5">
      <c r="A1555" s="21" t="s">
        <v>4598</v>
      </c>
      <c r="B1555" s="17" t="s">
        <v>60</v>
      </c>
      <c r="C1555" s="17" t="s">
        <v>62</v>
      </c>
      <c r="D1555" s="19" t="s">
        <v>5333</v>
      </c>
      <c r="E1555" s="17" t="s">
        <v>203</v>
      </c>
      <c r="F1555" s="17" t="s">
        <v>204</v>
      </c>
      <c r="G1555" s="18" t="s">
        <v>5669</v>
      </c>
      <c r="H1555" s="20" t="s">
        <v>5670</v>
      </c>
      <c r="I1555" s="17" t="s">
        <v>65</v>
      </c>
      <c r="J1555" s="21">
        <v>1</v>
      </c>
      <c r="K1555" s="21" t="s">
        <v>5406</v>
      </c>
      <c r="L1555" s="21" t="s">
        <v>5671</v>
      </c>
      <c r="M1555" s="19" t="s">
        <v>5336</v>
      </c>
      <c r="N1555" s="19" t="s">
        <v>208</v>
      </c>
      <c r="O1555" s="19" t="s">
        <v>5672</v>
      </c>
      <c r="P1555" s="19"/>
      <c r="Q1555" s="18" t="s">
        <v>286</v>
      </c>
      <c r="R1555" s="22" t="s">
        <v>88</v>
      </c>
      <c r="S1555" s="19" t="s">
        <v>5415</v>
      </c>
      <c r="T1555" s="21" t="s">
        <v>55</v>
      </c>
    </row>
    <row r="1556" spans="1:20" ht="29.25">
      <c r="A1556" s="14" t="s">
        <v>4598</v>
      </c>
      <c r="B1556" s="11" t="s">
        <v>60</v>
      </c>
      <c r="C1556" s="11" t="s">
        <v>62</v>
      </c>
      <c r="D1556" s="15" t="s">
        <v>5333</v>
      </c>
      <c r="E1556" s="11" t="s">
        <v>203</v>
      </c>
      <c r="F1556" s="11" t="s">
        <v>204</v>
      </c>
      <c r="G1556" s="15" t="s">
        <v>5673</v>
      </c>
      <c r="H1556" s="23" t="s">
        <v>5674</v>
      </c>
      <c r="I1556" s="11" t="s">
        <v>65</v>
      </c>
      <c r="J1556" s="14">
        <v>1</v>
      </c>
      <c r="K1556" s="14" t="s">
        <v>5406</v>
      </c>
      <c r="L1556" s="14" t="s">
        <v>5675</v>
      </c>
      <c r="M1556" s="15" t="s">
        <v>5336</v>
      </c>
      <c r="N1556" s="15" t="s">
        <v>208</v>
      </c>
      <c r="O1556" s="15" t="s">
        <v>5676</v>
      </c>
      <c r="P1556" s="15"/>
      <c r="Q1556" s="12" t="s">
        <v>286</v>
      </c>
      <c r="R1556" s="22" t="s">
        <v>88</v>
      </c>
      <c r="S1556" s="15" t="s">
        <v>5415</v>
      </c>
      <c r="T1556" s="14" t="s">
        <v>55</v>
      </c>
    </row>
    <row r="1557" spans="1:20" ht="16.5">
      <c r="A1557" s="21" t="s">
        <v>4598</v>
      </c>
      <c r="B1557" s="17" t="s">
        <v>60</v>
      </c>
      <c r="C1557" s="17" t="s">
        <v>62</v>
      </c>
      <c r="D1557" s="19" t="s">
        <v>5333</v>
      </c>
      <c r="E1557" s="17" t="s">
        <v>203</v>
      </c>
      <c r="F1557" s="17" t="s">
        <v>295</v>
      </c>
      <c r="G1557" s="18" t="s">
        <v>5677</v>
      </c>
      <c r="H1557" s="24" t="s">
        <v>5678</v>
      </c>
      <c r="I1557" s="17" t="s">
        <v>65</v>
      </c>
      <c r="J1557" s="21">
        <v>1</v>
      </c>
      <c r="K1557" s="21" t="s">
        <v>5406</v>
      </c>
      <c r="L1557" s="21" t="s">
        <v>5679</v>
      </c>
      <c r="M1557" s="19" t="s">
        <v>5336</v>
      </c>
      <c r="N1557" s="19" t="s">
        <v>208</v>
      </c>
      <c r="O1557" s="19" t="s">
        <v>5680</v>
      </c>
      <c r="P1557" s="19"/>
      <c r="Q1557" s="18" t="s">
        <v>286</v>
      </c>
      <c r="R1557" s="22" t="s">
        <v>88</v>
      </c>
      <c r="S1557" s="19" t="s">
        <v>5415</v>
      </c>
      <c r="T1557" s="21" t="s">
        <v>55</v>
      </c>
    </row>
    <row r="1558" spans="1:20" ht="16.5">
      <c r="A1558" s="14" t="s">
        <v>4598</v>
      </c>
      <c r="B1558" s="11" t="s">
        <v>60</v>
      </c>
      <c r="C1558" s="11" t="s">
        <v>62</v>
      </c>
      <c r="D1558" s="15" t="s">
        <v>5516</v>
      </c>
      <c r="E1558" s="11" t="s">
        <v>203</v>
      </c>
      <c r="F1558" s="11" t="s">
        <v>295</v>
      </c>
      <c r="G1558" s="12" t="s">
        <v>5681</v>
      </c>
      <c r="H1558" s="23" t="s">
        <v>5682</v>
      </c>
      <c r="I1558" s="11" t="s">
        <v>65</v>
      </c>
      <c r="J1558" s="14">
        <v>1</v>
      </c>
      <c r="K1558" s="14" t="s">
        <v>5406</v>
      </c>
      <c r="L1558" s="14" t="s">
        <v>5683</v>
      </c>
      <c r="M1558" s="15" t="s">
        <v>5519</v>
      </c>
      <c r="N1558" s="15" t="s">
        <v>208</v>
      </c>
      <c r="O1558" s="15" t="s">
        <v>5684</v>
      </c>
      <c r="P1558" s="15"/>
      <c r="Q1558" s="12" t="s">
        <v>286</v>
      </c>
      <c r="R1558" s="22" t="s">
        <v>88</v>
      </c>
      <c r="S1558" s="15" t="s">
        <v>5415</v>
      </c>
      <c r="T1558" s="14" t="s">
        <v>55</v>
      </c>
    </row>
    <row r="1559" spans="1:20" ht="29.25">
      <c r="A1559" s="21" t="s">
        <v>4598</v>
      </c>
      <c r="B1559" s="17" t="s">
        <v>60</v>
      </c>
      <c r="C1559" s="17" t="s">
        <v>62</v>
      </c>
      <c r="D1559" s="19" t="s">
        <v>5516</v>
      </c>
      <c r="E1559" s="17" t="s">
        <v>203</v>
      </c>
      <c r="F1559" s="17" t="s">
        <v>295</v>
      </c>
      <c r="G1559" s="19" t="s">
        <v>5685</v>
      </c>
      <c r="H1559" s="24" t="s">
        <v>5686</v>
      </c>
      <c r="I1559" s="17" t="s">
        <v>65</v>
      </c>
      <c r="J1559" s="21">
        <v>1</v>
      </c>
      <c r="K1559" s="21" t="s">
        <v>5406</v>
      </c>
      <c r="L1559" s="21" t="s">
        <v>5687</v>
      </c>
      <c r="M1559" s="19" t="s">
        <v>5519</v>
      </c>
      <c r="N1559" s="19" t="s">
        <v>208</v>
      </c>
      <c r="O1559" s="19" t="s">
        <v>5688</v>
      </c>
      <c r="P1559" s="19"/>
      <c r="Q1559" s="18" t="s">
        <v>286</v>
      </c>
      <c r="R1559" s="22" t="s">
        <v>88</v>
      </c>
      <c r="S1559" s="19" t="s">
        <v>5415</v>
      </c>
      <c r="T1559" s="21" t="s">
        <v>55</v>
      </c>
    </row>
    <row r="1560" spans="1:20" ht="29.25">
      <c r="A1560" s="14" t="s">
        <v>4598</v>
      </c>
      <c r="B1560" s="11" t="s">
        <v>60</v>
      </c>
      <c r="C1560" s="11" t="s">
        <v>62</v>
      </c>
      <c r="D1560" s="12" t="s">
        <v>5574</v>
      </c>
      <c r="E1560" s="11" t="s">
        <v>203</v>
      </c>
      <c r="F1560" s="11" t="s">
        <v>295</v>
      </c>
      <c r="G1560" s="12" t="s">
        <v>5689</v>
      </c>
      <c r="H1560" s="13" t="s">
        <v>5690</v>
      </c>
      <c r="I1560" s="11" t="s">
        <v>65</v>
      </c>
      <c r="J1560" s="14">
        <v>1</v>
      </c>
      <c r="K1560" s="14" t="s">
        <v>5406</v>
      </c>
      <c r="L1560" s="14" t="s">
        <v>5691</v>
      </c>
      <c r="M1560" s="15" t="s">
        <v>5577</v>
      </c>
      <c r="N1560" s="15" t="s">
        <v>208</v>
      </c>
      <c r="O1560" s="15" t="s">
        <v>5692</v>
      </c>
      <c r="P1560" s="15"/>
      <c r="Q1560" s="12" t="s">
        <v>286</v>
      </c>
      <c r="R1560" s="22" t="s">
        <v>88</v>
      </c>
      <c r="S1560" s="15" t="s">
        <v>5415</v>
      </c>
      <c r="T1560" s="14" t="s">
        <v>55</v>
      </c>
    </row>
    <row r="1561" spans="1:20" ht="16.5">
      <c r="A1561" s="21" t="s">
        <v>4598</v>
      </c>
      <c r="B1561" s="17" t="s">
        <v>60</v>
      </c>
      <c r="C1561" s="17" t="s">
        <v>300</v>
      </c>
      <c r="D1561" s="19" t="s">
        <v>5693</v>
      </c>
      <c r="E1561" s="17" t="s">
        <v>203</v>
      </c>
      <c r="F1561" s="17" t="s">
        <v>295</v>
      </c>
      <c r="G1561" s="18" t="s">
        <v>5681</v>
      </c>
      <c r="H1561" s="24" t="s">
        <v>5694</v>
      </c>
      <c r="I1561" s="17" t="s">
        <v>65</v>
      </c>
      <c r="J1561" s="21">
        <v>1</v>
      </c>
      <c r="K1561" s="21" t="s">
        <v>5406</v>
      </c>
      <c r="L1561" s="21" t="s">
        <v>5695</v>
      </c>
      <c r="M1561" s="19" t="s">
        <v>5696</v>
      </c>
      <c r="N1561" s="19" t="s">
        <v>208</v>
      </c>
      <c r="O1561" s="19" t="s">
        <v>5684</v>
      </c>
      <c r="P1561" s="19"/>
      <c r="Q1561" s="18" t="s">
        <v>286</v>
      </c>
      <c r="R1561" s="22" t="s">
        <v>88</v>
      </c>
      <c r="S1561" s="19" t="s">
        <v>5415</v>
      </c>
      <c r="T1561" s="21" t="s">
        <v>55</v>
      </c>
    </row>
    <row r="1562" spans="1:20" ht="29.25">
      <c r="A1562" s="14" t="s">
        <v>4598</v>
      </c>
      <c r="B1562" s="11" t="s">
        <v>60</v>
      </c>
      <c r="C1562" s="11" t="s">
        <v>300</v>
      </c>
      <c r="D1562" s="12" t="s">
        <v>5697</v>
      </c>
      <c r="E1562" s="11" t="s">
        <v>203</v>
      </c>
      <c r="F1562" s="11" t="s">
        <v>295</v>
      </c>
      <c r="G1562" s="12" t="s">
        <v>5689</v>
      </c>
      <c r="H1562" s="13" t="s">
        <v>5698</v>
      </c>
      <c r="I1562" s="11" t="s">
        <v>65</v>
      </c>
      <c r="J1562" s="14">
        <v>1</v>
      </c>
      <c r="K1562" s="14" t="s">
        <v>5406</v>
      </c>
      <c r="L1562" s="14" t="s">
        <v>5699</v>
      </c>
      <c r="M1562" s="15" t="s">
        <v>5700</v>
      </c>
      <c r="N1562" s="15" t="s">
        <v>208</v>
      </c>
      <c r="O1562" s="15" t="s">
        <v>5692</v>
      </c>
      <c r="P1562" s="15"/>
      <c r="Q1562" s="12" t="s">
        <v>286</v>
      </c>
      <c r="R1562" s="22" t="s">
        <v>88</v>
      </c>
      <c r="S1562" s="15" t="s">
        <v>5415</v>
      </c>
      <c r="T1562" s="14" t="s">
        <v>55</v>
      </c>
    </row>
    <row r="1563" spans="1:20" ht="16.5">
      <c r="A1563" s="21" t="s">
        <v>4598</v>
      </c>
      <c r="B1563" s="17" t="s">
        <v>311</v>
      </c>
      <c r="C1563" s="17" t="s">
        <v>204</v>
      </c>
      <c r="D1563" s="18" t="s">
        <v>5592</v>
      </c>
      <c r="E1563" s="17" t="s">
        <v>312</v>
      </c>
      <c r="F1563" s="21" t="s">
        <v>313</v>
      </c>
      <c r="G1563" s="19" t="s">
        <v>5701</v>
      </c>
      <c r="H1563" s="24" t="s">
        <v>5702</v>
      </c>
      <c r="I1563" s="17" t="s">
        <v>65</v>
      </c>
      <c r="J1563" s="21">
        <v>1</v>
      </c>
      <c r="K1563" s="21" t="s">
        <v>5406</v>
      </c>
      <c r="L1563" s="21" t="s">
        <v>5703</v>
      </c>
      <c r="M1563" s="19" t="s">
        <v>5595</v>
      </c>
      <c r="N1563" s="19" t="s">
        <v>316</v>
      </c>
      <c r="O1563" s="19" t="s">
        <v>5704</v>
      </c>
      <c r="P1563" s="19" t="s">
        <v>5701</v>
      </c>
      <c r="Q1563" s="19" t="s">
        <v>211</v>
      </c>
      <c r="R1563" s="16" t="s">
        <v>54</v>
      </c>
      <c r="S1563" s="19" t="s">
        <v>5415</v>
      </c>
      <c r="T1563" s="21" t="s">
        <v>55</v>
      </c>
    </row>
    <row r="1564" spans="1:20" ht="16.5">
      <c r="A1564" s="14" t="s">
        <v>4598</v>
      </c>
      <c r="B1564" s="11" t="s">
        <v>311</v>
      </c>
      <c r="C1564" s="11" t="s">
        <v>204</v>
      </c>
      <c r="D1564" s="12" t="s">
        <v>5592</v>
      </c>
      <c r="E1564" s="11" t="s">
        <v>312</v>
      </c>
      <c r="F1564" s="14" t="s">
        <v>313</v>
      </c>
      <c r="G1564" s="15" t="s">
        <v>5705</v>
      </c>
      <c r="H1564" s="23" t="s">
        <v>5706</v>
      </c>
      <c r="I1564" s="11" t="s">
        <v>65</v>
      </c>
      <c r="J1564" s="14">
        <v>1</v>
      </c>
      <c r="K1564" s="14" t="s">
        <v>5406</v>
      </c>
      <c r="L1564" s="14" t="s">
        <v>5707</v>
      </c>
      <c r="M1564" s="15" t="s">
        <v>5595</v>
      </c>
      <c r="N1564" s="15" t="s">
        <v>316</v>
      </c>
      <c r="O1564" s="15" t="s">
        <v>5708</v>
      </c>
      <c r="P1564" s="15" t="s">
        <v>5705</v>
      </c>
      <c r="Q1564" s="15" t="s">
        <v>211</v>
      </c>
      <c r="R1564" s="16" t="s">
        <v>54</v>
      </c>
      <c r="S1564" s="15" t="s">
        <v>5415</v>
      </c>
      <c r="T1564" s="14" t="s">
        <v>55</v>
      </c>
    </row>
    <row r="1565" spans="1:20" ht="16.5">
      <c r="A1565" s="21" t="s">
        <v>4598</v>
      </c>
      <c r="B1565" s="17" t="s">
        <v>311</v>
      </c>
      <c r="C1565" s="17" t="s">
        <v>204</v>
      </c>
      <c r="D1565" s="18" t="s">
        <v>5592</v>
      </c>
      <c r="E1565" s="17" t="s">
        <v>312</v>
      </c>
      <c r="F1565" s="21" t="s">
        <v>313</v>
      </c>
      <c r="G1565" s="19" t="s">
        <v>5709</v>
      </c>
      <c r="H1565" s="24" t="s">
        <v>5710</v>
      </c>
      <c r="I1565" s="17" t="s">
        <v>65</v>
      </c>
      <c r="J1565" s="21">
        <v>1</v>
      </c>
      <c r="K1565" s="21" t="s">
        <v>5406</v>
      </c>
      <c r="L1565" s="21" t="s">
        <v>5711</v>
      </c>
      <c r="M1565" s="19" t="s">
        <v>5595</v>
      </c>
      <c r="N1565" s="19" t="s">
        <v>316</v>
      </c>
      <c r="O1565" s="19" t="s">
        <v>5712</v>
      </c>
      <c r="P1565" s="19" t="s">
        <v>5709</v>
      </c>
      <c r="Q1565" s="19" t="s">
        <v>211</v>
      </c>
      <c r="R1565" s="16" t="s">
        <v>54</v>
      </c>
      <c r="S1565" s="19" t="s">
        <v>5415</v>
      </c>
      <c r="T1565" s="21" t="s">
        <v>55</v>
      </c>
    </row>
    <row r="1566" spans="1:20" ht="16.5">
      <c r="A1566" s="14" t="s">
        <v>4598</v>
      </c>
      <c r="B1566" s="11" t="s">
        <v>311</v>
      </c>
      <c r="C1566" s="11" t="s">
        <v>204</v>
      </c>
      <c r="D1566" s="12" t="s">
        <v>5592</v>
      </c>
      <c r="E1566" s="11" t="s">
        <v>312</v>
      </c>
      <c r="F1566" s="14" t="s">
        <v>313</v>
      </c>
      <c r="G1566" s="15" t="s">
        <v>5713</v>
      </c>
      <c r="H1566" s="23" t="s">
        <v>5714</v>
      </c>
      <c r="I1566" s="11" t="s">
        <v>65</v>
      </c>
      <c r="J1566" s="14">
        <v>1</v>
      </c>
      <c r="K1566" s="14" t="s">
        <v>5406</v>
      </c>
      <c r="L1566" s="14" t="s">
        <v>5715</v>
      </c>
      <c r="M1566" s="15" t="s">
        <v>5595</v>
      </c>
      <c r="N1566" s="15" t="s">
        <v>316</v>
      </c>
      <c r="O1566" s="15" t="s">
        <v>5716</v>
      </c>
      <c r="P1566" s="15" t="s">
        <v>5713</v>
      </c>
      <c r="Q1566" s="15" t="s">
        <v>211</v>
      </c>
      <c r="R1566" s="16" t="s">
        <v>54</v>
      </c>
      <c r="S1566" s="15" t="s">
        <v>5415</v>
      </c>
      <c r="T1566" s="14" t="s">
        <v>55</v>
      </c>
    </row>
    <row r="1567" spans="1:20" ht="16.5">
      <c r="A1567" s="21" t="s">
        <v>4598</v>
      </c>
      <c r="B1567" s="17" t="s">
        <v>311</v>
      </c>
      <c r="C1567" s="17" t="s">
        <v>204</v>
      </c>
      <c r="D1567" s="18" t="s">
        <v>5592</v>
      </c>
      <c r="E1567" s="17" t="s">
        <v>312</v>
      </c>
      <c r="F1567" s="21" t="s">
        <v>313</v>
      </c>
      <c r="G1567" s="19" t="s">
        <v>5717</v>
      </c>
      <c r="H1567" s="24" t="s">
        <v>5718</v>
      </c>
      <c r="I1567" s="17" t="s">
        <v>65</v>
      </c>
      <c r="J1567" s="21">
        <v>1</v>
      </c>
      <c r="K1567" s="21" t="s">
        <v>5406</v>
      </c>
      <c r="L1567" s="21" t="s">
        <v>5719</v>
      </c>
      <c r="M1567" s="19" t="s">
        <v>5595</v>
      </c>
      <c r="N1567" s="19" t="s">
        <v>316</v>
      </c>
      <c r="O1567" s="19" t="s">
        <v>5720</v>
      </c>
      <c r="P1567" s="19" t="s">
        <v>5717</v>
      </c>
      <c r="Q1567" s="19" t="s">
        <v>211</v>
      </c>
      <c r="R1567" s="16" t="s">
        <v>54</v>
      </c>
      <c r="S1567" s="19" t="s">
        <v>5415</v>
      </c>
      <c r="T1567" s="21" t="s">
        <v>55</v>
      </c>
    </row>
    <row r="1568" spans="1:20" ht="16.5">
      <c r="A1568" s="14" t="s">
        <v>4598</v>
      </c>
      <c r="B1568" s="11" t="s">
        <v>311</v>
      </c>
      <c r="C1568" s="11" t="s">
        <v>204</v>
      </c>
      <c r="D1568" s="12" t="s">
        <v>5592</v>
      </c>
      <c r="E1568" s="11" t="s">
        <v>312</v>
      </c>
      <c r="F1568" s="14" t="s">
        <v>313</v>
      </c>
      <c r="G1568" s="15" t="s">
        <v>5721</v>
      </c>
      <c r="H1568" s="23" t="s">
        <v>5722</v>
      </c>
      <c r="I1568" s="11" t="s">
        <v>65</v>
      </c>
      <c r="J1568" s="14">
        <v>1</v>
      </c>
      <c r="K1568" s="14" t="s">
        <v>5406</v>
      </c>
      <c r="L1568" s="14" t="s">
        <v>5723</v>
      </c>
      <c r="M1568" s="15" t="s">
        <v>5595</v>
      </c>
      <c r="N1568" s="15" t="s">
        <v>316</v>
      </c>
      <c r="O1568" s="15" t="s">
        <v>5724</v>
      </c>
      <c r="P1568" s="15" t="s">
        <v>5721</v>
      </c>
      <c r="Q1568" s="15" t="s">
        <v>211</v>
      </c>
      <c r="R1568" s="16" t="s">
        <v>54</v>
      </c>
      <c r="S1568" s="15" t="s">
        <v>5415</v>
      </c>
      <c r="T1568" s="14" t="s">
        <v>55</v>
      </c>
    </row>
    <row r="1569" spans="1:20" ht="16.5">
      <c r="A1569" s="21" t="s">
        <v>4598</v>
      </c>
      <c r="B1569" s="17" t="s">
        <v>311</v>
      </c>
      <c r="C1569" s="17" t="s">
        <v>204</v>
      </c>
      <c r="D1569" s="18" t="s">
        <v>5592</v>
      </c>
      <c r="E1569" s="17" t="s">
        <v>312</v>
      </c>
      <c r="F1569" s="21" t="s">
        <v>313</v>
      </c>
      <c r="G1569" s="19" t="s">
        <v>5725</v>
      </c>
      <c r="H1569" s="24" t="s">
        <v>5726</v>
      </c>
      <c r="I1569" s="17" t="s">
        <v>65</v>
      </c>
      <c r="J1569" s="21">
        <v>1</v>
      </c>
      <c r="K1569" s="21" t="s">
        <v>5406</v>
      </c>
      <c r="L1569" s="21" t="s">
        <v>5727</v>
      </c>
      <c r="M1569" s="19" t="s">
        <v>5595</v>
      </c>
      <c r="N1569" s="19" t="s">
        <v>316</v>
      </c>
      <c r="O1569" s="19" t="s">
        <v>5728</v>
      </c>
      <c r="P1569" s="19" t="s">
        <v>5725</v>
      </c>
      <c r="Q1569" s="19" t="s">
        <v>211</v>
      </c>
      <c r="R1569" s="16" t="s">
        <v>54</v>
      </c>
      <c r="S1569" s="19" t="s">
        <v>5415</v>
      </c>
      <c r="T1569" s="21" t="s">
        <v>55</v>
      </c>
    </row>
    <row r="1570" spans="1:20" ht="16.5">
      <c r="A1570" s="14" t="s">
        <v>4598</v>
      </c>
      <c r="B1570" s="11" t="s">
        <v>311</v>
      </c>
      <c r="C1570" s="11" t="s">
        <v>204</v>
      </c>
      <c r="D1570" s="12" t="s">
        <v>5592</v>
      </c>
      <c r="E1570" s="11" t="s">
        <v>312</v>
      </c>
      <c r="F1570" s="14" t="s">
        <v>313</v>
      </c>
      <c r="G1570" s="15" t="s">
        <v>5729</v>
      </c>
      <c r="H1570" s="23" t="s">
        <v>5730</v>
      </c>
      <c r="I1570" s="11" t="s">
        <v>65</v>
      </c>
      <c r="J1570" s="14">
        <v>1</v>
      </c>
      <c r="K1570" s="14" t="s">
        <v>5406</v>
      </c>
      <c r="L1570" s="14" t="s">
        <v>5731</v>
      </c>
      <c r="M1570" s="15" t="s">
        <v>5595</v>
      </c>
      <c r="N1570" s="15" t="s">
        <v>316</v>
      </c>
      <c r="O1570" s="15" t="s">
        <v>5732</v>
      </c>
      <c r="P1570" s="15" t="s">
        <v>5729</v>
      </c>
      <c r="Q1570" s="15" t="s">
        <v>211</v>
      </c>
      <c r="R1570" s="16" t="s">
        <v>54</v>
      </c>
      <c r="S1570" s="15" t="s">
        <v>5415</v>
      </c>
      <c r="T1570" s="14" t="s">
        <v>55</v>
      </c>
    </row>
    <row r="1571" spans="1:20" ht="16.5">
      <c r="A1571" s="21" t="s">
        <v>4598</v>
      </c>
      <c r="B1571" s="17" t="s">
        <v>311</v>
      </c>
      <c r="C1571" s="17" t="s">
        <v>204</v>
      </c>
      <c r="D1571" s="18" t="s">
        <v>5592</v>
      </c>
      <c r="E1571" s="17" t="s">
        <v>312</v>
      </c>
      <c r="F1571" s="21" t="s">
        <v>313</v>
      </c>
      <c r="G1571" s="19" t="s">
        <v>5733</v>
      </c>
      <c r="H1571" s="24" t="s">
        <v>5734</v>
      </c>
      <c r="I1571" s="17" t="s">
        <v>65</v>
      </c>
      <c r="J1571" s="21">
        <v>1</v>
      </c>
      <c r="K1571" s="21" t="s">
        <v>5406</v>
      </c>
      <c r="L1571" s="21" t="s">
        <v>5735</v>
      </c>
      <c r="M1571" s="19" t="s">
        <v>5595</v>
      </c>
      <c r="N1571" s="19" t="s">
        <v>316</v>
      </c>
      <c r="O1571" s="19" t="s">
        <v>5736</v>
      </c>
      <c r="P1571" s="19" t="s">
        <v>5733</v>
      </c>
      <c r="Q1571" s="19" t="s">
        <v>211</v>
      </c>
      <c r="R1571" s="16" t="s">
        <v>54</v>
      </c>
      <c r="S1571" s="19" t="s">
        <v>5415</v>
      </c>
      <c r="T1571" s="21" t="s">
        <v>55</v>
      </c>
    </row>
    <row r="1572" spans="1:20" ht="16.5">
      <c r="A1572" s="14" t="s">
        <v>4598</v>
      </c>
      <c r="B1572" s="11" t="s">
        <v>311</v>
      </c>
      <c r="C1572" s="11" t="s">
        <v>204</v>
      </c>
      <c r="D1572" s="12" t="s">
        <v>5592</v>
      </c>
      <c r="E1572" s="11" t="s">
        <v>312</v>
      </c>
      <c r="F1572" s="14" t="s">
        <v>313</v>
      </c>
      <c r="G1572" s="15" t="s">
        <v>5737</v>
      </c>
      <c r="H1572" s="23" t="s">
        <v>5738</v>
      </c>
      <c r="I1572" s="11" t="s">
        <v>65</v>
      </c>
      <c r="J1572" s="14">
        <v>1</v>
      </c>
      <c r="K1572" s="14" t="s">
        <v>5406</v>
      </c>
      <c r="L1572" s="14" t="s">
        <v>5739</v>
      </c>
      <c r="M1572" s="15" t="s">
        <v>5595</v>
      </c>
      <c r="N1572" s="15" t="s">
        <v>316</v>
      </c>
      <c r="O1572" s="15" t="s">
        <v>5740</v>
      </c>
      <c r="P1572" s="15" t="s">
        <v>5737</v>
      </c>
      <c r="Q1572" s="15" t="s">
        <v>211</v>
      </c>
      <c r="R1572" s="16" t="s">
        <v>54</v>
      </c>
      <c r="S1572" s="15" t="s">
        <v>5415</v>
      </c>
      <c r="T1572" s="14" t="s">
        <v>55</v>
      </c>
    </row>
    <row r="1573" spans="1:20" ht="16.5">
      <c r="A1573" s="21" t="s">
        <v>4598</v>
      </c>
      <c r="B1573" s="17" t="s">
        <v>311</v>
      </c>
      <c r="C1573" s="17" t="s">
        <v>204</v>
      </c>
      <c r="D1573" s="18" t="s">
        <v>5592</v>
      </c>
      <c r="E1573" s="17" t="s">
        <v>312</v>
      </c>
      <c r="F1573" s="21" t="s">
        <v>313</v>
      </c>
      <c r="G1573" s="19" t="s">
        <v>5741</v>
      </c>
      <c r="H1573" s="24" t="s">
        <v>5742</v>
      </c>
      <c r="I1573" s="17" t="s">
        <v>65</v>
      </c>
      <c r="J1573" s="21">
        <v>1</v>
      </c>
      <c r="K1573" s="21" t="s">
        <v>5406</v>
      </c>
      <c r="L1573" s="21" t="s">
        <v>5743</v>
      </c>
      <c r="M1573" s="19" t="s">
        <v>5595</v>
      </c>
      <c r="N1573" s="19" t="s">
        <v>316</v>
      </c>
      <c r="O1573" s="19" t="s">
        <v>5744</v>
      </c>
      <c r="P1573" s="19" t="s">
        <v>5741</v>
      </c>
      <c r="Q1573" s="19" t="s">
        <v>211</v>
      </c>
      <c r="R1573" s="16" t="s">
        <v>54</v>
      </c>
      <c r="S1573" s="19" t="s">
        <v>5415</v>
      </c>
      <c r="T1573" s="21" t="s">
        <v>55</v>
      </c>
    </row>
    <row r="1574" spans="1:20" ht="16.5">
      <c r="A1574" s="14" t="s">
        <v>4598</v>
      </c>
      <c r="B1574" s="11" t="s">
        <v>311</v>
      </c>
      <c r="C1574" s="11" t="s">
        <v>204</v>
      </c>
      <c r="D1574" s="12" t="s">
        <v>5592</v>
      </c>
      <c r="E1574" s="11" t="s">
        <v>312</v>
      </c>
      <c r="F1574" s="14" t="s">
        <v>313</v>
      </c>
      <c r="G1574" s="15" t="s">
        <v>5745</v>
      </c>
      <c r="H1574" s="23" t="s">
        <v>5746</v>
      </c>
      <c r="I1574" s="11" t="s">
        <v>65</v>
      </c>
      <c r="J1574" s="14">
        <v>1</v>
      </c>
      <c r="K1574" s="14" t="s">
        <v>5406</v>
      </c>
      <c r="L1574" s="14" t="s">
        <v>5747</v>
      </c>
      <c r="M1574" s="15" t="s">
        <v>5595</v>
      </c>
      <c r="N1574" s="15" t="s">
        <v>316</v>
      </c>
      <c r="O1574" s="15" t="s">
        <v>5748</v>
      </c>
      <c r="P1574" s="15" t="s">
        <v>5745</v>
      </c>
      <c r="Q1574" s="15" t="s">
        <v>211</v>
      </c>
      <c r="R1574" s="16" t="s">
        <v>54</v>
      </c>
      <c r="S1574" s="15" t="s">
        <v>5415</v>
      </c>
      <c r="T1574" s="14" t="s">
        <v>55</v>
      </c>
    </row>
    <row r="1575" spans="1:20" ht="16.5">
      <c r="A1575" s="21" t="s">
        <v>4598</v>
      </c>
      <c r="B1575" s="17" t="s">
        <v>311</v>
      </c>
      <c r="C1575" s="17" t="s">
        <v>204</v>
      </c>
      <c r="D1575" s="18" t="s">
        <v>5592</v>
      </c>
      <c r="E1575" s="17" t="s">
        <v>312</v>
      </c>
      <c r="F1575" s="21" t="s">
        <v>313</v>
      </c>
      <c r="G1575" s="19" t="s">
        <v>5749</v>
      </c>
      <c r="H1575" s="24" t="s">
        <v>5750</v>
      </c>
      <c r="I1575" s="17" t="s">
        <v>65</v>
      </c>
      <c r="J1575" s="21">
        <v>1</v>
      </c>
      <c r="K1575" s="21" t="s">
        <v>5406</v>
      </c>
      <c r="L1575" s="21" t="s">
        <v>5751</v>
      </c>
      <c r="M1575" s="19" t="s">
        <v>5595</v>
      </c>
      <c r="N1575" s="19" t="s">
        <v>316</v>
      </c>
      <c r="O1575" s="19" t="s">
        <v>5752</v>
      </c>
      <c r="P1575" s="19" t="s">
        <v>5749</v>
      </c>
      <c r="Q1575" s="19" t="s">
        <v>211</v>
      </c>
      <c r="R1575" s="16" t="s">
        <v>54</v>
      </c>
      <c r="S1575" s="19" t="s">
        <v>5415</v>
      </c>
      <c r="T1575" s="21" t="s">
        <v>55</v>
      </c>
    </row>
    <row r="1576" spans="1:20" ht="16.5">
      <c r="A1576" s="14" t="s">
        <v>4598</v>
      </c>
      <c r="B1576" s="11" t="s">
        <v>311</v>
      </c>
      <c r="C1576" s="11" t="s">
        <v>204</v>
      </c>
      <c r="D1576" s="12" t="s">
        <v>5592</v>
      </c>
      <c r="E1576" s="11" t="s">
        <v>312</v>
      </c>
      <c r="F1576" s="14" t="s">
        <v>313</v>
      </c>
      <c r="G1576" s="15" t="s">
        <v>5753</v>
      </c>
      <c r="H1576" s="23" t="s">
        <v>5754</v>
      </c>
      <c r="I1576" s="11" t="s">
        <v>65</v>
      </c>
      <c r="J1576" s="14">
        <v>1</v>
      </c>
      <c r="K1576" s="14" t="s">
        <v>5406</v>
      </c>
      <c r="L1576" s="14" t="s">
        <v>5755</v>
      </c>
      <c r="M1576" s="15" t="s">
        <v>5595</v>
      </c>
      <c r="N1576" s="15" t="s">
        <v>316</v>
      </c>
      <c r="O1576" s="15" t="s">
        <v>5756</v>
      </c>
      <c r="P1576" s="15" t="s">
        <v>5753</v>
      </c>
      <c r="Q1576" s="15" t="s">
        <v>211</v>
      </c>
      <c r="R1576" s="16" t="s">
        <v>54</v>
      </c>
      <c r="S1576" s="15" t="s">
        <v>5415</v>
      </c>
      <c r="T1576" s="14" t="s">
        <v>55</v>
      </c>
    </row>
    <row r="1577" spans="1:20" ht="16.5">
      <c r="A1577" s="21" t="s">
        <v>4598</v>
      </c>
      <c r="B1577" s="17" t="s">
        <v>311</v>
      </c>
      <c r="C1577" s="17" t="s">
        <v>204</v>
      </c>
      <c r="D1577" s="18" t="s">
        <v>5597</v>
      </c>
      <c r="E1577" s="17" t="s">
        <v>312</v>
      </c>
      <c r="F1577" s="21" t="s">
        <v>313</v>
      </c>
      <c r="G1577" s="19" t="s">
        <v>5757</v>
      </c>
      <c r="H1577" s="24" t="s">
        <v>5758</v>
      </c>
      <c r="I1577" s="17" t="s">
        <v>65</v>
      </c>
      <c r="J1577" s="21">
        <v>1</v>
      </c>
      <c r="K1577" s="21" t="s">
        <v>5406</v>
      </c>
      <c r="L1577" s="21" t="s">
        <v>5759</v>
      </c>
      <c r="M1577" s="19" t="s">
        <v>5600</v>
      </c>
      <c r="N1577" s="19" t="s">
        <v>316</v>
      </c>
      <c r="O1577" s="19" t="s">
        <v>5760</v>
      </c>
      <c r="P1577" s="19" t="s">
        <v>5757</v>
      </c>
      <c r="Q1577" s="19" t="s">
        <v>211</v>
      </c>
      <c r="R1577" s="16" t="s">
        <v>54</v>
      </c>
      <c r="S1577" s="19" t="s">
        <v>5415</v>
      </c>
      <c r="T1577" s="21" t="s">
        <v>55</v>
      </c>
    </row>
    <row r="1578" spans="1:20" ht="16.5">
      <c r="A1578" s="14" t="s">
        <v>4598</v>
      </c>
      <c r="B1578" s="11" t="s">
        <v>311</v>
      </c>
      <c r="C1578" s="11" t="s">
        <v>204</v>
      </c>
      <c r="D1578" s="12" t="s">
        <v>5597</v>
      </c>
      <c r="E1578" s="11" t="s">
        <v>312</v>
      </c>
      <c r="F1578" s="14" t="s">
        <v>313</v>
      </c>
      <c r="G1578" s="15" t="s">
        <v>5761</v>
      </c>
      <c r="H1578" s="23" t="s">
        <v>5762</v>
      </c>
      <c r="I1578" s="11" t="s">
        <v>65</v>
      </c>
      <c r="J1578" s="14">
        <v>1</v>
      </c>
      <c r="K1578" s="14" t="s">
        <v>5406</v>
      </c>
      <c r="L1578" s="14" t="s">
        <v>5763</v>
      </c>
      <c r="M1578" s="15" t="s">
        <v>5600</v>
      </c>
      <c r="N1578" s="15" t="s">
        <v>316</v>
      </c>
      <c r="O1578" s="15" t="s">
        <v>5764</v>
      </c>
      <c r="P1578" s="15" t="s">
        <v>5761</v>
      </c>
      <c r="Q1578" s="15" t="s">
        <v>211</v>
      </c>
      <c r="R1578" s="16" t="s">
        <v>54</v>
      </c>
      <c r="S1578" s="15" t="s">
        <v>5415</v>
      </c>
      <c r="T1578" s="14" t="s">
        <v>55</v>
      </c>
    </row>
    <row r="1579" spans="1:20" ht="16.5">
      <c r="A1579" s="21" t="s">
        <v>4598</v>
      </c>
      <c r="B1579" s="17" t="s">
        <v>311</v>
      </c>
      <c r="C1579" s="17" t="s">
        <v>204</v>
      </c>
      <c r="D1579" s="18" t="s">
        <v>5597</v>
      </c>
      <c r="E1579" s="17" t="s">
        <v>312</v>
      </c>
      <c r="F1579" s="21" t="s">
        <v>313</v>
      </c>
      <c r="G1579" s="19" t="s">
        <v>5765</v>
      </c>
      <c r="H1579" s="24" t="s">
        <v>5766</v>
      </c>
      <c r="I1579" s="17" t="s">
        <v>65</v>
      </c>
      <c r="J1579" s="21">
        <v>1</v>
      </c>
      <c r="K1579" s="21" t="s">
        <v>5406</v>
      </c>
      <c r="L1579" s="21" t="s">
        <v>5767</v>
      </c>
      <c r="M1579" s="19" t="s">
        <v>5600</v>
      </c>
      <c r="N1579" s="19" t="s">
        <v>316</v>
      </c>
      <c r="O1579" s="19" t="s">
        <v>5768</v>
      </c>
      <c r="P1579" s="19" t="s">
        <v>5765</v>
      </c>
      <c r="Q1579" s="19" t="s">
        <v>211</v>
      </c>
      <c r="R1579" s="16" t="s">
        <v>54</v>
      </c>
      <c r="S1579" s="19" t="s">
        <v>5415</v>
      </c>
      <c r="T1579" s="21" t="s">
        <v>55</v>
      </c>
    </row>
    <row r="1580" spans="1:20" ht="16.5">
      <c r="A1580" s="14" t="s">
        <v>4598</v>
      </c>
      <c r="B1580" s="11" t="s">
        <v>311</v>
      </c>
      <c r="C1580" s="11" t="s">
        <v>204</v>
      </c>
      <c r="D1580" s="12" t="s">
        <v>5597</v>
      </c>
      <c r="E1580" s="11" t="s">
        <v>312</v>
      </c>
      <c r="F1580" s="14" t="s">
        <v>313</v>
      </c>
      <c r="G1580" s="15" t="s">
        <v>5769</v>
      </c>
      <c r="H1580" s="23" t="s">
        <v>5770</v>
      </c>
      <c r="I1580" s="11" t="s">
        <v>65</v>
      </c>
      <c r="J1580" s="14">
        <v>1</v>
      </c>
      <c r="K1580" s="14" t="s">
        <v>5406</v>
      </c>
      <c r="L1580" s="14" t="s">
        <v>5771</v>
      </c>
      <c r="M1580" s="15" t="s">
        <v>5600</v>
      </c>
      <c r="N1580" s="15" t="s">
        <v>316</v>
      </c>
      <c r="O1580" s="15" t="s">
        <v>5772</v>
      </c>
      <c r="P1580" s="15" t="s">
        <v>5769</v>
      </c>
      <c r="Q1580" s="15" t="s">
        <v>211</v>
      </c>
      <c r="R1580" s="16" t="s">
        <v>54</v>
      </c>
      <c r="S1580" s="15" t="s">
        <v>5415</v>
      </c>
      <c r="T1580" s="14" t="s">
        <v>55</v>
      </c>
    </row>
    <row r="1581" spans="1:20" ht="16.5">
      <c r="A1581" s="21" t="s">
        <v>4598</v>
      </c>
      <c r="B1581" s="17" t="s">
        <v>311</v>
      </c>
      <c r="C1581" s="17" t="s">
        <v>204</v>
      </c>
      <c r="D1581" s="18" t="s">
        <v>5597</v>
      </c>
      <c r="E1581" s="17" t="s">
        <v>312</v>
      </c>
      <c r="F1581" s="21" t="s">
        <v>313</v>
      </c>
      <c r="G1581" s="19" t="s">
        <v>5773</v>
      </c>
      <c r="H1581" s="24" t="s">
        <v>5774</v>
      </c>
      <c r="I1581" s="17" t="s">
        <v>65</v>
      </c>
      <c r="J1581" s="21">
        <v>1</v>
      </c>
      <c r="K1581" s="21" t="s">
        <v>5406</v>
      </c>
      <c r="L1581" s="21" t="s">
        <v>5775</v>
      </c>
      <c r="M1581" s="19" t="s">
        <v>5600</v>
      </c>
      <c r="N1581" s="19" t="s">
        <v>316</v>
      </c>
      <c r="O1581" s="19" t="s">
        <v>5776</v>
      </c>
      <c r="P1581" s="19" t="s">
        <v>5773</v>
      </c>
      <c r="Q1581" s="19" t="s">
        <v>211</v>
      </c>
      <c r="R1581" s="16" t="s">
        <v>54</v>
      </c>
      <c r="S1581" s="19" t="s">
        <v>5415</v>
      </c>
      <c r="T1581" s="21" t="s">
        <v>55</v>
      </c>
    </row>
    <row r="1582" spans="1:20" ht="16.5">
      <c r="A1582" s="14" t="s">
        <v>4598</v>
      </c>
      <c r="B1582" s="11" t="s">
        <v>311</v>
      </c>
      <c r="C1582" s="11" t="s">
        <v>204</v>
      </c>
      <c r="D1582" s="12" t="s">
        <v>5597</v>
      </c>
      <c r="E1582" s="11" t="s">
        <v>312</v>
      </c>
      <c r="F1582" s="14" t="s">
        <v>313</v>
      </c>
      <c r="G1582" s="15" t="s">
        <v>5777</v>
      </c>
      <c r="H1582" s="23" t="s">
        <v>5778</v>
      </c>
      <c r="I1582" s="11" t="s">
        <v>65</v>
      </c>
      <c r="J1582" s="14">
        <v>1</v>
      </c>
      <c r="K1582" s="14" t="s">
        <v>5406</v>
      </c>
      <c r="L1582" s="14" t="s">
        <v>5779</v>
      </c>
      <c r="M1582" s="15" t="s">
        <v>5600</v>
      </c>
      <c r="N1582" s="15" t="s">
        <v>316</v>
      </c>
      <c r="O1582" s="15" t="s">
        <v>5780</v>
      </c>
      <c r="P1582" s="15" t="s">
        <v>5777</v>
      </c>
      <c r="Q1582" s="15" t="s">
        <v>211</v>
      </c>
      <c r="R1582" s="16" t="s">
        <v>54</v>
      </c>
      <c r="S1582" s="15" t="s">
        <v>5415</v>
      </c>
      <c r="T1582" s="14" t="s">
        <v>55</v>
      </c>
    </row>
    <row r="1583" spans="1:20" ht="16.5">
      <c r="A1583" s="21" t="s">
        <v>4598</v>
      </c>
      <c r="B1583" s="17" t="s">
        <v>311</v>
      </c>
      <c r="C1583" s="17" t="s">
        <v>204</v>
      </c>
      <c r="D1583" s="18" t="s">
        <v>5597</v>
      </c>
      <c r="E1583" s="17" t="s">
        <v>312</v>
      </c>
      <c r="F1583" s="21" t="s">
        <v>313</v>
      </c>
      <c r="G1583" s="19" t="s">
        <v>5781</v>
      </c>
      <c r="H1583" s="24" t="s">
        <v>5782</v>
      </c>
      <c r="I1583" s="17" t="s">
        <v>65</v>
      </c>
      <c r="J1583" s="21">
        <v>1</v>
      </c>
      <c r="K1583" s="21" t="s">
        <v>5406</v>
      </c>
      <c r="L1583" s="21" t="s">
        <v>5783</v>
      </c>
      <c r="M1583" s="19" t="s">
        <v>5600</v>
      </c>
      <c r="N1583" s="19" t="s">
        <v>316</v>
      </c>
      <c r="O1583" s="19" t="s">
        <v>5784</v>
      </c>
      <c r="P1583" s="19" t="s">
        <v>5781</v>
      </c>
      <c r="Q1583" s="19" t="s">
        <v>211</v>
      </c>
      <c r="R1583" s="16" t="s">
        <v>54</v>
      </c>
      <c r="S1583" s="19" t="s">
        <v>5415</v>
      </c>
      <c r="T1583" s="21" t="s">
        <v>55</v>
      </c>
    </row>
    <row r="1584" spans="1:20" ht="16.5">
      <c r="A1584" s="14" t="s">
        <v>4598</v>
      </c>
      <c r="B1584" s="11" t="s">
        <v>311</v>
      </c>
      <c r="C1584" s="11" t="s">
        <v>204</v>
      </c>
      <c r="D1584" s="12" t="s">
        <v>5597</v>
      </c>
      <c r="E1584" s="11" t="s">
        <v>312</v>
      </c>
      <c r="F1584" s="14" t="s">
        <v>313</v>
      </c>
      <c r="G1584" s="15" t="s">
        <v>5785</v>
      </c>
      <c r="H1584" s="23" t="s">
        <v>5786</v>
      </c>
      <c r="I1584" s="11" t="s">
        <v>65</v>
      </c>
      <c r="J1584" s="14">
        <v>1</v>
      </c>
      <c r="K1584" s="14" t="s">
        <v>5406</v>
      </c>
      <c r="L1584" s="14" t="s">
        <v>5787</v>
      </c>
      <c r="M1584" s="15" t="s">
        <v>5600</v>
      </c>
      <c r="N1584" s="15" t="s">
        <v>316</v>
      </c>
      <c r="O1584" s="15" t="s">
        <v>5788</v>
      </c>
      <c r="P1584" s="15" t="s">
        <v>5785</v>
      </c>
      <c r="Q1584" s="15" t="s">
        <v>211</v>
      </c>
      <c r="R1584" s="16" t="s">
        <v>54</v>
      </c>
      <c r="S1584" s="15" t="s">
        <v>5415</v>
      </c>
      <c r="T1584" s="14" t="s">
        <v>55</v>
      </c>
    </row>
    <row r="1585" spans="1:20" ht="16.5">
      <c r="A1585" s="21" t="s">
        <v>4598</v>
      </c>
      <c r="B1585" s="17" t="s">
        <v>311</v>
      </c>
      <c r="C1585" s="17" t="s">
        <v>204</v>
      </c>
      <c r="D1585" s="18" t="s">
        <v>5597</v>
      </c>
      <c r="E1585" s="17" t="s">
        <v>312</v>
      </c>
      <c r="F1585" s="21" t="s">
        <v>313</v>
      </c>
      <c r="G1585" s="19" t="s">
        <v>5789</v>
      </c>
      <c r="H1585" s="24" t="s">
        <v>5790</v>
      </c>
      <c r="I1585" s="17" t="s">
        <v>65</v>
      </c>
      <c r="J1585" s="21">
        <v>1</v>
      </c>
      <c r="K1585" s="21" t="s">
        <v>5406</v>
      </c>
      <c r="L1585" s="21" t="s">
        <v>5791</v>
      </c>
      <c r="M1585" s="19" t="s">
        <v>5600</v>
      </c>
      <c r="N1585" s="19" t="s">
        <v>316</v>
      </c>
      <c r="O1585" s="19" t="s">
        <v>5792</v>
      </c>
      <c r="P1585" s="19" t="s">
        <v>5789</v>
      </c>
      <c r="Q1585" s="19" t="s">
        <v>211</v>
      </c>
      <c r="R1585" s="16" t="s">
        <v>54</v>
      </c>
      <c r="S1585" s="19" t="s">
        <v>5415</v>
      </c>
      <c r="T1585" s="21" t="s">
        <v>55</v>
      </c>
    </row>
    <row r="1586" spans="1:20" ht="16.5">
      <c r="A1586" s="14" t="s">
        <v>4598</v>
      </c>
      <c r="B1586" s="11" t="s">
        <v>311</v>
      </c>
      <c r="C1586" s="11" t="s">
        <v>204</v>
      </c>
      <c r="D1586" s="12" t="s">
        <v>5597</v>
      </c>
      <c r="E1586" s="11" t="s">
        <v>312</v>
      </c>
      <c r="F1586" s="14" t="s">
        <v>313</v>
      </c>
      <c r="G1586" s="15" t="s">
        <v>5793</v>
      </c>
      <c r="H1586" s="23" t="s">
        <v>5794</v>
      </c>
      <c r="I1586" s="11" t="s">
        <v>65</v>
      </c>
      <c r="J1586" s="14">
        <v>1</v>
      </c>
      <c r="K1586" s="14" t="s">
        <v>5406</v>
      </c>
      <c r="L1586" s="14" t="s">
        <v>5795</v>
      </c>
      <c r="M1586" s="15" t="s">
        <v>5600</v>
      </c>
      <c r="N1586" s="15" t="s">
        <v>316</v>
      </c>
      <c r="O1586" s="15" t="s">
        <v>5796</v>
      </c>
      <c r="P1586" s="15" t="s">
        <v>5793</v>
      </c>
      <c r="Q1586" s="15" t="s">
        <v>211</v>
      </c>
      <c r="R1586" s="16" t="s">
        <v>54</v>
      </c>
      <c r="S1586" s="15" t="s">
        <v>5415</v>
      </c>
      <c r="T1586" s="14" t="s">
        <v>55</v>
      </c>
    </row>
    <row r="1587" spans="1:20" ht="16.5">
      <c r="A1587" s="21" t="s">
        <v>4598</v>
      </c>
      <c r="B1587" s="17" t="s">
        <v>311</v>
      </c>
      <c r="C1587" s="17" t="s">
        <v>204</v>
      </c>
      <c r="D1587" s="18" t="s">
        <v>5597</v>
      </c>
      <c r="E1587" s="17" t="s">
        <v>312</v>
      </c>
      <c r="F1587" s="21" t="s">
        <v>313</v>
      </c>
      <c r="G1587" s="19" t="s">
        <v>5797</v>
      </c>
      <c r="H1587" s="24" t="s">
        <v>5798</v>
      </c>
      <c r="I1587" s="17" t="s">
        <v>65</v>
      </c>
      <c r="J1587" s="21">
        <v>1</v>
      </c>
      <c r="K1587" s="21" t="s">
        <v>5406</v>
      </c>
      <c r="L1587" s="21" t="s">
        <v>5799</v>
      </c>
      <c r="M1587" s="19" t="s">
        <v>5600</v>
      </c>
      <c r="N1587" s="19" t="s">
        <v>316</v>
      </c>
      <c r="O1587" s="19" t="s">
        <v>5800</v>
      </c>
      <c r="P1587" s="19" t="s">
        <v>5797</v>
      </c>
      <c r="Q1587" s="19" t="s">
        <v>211</v>
      </c>
      <c r="R1587" s="16" t="s">
        <v>54</v>
      </c>
      <c r="S1587" s="19" t="s">
        <v>5415</v>
      </c>
      <c r="T1587" s="21" t="s">
        <v>55</v>
      </c>
    </row>
    <row r="1588" spans="1:20" ht="16.5">
      <c r="A1588" s="14" t="s">
        <v>4598</v>
      </c>
      <c r="B1588" s="11" t="s">
        <v>311</v>
      </c>
      <c r="C1588" s="11" t="s">
        <v>204</v>
      </c>
      <c r="D1588" s="12" t="s">
        <v>5597</v>
      </c>
      <c r="E1588" s="11" t="s">
        <v>312</v>
      </c>
      <c r="F1588" s="14" t="s">
        <v>313</v>
      </c>
      <c r="G1588" s="15" t="s">
        <v>5801</v>
      </c>
      <c r="H1588" s="23" t="s">
        <v>5802</v>
      </c>
      <c r="I1588" s="11" t="s">
        <v>65</v>
      </c>
      <c r="J1588" s="14">
        <v>1</v>
      </c>
      <c r="K1588" s="14" t="s">
        <v>5406</v>
      </c>
      <c r="L1588" s="14" t="s">
        <v>5803</v>
      </c>
      <c r="M1588" s="15" t="s">
        <v>5600</v>
      </c>
      <c r="N1588" s="15" t="s">
        <v>316</v>
      </c>
      <c r="O1588" s="15" t="s">
        <v>5804</v>
      </c>
      <c r="P1588" s="15" t="s">
        <v>5801</v>
      </c>
      <c r="Q1588" s="15" t="s">
        <v>211</v>
      </c>
      <c r="R1588" s="16" t="s">
        <v>54</v>
      </c>
      <c r="S1588" s="15" t="s">
        <v>5415</v>
      </c>
      <c r="T1588" s="14" t="s">
        <v>55</v>
      </c>
    </row>
    <row r="1589" spans="1:20" ht="16.5">
      <c r="A1589" s="21" t="s">
        <v>4598</v>
      </c>
      <c r="B1589" s="17" t="s">
        <v>311</v>
      </c>
      <c r="C1589" s="17" t="s">
        <v>204</v>
      </c>
      <c r="D1589" s="18" t="s">
        <v>5597</v>
      </c>
      <c r="E1589" s="17" t="s">
        <v>312</v>
      </c>
      <c r="F1589" s="21" t="s">
        <v>313</v>
      </c>
      <c r="G1589" s="19" t="s">
        <v>5805</v>
      </c>
      <c r="H1589" s="24" t="s">
        <v>5806</v>
      </c>
      <c r="I1589" s="17" t="s">
        <v>65</v>
      </c>
      <c r="J1589" s="21">
        <v>1</v>
      </c>
      <c r="K1589" s="21" t="s">
        <v>5406</v>
      </c>
      <c r="L1589" s="21" t="s">
        <v>5807</v>
      </c>
      <c r="M1589" s="19" t="s">
        <v>5600</v>
      </c>
      <c r="N1589" s="19" t="s">
        <v>316</v>
      </c>
      <c r="O1589" s="19" t="s">
        <v>5808</v>
      </c>
      <c r="P1589" s="19" t="s">
        <v>5805</v>
      </c>
      <c r="Q1589" s="19" t="s">
        <v>211</v>
      </c>
      <c r="R1589" s="16" t="s">
        <v>54</v>
      </c>
      <c r="S1589" s="19" t="s">
        <v>5415</v>
      </c>
      <c r="T1589" s="21" t="s">
        <v>55</v>
      </c>
    </row>
    <row r="1590" spans="1:20" ht="16.5">
      <c r="A1590" s="14" t="s">
        <v>4598</v>
      </c>
      <c r="B1590" s="11" t="s">
        <v>311</v>
      </c>
      <c r="C1590" s="11" t="s">
        <v>204</v>
      </c>
      <c r="D1590" s="12" t="s">
        <v>5597</v>
      </c>
      <c r="E1590" s="11" t="s">
        <v>312</v>
      </c>
      <c r="F1590" s="14" t="s">
        <v>313</v>
      </c>
      <c r="G1590" s="15" t="s">
        <v>5809</v>
      </c>
      <c r="H1590" s="23" t="s">
        <v>5810</v>
      </c>
      <c r="I1590" s="11" t="s">
        <v>65</v>
      </c>
      <c r="J1590" s="14">
        <v>1</v>
      </c>
      <c r="K1590" s="14" t="s">
        <v>5406</v>
      </c>
      <c r="L1590" s="14" t="s">
        <v>5811</v>
      </c>
      <c r="M1590" s="15" t="s">
        <v>5600</v>
      </c>
      <c r="N1590" s="15" t="s">
        <v>316</v>
      </c>
      <c r="O1590" s="15" t="s">
        <v>5812</v>
      </c>
      <c r="P1590" s="15" t="s">
        <v>5809</v>
      </c>
      <c r="Q1590" s="15" t="s">
        <v>211</v>
      </c>
      <c r="R1590" s="16" t="s">
        <v>54</v>
      </c>
      <c r="S1590" s="15" t="s">
        <v>5415</v>
      </c>
      <c r="T1590" s="14" t="s">
        <v>55</v>
      </c>
    </row>
    <row r="1591" spans="1:20" ht="16.5">
      <c r="A1591" s="21" t="s">
        <v>4598</v>
      </c>
      <c r="B1591" s="17" t="s">
        <v>311</v>
      </c>
      <c r="C1591" s="17" t="s">
        <v>204</v>
      </c>
      <c r="D1591" s="18" t="s">
        <v>5602</v>
      </c>
      <c r="E1591" s="17" t="s">
        <v>312</v>
      </c>
      <c r="F1591" s="21" t="s">
        <v>313</v>
      </c>
      <c r="G1591" s="19" t="s">
        <v>5813</v>
      </c>
      <c r="H1591" s="24" t="s">
        <v>5814</v>
      </c>
      <c r="I1591" s="17" t="s">
        <v>65</v>
      </c>
      <c r="J1591" s="21">
        <v>1</v>
      </c>
      <c r="K1591" s="21" t="s">
        <v>5406</v>
      </c>
      <c r="L1591" s="21" t="s">
        <v>5815</v>
      </c>
      <c r="M1591" s="19" t="s">
        <v>5605</v>
      </c>
      <c r="N1591" s="19" t="s">
        <v>316</v>
      </c>
      <c r="O1591" s="19" t="s">
        <v>5816</v>
      </c>
      <c r="P1591" s="19" t="s">
        <v>5813</v>
      </c>
      <c r="Q1591" s="19" t="s">
        <v>211</v>
      </c>
      <c r="R1591" s="16" t="s">
        <v>54</v>
      </c>
      <c r="S1591" s="19" t="s">
        <v>5415</v>
      </c>
      <c r="T1591" s="21" t="s">
        <v>55</v>
      </c>
    </row>
    <row r="1592" spans="1:20" ht="16.5">
      <c r="A1592" s="14" t="s">
        <v>4598</v>
      </c>
      <c r="B1592" s="11" t="s">
        <v>311</v>
      </c>
      <c r="C1592" s="11" t="s">
        <v>204</v>
      </c>
      <c r="D1592" s="12" t="s">
        <v>5602</v>
      </c>
      <c r="E1592" s="11" t="s">
        <v>312</v>
      </c>
      <c r="F1592" s="14" t="s">
        <v>313</v>
      </c>
      <c r="G1592" s="15" t="s">
        <v>5817</v>
      </c>
      <c r="H1592" s="23" t="s">
        <v>5818</v>
      </c>
      <c r="I1592" s="11" t="s">
        <v>65</v>
      </c>
      <c r="J1592" s="14">
        <v>1</v>
      </c>
      <c r="K1592" s="14" t="s">
        <v>5406</v>
      </c>
      <c r="L1592" s="14" t="s">
        <v>5819</v>
      </c>
      <c r="M1592" s="15" t="s">
        <v>5605</v>
      </c>
      <c r="N1592" s="15" t="s">
        <v>316</v>
      </c>
      <c r="O1592" s="15" t="s">
        <v>5820</v>
      </c>
      <c r="P1592" s="15" t="s">
        <v>5817</v>
      </c>
      <c r="Q1592" s="15" t="s">
        <v>211</v>
      </c>
      <c r="R1592" s="16" t="s">
        <v>54</v>
      </c>
      <c r="S1592" s="15" t="s">
        <v>5415</v>
      </c>
      <c r="T1592" s="14" t="s">
        <v>55</v>
      </c>
    </row>
    <row r="1593" spans="1:20" ht="16.5">
      <c r="A1593" s="21" t="s">
        <v>4598</v>
      </c>
      <c r="B1593" s="17" t="s">
        <v>311</v>
      </c>
      <c r="C1593" s="17" t="s">
        <v>204</v>
      </c>
      <c r="D1593" s="18" t="s">
        <v>5602</v>
      </c>
      <c r="E1593" s="17" t="s">
        <v>312</v>
      </c>
      <c r="F1593" s="21" t="s">
        <v>313</v>
      </c>
      <c r="G1593" s="19" t="s">
        <v>5821</v>
      </c>
      <c r="H1593" s="24" t="s">
        <v>5822</v>
      </c>
      <c r="I1593" s="17" t="s">
        <v>65</v>
      </c>
      <c r="J1593" s="21">
        <v>1</v>
      </c>
      <c r="K1593" s="21" t="s">
        <v>5406</v>
      </c>
      <c r="L1593" s="21" t="s">
        <v>5823</v>
      </c>
      <c r="M1593" s="19" t="s">
        <v>5605</v>
      </c>
      <c r="N1593" s="19" t="s">
        <v>316</v>
      </c>
      <c r="O1593" s="19" t="s">
        <v>5824</v>
      </c>
      <c r="P1593" s="19" t="s">
        <v>5821</v>
      </c>
      <c r="Q1593" s="19" t="s">
        <v>211</v>
      </c>
      <c r="R1593" s="16" t="s">
        <v>54</v>
      </c>
      <c r="S1593" s="19" t="s">
        <v>5415</v>
      </c>
      <c r="T1593" s="21" t="s">
        <v>55</v>
      </c>
    </row>
    <row r="1594" spans="1:20" ht="16.5">
      <c r="A1594" s="14" t="s">
        <v>4598</v>
      </c>
      <c r="B1594" s="11" t="s">
        <v>311</v>
      </c>
      <c r="C1594" s="11" t="s">
        <v>204</v>
      </c>
      <c r="D1594" s="12" t="s">
        <v>5602</v>
      </c>
      <c r="E1594" s="11" t="s">
        <v>312</v>
      </c>
      <c r="F1594" s="14" t="s">
        <v>313</v>
      </c>
      <c r="G1594" s="15" t="s">
        <v>5825</v>
      </c>
      <c r="H1594" s="23" t="s">
        <v>5826</v>
      </c>
      <c r="I1594" s="11" t="s">
        <v>65</v>
      </c>
      <c r="J1594" s="14">
        <v>1</v>
      </c>
      <c r="K1594" s="14" t="s">
        <v>5406</v>
      </c>
      <c r="L1594" s="14" t="s">
        <v>5827</v>
      </c>
      <c r="M1594" s="15" t="s">
        <v>5605</v>
      </c>
      <c r="N1594" s="15" t="s">
        <v>316</v>
      </c>
      <c r="O1594" s="15" t="s">
        <v>5828</v>
      </c>
      <c r="P1594" s="15" t="s">
        <v>5825</v>
      </c>
      <c r="Q1594" s="15" t="s">
        <v>211</v>
      </c>
      <c r="R1594" s="16" t="s">
        <v>54</v>
      </c>
      <c r="S1594" s="15" t="s">
        <v>5415</v>
      </c>
      <c r="T1594" s="14" t="s">
        <v>55</v>
      </c>
    </row>
    <row r="1595" spans="1:20" ht="16.5">
      <c r="A1595" s="21" t="s">
        <v>4598</v>
      </c>
      <c r="B1595" s="17" t="s">
        <v>311</v>
      </c>
      <c r="C1595" s="17" t="s">
        <v>204</v>
      </c>
      <c r="D1595" s="18" t="s">
        <v>5602</v>
      </c>
      <c r="E1595" s="17" t="s">
        <v>312</v>
      </c>
      <c r="F1595" s="21" t="s">
        <v>313</v>
      </c>
      <c r="G1595" s="19" t="s">
        <v>5829</v>
      </c>
      <c r="H1595" s="24" t="s">
        <v>5830</v>
      </c>
      <c r="I1595" s="17" t="s">
        <v>65</v>
      </c>
      <c r="J1595" s="21">
        <v>1</v>
      </c>
      <c r="K1595" s="21" t="s">
        <v>5406</v>
      </c>
      <c r="L1595" s="21" t="s">
        <v>5831</v>
      </c>
      <c r="M1595" s="19" t="s">
        <v>5605</v>
      </c>
      <c r="N1595" s="19" t="s">
        <v>316</v>
      </c>
      <c r="O1595" s="19" t="s">
        <v>5832</v>
      </c>
      <c r="P1595" s="19" t="s">
        <v>5829</v>
      </c>
      <c r="Q1595" s="19" t="s">
        <v>211</v>
      </c>
      <c r="R1595" s="16" t="s">
        <v>54</v>
      </c>
      <c r="S1595" s="19" t="s">
        <v>5415</v>
      </c>
      <c r="T1595" s="21" t="s">
        <v>55</v>
      </c>
    </row>
    <row r="1596" spans="1:20" ht="16.5">
      <c r="A1596" s="14" t="s">
        <v>4598</v>
      </c>
      <c r="B1596" s="11" t="s">
        <v>311</v>
      </c>
      <c r="C1596" s="11" t="s">
        <v>204</v>
      </c>
      <c r="D1596" s="12" t="s">
        <v>5602</v>
      </c>
      <c r="E1596" s="11" t="s">
        <v>312</v>
      </c>
      <c r="F1596" s="14" t="s">
        <v>313</v>
      </c>
      <c r="G1596" s="15" t="s">
        <v>5833</v>
      </c>
      <c r="H1596" s="23" t="s">
        <v>5834</v>
      </c>
      <c r="I1596" s="11" t="s">
        <v>65</v>
      </c>
      <c r="J1596" s="14">
        <v>1</v>
      </c>
      <c r="K1596" s="14" t="s">
        <v>5406</v>
      </c>
      <c r="L1596" s="14" t="s">
        <v>5835</v>
      </c>
      <c r="M1596" s="15" t="s">
        <v>5605</v>
      </c>
      <c r="N1596" s="15" t="s">
        <v>316</v>
      </c>
      <c r="O1596" s="15" t="s">
        <v>5836</v>
      </c>
      <c r="P1596" s="15" t="s">
        <v>5833</v>
      </c>
      <c r="Q1596" s="15" t="s">
        <v>211</v>
      </c>
      <c r="R1596" s="16" t="s">
        <v>54</v>
      </c>
      <c r="S1596" s="15" t="s">
        <v>5415</v>
      </c>
      <c r="T1596" s="14" t="s">
        <v>55</v>
      </c>
    </row>
    <row r="1597" spans="1:20" ht="16.5">
      <c r="A1597" s="21" t="s">
        <v>4598</v>
      </c>
      <c r="B1597" s="17" t="s">
        <v>311</v>
      </c>
      <c r="C1597" s="17" t="s">
        <v>204</v>
      </c>
      <c r="D1597" s="18" t="s">
        <v>5602</v>
      </c>
      <c r="E1597" s="17" t="s">
        <v>312</v>
      </c>
      <c r="F1597" s="21" t="s">
        <v>313</v>
      </c>
      <c r="G1597" s="19" t="s">
        <v>5837</v>
      </c>
      <c r="H1597" s="24" t="s">
        <v>5838</v>
      </c>
      <c r="I1597" s="17" t="s">
        <v>65</v>
      </c>
      <c r="J1597" s="21">
        <v>1</v>
      </c>
      <c r="K1597" s="21" t="s">
        <v>5406</v>
      </c>
      <c r="L1597" s="21" t="s">
        <v>5839</v>
      </c>
      <c r="M1597" s="19" t="s">
        <v>5605</v>
      </c>
      <c r="N1597" s="19" t="s">
        <v>316</v>
      </c>
      <c r="O1597" s="19" t="s">
        <v>5840</v>
      </c>
      <c r="P1597" s="19" t="s">
        <v>5837</v>
      </c>
      <c r="Q1597" s="19" t="s">
        <v>211</v>
      </c>
      <c r="R1597" s="16" t="s">
        <v>54</v>
      </c>
      <c r="S1597" s="19" t="s">
        <v>5415</v>
      </c>
      <c r="T1597" s="21" t="s">
        <v>55</v>
      </c>
    </row>
    <row r="1598" spans="1:20" ht="16.5">
      <c r="A1598" s="14" t="s">
        <v>4598</v>
      </c>
      <c r="B1598" s="11" t="s">
        <v>311</v>
      </c>
      <c r="C1598" s="11" t="s">
        <v>204</v>
      </c>
      <c r="D1598" s="12" t="s">
        <v>5602</v>
      </c>
      <c r="E1598" s="11" t="s">
        <v>312</v>
      </c>
      <c r="F1598" s="14" t="s">
        <v>313</v>
      </c>
      <c r="G1598" s="15" t="s">
        <v>5841</v>
      </c>
      <c r="H1598" s="23" t="s">
        <v>5842</v>
      </c>
      <c r="I1598" s="11" t="s">
        <v>65</v>
      </c>
      <c r="J1598" s="14">
        <v>1</v>
      </c>
      <c r="K1598" s="14" t="s">
        <v>5406</v>
      </c>
      <c r="L1598" s="14" t="s">
        <v>5843</v>
      </c>
      <c r="M1598" s="15" t="s">
        <v>5605</v>
      </c>
      <c r="N1598" s="15" t="s">
        <v>316</v>
      </c>
      <c r="O1598" s="15" t="s">
        <v>5844</v>
      </c>
      <c r="P1598" s="15" t="s">
        <v>5841</v>
      </c>
      <c r="Q1598" s="15" t="s">
        <v>211</v>
      </c>
      <c r="R1598" s="16" t="s">
        <v>54</v>
      </c>
      <c r="S1598" s="15" t="s">
        <v>5415</v>
      </c>
      <c r="T1598" s="14" t="s">
        <v>55</v>
      </c>
    </row>
    <row r="1599" spans="1:20" ht="16.5">
      <c r="A1599" s="21" t="s">
        <v>4598</v>
      </c>
      <c r="B1599" s="17" t="s">
        <v>311</v>
      </c>
      <c r="C1599" s="17" t="s">
        <v>204</v>
      </c>
      <c r="D1599" s="18" t="s">
        <v>5602</v>
      </c>
      <c r="E1599" s="17" t="s">
        <v>312</v>
      </c>
      <c r="F1599" s="21" t="s">
        <v>313</v>
      </c>
      <c r="G1599" s="19" t="s">
        <v>5845</v>
      </c>
      <c r="H1599" s="24" t="s">
        <v>5846</v>
      </c>
      <c r="I1599" s="17" t="s">
        <v>65</v>
      </c>
      <c r="J1599" s="21">
        <v>1</v>
      </c>
      <c r="K1599" s="21" t="s">
        <v>5406</v>
      </c>
      <c r="L1599" s="21" t="s">
        <v>5847</v>
      </c>
      <c r="M1599" s="19" t="s">
        <v>5605</v>
      </c>
      <c r="N1599" s="19" t="s">
        <v>316</v>
      </c>
      <c r="O1599" s="19" t="s">
        <v>5848</v>
      </c>
      <c r="P1599" s="19" t="s">
        <v>5845</v>
      </c>
      <c r="Q1599" s="19" t="s">
        <v>211</v>
      </c>
      <c r="R1599" s="16" t="s">
        <v>54</v>
      </c>
      <c r="S1599" s="19" t="s">
        <v>5415</v>
      </c>
      <c r="T1599" s="21" t="s">
        <v>55</v>
      </c>
    </row>
    <row r="1600" spans="1:20" ht="16.5">
      <c r="A1600" s="14" t="s">
        <v>4598</v>
      </c>
      <c r="B1600" s="11" t="s">
        <v>311</v>
      </c>
      <c r="C1600" s="11" t="s">
        <v>204</v>
      </c>
      <c r="D1600" s="12" t="s">
        <v>5602</v>
      </c>
      <c r="E1600" s="11" t="s">
        <v>312</v>
      </c>
      <c r="F1600" s="14" t="s">
        <v>313</v>
      </c>
      <c r="G1600" s="15" t="s">
        <v>5849</v>
      </c>
      <c r="H1600" s="23" t="s">
        <v>5850</v>
      </c>
      <c r="I1600" s="11" t="s">
        <v>65</v>
      </c>
      <c r="J1600" s="14">
        <v>1</v>
      </c>
      <c r="K1600" s="14" t="s">
        <v>5406</v>
      </c>
      <c r="L1600" s="14" t="s">
        <v>5851</v>
      </c>
      <c r="M1600" s="15" t="s">
        <v>5605</v>
      </c>
      <c r="N1600" s="15" t="s">
        <v>316</v>
      </c>
      <c r="O1600" s="15" t="s">
        <v>5852</v>
      </c>
      <c r="P1600" s="15" t="s">
        <v>5849</v>
      </c>
      <c r="Q1600" s="15" t="s">
        <v>211</v>
      </c>
      <c r="R1600" s="16" t="s">
        <v>54</v>
      </c>
      <c r="S1600" s="15" t="s">
        <v>5415</v>
      </c>
      <c r="T1600" s="14" t="s">
        <v>55</v>
      </c>
    </row>
    <row r="1601" spans="1:20" ht="16.5">
      <c r="A1601" s="21" t="s">
        <v>4598</v>
      </c>
      <c r="B1601" s="17" t="s">
        <v>311</v>
      </c>
      <c r="C1601" s="17" t="s">
        <v>204</v>
      </c>
      <c r="D1601" s="18" t="s">
        <v>5602</v>
      </c>
      <c r="E1601" s="17" t="s">
        <v>312</v>
      </c>
      <c r="F1601" s="21" t="s">
        <v>313</v>
      </c>
      <c r="G1601" s="19" t="s">
        <v>5853</v>
      </c>
      <c r="H1601" s="24" t="s">
        <v>5854</v>
      </c>
      <c r="I1601" s="17" t="s">
        <v>65</v>
      </c>
      <c r="J1601" s="21">
        <v>1</v>
      </c>
      <c r="K1601" s="21" t="s">
        <v>5406</v>
      </c>
      <c r="L1601" s="21" t="s">
        <v>5855</v>
      </c>
      <c r="M1601" s="19" t="s">
        <v>5605</v>
      </c>
      <c r="N1601" s="19" t="s">
        <v>316</v>
      </c>
      <c r="O1601" s="19" t="s">
        <v>5856</v>
      </c>
      <c r="P1601" s="19" t="s">
        <v>5853</v>
      </c>
      <c r="Q1601" s="19" t="s">
        <v>211</v>
      </c>
      <c r="R1601" s="16" t="s">
        <v>54</v>
      </c>
      <c r="S1601" s="19" t="s">
        <v>5415</v>
      </c>
      <c r="T1601" s="21" t="s">
        <v>55</v>
      </c>
    </row>
    <row r="1602" spans="1:20" ht="16.5">
      <c r="A1602" s="14" t="s">
        <v>4598</v>
      </c>
      <c r="B1602" s="11" t="s">
        <v>311</v>
      </c>
      <c r="C1602" s="11" t="s">
        <v>204</v>
      </c>
      <c r="D1602" s="12" t="s">
        <v>5602</v>
      </c>
      <c r="E1602" s="11" t="s">
        <v>312</v>
      </c>
      <c r="F1602" s="14" t="s">
        <v>313</v>
      </c>
      <c r="G1602" s="15" t="s">
        <v>5857</v>
      </c>
      <c r="H1602" s="23" t="s">
        <v>5858</v>
      </c>
      <c r="I1602" s="11" t="s">
        <v>65</v>
      </c>
      <c r="J1602" s="14">
        <v>1</v>
      </c>
      <c r="K1602" s="14" t="s">
        <v>5406</v>
      </c>
      <c r="L1602" s="14" t="s">
        <v>5859</v>
      </c>
      <c r="M1602" s="15" t="s">
        <v>5605</v>
      </c>
      <c r="N1602" s="15" t="s">
        <v>316</v>
      </c>
      <c r="O1602" s="15" t="s">
        <v>5860</v>
      </c>
      <c r="P1602" s="15" t="s">
        <v>5857</v>
      </c>
      <c r="Q1602" s="15" t="s">
        <v>211</v>
      </c>
      <c r="R1602" s="16" t="s">
        <v>54</v>
      </c>
      <c r="S1602" s="15" t="s">
        <v>5415</v>
      </c>
      <c r="T1602" s="14" t="s">
        <v>55</v>
      </c>
    </row>
    <row r="1603" spans="1:20" ht="16.5">
      <c r="A1603" s="21" t="s">
        <v>4598</v>
      </c>
      <c r="B1603" s="17" t="s">
        <v>311</v>
      </c>
      <c r="C1603" s="17" t="s">
        <v>204</v>
      </c>
      <c r="D1603" s="18" t="s">
        <v>5607</v>
      </c>
      <c r="E1603" s="17" t="s">
        <v>312</v>
      </c>
      <c r="F1603" s="21" t="s">
        <v>313</v>
      </c>
      <c r="G1603" s="19" t="s">
        <v>5611</v>
      </c>
      <c r="H1603" s="24" t="s">
        <v>5861</v>
      </c>
      <c r="I1603" s="17" t="s">
        <v>65</v>
      </c>
      <c r="J1603" s="21">
        <v>1</v>
      </c>
      <c r="K1603" s="21" t="s">
        <v>5406</v>
      </c>
      <c r="L1603" s="21" t="s">
        <v>5862</v>
      </c>
      <c r="M1603" s="19" t="s">
        <v>5610</v>
      </c>
      <c r="N1603" s="19" t="s">
        <v>316</v>
      </c>
      <c r="O1603" s="19" t="s">
        <v>5863</v>
      </c>
      <c r="P1603" s="19" t="s">
        <v>5611</v>
      </c>
      <c r="Q1603" s="19" t="s">
        <v>211</v>
      </c>
      <c r="R1603" s="16" t="s">
        <v>54</v>
      </c>
      <c r="S1603" s="19" t="s">
        <v>5415</v>
      </c>
      <c r="T1603" s="21" t="s">
        <v>55</v>
      </c>
    </row>
    <row r="1604" spans="1:20" ht="16.5">
      <c r="A1604" s="14" t="s">
        <v>4598</v>
      </c>
      <c r="B1604" s="11" t="s">
        <v>311</v>
      </c>
      <c r="C1604" s="11" t="s">
        <v>204</v>
      </c>
      <c r="D1604" s="12" t="s">
        <v>5612</v>
      </c>
      <c r="E1604" s="11" t="s">
        <v>312</v>
      </c>
      <c r="F1604" s="14" t="s">
        <v>313</v>
      </c>
      <c r="G1604" s="15" t="s">
        <v>5864</v>
      </c>
      <c r="H1604" s="23" t="s">
        <v>5865</v>
      </c>
      <c r="I1604" s="11" t="s">
        <v>65</v>
      </c>
      <c r="J1604" s="14">
        <v>1</v>
      </c>
      <c r="K1604" s="14" t="s">
        <v>5406</v>
      </c>
      <c r="L1604" s="14" t="s">
        <v>5866</v>
      </c>
      <c r="M1604" s="15" t="s">
        <v>5615</v>
      </c>
      <c r="N1604" s="15" t="s">
        <v>316</v>
      </c>
      <c r="O1604" s="15" t="s">
        <v>5867</v>
      </c>
      <c r="P1604" s="15" t="s">
        <v>5864</v>
      </c>
      <c r="Q1604" s="15" t="s">
        <v>211</v>
      </c>
      <c r="R1604" s="16" t="s">
        <v>54</v>
      </c>
      <c r="S1604" s="15" t="s">
        <v>5415</v>
      </c>
      <c r="T1604" s="14" t="s">
        <v>55</v>
      </c>
    </row>
    <row r="1605" spans="1:20" ht="16.5">
      <c r="A1605" s="21" t="s">
        <v>4598</v>
      </c>
      <c r="B1605" s="17" t="s">
        <v>311</v>
      </c>
      <c r="C1605" s="17" t="s">
        <v>204</v>
      </c>
      <c r="D1605" s="18" t="s">
        <v>5612</v>
      </c>
      <c r="E1605" s="17" t="s">
        <v>312</v>
      </c>
      <c r="F1605" s="21" t="s">
        <v>313</v>
      </c>
      <c r="G1605" s="19" t="s">
        <v>5868</v>
      </c>
      <c r="H1605" s="24" t="s">
        <v>5869</v>
      </c>
      <c r="I1605" s="17" t="s">
        <v>65</v>
      </c>
      <c r="J1605" s="21">
        <v>1</v>
      </c>
      <c r="K1605" s="21" t="s">
        <v>5406</v>
      </c>
      <c r="L1605" s="21" t="s">
        <v>5870</v>
      </c>
      <c r="M1605" s="19" t="s">
        <v>5615</v>
      </c>
      <c r="N1605" s="19" t="s">
        <v>316</v>
      </c>
      <c r="O1605" s="19" t="s">
        <v>5871</v>
      </c>
      <c r="P1605" s="19" t="s">
        <v>5868</v>
      </c>
      <c r="Q1605" s="19" t="s">
        <v>211</v>
      </c>
      <c r="R1605" s="16" t="s">
        <v>54</v>
      </c>
      <c r="S1605" s="19" t="s">
        <v>5415</v>
      </c>
      <c r="T1605" s="21" t="s">
        <v>55</v>
      </c>
    </row>
    <row r="1606" spans="1:20" ht="16.5">
      <c r="A1606" s="14" t="s">
        <v>4598</v>
      </c>
      <c r="B1606" s="11" t="s">
        <v>311</v>
      </c>
      <c r="C1606" s="11" t="s">
        <v>204</v>
      </c>
      <c r="D1606" s="12" t="s">
        <v>5617</v>
      </c>
      <c r="E1606" s="11" t="s">
        <v>312</v>
      </c>
      <c r="F1606" s="14" t="s">
        <v>313</v>
      </c>
      <c r="G1606" s="15" t="s">
        <v>5872</v>
      </c>
      <c r="H1606" s="23" t="s">
        <v>5873</v>
      </c>
      <c r="I1606" s="11" t="s">
        <v>65</v>
      </c>
      <c r="J1606" s="14">
        <v>1</v>
      </c>
      <c r="K1606" s="14" t="s">
        <v>5406</v>
      </c>
      <c r="L1606" s="14" t="s">
        <v>5874</v>
      </c>
      <c r="M1606" s="15" t="s">
        <v>5620</v>
      </c>
      <c r="N1606" s="15" t="s">
        <v>316</v>
      </c>
      <c r="O1606" s="15" t="s">
        <v>5875</v>
      </c>
      <c r="P1606" s="15" t="s">
        <v>5872</v>
      </c>
      <c r="Q1606" s="15" t="s">
        <v>211</v>
      </c>
      <c r="R1606" s="16" t="s">
        <v>54</v>
      </c>
      <c r="S1606" s="15" t="s">
        <v>5415</v>
      </c>
      <c r="T1606" s="14" t="s">
        <v>55</v>
      </c>
    </row>
    <row r="1607" spans="1:20" ht="16.5">
      <c r="A1607" s="21" t="s">
        <v>4598</v>
      </c>
      <c r="B1607" s="17" t="s">
        <v>311</v>
      </c>
      <c r="C1607" s="17" t="s">
        <v>204</v>
      </c>
      <c r="D1607" s="18" t="s">
        <v>5617</v>
      </c>
      <c r="E1607" s="17" t="s">
        <v>312</v>
      </c>
      <c r="F1607" s="21" t="s">
        <v>313</v>
      </c>
      <c r="G1607" s="19" t="s">
        <v>5876</v>
      </c>
      <c r="H1607" s="24" t="s">
        <v>5877</v>
      </c>
      <c r="I1607" s="17" t="s">
        <v>65</v>
      </c>
      <c r="J1607" s="21">
        <v>1</v>
      </c>
      <c r="K1607" s="21" t="s">
        <v>5406</v>
      </c>
      <c r="L1607" s="21" t="s">
        <v>5878</v>
      </c>
      <c r="M1607" s="19" t="s">
        <v>5620</v>
      </c>
      <c r="N1607" s="19" t="s">
        <v>316</v>
      </c>
      <c r="O1607" s="19" t="s">
        <v>5879</v>
      </c>
      <c r="P1607" s="19" t="s">
        <v>5876</v>
      </c>
      <c r="Q1607" s="19" t="s">
        <v>211</v>
      </c>
      <c r="R1607" s="16" t="s">
        <v>54</v>
      </c>
      <c r="S1607" s="19" t="s">
        <v>5415</v>
      </c>
      <c r="T1607" s="21" t="s">
        <v>55</v>
      </c>
    </row>
    <row r="1608" spans="1:20" ht="16.5">
      <c r="A1608" s="14" t="s">
        <v>4598</v>
      </c>
      <c r="B1608" s="11" t="s">
        <v>311</v>
      </c>
      <c r="C1608" s="11" t="s">
        <v>204</v>
      </c>
      <c r="D1608" s="12" t="s">
        <v>5617</v>
      </c>
      <c r="E1608" s="11" t="s">
        <v>312</v>
      </c>
      <c r="F1608" s="14" t="s">
        <v>313</v>
      </c>
      <c r="G1608" s="15" t="s">
        <v>5880</v>
      </c>
      <c r="H1608" s="23" t="s">
        <v>5881</v>
      </c>
      <c r="I1608" s="11" t="s">
        <v>65</v>
      </c>
      <c r="J1608" s="14">
        <v>1</v>
      </c>
      <c r="K1608" s="14" t="s">
        <v>5406</v>
      </c>
      <c r="L1608" s="14" t="s">
        <v>5882</v>
      </c>
      <c r="M1608" s="15" t="s">
        <v>5620</v>
      </c>
      <c r="N1608" s="15" t="s">
        <v>316</v>
      </c>
      <c r="O1608" s="15" t="s">
        <v>5883</v>
      </c>
      <c r="P1608" s="15" t="s">
        <v>5880</v>
      </c>
      <c r="Q1608" s="15" t="s">
        <v>211</v>
      </c>
      <c r="R1608" s="16" t="s">
        <v>54</v>
      </c>
      <c r="S1608" s="15" t="s">
        <v>5415</v>
      </c>
      <c r="T1608" s="14" t="s">
        <v>55</v>
      </c>
    </row>
    <row r="1609" spans="1:20" ht="16.5">
      <c r="A1609" s="21" t="s">
        <v>4598</v>
      </c>
      <c r="B1609" s="17" t="s">
        <v>311</v>
      </c>
      <c r="C1609" s="17" t="s">
        <v>204</v>
      </c>
      <c r="D1609" s="18" t="s">
        <v>5617</v>
      </c>
      <c r="E1609" s="17" t="s">
        <v>312</v>
      </c>
      <c r="F1609" s="21" t="s">
        <v>313</v>
      </c>
      <c r="G1609" s="19" t="s">
        <v>5884</v>
      </c>
      <c r="H1609" s="24" t="s">
        <v>5885</v>
      </c>
      <c r="I1609" s="17" t="s">
        <v>65</v>
      </c>
      <c r="J1609" s="21">
        <v>1</v>
      </c>
      <c r="K1609" s="21" t="s">
        <v>5406</v>
      </c>
      <c r="L1609" s="21" t="s">
        <v>5886</v>
      </c>
      <c r="M1609" s="19" t="s">
        <v>5620</v>
      </c>
      <c r="N1609" s="19" t="s">
        <v>316</v>
      </c>
      <c r="O1609" s="19" t="s">
        <v>5887</v>
      </c>
      <c r="P1609" s="19" t="s">
        <v>5884</v>
      </c>
      <c r="Q1609" s="19" t="s">
        <v>211</v>
      </c>
      <c r="R1609" s="16" t="s">
        <v>54</v>
      </c>
      <c r="S1609" s="19" t="s">
        <v>5415</v>
      </c>
      <c r="T1609" s="21" t="s">
        <v>55</v>
      </c>
    </row>
    <row r="1610" spans="1:20" ht="16.5">
      <c r="A1610" s="14" t="s">
        <v>4598</v>
      </c>
      <c r="B1610" s="11" t="s">
        <v>311</v>
      </c>
      <c r="C1610" s="11" t="s">
        <v>204</v>
      </c>
      <c r="D1610" s="12" t="s">
        <v>5617</v>
      </c>
      <c r="E1610" s="11" t="s">
        <v>312</v>
      </c>
      <c r="F1610" s="14" t="s">
        <v>313</v>
      </c>
      <c r="G1610" s="15" t="s">
        <v>5888</v>
      </c>
      <c r="H1610" s="23" t="s">
        <v>5889</v>
      </c>
      <c r="I1610" s="11" t="s">
        <v>65</v>
      </c>
      <c r="J1610" s="14">
        <v>1</v>
      </c>
      <c r="K1610" s="14" t="s">
        <v>5406</v>
      </c>
      <c r="L1610" s="14" t="s">
        <v>5890</v>
      </c>
      <c r="M1610" s="15" t="s">
        <v>5620</v>
      </c>
      <c r="N1610" s="15" t="s">
        <v>316</v>
      </c>
      <c r="O1610" s="15" t="s">
        <v>5891</v>
      </c>
      <c r="P1610" s="15" t="s">
        <v>5888</v>
      </c>
      <c r="Q1610" s="15" t="s">
        <v>211</v>
      </c>
      <c r="R1610" s="16" t="s">
        <v>54</v>
      </c>
      <c r="S1610" s="15" t="s">
        <v>5415</v>
      </c>
      <c r="T1610" s="14" t="s">
        <v>55</v>
      </c>
    </row>
    <row r="1611" spans="1:20" ht="16.5">
      <c r="A1611" s="21" t="s">
        <v>4598</v>
      </c>
      <c r="B1611" s="17" t="s">
        <v>311</v>
      </c>
      <c r="C1611" s="17" t="s">
        <v>204</v>
      </c>
      <c r="D1611" s="18" t="s">
        <v>5617</v>
      </c>
      <c r="E1611" s="17" t="s">
        <v>312</v>
      </c>
      <c r="F1611" s="21" t="s">
        <v>313</v>
      </c>
      <c r="G1611" s="19" t="s">
        <v>5892</v>
      </c>
      <c r="H1611" s="24" t="s">
        <v>5893</v>
      </c>
      <c r="I1611" s="17" t="s">
        <v>65</v>
      </c>
      <c r="J1611" s="21">
        <v>1</v>
      </c>
      <c r="K1611" s="21" t="s">
        <v>5406</v>
      </c>
      <c r="L1611" s="21" t="s">
        <v>5894</v>
      </c>
      <c r="M1611" s="19" t="s">
        <v>5620</v>
      </c>
      <c r="N1611" s="19" t="s">
        <v>316</v>
      </c>
      <c r="O1611" s="19" t="s">
        <v>5895</v>
      </c>
      <c r="P1611" s="19" t="s">
        <v>5892</v>
      </c>
      <c r="Q1611" s="19" t="s">
        <v>211</v>
      </c>
      <c r="R1611" s="16" t="s">
        <v>54</v>
      </c>
      <c r="S1611" s="19" t="s">
        <v>5415</v>
      </c>
      <c r="T1611" s="21" t="s">
        <v>55</v>
      </c>
    </row>
    <row r="1612" spans="1:20" ht="16.5">
      <c r="A1612" s="14" t="s">
        <v>4598</v>
      </c>
      <c r="B1612" s="11" t="s">
        <v>311</v>
      </c>
      <c r="C1612" s="11" t="s">
        <v>204</v>
      </c>
      <c r="D1612" s="12" t="s">
        <v>5617</v>
      </c>
      <c r="E1612" s="11" t="s">
        <v>312</v>
      </c>
      <c r="F1612" s="14" t="s">
        <v>313</v>
      </c>
      <c r="G1612" s="15" t="s">
        <v>5896</v>
      </c>
      <c r="H1612" s="23" t="s">
        <v>5897</v>
      </c>
      <c r="I1612" s="11" t="s">
        <v>65</v>
      </c>
      <c r="J1612" s="14">
        <v>1</v>
      </c>
      <c r="K1612" s="14" t="s">
        <v>5406</v>
      </c>
      <c r="L1612" s="14" t="s">
        <v>5898</v>
      </c>
      <c r="M1612" s="15" t="s">
        <v>5620</v>
      </c>
      <c r="N1612" s="15" t="s">
        <v>316</v>
      </c>
      <c r="O1612" s="15" t="s">
        <v>5899</v>
      </c>
      <c r="P1612" s="15" t="s">
        <v>5896</v>
      </c>
      <c r="Q1612" s="15" t="s">
        <v>211</v>
      </c>
      <c r="R1612" s="16" t="s">
        <v>54</v>
      </c>
      <c r="S1612" s="15" t="s">
        <v>5415</v>
      </c>
      <c r="T1612" s="14" t="s">
        <v>55</v>
      </c>
    </row>
    <row r="1613" spans="1:20" ht="16.5">
      <c r="A1613" s="21" t="s">
        <v>4598</v>
      </c>
      <c r="B1613" s="17" t="s">
        <v>311</v>
      </c>
      <c r="C1613" s="17" t="s">
        <v>204</v>
      </c>
      <c r="D1613" s="18" t="s">
        <v>5617</v>
      </c>
      <c r="E1613" s="17" t="s">
        <v>312</v>
      </c>
      <c r="F1613" s="21" t="s">
        <v>313</v>
      </c>
      <c r="G1613" s="19" t="s">
        <v>5900</v>
      </c>
      <c r="H1613" s="24" t="s">
        <v>5901</v>
      </c>
      <c r="I1613" s="17" t="s">
        <v>65</v>
      </c>
      <c r="J1613" s="21">
        <v>1</v>
      </c>
      <c r="K1613" s="21" t="s">
        <v>5406</v>
      </c>
      <c r="L1613" s="21" t="s">
        <v>5902</v>
      </c>
      <c r="M1613" s="19" t="s">
        <v>5620</v>
      </c>
      <c r="N1613" s="19" t="s">
        <v>316</v>
      </c>
      <c r="O1613" s="19" t="s">
        <v>5903</v>
      </c>
      <c r="P1613" s="19" t="s">
        <v>5900</v>
      </c>
      <c r="Q1613" s="19" t="s">
        <v>211</v>
      </c>
      <c r="R1613" s="16" t="s">
        <v>54</v>
      </c>
      <c r="S1613" s="19" t="s">
        <v>5415</v>
      </c>
      <c r="T1613" s="21" t="s">
        <v>55</v>
      </c>
    </row>
    <row r="1614" spans="1:20" ht="16.5">
      <c r="A1614" s="14" t="s">
        <v>4598</v>
      </c>
      <c r="B1614" s="11" t="s">
        <v>311</v>
      </c>
      <c r="C1614" s="11" t="s">
        <v>204</v>
      </c>
      <c r="D1614" s="12" t="s">
        <v>5617</v>
      </c>
      <c r="E1614" s="11" t="s">
        <v>312</v>
      </c>
      <c r="F1614" s="14" t="s">
        <v>313</v>
      </c>
      <c r="G1614" s="15" t="s">
        <v>5904</v>
      </c>
      <c r="H1614" s="23" t="s">
        <v>5905</v>
      </c>
      <c r="I1614" s="11" t="s">
        <v>65</v>
      </c>
      <c r="J1614" s="14">
        <v>1</v>
      </c>
      <c r="K1614" s="14" t="s">
        <v>5406</v>
      </c>
      <c r="L1614" s="14" t="s">
        <v>5906</v>
      </c>
      <c r="M1614" s="15" t="s">
        <v>5620</v>
      </c>
      <c r="N1614" s="15" t="s">
        <v>316</v>
      </c>
      <c r="O1614" s="15" t="s">
        <v>5907</v>
      </c>
      <c r="P1614" s="15" t="s">
        <v>5904</v>
      </c>
      <c r="Q1614" s="15" t="s">
        <v>211</v>
      </c>
      <c r="R1614" s="16" t="s">
        <v>54</v>
      </c>
      <c r="S1614" s="15" t="s">
        <v>5415</v>
      </c>
      <c r="T1614" s="14" t="s">
        <v>55</v>
      </c>
    </row>
    <row r="1615" spans="1:20" ht="16.5">
      <c r="A1615" s="21" t="s">
        <v>4598</v>
      </c>
      <c r="B1615" s="17" t="s">
        <v>311</v>
      </c>
      <c r="C1615" s="17" t="s">
        <v>204</v>
      </c>
      <c r="D1615" s="18" t="s">
        <v>5617</v>
      </c>
      <c r="E1615" s="17" t="s">
        <v>312</v>
      </c>
      <c r="F1615" s="21" t="s">
        <v>313</v>
      </c>
      <c r="G1615" s="19" t="s">
        <v>5908</v>
      </c>
      <c r="H1615" s="24" t="s">
        <v>5909</v>
      </c>
      <c r="I1615" s="17" t="s">
        <v>65</v>
      </c>
      <c r="J1615" s="21">
        <v>1</v>
      </c>
      <c r="K1615" s="21" t="s">
        <v>5406</v>
      </c>
      <c r="L1615" s="21" t="s">
        <v>5910</v>
      </c>
      <c r="M1615" s="19" t="s">
        <v>5620</v>
      </c>
      <c r="N1615" s="19" t="s">
        <v>316</v>
      </c>
      <c r="O1615" s="19" t="s">
        <v>5911</v>
      </c>
      <c r="P1615" s="19" t="s">
        <v>5908</v>
      </c>
      <c r="Q1615" s="19" t="s">
        <v>211</v>
      </c>
      <c r="R1615" s="16" t="s">
        <v>54</v>
      </c>
      <c r="S1615" s="19" t="s">
        <v>5415</v>
      </c>
      <c r="T1615" s="21" t="s">
        <v>55</v>
      </c>
    </row>
    <row r="1616" spans="1:20" ht="16.5">
      <c r="A1616" s="14" t="s">
        <v>4598</v>
      </c>
      <c r="B1616" s="11" t="s">
        <v>311</v>
      </c>
      <c r="C1616" s="11" t="s">
        <v>204</v>
      </c>
      <c r="D1616" s="12" t="s">
        <v>5617</v>
      </c>
      <c r="E1616" s="11" t="s">
        <v>312</v>
      </c>
      <c r="F1616" s="14" t="s">
        <v>313</v>
      </c>
      <c r="G1616" s="15" t="s">
        <v>5912</v>
      </c>
      <c r="H1616" s="23" t="s">
        <v>5913</v>
      </c>
      <c r="I1616" s="11" t="s">
        <v>65</v>
      </c>
      <c r="J1616" s="14">
        <v>1</v>
      </c>
      <c r="K1616" s="14" t="s">
        <v>5406</v>
      </c>
      <c r="L1616" s="14" t="s">
        <v>5914</v>
      </c>
      <c r="M1616" s="15" t="s">
        <v>5620</v>
      </c>
      <c r="N1616" s="15" t="s">
        <v>316</v>
      </c>
      <c r="O1616" s="15" t="s">
        <v>5915</v>
      </c>
      <c r="P1616" s="15" t="s">
        <v>5912</v>
      </c>
      <c r="Q1616" s="15" t="s">
        <v>211</v>
      </c>
      <c r="R1616" s="16" t="s">
        <v>54</v>
      </c>
      <c r="S1616" s="15" t="s">
        <v>5415</v>
      </c>
      <c r="T1616" s="14" t="s">
        <v>55</v>
      </c>
    </row>
    <row r="1617" spans="1:20" ht="16.5">
      <c r="A1617" s="21" t="s">
        <v>4598</v>
      </c>
      <c r="B1617" s="17" t="s">
        <v>311</v>
      </c>
      <c r="C1617" s="17" t="s">
        <v>204</v>
      </c>
      <c r="D1617" s="18" t="s">
        <v>5617</v>
      </c>
      <c r="E1617" s="17" t="s">
        <v>312</v>
      </c>
      <c r="F1617" s="21" t="s">
        <v>313</v>
      </c>
      <c r="G1617" s="19" t="s">
        <v>5916</v>
      </c>
      <c r="H1617" s="24" t="s">
        <v>5917</v>
      </c>
      <c r="I1617" s="17" t="s">
        <v>65</v>
      </c>
      <c r="J1617" s="21">
        <v>1</v>
      </c>
      <c r="K1617" s="21" t="s">
        <v>5406</v>
      </c>
      <c r="L1617" s="21" t="s">
        <v>5918</v>
      </c>
      <c r="M1617" s="19" t="s">
        <v>5620</v>
      </c>
      <c r="N1617" s="19" t="s">
        <v>316</v>
      </c>
      <c r="O1617" s="19" t="s">
        <v>5919</v>
      </c>
      <c r="P1617" s="19" t="s">
        <v>5916</v>
      </c>
      <c r="Q1617" s="19" t="s">
        <v>211</v>
      </c>
      <c r="R1617" s="16" t="s">
        <v>54</v>
      </c>
      <c r="S1617" s="19" t="s">
        <v>5415</v>
      </c>
      <c r="T1617" s="21" t="s">
        <v>55</v>
      </c>
    </row>
    <row r="1618" spans="1:20" ht="16.5">
      <c r="A1618" s="14" t="s">
        <v>4598</v>
      </c>
      <c r="B1618" s="11" t="s">
        <v>311</v>
      </c>
      <c r="C1618" s="11" t="s">
        <v>204</v>
      </c>
      <c r="D1618" s="12" t="s">
        <v>5622</v>
      </c>
      <c r="E1618" s="11" t="s">
        <v>312</v>
      </c>
      <c r="F1618" s="14" t="s">
        <v>313</v>
      </c>
      <c r="G1618" s="15" t="s">
        <v>5920</v>
      </c>
      <c r="H1618" s="23" t="s">
        <v>5921</v>
      </c>
      <c r="I1618" s="11" t="s">
        <v>65</v>
      </c>
      <c r="J1618" s="14">
        <v>1</v>
      </c>
      <c r="K1618" s="14" t="s">
        <v>5406</v>
      </c>
      <c r="L1618" s="14" t="s">
        <v>5922</v>
      </c>
      <c r="M1618" s="15" t="s">
        <v>5625</v>
      </c>
      <c r="N1618" s="15" t="s">
        <v>316</v>
      </c>
      <c r="O1618" s="15" t="s">
        <v>5923</v>
      </c>
      <c r="P1618" s="15" t="s">
        <v>5920</v>
      </c>
      <c r="Q1618" s="15" t="s">
        <v>211</v>
      </c>
      <c r="R1618" s="16" t="s">
        <v>54</v>
      </c>
      <c r="S1618" s="15" t="s">
        <v>5415</v>
      </c>
      <c r="T1618" s="14" t="s">
        <v>55</v>
      </c>
    </row>
    <row r="1619" spans="1:20" ht="16.5">
      <c r="A1619" s="21" t="s">
        <v>4598</v>
      </c>
      <c r="B1619" s="17" t="s">
        <v>311</v>
      </c>
      <c r="C1619" s="17" t="s">
        <v>204</v>
      </c>
      <c r="D1619" s="18" t="s">
        <v>5622</v>
      </c>
      <c r="E1619" s="17" t="s">
        <v>312</v>
      </c>
      <c r="F1619" s="21" t="s">
        <v>313</v>
      </c>
      <c r="G1619" s="19" t="s">
        <v>5924</v>
      </c>
      <c r="H1619" s="24" t="s">
        <v>5925</v>
      </c>
      <c r="I1619" s="17" t="s">
        <v>65</v>
      </c>
      <c r="J1619" s="21">
        <v>1</v>
      </c>
      <c r="K1619" s="21" t="s">
        <v>5406</v>
      </c>
      <c r="L1619" s="21" t="s">
        <v>5926</v>
      </c>
      <c r="M1619" s="19" t="s">
        <v>5625</v>
      </c>
      <c r="N1619" s="19" t="s">
        <v>316</v>
      </c>
      <c r="O1619" s="19" t="s">
        <v>5927</v>
      </c>
      <c r="P1619" s="19" t="s">
        <v>5924</v>
      </c>
      <c r="Q1619" s="19" t="s">
        <v>211</v>
      </c>
      <c r="R1619" s="16" t="s">
        <v>54</v>
      </c>
      <c r="S1619" s="19" t="s">
        <v>5415</v>
      </c>
      <c r="T1619" s="21" t="s">
        <v>55</v>
      </c>
    </row>
    <row r="1620" spans="1:20" ht="16.5">
      <c r="A1620" s="14" t="s">
        <v>4598</v>
      </c>
      <c r="B1620" s="11" t="s">
        <v>311</v>
      </c>
      <c r="C1620" s="11" t="s">
        <v>204</v>
      </c>
      <c r="D1620" s="12" t="s">
        <v>5627</v>
      </c>
      <c r="E1620" s="11" t="s">
        <v>312</v>
      </c>
      <c r="F1620" s="14" t="s">
        <v>313</v>
      </c>
      <c r="G1620" s="15" t="s">
        <v>5631</v>
      </c>
      <c r="H1620" s="23" t="s">
        <v>5928</v>
      </c>
      <c r="I1620" s="11" t="s">
        <v>65</v>
      </c>
      <c r="J1620" s="14">
        <v>1</v>
      </c>
      <c r="K1620" s="14" t="s">
        <v>5406</v>
      </c>
      <c r="L1620" s="14" t="s">
        <v>5929</v>
      </c>
      <c r="M1620" s="15" t="s">
        <v>5630</v>
      </c>
      <c r="N1620" s="15" t="s">
        <v>316</v>
      </c>
      <c r="O1620" s="15" t="s">
        <v>5930</v>
      </c>
      <c r="P1620" s="15" t="s">
        <v>5631</v>
      </c>
      <c r="Q1620" s="15" t="s">
        <v>211</v>
      </c>
      <c r="R1620" s="16" t="s">
        <v>54</v>
      </c>
      <c r="S1620" s="15" t="s">
        <v>5415</v>
      </c>
      <c r="T1620" s="14" t="s">
        <v>55</v>
      </c>
    </row>
    <row r="1621" spans="1:20" ht="16.5">
      <c r="A1621" s="21" t="s">
        <v>4598</v>
      </c>
      <c r="B1621" s="17" t="s">
        <v>311</v>
      </c>
      <c r="C1621" s="17" t="s">
        <v>204</v>
      </c>
      <c r="D1621" s="18" t="s">
        <v>5632</v>
      </c>
      <c r="E1621" s="17" t="s">
        <v>312</v>
      </c>
      <c r="F1621" s="21" t="s">
        <v>313</v>
      </c>
      <c r="G1621" s="19" t="s">
        <v>5931</v>
      </c>
      <c r="H1621" s="24" t="s">
        <v>5932</v>
      </c>
      <c r="I1621" s="17" t="s">
        <v>65</v>
      </c>
      <c r="J1621" s="21">
        <v>1</v>
      </c>
      <c r="K1621" s="21" t="s">
        <v>5406</v>
      </c>
      <c r="L1621" s="21" t="s">
        <v>5933</v>
      </c>
      <c r="M1621" s="19" t="s">
        <v>5635</v>
      </c>
      <c r="N1621" s="19" t="s">
        <v>316</v>
      </c>
      <c r="O1621" s="19" t="s">
        <v>5934</v>
      </c>
      <c r="P1621" s="19" t="s">
        <v>5931</v>
      </c>
      <c r="Q1621" s="19" t="s">
        <v>211</v>
      </c>
      <c r="R1621" s="16" t="s">
        <v>54</v>
      </c>
      <c r="S1621" s="19" t="s">
        <v>5415</v>
      </c>
      <c r="T1621" s="21" t="s">
        <v>55</v>
      </c>
    </row>
    <row r="1622" spans="1:20" ht="16.5">
      <c r="A1622" s="14" t="s">
        <v>4598</v>
      </c>
      <c r="B1622" s="11" t="s">
        <v>311</v>
      </c>
      <c r="C1622" s="11" t="s">
        <v>204</v>
      </c>
      <c r="D1622" s="12" t="s">
        <v>5632</v>
      </c>
      <c r="E1622" s="11" t="s">
        <v>312</v>
      </c>
      <c r="F1622" s="14" t="s">
        <v>313</v>
      </c>
      <c r="G1622" s="15" t="s">
        <v>5935</v>
      </c>
      <c r="H1622" s="23" t="s">
        <v>5936</v>
      </c>
      <c r="I1622" s="11" t="s">
        <v>65</v>
      </c>
      <c r="J1622" s="14">
        <v>1</v>
      </c>
      <c r="K1622" s="14" t="s">
        <v>5406</v>
      </c>
      <c r="L1622" s="14" t="s">
        <v>5937</v>
      </c>
      <c r="M1622" s="15" t="s">
        <v>5635</v>
      </c>
      <c r="N1622" s="15" t="s">
        <v>316</v>
      </c>
      <c r="O1622" s="15" t="s">
        <v>5938</v>
      </c>
      <c r="P1622" s="15" t="s">
        <v>5935</v>
      </c>
      <c r="Q1622" s="15" t="s">
        <v>211</v>
      </c>
      <c r="R1622" s="16" t="s">
        <v>54</v>
      </c>
      <c r="S1622" s="15" t="s">
        <v>5415</v>
      </c>
      <c r="T1622" s="14" t="s">
        <v>55</v>
      </c>
    </row>
    <row r="1623" spans="1:20" ht="16.5">
      <c r="A1623" s="21" t="s">
        <v>4598</v>
      </c>
      <c r="B1623" s="17" t="s">
        <v>311</v>
      </c>
      <c r="C1623" s="17" t="s">
        <v>204</v>
      </c>
      <c r="D1623" s="18" t="s">
        <v>5632</v>
      </c>
      <c r="E1623" s="17" t="s">
        <v>312</v>
      </c>
      <c r="F1623" s="21" t="s">
        <v>313</v>
      </c>
      <c r="G1623" s="19" t="s">
        <v>5939</v>
      </c>
      <c r="H1623" s="24" t="s">
        <v>5940</v>
      </c>
      <c r="I1623" s="17" t="s">
        <v>65</v>
      </c>
      <c r="J1623" s="21">
        <v>1</v>
      </c>
      <c r="K1623" s="21" t="s">
        <v>5406</v>
      </c>
      <c r="L1623" s="21" t="s">
        <v>5941</v>
      </c>
      <c r="M1623" s="19" t="s">
        <v>5635</v>
      </c>
      <c r="N1623" s="19" t="s">
        <v>316</v>
      </c>
      <c r="O1623" s="19" t="s">
        <v>5942</v>
      </c>
      <c r="P1623" s="19" t="s">
        <v>5939</v>
      </c>
      <c r="Q1623" s="19" t="s">
        <v>211</v>
      </c>
      <c r="R1623" s="16" t="s">
        <v>54</v>
      </c>
      <c r="S1623" s="19" t="s">
        <v>5415</v>
      </c>
      <c r="T1623" s="21" t="s">
        <v>55</v>
      </c>
    </row>
    <row r="1624" spans="1:20" ht="16.5">
      <c r="A1624" s="14" t="s">
        <v>4598</v>
      </c>
      <c r="B1624" s="11" t="s">
        <v>311</v>
      </c>
      <c r="C1624" s="11" t="s">
        <v>204</v>
      </c>
      <c r="D1624" s="12" t="s">
        <v>5632</v>
      </c>
      <c r="E1624" s="11" t="s">
        <v>312</v>
      </c>
      <c r="F1624" s="14" t="s">
        <v>313</v>
      </c>
      <c r="G1624" s="15" t="s">
        <v>5943</v>
      </c>
      <c r="H1624" s="23" t="s">
        <v>5944</v>
      </c>
      <c r="I1624" s="11" t="s">
        <v>65</v>
      </c>
      <c r="J1624" s="14">
        <v>1</v>
      </c>
      <c r="K1624" s="14" t="s">
        <v>5406</v>
      </c>
      <c r="L1624" s="14" t="s">
        <v>5945</v>
      </c>
      <c r="M1624" s="15" t="s">
        <v>5635</v>
      </c>
      <c r="N1624" s="15" t="s">
        <v>316</v>
      </c>
      <c r="O1624" s="15" t="s">
        <v>5946</v>
      </c>
      <c r="P1624" s="15" t="s">
        <v>5943</v>
      </c>
      <c r="Q1624" s="15" t="s">
        <v>211</v>
      </c>
      <c r="R1624" s="16" t="s">
        <v>54</v>
      </c>
      <c r="S1624" s="15" t="s">
        <v>5415</v>
      </c>
      <c r="T1624" s="14" t="s">
        <v>55</v>
      </c>
    </row>
    <row r="1625" spans="1:20" ht="16.5">
      <c r="A1625" s="21" t="s">
        <v>4598</v>
      </c>
      <c r="B1625" s="17" t="s">
        <v>311</v>
      </c>
      <c r="C1625" s="17" t="s">
        <v>204</v>
      </c>
      <c r="D1625" s="18" t="s">
        <v>5632</v>
      </c>
      <c r="E1625" s="17" t="s">
        <v>312</v>
      </c>
      <c r="F1625" s="21" t="s">
        <v>313</v>
      </c>
      <c r="G1625" s="19" t="s">
        <v>5947</v>
      </c>
      <c r="H1625" s="24" t="s">
        <v>5948</v>
      </c>
      <c r="I1625" s="17" t="s">
        <v>65</v>
      </c>
      <c r="J1625" s="21">
        <v>1</v>
      </c>
      <c r="K1625" s="21" t="s">
        <v>5406</v>
      </c>
      <c r="L1625" s="21" t="s">
        <v>5949</v>
      </c>
      <c r="M1625" s="19" t="s">
        <v>5635</v>
      </c>
      <c r="N1625" s="19" t="s">
        <v>316</v>
      </c>
      <c r="O1625" s="19" t="s">
        <v>5950</v>
      </c>
      <c r="P1625" s="19" t="s">
        <v>5947</v>
      </c>
      <c r="Q1625" s="19" t="s">
        <v>211</v>
      </c>
      <c r="R1625" s="16" t="s">
        <v>54</v>
      </c>
      <c r="S1625" s="19" t="s">
        <v>5415</v>
      </c>
      <c r="T1625" s="21" t="s">
        <v>55</v>
      </c>
    </row>
    <row r="1626" spans="1:20" ht="16.5">
      <c r="A1626" s="14" t="s">
        <v>4598</v>
      </c>
      <c r="B1626" s="11" t="s">
        <v>311</v>
      </c>
      <c r="C1626" s="11" t="s">
        <v>204</v>
      </c>
      <c r="D1626" s="12" t="s">
        <v>5632</v>
      </c>
      <c r="E1626" s="11" t="s">
        <v>312</v>
      </c>
      <c r="F1626" s="14" t="s">
        <v>313</v>
      </c>
      <c r="G1626" s="15" t="s">
        <v>5951</v>
      </c>
      <c r="H1626" s="23" t="s">
        <v>5952</v>
      </c>
      <c r="I1626" s="11" t="s">
        <v>65</v>
      </c>
      <c r="J1626" s="14">
        <v>1</v>
      </c>
      <c r="K1626" s="14" t="s">
        <v>5406</v>
      </c>
      <c r="L1626" s="14" t="s">
        <v>5953</v>
      </c>
      <c r="M1626" s="15" t="s">
        <v>5635</v>
      </c>
      <c r="N1626" s="15" t="s">
        <v>316</v>
      </c>
      <c r="O1626" s="15" t="s">
        <v>5954</v>
      </c>
      <c r="P1626" s="15" t="s">
        <v>5951</v>
      </c>
      <c r="Q1626" s="15" t="s">
        <v>211</v>
      </c>
      <c r="R1626" s="16" t="s">
        <v>54</v>
      </c>
      <c r="S1626" s="15" t="s">
        <v>5415</v>
      </c>
      <c r="T1626" s="14" t="s">
        <v>55</v>
      </c>
    </row>
    <row r="1627" spans="1:20" ht="16.5">
      <c r="A1627" s="21" t="s">
        <v>4598</v>
      </c>
      <c r="B1627" s="17" t="s">
        <v>311</v>
      </c>
      <c r="C1627" s="17" t="s">
        <v>204</v>
      </c>
      <c r="D1627" s="18" t="s">
        <v>5632</v>
      </c>
      <c r="E1627" s="17" t="s">
        <v>312</v>
      </c>
      <c r="F1627" s="21" t="s">
        <v>313</v>
      </c>
      <c r="G1627" s="19" t="s">
        <v>5955</v>
      </c>
      <c r="H1627" s="24" t="s">
        <v>5956</v>
      </c>
      <c r="I1627" s="17" t="s">
        <v>65</v>
      </c>
      <c r="J1627" s="21">
        <v>1</v>
      </c>
      <c r="K1627" s="21" t="s">
        <v>5406</v>
      </c>
      <c r="L1627" s="21" t="s">
        <v>5957</v>
      </c>
      <c r="M1627" s="19" t="s">
        <v>5635</v>
      </c>
      <c r="N1627" s="19" t="s">
        <v>316</v>
      </c>
      <c r="O1627" s="19" t="s">
        <v>5958</v>
      </c>
      <c r="P1627" s="19" t="s">
        <v>5955</v>
      </c>
      <c r="Q1627" s="19" t="s">
        <v>211</v>
      </c>
      <c r="R1627" s="16" t="s">
        <v>54</v>
      </c>
      <c r="S1627" s="19" t="s">
        <v>5415</v>
      </c>
      <c r="T1627" s="21" t="s">
        <v>55</v>
      </c>
    </row>
    <row r="1628" spans="1:20" ht="16.5">
      <c r="A1628" s="14" t="s">
        <v>4598</v>
      </c>
      <c r="B1628" s="11" t="s">
        <v>311</v>
      </c>
      <c r="C1628" s="11" t="s">
        <v>204</v>
      </c>
      <c r="D1628" s="12" t="s">
        <v>5632</v>
      </c>
      <c r="E1628" s="11" t="s">
        <v>312</v>
      </c>
      <c r="F1628" s="14" t="s">
        <v>313</v>
      </c>
      <c r="G1628" s="15" t="s">
        <v>5959</v>
      </c>
      <c r="H1628" s="23" t="s">
        <v>5960</v>
      </c>
      <c r="I1628" s="11" t="s">
        <v>65</v>
      </c>
      <c r="J1628" s="14">
        <v>1</v>
      </c>
      <c r="K1628" s="14" t="s">
        <v>5406</v>
      </c>
      <c r="L1628" s="14" t="s">
        <v>5961</v>
      </c>
      <c r="M1628" s="15" t="s">
        <v>5635</v>
      </c>
      <c r="N1628" s="15" t="s">
        <v>316</v>
      </c>
      <c r="O1628" s="15" t="s">
        <v>5962</v>
      </c>
      <c r="P1628" s="15" t="s">
        <v>5959</v>
      </c>
      <c r="Q1628" s="15" t="s">
        <v>211</v>
      </c>
      <c r="R1628" s="16" t="s">
        <v>54</v>
      </c>
      <c r="S1628" s="15" t="s">
        <v>5415</v>
      </c>
      <c r="T1628" s="14" t="s">
        <v>55</v>
      </c>
    </row>
    <row r="1629" spans="1:20" ht="16.5">
      <c r="A1629" s="21" t="s">
        <v>4598</v>
      </c>
      <c r="B1629" s="17" t="s">
        <v>311</v>
      </c>
      <c r="C1629" s="17" t="s">
        <v>204</v>
      </c>
      <c r="D1629" s="18" t="s">
        <v>5632</v>
      </c>
      <c r="E1629" s="17" t="s">
        <v>312</v>
      </c>
      <c r="F1629" s="21" t="s">
        <v>313</v>
      </c>
      <c r="G1629" s="19" t="s">
        <v>5963</v>
      </c>
      <c r="H1629" s="24" t="s">
        <v>5964</v>
      </c>
      <c r="I1629" s="17" t="s">
        <v>65</v>
      </c>
      <c r="J1629" s="21">
        <v>1</v>
      </c>
      <c r="K1629" s="21" t="s">
        <v>5406</v>
      </c>
      <c r="L1629" s="21" t="s">
        <v>5965</v>
      </c>
      <c r="M1629" s="19" t="s">
        <v>5635</v>
      </c>
      <c r="N1629" s="19" t="s">
        <v>316</v>
      </c>
      <c r="O1629" s="19" t="s">
        <v>5966</v>
      </c>
      <c r="P1629" s="19" t="s">
        <v>5963</v>
      </c>
      <c r="Q1629" s="19" t="s">
        <v>211</v>
      </c>
      <c r="R1629" s="16" t="s">
        <v>54</v>
      </c>
      <c r="S1629" s="19" t="s">
        <v>5415</v>
      </c>
      <c r="T1629" s="21" t="s">
        <v>55</v>
      </c>
    </row>
    <row r="1630" spans="1:20" ht="16.5">
      <c r="A1630" s="14" t="s">
        <v>4598</v>
      </c>
      <c r="B1630" s="11" t="s">
        <v>311</v>
      </c>
      <c r="C1630" s="11" t="s">
        <v>204</v>
      </c>
      <c r="D1630" s="12" t="s">
        <v>5632</v>
      </c>
      <c r="E1630" s="11" t="s">
        <v>312</v>
      </c>
      <c r="F1630" s="14" t="s">
        <v>313</v>
      </c>
      <c r="G1630" s="15" t="s">
        <v>5967</v>
      </c>
      <c r="H1630" s="23" t="s">
        <v>5968</v>
      </c>
      <c r="I1630" s="11" t="s">
        <v>65</v>
      </c>
      <c r="J1630" s="14">
        <v>1</v>
      </c>
      <c r="K1630" s="14" t="s">
        <v>5406</v>
      </c>
      <c r="L1630" s="14" t="s">
        <v>5969</v>
      </c>
      <c r="M1630" s="15" t="s">
        <v>5635</v>
      </c>
      <c r="N1630" s="15" t="s">
        <v>316</v>
      </c>
      <c r="O1630" s="15" t="s">
        <v>5970</v>
      </c>
      <c r="P1630" s="15" t="s">
        <v>5967</v>
      </c>
      <c r="Q1630" s="15" t="s">
        <v>211</v>
      </c>
      <c r="R1630" s="16" t="s">
        <v>54</v>
      </c>
      <c r="S1630" s="15" t="s">
        <v>5415</v>
      </c>
      <c r="T1630" s="14" t="s">
        <v>55</v>
      </c>
    </row>
    <row r="1631" spans="1:20" ht="16.5">
      <c r="A1631" s="21" t="s">
        <v>4598</v>
      </c>
      <c r="B1631" s="17" t="s">
        <v>311</v>
      </c>
      <c r="C1631" s="17" t="s">
        <v>204</v>
      </c>
      <c r="D1631" s="18" t="s">
        <v>5637</v>
      </c>
      <c r="E1631" s="17" t="s">
        <v>312</v>
      </c>
      <c r="F1631" s="21" t="s">
        <v>313</v>
      </c>
      <c r="G1631" s="19" t="s">
        <v>5971</v>
      </c>
      <c r="H1631" s="24" t="s">
        <v>5972</v>
      </c>
      <c r="I1631" s="17" t="s">
        <v>65</v>
      </c>
      <c r="J1631" s="21">
        <v>1</v>
      </c>
      <c r="K1631" s="21" t="s">
        <v>5406</v>
      </c>
      <c r="L1631" s="21" t="s">
        <v>5973</v>
      </c>
      <c r="M1631" s="19" t="s">
        <v>5640</v>
      </c>
      <c r="N1631" s="19" t="s">
        <v>316</v>
      </c>
      <c r="O1631" s="19" t="s">
        <v>5974</v>
      </c>
      <c r="P1631" s="19" t="s">
        <v>5971</v>
      </c>
      <c r="Q1631" s="19" t="s">
        <v>211</v>
      </c>
      <c r="R1631" s="16" t="s">
        <v>54</v>
      </c>
      <c r="S1631" s="19" t="s">
        <v>5415</v>
      </c>
      <c r="T1631" s="21" t="s">
        <v>55</v>
      </c>
    </row>
    <row r="1632" spans="1:20" ht="16.5">
      <c r="A1632" s="14" t="s">
        <v>4598</v>
      </c>
      <c r="B1632" s="11" t="s">
        <v>311</v>
      </c>
      <c r="C1632" s="11" t="s">
        <v>204</v>
      </c>
      <c r="D1632" s="12" t="s">
        <v>5637</v>
      </c>
      <c r="E1632" s="11" t="s">
        <v>312</v>
      </c>
      <c r="F1632" s="14" t="s">
        <v>313</v>
      </c>
      <c r="G1632" s="15" t="s">
        <v>5975</v>
      </c>
      <c r="H1632" s="23" t="s">
        <v>5976</v>
      </c>
      <c r="I1632" s="11" t="s">
        <v>65</v>
      </c>
      <c r="J1632" s="14">
        <v>1</v>
      </c>
      <c r="K1632" s="14" t="s">
        <v>5406</v>
      </c>
      <c r="L1632" s="14" t="s">
        <v>5977</v>
      </c>
      <c r="M1632" s="15" t="s">
        <v>5640</v>
      </c>
      <c r="N1632" s="15" t="s">
        <v>316</v>
      </c>
      <c r="O1632" s="15" t="s">
        <v>5978</v>
      </c>
      <c r="P1632" s="15" t="s">
        <v>5975</v>
      </c>
      <c r="Q1632" s="15" t="s">
        <v>211</v>
      </c>
      <c r="R1632" s="16" t="s">
        <v>54</v>
      </c>
      <c r="S1632" s="15" t="s">
        <v>5415</v>
      </c>
      <c r="T1632" s="14" t="s">
        <v>55</v>
      </c>
    </row>
    <row r="1633" spans="1:20" ht="16.5">
      <c r="A1633" s="21" t="s">
        <v>4598</v>
      </c>
      <c r="B1633" s="17" t="s">
        <v>311</v>
      </c>
      <c r="C1633" s="17" t="s">
        <v>204</v>
      </c>
      <c r="D1633" s="18" t="s">
        <v>5637</v>
      </c>
      <c r="E1633" s="17" t="s">
        <v>312</v>
      </c>
      <c r="F1633" s="21" t="s">
        <v>313</v>
      </c>
      <c r="G1633" s="19" t="s">
        <v>5979</v>
      </c>
      <c r="H1633" s="24" t="s">
        <v>5980</v>
      </c>
      <c r="I1633" s="17" t="s">
        <v>65</v>
      </c>
      <c r="J1633" s="21">
        <v>1</v>
      </c>
      <c r="K1633" s="21" t="s">
        <v>5406</v>
      </c>
      <c r="L1633" s="21" t="s">
        <v>5981</v>
      </c>
      <c r="M1633" s="19" t="s">
        <v>5640</v>
      </c>
      <c r="N1633" s="19" t="s">
        <v>316</v>
      </c>
      <c r="O1633" s="19" t="s">
        <v>5982</v>
      </c>
      <c r="P1633" s="19" t="s">
        <v>5979</v>
      </c>
      <c r="Q1633" s="19" t="s">
        <v>211</v>
      </c>
      <c r="R1633" s="16" t="s">
        <v>54</v>
      </c>
      <c r="S1633" s="19" t="s">
        <v>5415</v>
      </c>
      <c r="T1633" s="21" t="s">
        <v>55</v>
      </c>
    </row>
    <row r="1634" spans="1:20" ht="16.5">
      <c r="A1634" s="14" t="s">
        <v>4598</v>
      </c>
      <c r="B1634" s="11" t="s">
        <v>311</v>
      </c>
      <c r="C1634" s="11" t="s">
        <v>204</v>
      </c>
      <c r="D1634" s="12" t="s">
        <v>5637</v>
      </c>
      <c r="E1634" s="11" t="s">
        <v>312</v>
      </c>
      <c r="F1634" s="14" t="s">
        <v>313</v>
      </c>
      <c r="G1634" s="15" t="s">
        <v>5983</v>
      </c>
      <c r="H1634" s="23" t="s">
        <v>5984</v>
      </c>
      <c r="I1634" s="11" t="s">
        <v>65</v>
      </c>
      <c r="J1634" s="14">
        <v>1</v>
      </c>
      <c r="K1634" s="14" t="s">
        <v>5406</v>
      </c>
      <c r="L1634" s="14" t="s">
        <v>5985</v>
      </c>
      <c r="M1634" s="15" t="s">
        <v>5640</v>
      </c>
      <c r="N1634" s="15" t="s">
        <v>316</v>
      </c>
      <c r="O1634" s="15" t="s">
        <v>5986</v>
      </c>
      <c r="P1634" s="15" t="s">
        <v>5983</v>
      </c>
      <c r="Q1634" s="15" t="s">
        <v>211</v>
      </c>
      <c r="R1634" s="16" t="s">
        <v>54</v>
      </c>
      <c r="S1634" s="15" t="s">
        <v>5415</v>
      </c>
      <c r="T1634" s="14" t="s">
        <v>55</v>
      </c>
    </row>
    <row r="1635" spans="1:20" ht="16.5">
      <c r="A1635" s="21" t="s">
        <v>4598</v>
      </c>
      <c r="B1635" s="17" t="s">
        <v>311</v>
      </c>
      <c r="C1635" s="17" t="s">
        <v>204</v>
      </c>
      <c r="D1635" s="18" t="s">
        <v>5637</v>
      </c>
      <c r="E1635" s="17" t="s">
        <v>312</v>
      </c>
      <c r="F1635" s="21" t="s">
        <v>313</v>
      </c>
      <c r="G1635" s="19" t="s">
        <v>5987</v>
      </c>
      <c r="H1635" s="24" t="s">
        <v>5988</v>
      </c>
      <c r="I1635" s="17" t="s">
        <v>65</v>
      </c>
      <c r="J1635" s="21">
        <v>1</v>
      </c>
      <c r="K1635" s="21" t="s">
        <v>5406</v>
      </c>
      <c r="L1635" s="21" t="s">
        <v>5989</v>
      </c>
      <c r="M1635" s="19" t="s">
        <v>5640</v>
      </c>
      <c r="N1635" s="19" t="s">
        <v>316</v>
      </c>
      <c r="O1635" s="19" t="s">
        <v>5990</v>
      </c>
      <c r="P1635" s="19" t="s">
        <v>5987</v>
      </c>
      <c r="Q1635" s="19" t="s">
        <v>211</v>
      </c>
      <c r="R1635" s="16" t="s">
        <v>54</v>
      </c>
      <c r="S1635" s="19" t="s">
        <v>5415</v>
      </c>
      <c r="T1635" s="21" t="s">
        <v>55</v>
      </c>
    </row>
    <row r="1636" spans="1:20" ht="16.5">
      <c r="A1636" s="14" t="s">
        <v>4598</v>
      </c>
      <c r="B1636" s="11" t="s">
        <v>311</v>
      </c>
      <c r="C1636" s="11" t="s">
        <v>204</v>
      </c>
      <c r="D1636" s="12" t="s">
        <v>5637</v>
      </c>
      <c r="E1636" s="11" t="s">
        <v>312</v>
      </c>
      <c r="F1636" s="14" t="s">
        <v>313</v>
      </c>
      <c r="G1636" s="15" t="s">
        <v>5991</v>
      </c>
      <c r="H1636" s="23" t="s">
        <v>5992</v>
      </c>
      <c r="I1636" s="11" t="s">
        <v>65</v>
      </c>
      <c r="J1636" s="14">
        <v>1</v>
      </c>
      <c r="K1636" s="14" t="s">
        <v>5406</v>
      </c>
      <c r="L1636" s="14" t="s">
        <v>5993</v>
      </c>
      <c r="M1636" s="15" t="s">
        <v>5640</v>
      </c>
      <c r="N1636" s="15" t="s">
        <v>316</v>
      </c>
      <c r="O1636" s="15" t="s">
        <v>5994</v>
      </c>
      <c r="P1636" s="15" t="s">
        <v>5991</v>
      </c>
      <c r="Q1636" s="15" t="s">
        <v>211</v>
      </c>
      <c r="R1636" s="16" t="s">
        <v>54</v>
      </c>
      <c r="S1636" s="15" t="s">
        <v>5415</v>
      </c>
      <c r="T1636" s="14" t="s">
        <v>55</v>
      </c>
    </row>
    <row r="1637" spans="1:20" ht="16.5">
      <c r="A1637" s="21" t="s">
        <v>4598</v>
      </c>
      <c r="B1637" s="17" t="s">
        <v>311</v>
      </c>
      <c r="C1637" s="17" t="s">
        <v>204</v>
      </c>
      <c r="D1637" s="18" t="s">
        <v>5637</v>
      </c>
      <c r="E1637" s="17" t="s">
        <v>312</v>
      </c>
      <c r="F1637" s="21" t="s">
        <v>313</v>
      </c>
      <c r="G1637" s="19" t="s">
        <v>5995</v>
      </c>
      <c r="H1637" s="24" t="s">
        <v>5996</v>
      </c>
      <c r="I1637" s="17" t="s">
        <v>65</v>
      </c>
      <c r="J1637" s="21">
        <v>1</v>
      </c>
      <c r="K1637" s="21" t="s">
        <v>5406</v>
      </c>
      <c r="L1637" s="21" t="s">
        <v>5997</v>
      </c>
      <c r="M1637" s="19" t="s">
        <v>5640</v>
      </c>
      <c r="N1637" s="19" t="s">
        <v>316</v>
      </c>
      <c r="O1637" s="19" t="s">
        <v>5998</v>
      </c>
      <c r="P1637" s="19" t="s">
        <v>5995</v>
      </c>
      <c r="Q1637" s="19" t="s">
        <v>211</v>
      </c>
      <c r="R1637" s="16" t="s">
        <v>54</v>
      </c>
      <c r="S1637" s="19" t="s">
        <v>5415</v>
      </c>
      <c r="T1637" s="21" t="s">
        <v>55</v>
      </c>
    </row>
    <row r="1638" spans="1:20" ht="16.5">
      <c r="A1638" s="14" t="s">
        <v>4598</v>
      </c>
      <c r="B1638" s="11" t="s">
        <v>311</v>
      </c>
      <c r="C1638" s="11" t="s">
        <v>204</v>
      </c>
      <c r="D1638" s="12" t="s">
        <v>5637</v>
      </c>
      <c r="E1638" s="11" t="s">
        <v>312</v>
      </c>
      <c r="F1638" s="14" t="s">
        <v>313</v>
      </c>
      <c r="G1638" s="15" t="s">
        <v>5999</v>
      </c>
      <c r="H1638" s="23" t="s">
        <v>6000</v>
      </c>
      <c r="I1638" s="11" t="s">
        <v>65</v>
      </c>
      <c r="J1638" s="14">
        <v>1</v>
      </c>
      <c r="K1638" s="14" t="s">
        <v>5406</v>
      </c>
      <c r="L1638" s="14" t="s">
        <v>6001</v>
      </c>
      <c r="M1638" s="15" t="s">
        <v>5640</v>
      </c>
      <c r="N1638" s="15" t="s">
        <v>316</v>
      </c>
      <c r="O1638" s="15" t="s">
        <v>6002</v>
      </c>
      <c r="P1638" s="15" t="s">
        <v>5999</v>
      </c>
      <c r="Q1638" s="15" t="s">
        <v>211</v>
      </c>
      <c r="R1638" s="16" t="s">
        <v>54</v>
      </c>
      <c r="S1638" s="15" t="s">
        <v>5415</v>
      </c>
      <c r="T1638" s="14" t="s">
        <v>55</v>
      </c>
    </row>
    <row r="1639" spans="1:20" ht="16.5">
      <c r="A1639" s="21" t="s">
        <v>4598</v>
      </c>
      <c r="B1639" s="17" t="s">
        <v>311</v>
      </c>
      <c r="C1639" s="17" t="s">
        <v>204</v>
      </c>
      <c r="D1639" s="18" t="s">
        <v>5637</v>
      </c>
      <c r="E1639" s="17" t="s">
        <v>312</v>
      </c>
      <c r="F1639" s="21" t="s">
        <v>313</v>
      </c>
      <c r="G1639" s="19" t="s">
        <v>6003</v>
      </c>
      <c r="H1639" s="24" t="s">
        <v>6004</v>
      </c>
      <c r="I1639" s="17" t="s">
        <v>65</v>
      </c>
      <c r="J1639" s="21">
        <v>1</v>
      </c>
      <c r="K1639" s="21" t="s">
        <v>5406</v>
      </c>
      <c r="L1639" s="21" t="s">
        <v>6005</v>
      </c>
      <c r="M1639" s="19" t="s">
        <v>5640</v>
      </c>
      <c r="N1639" s="19" t="s">
        <v>316</v>
      </c>
      <c r="O1639" s="19" t="s">
        <v>6006</v>
      </c>
      <c r="P1639" s="19" t="s">
        <v>6003</v>
      </c>
      <c r="Q1639" s="19" t="s">
        <v>211</v>
      </c>
      <c r="R1639" s="16" t="s">
        <v>54</v>
      </c>
      <c r="S1639" s="19" t="s">
        <v>5415</v>
      </c>
      <c r="T1639" s="21" t="s">
        <v>55</v>
      </c>
    </row>
    <row r="1640" spans="1:20" ht="16.5">
      <c r="A1640" s="14" t="s">
        <v>4598</v>
      </c>
      <c r="B1640" s="11" t="s">
        <v>311</v>
      </c>
      <c r="C1640" s="11" t="s">
        <v>204</v>
      </c>
      <c r="D1640" s="12" t="s">
        <v>5637</v>
      </c>
      <c r="E1640" s="11" t="s">
        <v>312</v>
      </c>
      <c r="F1640" s="14" t="s">
        <v>313</v>
      </c>
      <c r="G1640" s="15" t="s">
        <v>6007</v>
      </c>
      <c r="H1640" s="23" t="s">
        <v>6008</v>
      </c>
      <c r="I1640" s="11" t="s">
        <v>65</v>
      </c>
      <c r="J1640" s="14">
        <v>1</v>
      </c>
      <c r="K1640" s="14" t="s">
        <v>5406</v>
      </c>
      <c r="L1640" s="14" t="s">
        <v>6009</v>
      </c>
      <c r="M1640" s="15" t="s">
        <v>5640</v>
      </c>
      <c r="N1640" s="15" t="s">
        <v>316</v>
      </c>
      <c r="O1640" s="15" t="s">
        <v>6010</v>
      </c>
      <c r="P1640" s="15" t="s">
        <v>6007</v>
      </c>
      <c r="Q1640" s="15" t="s">
        <v>211</v>
      </c>
      <c r="R1640" s="16" t="s">
        <v>54</v>
      </c>
      <c r="S1640" s="15" t="s">
        <v>5415</v>
      </c>
      <c r="T1640" s="14" t="s">
        <v>55</v>
      </c>
    </row>
    <row r="1641" spans="1:20" ht="16.5">
      <c r="A1641" s="21" t="s">
        <v>4598</v>
      </c>
      <c r="B1641" s="17" t="s">
        <v>311</v>
      </c>
      <c r="C1641" s="17" t="s">
        <v>204</v>
      </c>
      <c r="D1641" s="18" t="s">
        <v>5642</v>
      </c>
      <c r="E1641" s="17" t="s">
        <v>312</v>
      </c>
      <c r="F1641" s="21" t="s">
        <v>313</v>
      </c>
      <c r="G1641" s="19" t="s">
        <v>5646</v>
      </c>
      <c r="H1641" s="24" t="s">
        <v>6011</v>
      </c>
      <c r="I1641" s="17" t="s">
        <v>65</v>
      </c>
      <c r="J1641" s="21">
        <v>1</v>
      </c>
      <c r="K1641" s="21" t="s">
        <v>5406</v>
      </c>
      <c r="L1641" s="21" t="s">
        <v>6012</v>
      </c>
      <c r="M1641" s="19" t="s">
        <v>5645</v>
      </c>
      <c r="N1641" s="19" t="s">
        <v>316</v>
      </c>
      <c r="O1641" s="19" t="s">
        <v>6013</v>
      </c>
      <c r="P1641" s="19" t="s">
        <v>5646</v>
      </c>
      <c r="Q1641" s="19" t="s">
        <v>211</v>
      </c>
      <c r="R1641" s="16" t="s">
        <v>54</v>
      </c>
      <c r="S1641" s="19" t="s">
        <v>5415</v>
      </c>
      <c r="T1641" s="21" t="s">
        <v>55</v>
      </c>
    </row>
    <row r="1642" spans="1:20" ht="16.5">
      <c r="A1642" s="14" t="s">
        <v>4598</v>
      </c>
      <c r="B1642" s="11" t="s">
        <v>311</v>
      </c>
      <c r="C1642" s="11" t="s">
        <v>204</v>
      </c>
      <c r="D1642" s="12" t="s">
        <v>5647</v>
      </c>
      <c r="E1642" s="11" t="s">
        <v>312</v>
      </c>
      <c r="F1642" s="14" t="s">
        <v>313</v>
      </c>
      <c r="G1642" s="15" t="s">
        <v>5651</v>
      </c>
      <c r="H1642" s="23" t="s">
        <v>6014</v>
      </c>
      <c r="I1642" s="11" t="s">
        <v>65</v>
      </c>
      <c r="J1642" s="14">
        <v>1</v>
      </c>
      <c r="K1642" s="14" t="s">
        <v>5406</v>
      </c>
      <c r="L1642" s="14" t="s">
        <v>6015</v>
      </c>
      <c r="M1642" s="15" t="s">
        <v>5650</v>
      </c>
      <c r="N1642" s="15" t="s">
        <v>316</v>
      </c>
      <c r="O1642" s="15" t="s">
        <v>6016</v>
      </c>
      <c r="P1642" s="15" t="s">
        <v>5651</v>
      </c>
      <c r="Q1642" s="15" t="s">
        <v>211</v>
      </c>
      <c r="R1642" s="16" t="s">
        <v>54</v>
      </c>
      <c r="S1642" s="15" t="s">
        <v>5415</v>
      </c>
      <c r="T1642" s="14" t="s">
        <v>55</v>
      </c>
    </row>
    <row r="1643" spans="1:20" ht="16.5">
      <c r="A1643" s="21" t="s">
        <v>4598</v>
      </c>
      <c r="B1643" s="17" t="s">
        <v>311</v>
      </c>
      <c r="C1643" s="17" t="s">
        <v>204</v>
      </c>
      <c r="D1643" s="18" t="s">
        <v>5652</v>
      </c>
      <c r="E1643" s="17" t="s">
        <v>312</v>
      </c>
      <c r="F1643" s="21" t="s">
        <v>313</v>
      </c>
      <c r="G1643" s="19" t="s">
        <v>5656</v>
      </c>
      <c r="H1643" s="24" t="s">
        <v>6017</v>
      </c>
      <c r="I1643" s="17" t="s">
        <v>65</v>
      </c>
      <c r="J1643" s="21">
        <v>1</v>
      </c>
      <c r="K1643" s="21" t="s">
        <v>5406</v>
      </c>
      <c r="L1643" s="21" t="s">
        <v>6018</v>
      </c>
      <c r="M1643" s="19" t="s">
        <v>5655</v>
      </c>
      <c r="N1643" s="19" t="s">
        <v>316</v>
      </c>
      <c r="O1643" s="19" t="s">
        <v>6019</v>
      </c>
      <c r="P1643" s="19" t="s">
        <v>5656</v>
      </c>
      <c r="Q1643" s="19" t="s">
        <v>211</v>
      </c>
      <c r="R1643" s="16" t="s">
        <v>54</v>
      </c>
      <c r="S1643" s="19" t="s">
        <v>5415</v>
      </c>
      <c r="T1643" s="21" t="s">
        <v>55</v>
      </c>
    </row>
    <row r="1644" spans="1:20" ht="16.5">
      <c r="A1644" s="14" t="s">
        <v>4598</v>
      </c>
      <c r="B1644" s="11" t="s">
        <v>487</v>
      </c>
      <c r="C1644" s="11" t="s">
        <v>488</v>
      </c>
      <c r="D1644" s="12" t="s">
        <v>6020</v>
      </c>
      <c r="E1644" s="11" t="s">
        <v>490</v>
      </c>
      <c r="F1644" s="11" t="s">
        <v>491</v>
      </c>
      <c r="G1644" s="12" t="s">
        <v>6021</v>
      </c>
      <c r="H1644" s="13" t="s">
        <v>6022</v>
      </c>
      <c r="I1644" s="11" t="s">
        <v>494</v>
      </c>
      <c r="J1644" s="14">
        <v>1</v>
      </c>
      <c r="K1644" s="14" t="s">
        <v>5406</v>
      </c>
      <c r="L1644" s="14" t="s">
        <v>6023</v>
      </c>
      <c r="M1644" s="15" t="s">
        <v>6024</v>
      </c>
      <c r="N1644" s="15" t="s">
        <v>497</v>
      </c>
      <c r="O1644" s="15" t="s">
        <v>6025</v>
      </c>
      <c r="P1644" s="15" t="s">
        <v>6026</v>
      </c>
      <c r="Q1644" s="15" t="s">
        <v>500</v>
      </c>
      <c r="R1644" s="16" t="s">
        <v>54</v>
      </c>
      <c r="S1644" s="15" t="s">
        <v>5415</v>
      </c>
      <c r="T1644" s="14" t="s">
        <v>55</v>
      </c>
    </row>
    <row r="1645" spans="1:20" ht="33">
      <c r="A1645" s="21" t="s">
        <v>4598</v>
      </c>
      <c r="B1645" s="17" t="s">
        <v>487</v>
      </c>
      <c r="C1645" s="17" t="s">
        <v>204</v>
      </c>
      <c r="D1645" s="18" t="s">
        <v>5607</v>
      </c>
      <c r="E1645" s="17" t="s">
        <v>501</v>
      </c>
      <c r="F1645" s="17" t="s">
        <v>488</v>
      </c>
      <c r="G1645" s="18" t="s">
        <v>6020</v>
      </c>
      <c r="H1645" s="20" t="s">
        <v>6027</v>
      </c>
      <c r="I1645" s="17" t="s">
        <v>494</v>
      </c>
      <c r="J1645" s="21">
        <v>1</v>
      </c>
      <c r="K1645" s="21" t="s">
        <v>5406</v>
      </c>
      <c r="L1645" s="21" t="s">
        <v>6028</v>
      </c>
      <c r="M1645" s="19" t="s">
        <v>5610</v>
      </c>
      <c r="N1645" s="19" t="s">
        <v>504</v>
      </c>
      <c r="O1645" s="19" t="s">
        <v>6024</v>
      </c>
      <c r="P1645" s="19"/>
      <c r="Q1645" s="19" t="s">
        <v>211</v>
      </c>
      <c r="R1645" s="16" t="s">
        <v>54</v>
      </c>
      <c r="S1645" s="19" t="s">
        <v>5415</v>
      </c>
      <c r="T1645" s="21" t="s">
        <v>55</v>
      </c>
    </row>
    <row r="1646" spans="1:20" ht="29.25">
      <c r="A1646" s="14" t="s">
        <v>4598</v>
      </c>
      <c r="B1646" s="11" t="s">
        <v>487</v>
      </c>
      <c r="C1646" s="11" t="s">
        <v>491</v>
      </c>
      <c r="D1646" s="12" t="s">
        <v>6021</v>
      </c>
      <c r="E1646" s="11" t="s">
        <v>505</v>
      </c>
      <c r="F1646" s="11" t="s">
        <v>204</v>
      </c>
      <c r="G1646" s="12" t="s">
        <v>5607</v>
      </c>
      <c r="H1646" s="13" t="s">
        <v>6029</v>
      </c>
      <c r="I1646" s="11" t="s">
        <v>507</v>
      </c>
      <c r="J1646" s="14">
        <v>1</v>
      </c>
      <c r="K1646" s="14" t="s">
        <v>5406</v>
      </c>
      <c r="L1646" s="14" t="s">
        <v>6030</v>
      </c>
      <c r="M1646" s="15" t="s">
        <v>6025</v>
      </c>
      <c r="N1646" s="15" t="s">
        <v>509</v>
      </c>
      <c r="O1646" s="15" t="s">
        <v>5610</v>
      </c>
      <c r="P1646" s="15" t="s">
        <v>6026</v>
      </c>
      <c r="Q1646" s="12" t="s">
        <v>286</v>
      </c>
      <c r="R1646" s="22" t="s">
        <v>88</v>
      </c>
      <c r="S1646" s="15" t="s">
        <v>5415</v>
      </c>
      <c r="T1646" s="14" t="s">
        <v>55</v>
      </c>
    </row>
    <row r="1647" spans="1:20" ht="16.5">
      <c r="A1647" s="21" t="s">
        <v>4598</v>
      </c>
      <c r="B1647" s="17" t="s">
        <v>487</v>
      </c>
      <c r="C1647" s="17" t="s">
        <v>488</v>
      </c>
      <c r="D1647" s="18" t="s">
        <v>6031</v>
      </c>
      <c r="E1647" s="17" t="s">
        <v>490</v>
      </c>
      <c r="F1647" s="17" t="s">
        <v>491</v>
      </c>
      <c r="G1647" s="18" t="s">
        <v>6032</v>
      </c>
      <c r="H1647" s="20" t="s">
        <v>6033</v>
      </c>
      <c r="I1647" s="17" t="s">
        <v>5232</v>
      </c>
      <c r="J1647" s="21">
        <v>1</v>
      </c>
      <c r="K1647" s="21" t="s">
        <v>5406</v>
      </c>
      <c r="L1647" s="21" t="s">
        <v>6034</v>
      </c>
      <c r="M1647" s="19" t="s">
        <v>6035</v>
      </c>
      <c r="N1647" s="19" t="s">
        <v>497</v>
      </c>
      <c r="O1647" s="19" t="s">
        <v>6036</v>
      </c>
      <c r="P1647" s="19" t="s">
        <v>6037</v>
      </c>
      <c r="Q1647" s="19" t="s">
        <v>500</v>
      </c>
      <c r="R1647" s="16" t="s">
        <v>54</v>
      </c>
      <c r="S1647" s="19" t="s">
        <v>5415</v>
      </c>
      <c r="T1647" s="21" t="s">
        <v>55</v>
      </c>
    </row>
    <row r="1648" spans="1:20" ht="33">
      <c r="A1648" s="14" t="s">
        <v>4598</v>
      </c>
      <c r="B1648" s="11" t="s">
        <v>487</v>
      </c>
      <c r="C1648" s="11" t="s">
        <v>204</v>
      </c>
      <c r="D1648" s="12" t="s">
        <v>5612</v>
      </c>
      <c r="E1648" s="11" t="s">
        <v>501</v>
      </c>
      <c r="F1648" s="11" t="s">
        <v>488</v>
      </c>
      <c r="G1648" s="12" t="s">
        <v>6031</v>
      </c>
      <c r="H1648" s="13" t="s">
        <v>6038</v>
      </c>
      <c r="I1648" s="11" t="s">
        <v>5232</v>
      </c>
      <c r="J1648" s="14">
        <v>1</v>
      </c>
      <c r="K1648" s="14" t="s">
        <v>5406</v>
      </c>
      <c r="L1648" s="14" t="s">
        <v>6039</v>
      </c>
      <c r="M1648" s="15" t="s">
        <v>5615</v>
      </c>
      <c r="N1648" s="15" t="s">
        <v>504</v>
      </c>
      <c r="O1648" s="15" t="s">
        <v>6035</v>
      </c>
      <c r="P1648" s="15"/>
      <c r="Q1648" s="15" t="s">
        <v>211</v>
      </c>
      <c r="R1648" s="16" t="s">
        <v>54</v>
      </c>
      <c r="S1648" s="15" t="s">
        <v>5415</v>
      </c>
      <c r="T1648" s="14" t="s">
        <v>55</v>
      </c>
    </row>
    <row r="1649" spans="1:20" ht="29.25">
      <c r="A1649" s="21" t="s">
        <v>4598</v>
      </c>
      <c r="B1649" s="17" t="s">
        <v>487</v>
      </c>
      <c r="C1649" s="17" t="s">
        <v>491</v>
      </c>
      <c r="D1649" s="18" t="s">
        <v>6032</v>
      </c>
      <c r="E1649" s="17" t="s">
        <v>505</v>
      </c>
      <c r="F1649" s="17" t="s">
        <v>204</v>
      </c>
      <c r="G1649" s="18" t="s">
        <v>5612</v>
      </c>
      <c r="H1649" s="20" t="s">
        <v>6040</v>
      </c>
      <c r="I1649" s="17" t="s">
        <v>507</v>
      </c>
      <c r="J1649" s="21">
        <v>1</v>
      </c>
      <c r="K1649" s="21" t="s">
        <v>5406</v>
      </c>
      <c r="L1649" s="21" t="s">
        <v>6041</v>
      </c>
      <c r="M1649" s="19" t="s">
        <v>6036</v>
      </c>
      <c r="N1649" s="19" t="s">
        <v>509</v>
      </c>
      <c r="O1649" s="19" t="s">
        <v>5615</v>
      </c>
      <c r="P1649" s="19" t="s">
        <v>6037</v>
      </c>
      <c r="Q1649" s="18" t="s">
        <v>286</v>
      </c>
      <c r="R1649" s="22" t="s">
        <v>88</v>
      </c>
      <c r="S1649" s="19" t="s">
        <v>5415</v>
      </c>
      <c r="T1649" s="21" t="s">
        <v>55</v>
      </c>
    </row>
    <row r="1650" spans="1:20" ht="16.5">
      <c r="A1650" s="14" t="s">
        <v>4598</v>
      </c>
      <c r="B1650" s="11" t="s">
        <v>487</v>
      </c>
      <c r="C1650" s="11" t="s">
        <v>488</v>
      </c>
      <c r="D1650" s="12" t="s">
        <v>6042</v>
      </c>
      <c r="E1650" s="11" t="s">
        <v>490</v>
      </c>
      <c r="F1650" s="11" t="s">
        <v>491</v>
      </c>
      <c r="G1650" s="12" t="s">
        <v>6043</v>
      </c>
      <c r="H1650" s="23" t="s">
        <v>584</v>
      </c>
      <c r="I1650" s="11" t="s">
        <v>494</v>
      </c>
      <c r="J1650" s="14">
        <v>1</v>
      </c>
      <c r="K1650" s="14" t="s">
        <v>5406</v>
      </c>
      <c r="L1650" s="14" t="s">
        <v>6044</v>
      </c>
      <c r="M1650" s="15" t="s">
        <v>6045</v>
      </c>
      <c r="N1650" s="15" t="s">
        <v>497</v>
      </c>
      <c r="O1650" s="15" t="s">
        <v>6046</v>
      </c>
      <c r="P1650" s="15" t="s">
        <v>6047</v>
      </c>
      <c r="Q1650" s="15" t="s">
        <v>500</v>
      </c>
      <c r="R1650" s="16" t="s">
        <v>54</v>
      </c>
      <c r="S1650" s="15" t="s">
        <v>5415</v>
      </c>
      <c r="T1650" s="14" t="s">
        <v>55</v>
      </c>
    </row>
    <row r="1651" spans="1:20" ht="16.5">
      <c r="A1651" s="21" t="s">
        <v>4598</v>
      </c>
      <c r="B1651" s="17" t="s">
        <v>487</v>
      </c>
      <c r="C1651" s="17" t="s">
        <v>204</v>
      </c>
      <c r="D1651" s="18" t="s">
        <v>5592</v>
      </c>
      <c r="E1651" s="17" t="s">
        <v>501</v>
      </c>
      <c r="F1651" s="17" t="s">
        <v>488</v>
      </c>
      <c r="G1651" s="18" t="s">
        <v>6042</v>
      </c>
      <c r="H1651" s="20" t="s">
        <v>6048</v>
      </c>
      <c r="I1651" s="17" t="s">
        <v>494</v>
      </c>
      <c r="J1651" s="21">
        <v>1</v>
      </c>
      <c r="K1651" s="21" t="s">
        <v>5406</v>
      </c>
      <c r="L1651" s="21" t="s">
        <v>6049</v>
      </c>
      <c r="M1651" s="19" t="s">
        <v>5595</v>
      </c>
      <c r="N1651" s="19" t="s">
        <v>504</v>
      </c>
      <c r="O1651" s="19" t="s">
        <v>6045</v>
      </c>
      <c r="P1651" s="19"/>
      <c r="Q1651" s="19" t="s">
        <v>211</v>
      </c>
      <c r="R1651" s="16" t="s">
        <v>54</v>
      </c>
      <c r="S1651" s="19" t="s">
        <v>5415</v>
      </c>
      <c r="T1651" s="21" t="s">
        <v>55</v>
      </c>
    </row>
    <row r="1652" spans="1:20" ht="16.5">
      <c r="A1652" s="14" t="s">
        <v>4598</v>
      </c>
      <c r="B1652" s="11" t="s">
        <v>487</v>
      </c>
      <c r="C1652" s="11" t="s">
        <v>491</v>
      </c>
      <c r="D1652" s="12" t="s">
        <v>6043</v>
      </c>
      <c r="E1652" s="11" t="s">
        <v>505</v>
      </c>
      <c r="F1652" s="11" t="s">
        <v>204</v>
      </c>
      <c r="G1652" s="12" t="s">
        <v>5592</v>
      </c>
      <c r="H1652" s="13" t="s">
        <v>6050</v>
      </c>
      <c r="I1652" s="11" t="s">
        <v>507</v>
      </c>
      <c r="J1652" s="14">
        <v>1</v>
      </c>
      <c r="K1652" s="14" t="s">
        <v>5406</v>
      </c>
      <c r="L1652" s="14" t="s">
        <v>6051</v>
      </c>
      <c r="M1652" s="15" t="s">
        <v>6046</v>
      </c>
      <c r="N1652" s="15" t="s">
        <v>509</v>
      </c>
      <c r="O1652" s="15" t="s">
        <v>5595</v>
      </c>
      <c r="P1652" s="15" t="s">
        <v>6047</v>
      </c>
      <c r="Q1652" s="12" t="s">
        <v>286</v>
      </c>
      <c r="R1652" s="22" t="s">
        <v>88</v>
      </c>
      <c r="S1652" s="15" t="s">
        <v>5415</v>
      </c>
      <c r="T1652" s="14" t="s">
        <v>55</v>
      </c>
    </row>
    <row r="1653" spans="1:20" ht="16.5">
      <c r="A1653" s="21" t="s">
        <v>4598</v>
      </c>
      <c r="B1653" s="17" t="s">
        <v>487</v>
      </c>
      <c r="C1653" s="17" t="s">
        <v>488</v>
      </c>
      <c r="D1653" s="18" t="s">
        <v>6052</v>
      </c>
      <c r="E1653" s="17" t="s">
        <v>490</v>
      </c>
      <c r="F1653" s="17" t="s">
        <v>491</v>
      </c>
      <c r="G1653" s="18" t="s">
        <v>6053</v>
      </c>
      <c r="H1653" s="20" t="s">
        <v>6054</v>
      </c>
      <c r="I1653" s="17" t="s">
        <v>494</v>
      </c>
      <c r="J1653" s="21">
        <v>1</v>
      </c>
      <c r="K1653" s="21" t="s">
        <v>5406</v>
      </c>
      <c r="L1653" s="21" t="s">
        <v>6055</v>
      </c>
      <c r="M1653" s="19" t="s">
        <v>6056</v>
      </c>
      <c r="N1653" s="19" t="s">
        <v>497</v>
      </c>
      <c r="O1653" s="19" t="s">
        <v>6057</v>
      </c>
      <c r="P1653" s="19" t="s">
        <v>6058</v>
      </c>
      <c r="Q1653" s="19" t="s">
        <v>500</v>
      </c>
      <c r="R1653" s="16" t="s">
        <v>54</v>
      </c>
      <c r="S1653" s="19" t="s">
        <v>5415</v>
      </c>
      <c r="T1653" s="21" t="s">
        <v>55</v>
      </c>
    </row>
    <row r="1654" spans="1:20" ht="16.5">
      <c r="A1654" s="14" t="s">
        <v>4598</v>
      </c>
      <c r="B1654" s="11" t="s">
        <v>487</v>
      </c>
      <c r="C1654" s="11" t="s">
        <v>204</v>
      </c>
      <c r="D1654" s="12" t="s">
        <v>5597</v>
      </c>
      <c r="E1654" s="11" t="s">
        <v>501</v>
      </c>
      <c r="F1654" s="11" t="s">
        <v>488</v>
      </c>
      <c r="G1654" s="12" t="s">
        <v>6052</v>
      </c>
      <c r="H1654" s="13" t="s">
        <v>6059</v>
      </c>
      <c r="I1654" s="11" t="s">
        <v>494</v>
      </c>
      <c r="J1654" s="14">
        <v>1</v>
      </c>
      <c r="K1654" s="14" t="s">
        <v>5406</v>
      </c>
      <c r="L1654" s="14" t="s">
        <v>6060</v>
      </c>
      <c r="M1654" s="15" t="s">
        <v>5600</v>
      </c>
      <c r="N1654" s="15" t="s">
        <v>504</v>
      </c>
      <c r="O1654" s="15" t="s">
        <v>6056</v>
      </c>
      <c r="P1654" s="15"/>
      <c r="Q1654" s="15" t="s">
        <v>211</v>
      </c>
      <c r="R1654" s="16" t="s">
        <v>54</v>
      </c>
      <c r="S1654" s="15" t="s">
        <v>5415</v>
      </c>
      <c r="T1654" s="14" t="s">
        <v>55</v>
      </c>
    </row>
    <row r="1655" spans="1:20" ht="33">
      <c r="A1655" s="21" t="s">
        <v>4598</v>
      </c>
      <c r="B1655" s="17" t="s">
        <v>487</v>
      </c>
      <c r="C1655" s="17" t="s">
        <v>491</v>
      </c>
      <c r="D1655" s="18" t="s">
        <v>6053</v>
      </c>
      <c r="E1655" s="17" t="s">
        <v>505</v>
      </c>
      <c r="F1655" s="17" t="s">
        <v>204</v>
      </c>
      <c r="G1655" s="18" t="s">
        <v>5597</v>
      </c>
      <c r="H1655" s="20" t="s">
        <v>6061</v>
      </c>
      <c r="I1655" s="17" t="s">
        <v>507</v>
      </c>
      <c r="J1655" s="21">
        <v>1</v>
      </c>
      <c r="K1655" s="21" t="s">
        <v>5406</v>
      </c>
      <c r="L1655" s="21" t="s">
        <v>6062</v>
      </c>
      <c r="M1655" s="19" t="s">
        <v>6057</v>
      </c>
      <c r="N1655" s="19" t="s">
        <v>509</v>
      </c>
      <c r="O1655" s="19" t="s">
        <v>5600</v>
      </c>
      <c r="P1655" s="19" t="s">
        <v>6058</v>
      </c>
      <c r="Q1655" s="18" t="s">
        <v>286</v>
      </c>
      <c r="R1655" s="22" t="s">
        <v>88</v>
      </c>
      <c r="S1655" s="19" t="s">
        <v>5415</v>
      </c>
      <c r="T1655" s="21" t="s">
        <v>55</v>
      </c>
    </row>
    <row r="1656" spans="1:20" ht="16.5">
      <c r="A1656" s="14" t="s">
        <v>4598</v>
      </c>
      <c r="B1656" s="11" t="s">
        <v>487</v>
      </c>
      <c r="C1656" s="11" t="s">
        <v>488</v>
      </c>
      <c r="D1656" s="15" t="s">
        <v>6063</v>
      </c>
      <c r="E1656" s="11" t="s">
        <v>490</v>
      </c>
      <c r="F1656" s="11" t="s">
        <v>491</v>
      </c>
      <c r="G1656" s="12" t="s">
        <v>6064</v>
      </c>
      <c r="H1656" s="23" t="s">
        <v>584</v>
      </c>
      <c r="I1656" s="11" t="s">
        <v>494</v>
      </c>
      <c r="J1656" s="14">
        <v>1</v>
      </c>
      <c r="K1656" s="14" t="s">
        <v>5406</v>
      </c>
      <c r="L1656" s="14" t="s">
        <v>6065</v>
      </c>
      <c r="M1656" s="15" t="s">
        <v>6066</v>
      </c>
      <c r="N1656" s="15" t="s">
        <v>497</v>
      </c>
      <c r="O1656" s="15" t="s">
        <v>6067</v>
      </c>
      <c r="P1656" s="15" t="s">
        <v>6068</v>
      </c>
      <c r="Q1656" s="15" t="s">
        <v>500</v>
      </c>
      <c r="R1656" s="16" t="s">
        <v>54</v>
      </c>
      <c r="S1656" s="15" t="s">
        <v>5415</v>
      </c>
      <c r="T1656" s="14" t="s">
        <v>55</v>
      </c>
    </row>
    <row r="1657" spans="1:20" ht="16.5">
      <c r="A1657" s="21" t="s">
        <v>4598</v>
      </c>
      <c r="B1657" s="17" t="s">
        <v>487</v>
      </c>
      <c r="C1657" s="17" t="s">
        <v>204</v>
      </c>
      <c r="D1657" s="18" t="s">
        <v>5632</v>
      </c>
      <c r="E1657" s="17" t="s">
        <v>501</v>
      </c>
      <c r="F1657" s="17" t="s">
        <v>488</v>
      </c>
      <c r="G1657" s="19" t="s">
        <v>6063</v>
      </c>
      <c r="H1657" s="20" t="s">
        <v>6069</v>
      </c>
      <c r="I1657" s="17" t="s">
        <v>494</v>
      </c>
      <c r="J1657" s="21">
        <v>1</v>
      </c>
      <c r="K1657" s="21" t="s">
        <v>5406</v>
      </c>
      <c r="L1657" s="21" t="s">
        <v>6070</v>
      </c>
      <c r="M1657" s="19" t="s">
        <v>5635</v>
      </c>
      <c r="N1657" s="19" t="s">
        <v>504</v>
      </c>
      <c r="O1657" s="19" t="s">
        <v>6066</v>
      </c>
      <c r="P1657" s="19"/>
      <c r="Q1657" s="19" t="s">
        <v>211</v>
      </c>
      <c r="R1657" s="16" t="s">
        <v>54</v>
      </c>
      <c r="S1657" s="19" t="s">
        <v>5415</v>
      </c>
      <c r="T1657" s="21" t="s">
        <v>55</v>
      </c>
    </row>
    <row r="1658" spans="1:20" ht="16.5">
      <c r="A1658" s="14" t="s">
        <v>4598</v>
      </c>
      <c r="B1658" s="11" t="s">
        <v>487</v>
      </c>
      <c r="C1658" s="11" t="s">
        <v>491</v>
      </c>
      <c r="D1658" s="12" t="s">
        <v>6064</v>
      </c>
      <c r="E1658" s="11" t="s">
        <v>505</v>
      </c>
      <c r="F1658" s="11" t="s">
        <v>204</v>
      </c>
      <c r="G1658" s="12" t="s">
        <v>5632</v>
      </c>
      <c r="H1658" s="13" t="s">
        <v>6071</v>
      </c>
      <c r="I1658" s="11" t="s">
        <v>507</v>
      </c>
      <c r="J1658" s="14">
        <v>1</v>
      </c>
      <c r="K1658" s="14" t="s">
        <v>5406</v>
      </c>
      <c r="L1658" s="14" t="s">
        <v>6072</v>
      </c>
      <c r="M1658" s="15" t="s">
        <v>6067</v>
      </c>
      <c r="N1658" s="15" t="s">
        <v>509</v>
      </c>
      <c r="O1658" s="15" t="s">
        <v>5635</v>
      </c>
      <c r="P1658" s="15" t="s">
        <v>6068</v>
      </c>
      <c r="Q1658" s="12" t="s">
        <v>286</v>
      </c>
      <c r="R1658" s="22" t="s">
        <v>88</v>
      </c>
      <c r="S1658" s="15" t="s">
        <v>5415</v>
      </c>
      <c r="T1658" s="14" t="s">
        <v>55</v>
      </c>
    </row>
    <row r="1659" spans="1:20" ht="16.5">
      <c r="A1659" s="21" t="s">
        <v>4598</v>
      </c>
      <c r="B1659" s="17" t="s">
        <v>487</v>
      </c>
      <c r="C1659" s="17" t="s">
        <v>488</v>
      </c>
      <c r="D1659" s="18" t="s">
        <v>6073</v>
      </c>
      <c r="E1659" s="17" t="s">
        <v>490</v>
      </c>
      <c r="F1659" s="17" t="s">
        <v>491</v>
      </c>
      <c r="G1659" s="19" t="s">
        <v>6074</v>
      </c>
      <c r="H1659" s="20" t="s">
        <v>6075</v>
      </c>
      <c r="I1659" s="17" t="s">
        <v>494</v>
      </c>
      <c r="J1659" s="21">
        <v>1</v>
      </c>
      <c r="K1659" s="21" t="s">
        <v>5406</v>
      </c>
      <c r="L1659" s="21" t="s">
        <v>6076</v>
      </c>
      <c r="M1659" s="19" t="s">
        <v>6077</v>
      </c>
      <c r="N1659" s="19" t="s">
        <v>497</v>
      </c>
      <c r="O1659" s="19" t="s">
        <v>6078</v>
      </c>
      <c r="P1659" s="19" t="s">
        <v>6079</v>
      </c>
      <c r="Q1659" s="19" t="s">
        <v>500</v>
      </c>
      <c r="R1659" s="16" t="s">
        <v>54</v>
      </c>
      <c r="S1659" s="19" t="s">
        <v>5415</v>
      </c>
      <c r="T1659" s="21" t="s">
        <v>55</v>
      </c>
    </row>
    <row r="1660" spans="1:20" ht="16.5">
      <c r="A1660" s="14" t="s">
        <v>4598</v>
      </c>
      <c r="B1660" s="11" t="s">
        <v>487</v>
      </c>
      <c r="C1660" s="11" t="s">
        <v>204</v>
      </c>
      <c r="D1660" s="12" t="s">
        <v>5642</v>
      </c>
      <c r="E1660" s="11" t="s">
        <v>501</v>
      </c>
      <c r="F1660" s="11" t="s">
        <v>488</v>
      </c>
      <c r="G1660" s="12" t="s">
        <v>6073</v>
      </c>
      <c r="H1660" s="13" t="s">
        <v>6080</v>
      </c>
      <c r="I1660" s="11" t="s">
        <v>494</v>
      </c>
      <c r="J1660" s="14">
        <v>1</v>
      </c>
      <c r="K1660" s="14" t="s">
        <v>5406</v>
      </c>
      <c r="L1660" s="14" t="s">
        <v>6081</v>
      </c>
      <c r="M1660" s="15" t="s">
        <v>5645</v>
      </c>
      <c r="N1660" s="15" t="s">
        <v>504</v>
      </c>
      <c r="O1660" s="15" t="s">
        <v>6077</v>
      </c>
      <c r="P1660" s="15"/>
      <c r="Q1660" s="15" t="s">
        <v>211</v>
      </c>
      <c r="R1660" s="16" t="s">
        <v>54</v>
      </c>
      <c r="S1660" s="15" t="s">
        <v>5415</v>
      </c>
      <c r="T1660" s="14" t="s">
        <v>55</v>
      </c>
    </row>
    <row r="1661" spans="1:20" ht="29.25">
      <c r="A1661" s="21" t="s">
        <v>4598</v>
      </c>
      <c r="B1661" s="17" t="s">
        <v>487</v>
      </c>
      <c r="C1661" s="17" t="s">
        <v>491</v>
      </c>
      <c r="D1661" s="19" t="s">
        <v>6074</v>
      </c>
      <c r="E1661" s="17" t="s">
        <v>505</v>
      </c>
      <c r="F1661" s="17" t="s">
        <v>204</v>
      </c>
      <c r="G1661" s="18" t="s">
        <v>5642</v>
      </c>
      <c r="H1661" s="24" t="s">
        <v>6082</v>
      </c>
      <c r="I1661" s="17" t="s">
        <v>507</v>
      </c>
      <c r="J1661" s="21">
        <v>1</v>
      </c>
      <c r="K1661" s="21" t="s">
        <v>5406</v>
      </c>
      <c r="L1661" s="21" t="s">
        <v>6083</v>
      </c>
      <c r="M1661" s="19" t="s">
        <v>6078</v>
      </c>
      <c r="N1661" s="19" t="s">
        <v>509</v>
      </c>
      <c r="O1661" s="19" t="s">
        <v>5645</v>
      </c>
      <c r="P1661" s="19" t="s">
        <v>6079</v>
      </c>
      <c r="Q1661" s="18" t="s">
        <v>286</v>
      </c>
      <c r="R1661" s="22" t="s">
        <v>88</v>
      </c>
      <c r="S1661" s="19" t="s">
        <v>5415</v>
      </c>
      <c r="T1661" s="21" t="s">
        <v>55</v>
      </c>
    </row>
    <row r="1662" spans="1:20" ht="16.5">
      <c r="A1662" s="14" t="s">
        <v>4598</v>
      </c>
      <c r="B1662" s="11" t="s">
        <v>487</v>
      </c>
      <c r="C1662" s="11" t="s">
        <v>62</v>
      </c>
      <c r="D1662" s="15" t="s">
        <v>5333</v>
      </c>
      <c r="E1662" s="11" t="s">
        <v>555</v>
      </c>
      <c r="F1662" s="11" t="s">
        <v>556</v>
      </c>
      <c r="G1662" s="12" t="s">
        <v>6084</v>
      </c>
      <c r="H1662" s="13" t="s">
        <v>6085</v>
      </c>
      <c r="I1662" s="11" t="s">
        <v>559</v>
      </c>
      <c r="J1662" s="14">
        <v>1</v>
      </c>
      <c r="K1662" s="14" t="s">
        <v>5406</v>
      </c>
      <c r="L1662" s="14" t="s">
        <v>6086</v>
      </c>
      <c r="M1662" s="15" t="s">
        <v>5336</v>
      </c>
      <c r="N1662" s="15" t="s">
        <v>561</v>
      </c>
      <c r="O1662" s="15" t="s">
        <v>6087</v>
      </c>
      <c r="P1662" s="15"/>
      <c r="Q1662" s="12" t="s">
        <v>53</v>
      </c>
      <c r="R1662" s="16" t="s">
        <v>54</v>
      </c>
      <c r="S1662" s="15" t="s">
        <v>5415</v>
      </c>
      <c r="T1662" s="14" t="s">
        <v>55</v>
      </c>
    </row>
    <row r="1663" spans="1:20" ht="16.5">
      <c r="A1663" s="21" t="s">
        <v>4598</v>
      </c>
      <c r="B1663" s="17" t="s">
        <v>487</v>
      </c>
      <c r="C1663" s="17" t="s">
        <v>62</v>
      </c>
      <c r="D1663" s="19" t="s">
        <v>5516</v>
      </c>
      <c r="E1663" s="17" t="s">
        <v>555</v>
      </c>
      <c r="F1663" s="17" t="s">
        <v>556</v>
      </c>
      <c r="G1663" s="18" t="s">
        <v>6084</v>
      </c>
      <c r="H1663" s="20" t="s">
        <v>6085</v>
      </c>
      <c r="I1663" s="17" t="s">
        <v>559</v>
      </c>
      <c r="J1663" s="21">
        <v>1</v>
      </c>
      <c r="K1663" s="21" t="s">
        <v>5406</v>
      </c>
      <c r="L1663" s="21" t="s">
        <v>6088</v>
      </c>
      <c r="M1663" s="19" t="s">
        <v>5519</v>
      </c>
      <c r="N1663" s="19" t="s">
        <v>561</v>
      </c>
      <c r="O1663" s="19" t="s">
        <v>6087</v>
      </c>
      <c r="P1663" s="19"/>
      <c r="Q1663" s="18" t="s">
        <v>53</v>
      </c>
      <c r="R1663" s="16" t="s">
        <v>54</v>
      </c>
      <c r="S1663" s="19" t="s">
        <v>5415</v>
      </c>
      <c r="T1663" s="21" t="s">
        <v>55</v>
      </c>
    </row>
    <row r="1664" spans="1:20" ht="16.5">
      <c r="A1664" s="14" t="s">
        <v>4598</v>
      </c>
      <c r="B1664" s="11" t="s">
        <v>564</v>
      </c>
      <c r="C1664" s="11" t="s">
        <v>204</v>
      </c>
      <c r="D1664" s="12" t="s">
        <v>5607</v>
      </c>
      <c r="E1664" s="11" t="s">
        <v>565</v>
      </c>
      <c r="F1664" s="11" t="s">
        <v>566</v>
      </c>
      <c r="G1664" s="12" t="s">
        <v>6089</v>
      </c>
      <c r="H1664" s="13" t="s">
        <v>6090</v>
      </c>
      <c r="I1664" s="11" t="s">
        <v>569</v>
      </c>
      <c r="J1664" s="14">
        <v>1</v>
      </c>
      <c r="K1664" s="14" t="s">
        <v>5406</v>
      </c>
      <c r="L1664" s="14" t="s">
        <v>6091</v>
      </c>
      <c r="M1664" s="15" t="s">
        <v>5610</v>
      </c>
      <c r="N1664" s="15" t="s">
        <v>571</v>
      </c>
      <c r="O1664" s="15" t="s">
        <v>6092</v>
      </c>
      <c r="P1664" s="15" t="s">
        <v>5611</v>
      </c>
      <c r="Q1664" s="12" t="s">
        <v>53</v>
      </c>
      <c r="R1664" s="16" t="s">
        <v>54</v>
      </c>
      <c r="S1664" s="15" t="s">
        <v>5415</v>
      </c>
      <c r="T1664" s="14" t="s">
        <v>55</v>
      </c>
    </row>
    <row r="1665" spans="1:20" ht="16.5">
      <c r="A1665" s="21" t="s">
        <v>4598</v>
      </c>
      <c r="B1665" s="17" t="s">
        <v>578</v>
      </c>
      <c r="C1665" s="17" t="s">
        <v>300</v>
      </c>
      <c r="D1665" s="19" t="s">
        <v>4994</v>
      </c>
      <c r="E1665" s="17" t="s">
        <v>579</v>
      </c>
      <c r="F1665" s="17" t="s">
        <v>62</v>
      </c>
      <c r="G1665" s="19" t="s">
        <v>5333</v>
      </c>
      <c r="H1665" s="20" t="s">
        <v>6093</v>
      </c>
      <c r="I1665" s="17" t="s">
        <v>3113</v>
      </c>
      <c r="J1665" s="21">
        <v>1</v>
      </c>
      <c r="K1665" s="21" t="s">
        <v>5406</v>
      </c>
      <c r="L1665" s="21" t="s">
        <v>6094</v>
      </c>
      <c r="M1665" s="19" t="s">
        <v>4997</v>
      </c>
      <c r="N1665" s="19" t="s">
        <v>583</v>
      </c>
      <c r="O1665" s="19" t="s">
        <v>5336</v>
      </c>
      <c r="P1665" s="19"/>
      <c r="Q1665" s="18" t="s">
        <v>53</v>
      </c>
      <c r="R1665" s="16" t="s">
        <v>54</v>
      </c>
      <c r="S1665" s="19" t="s">
        <v>5415</v>
      </c>
      <c r="T1665" s="21" t="s">
        <v>55</v>
      </c>
    </row>
    <row r="1666" spans="1:20" ht="16.5">
      <c r="A1666" s="14" t="s">
        <v>4598</v>
      </c>
      <c r="B1666" s="11" t="s">
        <v>578</v>
      </c>
      <c r="C1666" s="11" t="s">
        <v>300</v>
      </c>
      <c r="D1666" s="12" t="s">
        <v>6095</v>
      </c>
      <c r="E1666" s="11" t="s">
        <v>589</v>
      </c>
      <c r="F1666" s="11" t="s">
        <v>62</v>
      </c>
      <c r="G1666" s="15" t="s">
        <v>5333</v>
      </c>
      <c r="H1666" s="13" t="s">
        <v>6096</v>
      </c>
      <c r="I1666" s="11" t="s">
        <v>3113</v>
      </c>
      <c r="J1666" s="14">
        <v>1</v>
      </c>
      <c r="K1666" s="14" t="s">
        <v>5406</v>
      </c>
      <c r="L1666" s="14" t="s">
        <v>6097</v>
      </c>
      <c r="M1666" s="15" t="s">
        <v>6098</v>
      </c>
      <c r="N1666" s="15" t="s">
        <v>594</v>
      </c>
      <c r="O1666" s="15" t="s">
        <v>5336</v>
      </c>
      <c r="P1666" s="15"/>
      <c r="Q1666" s="12" t="s">
        <v>53</v>
      </c>
      <c r="R1666" s="16" t="s">
        <v>54</v>
      </c>
      <c r="S1666" s="15" t="s">
        <v>5415</v>
      </c>
      <c r="T1666" s="14" t="s">
        <v>55</v>
      </c>
    </row>
    <row r="1667" spans="1:20" ht="16.5">
      <c r="A1667" s="21" t="s">
        <v>4598</v>
      </c>
      <c r="B1667" s="17" t="s">
        <v>578</v>
      </c>
      <c r="C1667" s="17" t="s">
        <v>300</v>
      </c>
      <c r="D1667" s="18" t="s">
        <v>5308</v>
      </c>
      <c r="E1667" s="17" t="s">
        <v>589</v>
      </c>
      <c r="F1667" s="17" t="s">
        <v>62</v>
      </c>
      <c r="G1667" s="19" t="s">
        <v>5333</v>
      </c>
      <c r="H1667" s="20" t="s">
        <v>6099</v>
      </c>
      <c r="I1667" s="17" t="s">
        <v>2155</v>
      </c>
      <c r="J1667" s="21">
        <v>1</v>
      </c>
      <c r="K1667" s="21" t="s">
        <v>5406</v>
      </c>
      <c r="L1667" s="21" t="s">
        <v>6100</v>
      </c>
      <c r="M1667" s="19" t="s">
        <v>5311</v>
      </c>
      <c r="N1667" s="19" t="s">
        <v>594</v>
      </c>
      <c r="O1667" s="19" t="s">
        <v>5336</v>
      </c>
      <c r="P1667" s="19"/>
      <c r="Q1667" s="18" t="s">
        <v>53</v>
      </c>
      <c r="R1667" s="16" t="s">
        <v>54</v>
      </c>
      <c r="S1667" s="19" t="s">
        <v>5415</v>
      </c>
      <c r="T1667" s="21" t="s">
        <v>55</v>
      </c>
    </row>
    <row r="1668" spans="1:20" ht="16.5">
      <c r="A1668" s="14" t="s">
        <v>4598</v>
      </c>
      <c r="B1668" s="11" t="s">
        <v>578</v>
      </c>
      <c r="C1668" s="11" t="s">
        <v>1250</v>
      </c>
      <c r="D1668" s="12" t="s">
        <v>2751</v>
      </c>
      <c r="E1668" s="11" t="s">
        <v>579</v>
      </c>
      <c r="F1668" s="11" t="s">
        <v>62</v>
      </c>
      <c r="G1668" s="15" t="s">
        <v>5333</v>
      </c>
      <c r="H1668" s="13" t="s">
        <v>6101</v>
      </c>
      <c r="I1668" s="11" t="s">
        <v>2155</v>
      </c>
      <c r="J1668" s="14">
        <v>1</v>
      </c>
      <c r="K1668" s="14" t="s">
        <v>5406</v>
      </c>
      <c r="L1668" s="14" t="s">
        <v>6102</v>
      </c>
      <c r="M1668" s="15" t="s">
        <v>2753</v>
      </c>
      <c r="N1668" s="15" t="s">
        <v>583</v>
      </c>
      <c r="O1668" s="15" t="s">
        <v>5336</v>
      </c>
      <c r="P1668" s="15"/>
      <c r="Q1668" s="12" t="s">
        <v>53</v>
      </c>
      <c r="R1668" s="16" t="s">
        <v>54</v>
      </c>
      <c r="S1668" s="15" t="s">
        <v>5415</v>
      </c>
      <c r="T1668" s="14" t="s">
        <v>55</v>
      </c>
    </row>
    <row r="1669" spans="1:20" ht="16.5">
      <c r="A1669" s="21" t="s">
        <v>4598</v>
      </c>
      <c r="B1669" s="17" t="s">
        <v>578</v>
      </c>
      <c r="C1669" s="17" t="s">
        <v>62</v>
      </c>
      <c r="D1669" s="19" t="s">
        <v>5333</v>
      </c>
      <c r="E1669" s="17" t="s">
        <v>635</v>
      </c>
      <c r="F1669" s="17" t="s">
        <v>300</v>
      </c>
      <c r="G1669" s="19" t="s">
        <v>6103</v>
      </c>
      <c r="H1669" s="20" t="s">
        <v>6104</v>
      </c>
      <c r="I1669" s="17" t="s">
        <v>3113</v>
      </c>
      <c r="J1669" s="21">
        <v>1</v>
      </c>
      <c r="K1669" s="21" t="s">
        <v>5406</v>
      </c>
      <c r="L1669" s="21" t="s">
        <v>6105</v>
      </c>
      <c r="M1669" s="19" t="s">
        <v>5336</v>
      </c>
      <c r="N1669" s="19" t="s">
        <v>640</v>
      </c>
      <c r="O1669" s="19" t="s">
        <v>6106</v>
      </c>
      <c r="P1669" s="19"/>
      <c r="Q1669" s="18" t="s">
        <v>53</v>
      </c>
      <c r="R1669" s="16" t="s">
        <v>54</v>
      </c>
      <c r="S1669" s="19" t="s">
        <v>5415</v>
      </c>
      <c r="T1669" s="21" t="s">
        <v>55</v>
      </c>
    </row>
    <row r="1670" spans="1:20" ht="16.5">
      <c r="A1670" s="14" t="s">
        <v>4598</v>
      </c>
      <c r="B1670" s="11" t="s">
        <v>578</v>
      </c>
      <c r="C1670" s="11" t="s">
        <v>300</v>
      </c>
      <c r="D1670" s="15" t="s">
        <v>6103</v>
      </c>
      <c r="E1670" s="11" t="s">
        <v>579</v>
      </c>
      <c r="F1670" s="11" t="s">
        <v>62</v>
      </c>
      <c r="G1670" s="12" t="s">
        <v>5483</v>
      </c>
      <c r="H1670" s="23" t="s">
        <v>584</v>
      </c>
      <c r="I1670" s="11" t="s">
        <v>1257</v>
      </c>
      <c r="J1670" s="14">
        <v>1</v>
      </c>
      <c r="K1670" s="14" t="s">
        <v>5406</v>
      </c>
      <c r="L1670" s="14" t="s">
        <v>6107</v>
      </c>
      <c r="M1670" s="15" t="s">
        <v>6106</v>
      </c>
      <c r="N1670" s="15" t="s">
        <v>583</v>
      </c>
      <c r="O1670" s="15" t="s">
        <v>5486</v>
      </c>
      <c r="P1670" s="15"/>
      <c r="Q1670" s="12" t="s">
        <v>53</v>
      </c>
      <c r="R1670" s="16" t="s">
        <v>54</v>
      </c>
      <c r="S1670" s="15" t="s">
        <v>5415</v>
      </c>
      <c r="T1670" s="14" t="s">
        <v>55</v>
      </c>
    </row>
    <row r="1671" spans="1:20" ht="16.5">
      <c r="A1671" s="21" t="s">
        <v>4598</v>
      </c>
      <c r="B1671" s="17" t="s">
        <v>578</v>
      </c>
      <c r="C1671" s="17" t="s">
        <v>62</v>
      </c>
      <c r="D1671" s="18" t="s">
        <v>5483</v>
      </c>
      <c r="E1671" s="17" t="s">
        <v>45</v>
      </c>
      <c r="F1671" s="17" t="s">
        <v>62</v>
      </c>
      <c r="G1671" s="19" t="s">
        <v>5516</v>
      </c>
      <c r="H1671" s="20" t="s">
        <v>6108</v>
      </c>
      <c r="I1671" s="17" t="s">
        <v>3115</v>
      </c>
      <c r="J1671" s="21">
        <v>1</v>
      </c>
      <c r="K1671" s="21" t="s">
        <v>5406</v>
      </c>
      <c r="L1671" s="21" t="s">
        <v>6109</v>
      </c>
      <c r="M1671" s="19" t="s">
        <v>5486</v>
      </c>
      <c r="N1671" s="19" t="s">
        <v>51</v>
      </c>
      <c r="O1671" s="19" t="s">
        <v>5519</v>
      </c>
      <c r="P1671" s="19"/>
      <c r="Q1671" s="18" t="s">
        <v>53</v>
      </c>
      <c r="R1671" s="16" t="s">
        <v>54</v>
      </c>
      <c r="S1671" s="19" t="s">
        <v>5415</v>
      </c>
      <c r="T1671" s="21" t="s">
        <v>55</v>
      </c>
    </row>
    <row r="1672" spans="1:20" ht="16.5">
      <c r="A1672" s="14" t="s">
        <v>4598</v>
      </c>
      <c r="B1672" s="11" t="s">
        <v>578</v>
      </c>
      <c r="C1672" s="11" t="s">
        <v>300</v>
      </c>
      <c r="D1672" s="12" t="s">
        <v>6110</v>
      </c>
      <c r="E1672" s="11" t="s">
        <v>579</v>
      </c>
      <c r="F1672" s="11" t="s">
        <v>62</v>
      </c>
      <c r="G1672" s="15" t="s">
        <v>5516</v>
      </c>
      <c r="H1672" s="23" t="s">
        <v>6111</v>
      </c>
      <c r="I1672" s="11" t="s">
        <v>1720</v>
      </c>
      <c r="J1672" s="14">
        <v>1</v>
      </c>
      <c r="K1672" s="14" t="s">
        <v>5406</v>
      </c>
      <c r="L1672" s="14" t="s">
        <v>6112</v>
      </c>
      <c r="M1672" s="15" t="s">
        <v>6113</v>
      </c>
      <c r="N1672" s="15" t="s">
        <v>583</v>
      </c>
      <c r="O1672" s="15" t="s">
        <v>5519</v>
      </c>
      <c r="P1672" s="15"/>
      <c r="Q1672" s="12" t="s">
        <v>53</v>
      </c>
      <c r="R1672" s="16" t="s">
        <v>54</v>
      </c>
      <c r="S1672" s="15" t="s">
        <v>5415</v>
      </c>
      <c r="T1672" s="14" t="s">
        <v>55</v>
      </c>
    </row>
    <row r="1673" spans="1:20" ht="16.5">
      <c r="A1673" s="21" t="s">
        <v>4598</v>
      </c>
      <c r="B1673" s="17" t="s">
        <v>578</v>
      </c>
      <c r="C1673" s="17" t="s">
        <v>62</v>
      </c>
      <c r="D1673" s="19" t="s">
        <v>5566</v>
      </c>
      <c r="E1673" s="17" t="s">
        <v>635</v>
      </c>
      <c r="F1673" s="17" t="s">
        <v>300</v>
      </c>
      <c r="G1673" s="18" t="s">
        <v>6110</v>
      </c>
      <c r="H1673" s="24" t="s">
        <v>584</v>
      </c>
      <c r="I1673" s="17" t="s">
        <v>1720</v>
      </c>
      <c r="J1673" s="21">
        <v>1</v>
      </c>
      <c r="K1673" s="21" t="s">
        <v>5406</v>
      </c>
      <c r="L1673" s="21" t="s">
        <v>6114</v>
      </c>
      <c r="M1673" s="19" t="s">
        <v>5569</v>
      </c>
      <c r="N1673" s="19" t="s">
        <v>640</v>
      </c>
      <c r="O1673" s="19" t="s">
        <v>6113</v>
      </c>
      <c r="P1673" s="19"/>
      <c r="Q1673" s="18" t="s">
        <v>53</v>
      </c>
      <c r="R1673" s="16" t="s">
        <v>54</v>
      </c>
      <c r="S1673" s="19" t="s">
        <v>5415</v>
      </c>
      <c r="T1673" s="21" t="s">
        <v>55</v>
      </c>
    </row>
    <row r="1674" spans="1:20" ht="16.5">
      <c r="A1674" s="14" t="s">
        <v>4598</v>
      </c>
      <c r="B1674" s="11" t="s">
        <v>578</v>
      </c>
      <c r="C1674" s="11" t="s">
        <v>62</v>
      </c>
      <c r="D1674" s="15" t="s">
        <v>5516</v>
      </c>
      <c r="E1674" s="11" t="s">
        <v>612</v>
      </c>
      <c r="F1674" s="11" t="s">
        <v>300</v>
      </c>
      <c r="G1674" s="15" t="s">
        <v>5693</v>
      </c>
      <c r="H1674" s="23" t="s">
        <v>584</v>
      </c>
      <c r="I1674" s="11" t="s">
        <v>3115</v>
      </c>
      <c r="J1674" s="14">
        <v>1</v>
      </c>
      <c r="K1674" s="14" t="s">
        <v>5406</v>
      </c>
      <c r="L1674" s="14" t="s">
        <v>6115</v>
      </c>
      <c r="M1674" s="15" t="s">
        <v>5519</v>
      </c>
      <c r="N1674" s="15" t="s">
        <v>616</v>
      </c>
      <c r="O1674" s="15" t="s">
        <v>5696</v>
      </c>
      <c r="P1674" s="15"/>
      <c r="Q1674" s="12" t="s">
        <v>53</v>
      </c>
      <c r="R1674" s="16" t="s">
        <v>54</v>
      </c>
      <c r="S1674" s="15" t="s">
        <v>5415</v>
      </c>
      <c r="T1674" s="14" t="s">
        <v>55</v>
      </c>
    </row>
    <row r="1675" spans="1:20" ht="16.5">
      <c r="A1675" s="21" t="s">
        <v>4598</v>
      </c>
      <c r="B1675" s="17" t="s">
        <v>578</v>
      </c>
      <c r="C1675" s="17" t="s">
        <v>62</v>
      </c>
      <c r="D1675" s="19" t="s">
        <v>5516</v>
      </c>
      <c r="E1675" s="17" t="s">
        <v>612</v>
      </c>
      <c r="F1675" s="17" t="s">
        <v>300</v>
      </c>
      <c r="G1675" s="18" t="s">
        <v>5697</v>
      </c>
      <c r="H1675" s="24" t="s">
        <v>584</v>
      </c>
      <c r="I1675" s="17" t="s">
        <v>3115</v>
      </c>
      <c r="J1675" s="21">
        <v>1</v>
      </c>
      <c r="K1675" s="21" t="s">
        <v>5406</v>
      </c>
      <c r="L1675" s="21" t="s">
        <v>6116</v>
      </c>
      <c r="M1675" s="19" t="s">
        <v>5519</v>
      </c>
      <c r="N1675" s="19" t="s">
        <v>616</v>
      </c>
      <c r="O1675" s="19" t="s">
        <v>5700</v>
      </c>
      <c r="P1675" s="19"/>
      <c r="Q1675" s="18" t="s">
        <v>53</v>
      </c>
      <c r="R1675" s="16" t="s">
        <v>54</v>
      </c>
      <c r="S1675" s="19" t="s">
        <v>5415</v>
      </c>
      <c r="T1675" s="21" t="s">
        <v>55</v>
      </c>
    </row>
    <row r="1676" spans="1:20" ht="16.5">
      <c r="A1676" s="14" t="s">
        <v>4598</v>
      </c>
      <c r="B1676" s="11" t="s">
        <v>578</v>
      </c>
      <c r="C1676" s="11" t="s">
        <v>300</v>
      </c>
      <c r="D1676" s="12" t="s">
        <v>5697</v>
      </c>
      <c r="E1676" s="11" t="s">
        <v>579</v>
      </c>
      <c r="F1676" s="11" t="s">
        <v>62</v>
      </c>
      <c r="G1676" s="12" t="s">
        <v>5574</v>
      </c>
      <c r="H1676" s="23" t="s">
        <v>584</v>
      </c>
      <c r="I1676" s="11" t="s">
        <v>3115</v>
      </c>
      <c r="J1676" s="14">
        <v>1</v>
      </c>
      <c r="K1676" s="14" t="s">
        <v>5406</v>
      </c>
      <c r="L1676" s="14" t="s">
        <v>6117</v>
      </c>
      <c r="M1676" s="15" t="s">
        <v>5700</v>
      </c>
      <c r="N1676" s="15" t="s">
        <v>583</v>
      </c>
      <c r="O1676" s="15" t="s">
        <v>5577</v>
      </c>
      <c r="P1676" s="15"/>
      <c r="Q1676" s="12" t="s">
        <v>53</v>
      </c>
      <c r="R1676" s="16" t="s">
        <v>54</v>
      </c>
      <c r="S1676" s="15" t="s">
        <v>5415</v>
      </c>
      <c r="T1676" s="14" t="s">
        <v>55</v>
      </c>
    </row>
    <row r="1677" spans="1:20" ht="16.5">
      <c r="A1677" s="21" t="s">
        <v>4598</v>
      </c>
      <c r="B1677" s="17" t="s">
        <v>650</v>
      </c>
      <c r="C1677" s="17" t="s">
        <v>204</v>
      </c>
      <c r="D1677" s="18" t="s">
        <v>5612</v>
      </c>
      <c r="E1677" s="17" t="s">
        <v>667</v>
      </c>
      <c r="F1677" s="17" t="s">
        <v>204</v>
      </c>
      <c r="G1677" s="18" t="s">
        <v>5597</v>
      </c>
      <c r="H1677" s="20" t="s">
        <v>6118</v>
      </c>
      <c r="I1677" s="17" t="s">
        <v>507</v>
      </c>
      <c r="J1677" s="21">
        <v>1</v>
      </c>
      <c r="K1677" s="21" t="s">
        <v>5406</v>
      </c>
      <c r="L1677" s="21" t="s">
        <v>6119</v>
      </c>
      <c r="M1677" s="19" t="s">
        <v>5615</v>
      </c>
      <c r="N1677" s="19" t="s">
        <v>670</v>
      </c>
      <c r="O1677" s="19" t="s">
        <v>5600</v>
      </c>
      <c r="P1677" s="19" t="s">
        <v>6120</v>
      </c>
      <c r="Q1677" s="19" t="s">
        <v>661</v>
      </c>
      <c r="R1677" s="16" t="s">
        <v>54</v>
      </c>
      <c r="S1677" s="19" t="s">
        <v>5415</v>
      </c>
      <c r="T1677" s="21" t="s">
        <v>55</v>
      </c>
    </row>
    <row r="1678" spans="1:20" ht="16.5">
      <c r="A1678" s="14" t="s">
        <v>4598</v>
      </c>
      <c r="B1678" s="11" t="s">
        <v>650</v>
      </c>
      <c r="C1678" s="11" t="s">
        <v>204</v>
      </c>
      <c r="D1678" s="12" t="s">
        <v>5622</v>
      </c>
      <c r="E1678" s="11" t="s">
        <v>654</v>
      </c>
      <c r="F1678" s="11" t="s">
        <v>204</v>
      </c>
      <c r="G1678" s="12" t="s">
        <v>5597</v>
      </c>
      <c r="H1678" s="23" t="s">
        <v>584</v>
      </c>
      <c r="I1678" s="11" t="s">
        <v>507</v>
      </c>
      <c r="J1678" s="14">
        <v>1</v>
      </c>
      <c r="K1678" s="14" t="s">
        <v>5406</v>
      </c>
      <c r="L1678" s="14" t="s">
        <v>6121</v>
      </c>
      <c r="M1678" s="15" t="s">
        <v>5625</v>
      </c>
      <c r="N1678" s="15" t="s">
        <v>657</v>
      </c>
      <c r="O1678" s="15" t="s">
        <v>5600</v>
      </c>
      <c r="P1678" s="15" t="s">
        <v>6122</v>
      </c>
      <c r="Q1678" s="15" t="s">
        <v>661</v>
      </c>
      <c r="R1678" s="16" t="s">
        <v>54</v>
      </c>
      <c r="S1678" s="15" t="s">
        <v>5415</v>
      </c>
      <c r="T1678" s="14" t="s">
        <v>55</v>
      </c>
    </row>
    <row r="1679" spans="1:20" ht="16.5">
      <c r="A1679" s="21" t="s">
        <v>4598</v>
      </c>
      <c r="B1679" s="17" t="s">
        <v>650</v>
      </c>
      <c r="C1679" s="17" t="s">
        <v>204</v>
      </c>
      <c r="D1679" s="18" t="s">
        <v>5669</v>
      </c>
      <c r="E1679" s="17" t="s">
        <v>667</v>
      </c>
      <c r="F1679" s="17" t="s">
        <v>204</v>
      </c>
      <c r="G1679" s="18" t="s">
        <v>5657</v>
      </c>
      <c r="H1679" s="20" t="s">
        <v>6123</v>
      </c>
      <c r="I1679" s="17" t="s">
        <v>652</v>
      </c>
      <c r="J1679" s="21">
        <v>1</v>
      </c>
      <c r="K1679" s="21" t="s">
        <v>5406</v>
      </c>
      <c r="L1679" s="21" t="s">
        <v>6124</v>
      </c>
      <c r="M1679" s="19" t="s">
        <v>5672</v>
      </c>
      <c r="N1679" s="19" t="s">
        <v>670</v>
      </c>
      <c r="O1679" s="19" t="s">
        <v>5660</v>
      </c>
      <c r="P1679" s="19"/>
      <c r="Q1679" s="18" t="s">
        <v>286</v>
      </c>
      <c r="R1679" s="22" t="s">
        <v>88</v>
      </c>
      <c r="S1679" s="19" t="s">
        <v>5415</v>
      </c>
      <c r="T1679" s="21" t="s">
        <v>55</v>
      </c>
    </row>
    <row r="1680" spans="1:20" ht="16.5">
      <c r="A1680" s="14" t="s">
        <v>4598</v>
      </c>
      <c r="B1680" s="11" t="s">
        <v>650</v>
      </c>
      <c r="C1680" s="11" t="s">
        <v>204</v>
      </c>
      <c r="D1680" s="12" t="s">
        <v>5657</v>
      </c>
      <c r="E1680" s="11" t="s">
        <v>654</v>
      </c>
      <c r="F1680" s="11" t="s">
        <v>295</v>
      </c>
      <c r="G1680" s="12" t="s">
        <v>5661</v>
      </c>
      <c r="H1680" s="13" t="s">
        <v>6125</v>
      </c>
      <c r="I1680" s="11" t="s">
        <v>652</v>
      </c>
      <c r="J1680" s="14">
        <v>1</v>
      </c>
      <c r="K1680" s="14" t="s">
        <v>5406</v>
      </c>
      <c r="L1680" s="14" t="s">
        <v>6126</v>
      </c>
      <c r="M1680" s="15" t="s">
        <v>5660</v>
      </c>
      <c r="N1680" s="15" t="s">
        <v>657</v>
      </c>
      <c r="O1680" s="15" t="s">
        <v>5664</v>
      </c>
      <c r="P1680" s="15"/>
      <c r="Q1680" s="12" t="s">
        <v>286</v>
      </c>
      <c r="R1680" s="22" t="s">
        <v>88</v>
      </c>
      <c r="S1680" s="15" t="s">
        <v>5415</v>
      </c>
      <c r="T1680" s="14" t="s">
        <v>55</v>
      </c>
    </row>
    <row r="1681" spans="1:20" ht="16.5">
      <c r="A1681" s="21" t="s">
        <v>4598</v>
      </c>
      <c r="B1681" s="17" t="s">
        <v>650</v>
      </c>
      <c r="C1681" s="17" t="s">
        <v>204</v>
      </c>
      <c r="D1681" s="18" t="s">
        <v>5597</v>
      </c>
      <c r="E1681" s="17" t="s">
        <v>505</v>
      </c>
      <c r="F1681" s="17" t="s">
        <v>204</v>
      </c>
      <c r="G1681" s="19" t="s">
        <v>5673</v>
      </c>
      <c r="H1681" s="20" t="s">
        <v>6127</v>
      </c>
      <c r="I1681" s="17" t="s">
        <v>652</v>
      </c>
      <c r="J1681" s="21">
        <v>1</v>
      </c>
      <c r="K1681" s="21" t="s">
        <v>5406</v>
      </c>
      <c r="L1681" s="21" t="s">
        <v>6128</v>
      </c>
      <c r="M1681" s="19" t="s">
        <v>5600</v>
      </c>
      <c r="N1681" s="19" t="s">
        <v>509</v>
      </c>
      <c r="O1681" s="19" t="s">
        <v>5676</v>
      </c>
      <c r="P1681" s="19" t="s">
        <v>6129</v>
      </c>
      <c r="Q1681" s="18" t="s">
        <v>286</v>
      </c>
      <c r="R1681" s="22" t="s">
        <v>88</v>
      </c>
      <c r="S1681" s="19" t="s">
        <v>5415</v>
      </c>
      <c r="T1681" s="21" t="s">
        <v>55</v>
      </c>
    </row>
    <row r="1682" spans="1:20" ht="16.5">
      <c r="A1682" s="14" t="s">
        <v>4598</v>
      </c>
      <c r="B1682" s="11" t="s">
        <v>650</v>
      </c>
      <c r="C1682" s="11" t="s">
        <v>204</v>
      </c>
      <c r="D1682" s="12" t="s">
        <v>5592</v>
      </c>
      <c r="E1682" s="11" t="s">
        <v>667</v>
      </c>
      <c r="F1682" s="11" t="s">
        <v>204</v>
      </c>
      <c r="G1682" s="15" t="s">
        <v>5673</v>
      </c>
      <c r="H1682" s="13" t="s">
        <v>6130</v>
      </c>
      <c r="I1682" s="11" t="s">
        <v>652</v>
      </c>
      <c r="J1682" s="14">
        <v>1</v>
      </c>
      <c r="K1682" s="14" t="s">
        <v>5406</v>
      </c>
      <c r="L1682" s="14" t="s">
        <v>6131</v>
      </c>
      <c r="M1682" s="15" t="s">
        <v>5595</v>
      </c>
      <c r="N1682" s="15" t="s">
        <v>670</v>
      </c>
      <c r="O1682" s="15" t="s">
        <v>5676</v>
      </c>
      <c r="P1682" s="15" t="s">
        <v>6132</v>
      </c>
      <c r="Q1682" s="12" t="s">
        <v>286</v>
      </c>
      <c r="R1682" s="22" t="s">
        <v>88</v>
      </c>
      <c r="S1682" s="15" t="s">
        <v>5415</v>
      </c>
      <c r="T1682" s="14" t="s">
        <v>55</v>
      </c>
    </row>
    <row r="1683" spans="1:20" ht="16.5">
      <c r="A1683" s="21" t="s">
        <v>4598</v>
      </c>
      <c r="B1683" s="17" t="s">
        <v>650</v>
      </c>
      <c r="C1683" s="17" t="s">
        <v>204</v>
      </c>
      <c r="D1683" s="19" t="s">
        <v>5673</v>
      </c>
      <c r="E1683" s="17" t="s">
        <v>654</v>
      </c>
      <c r="F1683" s="17" t="s">
        <v>295</v>
      </c>
      <c r="G1683" s="18" t="s">
        <v>5677</v>
      </c>
      <c r="H1683" s="24" t="s">
        <v>584</v>
      </c>
      <c r="I1683" s="17" t="s">
        <v>652</v>
      </c>
      <c r="J1683" s="21">
        <v>1</v>
      </c>
      <c r="K1683" s="21" t="s">
        <v>5406</v>
      </c>
      <c r="L1683" s="21" t="s">
        <v>6133</v>
      </c>
      <c r="M1683" s="19" t="s">
        <v>5676</v>
      </c>
      <c r="N1683" s="19" t="s">
        <v>657</v>
      </c>
      <c r="O1683" s="19" t="s">
        <v>5680</v>
      </c>
      <c r="P1683" s="19"/>
      <c r="Q1683" s="18" t="s">
        <v>286</v>
      </c>
      <c r="R1683" s="22" t="s">
        <v>88</v>
      </c>
      <c r="S1683" s="19" t="s">
        <v>5415</v>
      </c>
      <c r="T1683" s="21" t="s">
        <v>55</v>
      </c>
    </row>
    <row r="1684" spans="1:20" ht="16.5">
      <c r="A1684" s="14" t="s">
        <v>4598</v>
      </c>
      <c r="B1684" s="11" t="s">
        <v>650</v>
      </c>
      <c r="C1684" s="11" t="s">
        <v>204</v>
      </c>
      <c r="D1684" s="12" t="s">
        <v>5665</v>
      </c>
      <c r="E1684" s="11" t="s">
        <v>667</v>
      </c>
      <c r="F1684" s="11" t="s">
        <v>295</v>
      </c>
      <c r="G1684" s="12" t="s">
        <v>5661</v>
      </c>
      <c r="H1684" s="13" t="s">
        <v>6134</v>
      </c>
      <c r="I1684" s="11" t="s">
        <v>652</v>
      </c>
      <c r="J1684" s="14">
        <v>2</v>
      </c>
      <c r="K1684" s="14" t="s">
        <v>5406</v>
      </c>
      <c r="L1684" s="14" t="s">
        <v>6135</v>
      </c>
      <c r="M1684" s="15" t="s">
        <v>5668</v>
      </c>
      <c r="N1684" s="15" t="s">
        <v>670</v>
      </c>
      <c r="O1684" s="15" t="s">
        <v>5664</v>
      </c>
      <c r="P1684" s="15"/>
      <c r="Q1684" s="12" t="s">
        <v>286</v>
      </c>
      <c r="R1684" s="22" t="s">
        <v>88</v>
      </c>
      <c r="S1684" s="15" t="s">
        <v>5415</v>
      </c>
      <c r="T1684" s="14" t="s">
        <v>55</v>
      </c>
    </row>
    <row r="1685" spans="1:20" ht="16.5">
      <c r="A1685" s="21" t="s">
        <v>4598</v>
      </c>
      <c r="B1685" s="17" t="s">
        <v>650</v>
      </c>
      <c r="C1685" s="17" t="s">
        <v>204</v>
      </c>
      <c r="D1685" s="18" t="s">
        <v>5617</v>
      </c>
      <c r="E1685" s="17" t="s">
        <v>505</v>
      </c>
      <c r="F1685" s="17" t="s">
        <v>295</v>
      </c>
      <c r="G1685" s="18" t="s">
        <v>5661</v>
      </c>
      <c r="H1685" s="20" t="s">
        <v>6136</v>
      </c>
      <c r="I1685" s="17" t="s">
        <v>652</v>
      </c>
      <c r="J1685" s="21">
        <v>2</v>
      </c>
      <c r="K1685" s="21" t="s">
        <v>5406</v>
      </c>
      <c r="L1685" s="21" t="s">
        <v>6137</v>
      </c>
      <c r="M1685" s="19" t="s">
        <v>5620</v>
      </c>
      <c r="N1685" s="19" t="s">
        <v>509</v>
      </c>
      <c r="O1685" s="19" t="s">
        <v>5664</v>
      </c>
      <c r="P1685" s="19" t="s">
        <v>6138</v>
      </c>
      <c r="Q1685" s="18" t="s">
        <v>286</v>
      </c>
      <c r="R1685" s="22" t="s">
        <v>88</v>
      </c>
      <c r="S1685" s="19" t="s">
        <v>5415</v>
      </c>
      <c r="T1685" s="21" t="s">
        <v>55</v>
      </c>
    </row>
    <row r="1686" spans="1:20" ht="16.5">
      <c r="A1686" s="14" t="s">
        <v>4598</v>
      </c>
      <c r="B1686" s="11" t="s">
        <v>650</v>
      </c>
      <c r="C1686" s="11" t="s">
        <v>295</v>
      </c>
      <c r="D1686" s="12" t="s">
        <v>5661</v>
      </c>
      <c r="E1686" s="11" t="s">
        <v>654</v>
      </c>
      <c r="F1686" s="11" t="s">
        <v>295</v>
      </c>
      <c r="G1686" s="12" t="s">
        <v>5681</v>
      </c>
      <c r="H1686" s="13" t="s">
        <v>6139</v>
      </c>
      <c r="I1686" s="11" t="s">
        <v>652</v>
      </c>
      <c r="J1686" s="14">
        <v>1</v>
      </c>
      <c r="K1686" s="14" t="s">
        <v>5406</v>
      </c>
      <c r="L1686" s="14" t="s">
        <v>6140</v>
      </c>
      <c r="M1686" s="15" t="s">
        <v>5664</v>
      </c>
      <c r="N1686" s="15" t="s">
        <v>657</v>
      </c>
      <c r="O1686" s="15" t="s">
        <v>5684</v>
      </c>
      <c r="P1686" s="15"/>
      <c r="Q1686" s="12" t="s">
        <v>286</v>
      </c>
      <c r="R1686" s="22" t="s">
        <v>88</v>
      </c>
      <c r="S1686" s="15" t="s">
        <v>5415</v>
      </c>
      <c r="T1686" s="14" t="s">
        <v>55</v>
      </c>
    </row>
    <row r="1687" spans="1:20" ht="16.5">
      <c r="A1687" s="21" t="s">
        <v>4598</v>
      </c>
      <c r="B1687" s="17" t="s">
        <v>650</v>
      </c>
      <c r="C1687" s="17" t="s">
        <v>204</v>
      </c>
      <c r="D1687" s="18" t="s">
        <v>5637</v>
      </c>
      <c r="E1687" s="17" t="s">
        <v>654</v>
      </c>
      <c r="F1687" s="17" t="s">
        <v>295</v>
      </c>
      <c r="G1687" s="19" t="s">
        <v>5685</v>
      </c>
      <c r="H1687" s="20" t="s">
        <v>6141</v>
      </c>
      <c r="I1687" s="17" t="s">
        <v>652</v>
      </c>
      <c r="J1687" s="21">
        <v>1</v>
      </c>
      <c r="K1687" s="21" t="s">
        <v>5406</v>
      </c>
      <c r="L1687" s="21" t="s">
        <v>6142</v>
      </c>
      <c r="M1687" s="19" t="s">
        <v>5640</v>
      </c>
      <c r="N1687" s="19" t="s">
        <v>657</v>
      </c>
      <c r="O1687" s="19" t="s">
        <v>5688</v>
      </c>
      <c r="P1687" s="19" t="s">
        <v>6143</v>
      </c>
      <c r="Q1687" s="18" t="s">
        <v>286</v>
      </c>
      <c r="R1687" s="22" t="s">
        <v>88</v>
      </c>
      <c r="S1687" s="19" t="s">
        <v>5415</v>
      </c>
      <c r="T1687" s="21" t="s">
        <v>55</v>
      </c>
    </row>
    <row r="1688" spans="1:20" ht="16.5">
      <c r="A1688" s="14" t="s">
        <v>4598</v>
      </c>
      <c r="B1688" s="11" t="s">
        <v>650</v>
      </c>
      <c r="C1688" s="11" t="s">
        <v>204</v>
      </c>
      <c r="D1688" s="12" t="s">
        <v>5637</v>
      </c>
      <c r="E1688" s="11" t="s">
        <v>667</v>
      </c>
      <c r="F1688" s="11" t="s">
        <v>295</v>
      </c>
      <c r="G1688" s="12" t="s">
        <v>5689</v>
      </c>
      <c r="H1688" s="13" t="s">
        <v>6144</v>
      </c>
      <c r="I1688" s="11" t="s">
        <v>652</v>
      </c>
      <c r="J1688" s="14">
        <v>2</v>
      </c>
      <c r="K1688" s="14" t="s">
        <v>5406</v>
      </c>
      <c r="L1688" s="14" t="s">
        <v>6145</v>
      </c>
      <c r="M1688" s="15" t="s">
        <v>5640</v>
      </c>
      <c r="N1688" s="15" t="s">
        <v>670</v>
      </c>
      <c r="O1688" s="15" t="s">
        <v>5692</v>
      </c>
      <c r="P1688" s="15" t="s">
        <v>6143</v>
      </c>
      <c r="Q1688" s="12" t="s">
        <v>286</v>
      </c>
      <c r="R1688" s="22" t="s">
        <v>88</v>
      </c>
      <c r="S1688" s="15" t="s">
        <v>5415</v>
      </c>
      <c r="T1688" s="14" t="s">
        <v>55</v>
      </c>
    </row>
    <row r="1689" spans="1:20" ht="16.5">
      <c r="A1689" s="21" t="s">
        <v>4598</v>
      </c>
      <c r="B1689" s="17" t="s">
        <v>650</v>
      </c>
      <c r="C1689" s="17" t="s">
        <v>204</v>
      </c>
      <c r="D1689" s="18" t="s">
        <v>5642</v>
      </c>
      <c r="E1689" s="17" t="s">
        <v>667</v>
      </c>
      <c r="F1689" s="17" t="s">
        <v>295</v>
      </c>
      <c r="G1689" s="18" t="s">
        <v>5689</v>
      </c>
      <c r="H1689" s="20" t="s">
        <v>6146</v>
      </c>
      <c r="I1689" s="17" t="s">
        <v>652</v>
      </c>
      <c r="J1689" s="21">
        <v>2</v>
      </c>
      <c r="K1689" s="21" t="s">
        <v>5406</v>
      </c>
      <c r="L1689" s="21" t="s">
        <v>6147</v>
      </c>
      <c r="M1689" s="19" t="s">
        <v>5645</v>
      </c>
      <c r="N1689" s="19" t="s">
        <v>670</v>
      </c>
      <c r="O1689" s="19" t="s">
        <v>5692</v>
      </c>
      <c r="P1689" s="19" t="s">
        <v>5646</v>
      </c>
      <c r="Q1689" s="18" t="s">
        <v>286</v>
      </c>
      <c r="R1689" s="22" t="s">
        <v>88</v>
      </c>
      <c r="S1689" s="19" t="s">
        <v>5415</v>
      </c>
      <c r="T1689" s="21" t="s">
        <v>55</v>
      </c>
    </row>
    <row r="1690" spans="1:20" ht="16.5">
      <c r="A1690" s="14" t="s">
        <v>4598</v>
      </c>
      <c r="B1690" s="11" t="s">
        <v>695</v>
      </c>
      <c r="C1690" s="11" t="s">
        <v>295</v>
      </c>
      <c r="D1690" s="12" t="s">
        <v>5677</v>
      </c>
      <c r="E1690" s="11" t="s">
        <v>667</v>
      </c>
      <c r="F1690" s="11" t="s">
        <v>698</v>
      </c>
      <c r="G1690" s="12" t="s">
        <v>2167</v>
      </c>
      <c r="H1690" s="23" t="s">
        <v>584</v>
      </c>
      <c r="I1690" s="11" t="s">
        <v>701</v>
      </c>
      <c r="J1690" s="14">
        <v>1</v>
      </c>
      <c r="K1690" s="14" t="s">
        <v>5406</v>
      </c>
      <c r="L1690" s="14" t="s">
        <v>6148</v>
      </c>
      <c r="M1690" s="15" t="s">
        <v>5680</v>
      </c>
      <c r="N1690" s="15" t="s">
        <v>670</v>
      </c>
      <c r="O1690" s="15" t="s">
        <v>2169</v>
      </c>
      <c r="P1690" s="15"/>
      <c r="Q1690" s="12" t="s">
        <v>286</v>
      </c>
      <c r="R1690" s="22" t="s">
        <v>88</v>
      </c>
      <c r="S1690" s="15" t="s">
        <v>5415</v>
      </c>
      <c r="T1690" s="14" t="s">
        <v>55</v>
      </c>
    </row>
    <row r="1691" spans="1:20" ht="16.5">
      <c r="A1691" s="21" t="s">
        <v>4598</v>
      </c>
      <c r="B1691" s="17" t="s">
        <v>695</v>
      </c>
      <c r="C1691" s="17" t="s">
        <v>295</v>
      </c>
      <c r="D1691" s="18" t="s">
        <v>5689</v>
      </c>
      <c r="E1691" s="17" t="s">
        <v>654</v>
      </c>
      <c r="F1691" s="17" t="s">
        <v>295</v>
      </c>
      <c r="G1691" s="18" t="s">
        <v>5677</v>
      </c>
      <c r="H1691" s="24" t="s">
        <v>584</v>
      </c>
      <c r="I1691" s="17" t="s">
        <v>701</v>
      </c>
      <c r="J1691" s="21">
        <v>1</v>
      </c>
      <c r="K1691" s="21" t="s">
        <v>5406</v>
      </c>
      <c r="L1691" s="21" t="s">
        <v>6149</v>
      </c>
      <c r="M1691" s="19" t="s">
        <v>5692</v>
      </c>
      <c r="N1691" s="19" t="s">
        <v>657</v>
      </c>
      <c r="O1691" s="19" t="s">
        <v>5680</v>
      </c>
      <c r="P1691" s="19"/>
      <c r="Q1691" s="18" t="s">
        <v>286</v>
      </c>
      <c r="R1691" s="22" t="s">
        <v>88</v>
      </c>
      <c r="S1691" s="19" t="s">
        <v>5415</v>
      </c>
      <c r="T1691" s="21" t="s">
        <v>55</v>
      </c>
    </row>
    <row r="1692" spans="1:20" ht="16.5">
      <c r="A1692" s="14" t="s">
        <v>4598</v>
      </c>
      <c r="B1692" s="11" t="s">
        <v>695</v>
      </c>
      <c r="C1692" s="11" t="s">
        <v>295</v>
      </c>
      <c r="D1692" s="12" t="s">
        <v>5681</v>
      </c>
      <c r="E1692" s="11" t="s">
        <v>667</v>
      </c>
      <c r="F1692" s="11" t="s">
        <v>295</v>
      </c>
      <c r="G1692" s="15" t="s">
        <v>6150</v>
      </c>
      <c r="H1692" s="13" t="s">
        <v>6151</v>
      </c>
      <c r="I1692" s="11" t="s">
        <v>696</v>
      </c>
      <c r="J1692" s="14">
        <v>1</v>
      </c>
      <c r="K1692" s="14" t="s">
        <v>5406</v>
      </c>
      <c r="L1692" s="14" t="s">
        <v>6152</v>
      </c>
      <c r="M1692" s="15" t="s">
        <v>5684</v>
      </c>
      <c r="N1692" s="15" t="s">
        <v>670</v>
      </c>
      <c r="O1692" s="15" t="s">
        <v>6153</v>
      </c>
      <c r="P1692" s="15"/>
      <c r="Q1692" s="12" t="s">
        <v>286</v>
      </c>
      <c r="R1692" s="22" t="s">
        <v>88</v>
      </c>
      <c r="S1692" s="15" t="s">
        <v>5415</v>
      </c>
      <c r="T1692" s="14" t="s">
        <v>55</v>
      </c>
    </row>
    <row r="1693" spans="1:20" ht="16.5">
      <c r="A1693" s="21" t="s">
        <v>4598</v>
      </c>
      <c r="B1693" s="17" t="s">
        <v>695</v>
      </c>
      <c r="C1693" s="17" t="s">
        <v>295</v>
      </c>
      <c r="D1693" s="19" t="s">
        <v>5685</v>
      </c>
      <c r="E1693" s="17" t="s">
        <v>654</v>
      </c>
      <c r="F1693" s="17" t="s">
        <v>295</v>
      </c>
      <c r="G1693" s="19" t="s">
        <v>2170</v>
      </c>
      <c r="H1693" s="24" t="s">
        <v>584</v>
      </c>
      <c r="I1693" s="17" t="s">
        <v>696</v>
      </c>
      <c r="J1693" s="21">
        <v>1</v>
      </c>
      <c r="K1693" s="21" t="s">
        <v>5406</v>
      </c>
      <c r="L1693" s="21" t="s">
        <v>6154</v>
      </c>
      <c r="M1693" s="19" t="s">
        <v>5688</v>
      </c>
      <c r="N1693" s="19" t="s">
        <v>657</v>
      </c>
      <c r="O1693" s="19" t="s">
        <v>2173</v>
      </c>
      <c r="P1693" s="19"/>
      <c r="Q1693" s="18" t="s">
        <v>286</v>
      </c>
      <c r="R1693" s="22" t="s">
        <v>88</v>
      </c>
      <c r="S1693" s="19" t="s">
        <v>5415</v>
      </c>
      <c r="T1693" s="21" t="s">
        <v>55</v>
      </c>
    </row>
    <row r="1694" spans="1:20" ht="16.5">
      <c r="A1694" s="14" t="s">
        <v>4603</v>
      </c>
      <c r="B1694" s="11" t="s">
        <v>43</v>
      </c>
      <c r="C1694" s="11" t="s">
        <v>44</v>
      </c>
      <c r="D1694" s="15" t="s">
        <v>4603</v>
      </c>
      <c r="E1694" s="11" t="s">
        <v>45</v>
      </c>
      <c r="F1694" s="11" t="s">
        <v>44</v>
      </c>
      <c r="G1694" s="15" t="s">
        <v>4598</v>
      </c>
      <c r="H1694" s="13" t="s">
        <v>6155</v>
      </c>
      <c r="I1694" s="11" t="s">
        <v>43</v>
      </c>
      <c r="J1694" s="14">
        <v>1</v>
      </c>
      <c r="K1694" s="14" t="s">
        <v>6156</v>
      </c>
      <c r="L1694" s="14" t="s">
        <v>6157</v>
      </c>
      <c r="M1694" s="15" t="s">
        <v>4606</v>
      </c>
      <c r="N1694" s="15" t="s">
        <v>51</v>
      </c>
      <c r="O1694" s="15" t="s">
        <v>4602</v>
      </c>
      <c r="P1694" s="15"/>
      <c r="Q1694" s="12" t="s">
        <v>53</v>
      </c>
      <c r="R1694" s="16" t="s">
        <v>54</v>
      </c>
      <c r="S1694" s="15"/>
      <c r="T1694" s="14" t="s">
        <v>55</v>
      </c>
    </row>
    <row r="1695" spans="1:20" ht="16.5">
      <c r="A1695" s="21" t="s">
        <v>4603</v>
      </c>
      <c r="B1695" s="17" t="s">
        <v>60</v>
      </c>
      <c r="C1695" s="17" t="s">
        <v>44</v>
      </c>
      <c r="D1695" s="19" t="s">
        <v>4603</v>
      </c>
      <c r="E1695" s="17" t="s">
        <v>61</v>
      </c>
      <c r="F1695" s="17" t="s">
        <v>62</v>
      </c>
      <c r="G1695" s="18" t="s">
        <v>6158</v>
      </c>
      <c r="H1695" s="24" t="s">
        <v>6159</v>
      </c>
      <c r="I1695" s="17" t="s">
        <v>65</v>
      </c>
      <c r="J1695" s="21">
        <v>1</v>
      </c>
      <c r="K1695" s="21" t="s">
        <v>6156</v>
      </c>
      <c r="L1695" s="21" t="s">
        <v>6160</v>
      </c>
      <c r="M1695" s="19" t="s">
        <v>4606</v>
      </c>
      <c r="N1695" s="19" t="s">
        <v>67</v>
      </c>
      <c r="O1695" s="19" t="s">
        <v>6161</v>
      </c>
      <c r="P1695" s="19"/>
      <c r="Q1695" s="18" t="s">
        <v>69</v>
      </c>
      <c r="R1695" s="16" t="s">
        <v>54</v>
      </c>
      <c r="S1695" s="19" t="s">
        <v>4603</v>
      </c>
      <c r="T1695" s="21" t="s">
        <v>55</v>
      </c>
    </row>
    <row r="1696" spans="1:20" ht="16.5">
      <c r="A1696" s="14" t="s">
        <v>4603</v>
      </c>
      <c r="B1696" s="11" t="s">
        <v>60</v>
      </c>
      <c r="C1696" s="11" t="s">
        <v>62</v>
      </c>
      <c r="D1696" s="12" t="s">
        <v>6158</v>
      </c>
      <c r="E1696" s="11" t="s">
        <v>81</v>
      </c>
      <c r="F1696" s="11" t="s">
        <v>82</v>
      </c>
      <c r="G1696" s="12" t="s">
        <v>6162</v>
      </c>
      <c r="H1696" s="13" t="s">
        <v>6163</v>
      </c>
      <c r="I1696" s="11" t="s">
        <v>65</v>
      </c>
      <c r="J1696" s="14">
        <v>1</v>
      </c>
      <c r="K1696" s="14" t="s">
        <v>6156</v>
      </c>
      <c r="L1696" s="14" t="s">
        <v>6164</v>
      </c>
      <c r="M1696" s="15" t="s">
        <v>6161</v>
      </c>
      <c r="N1696" s="15" t="s">
        <v>86</v>
      </c>
      <c r="O1696" s="15" t="s">
        <v>6165</v>
      </c>
      <c r="P1696" s="15"/>
      <c r="Q1696" s="12" t="s">
        <v>53</v>
      </c>
      <c r="R1696" s="22" t="s">
        <v>88</v>
      </c>
      <c r="S1696" s="15" t="s">
        <v>4603</v>
      </c>
      <c r="T1696" s="14" t="s">
        <v>55</v>
      </c>
    </row>
    <row r="1697" spans="1:20" ht="16.5">
      <c r="A1697" s="21" t="s">
        <v>4603</v>
      </c>
      <c r="B1697" s="17" t="s">
        <v>60</v>
      </c>
      <c r="C1697" s="17" t="s">
        <v>44</v>
      </c>
      <c r="D1697" s="19" t="s">
        <v>4603</v>
      </c>
      <c r="E1697" s="17" t="s">
        <v>61</v>
      </c>
      <c r="F1697" s="17" t="s">
        <v>62</v>
      </c>
      <c r="G1697" s="18" t="s">
        <v>6166</v>
      </c>
      <c r="H1697" s="24" t="s">
        <v>6167</v>
      </c>
      <c r="I1697" s="17" t="s">
        <v>65</v>
      </c>
      <c r="J1697" s="21">
        <v>1</v>
      </c>
      <c r="K1697" s="21" t="s">
        <v>6156</v>
      </c>
      <c r="L1697" s="21" t="s">
        <v>6168</v>
      </c>
      <c r="M1697" s="19" t="s">
        <v>4606</v>
      </c>
      <c r="N1697" s="19" t="s">
        <v>67</v>
      </c>
      <c r="O1697" s="19" t="s">
        <v>6169</v>
      </c>
      <c r="P1697" s="19"/>
      <c r="Q1697" s="18" t="s">
        <v>69</v>
      </c>
      <c r="R1697" s="16" t="s">
        <v>54</v>
      </c>
      <c r="S1697" s="19" t="s">
        <v>4603</v>
      </c>
      <c r="T1697" s="21" t="s">
        <v>55</v>
      </c>
    </row>
    <row r="1698" spans="1:20" ht="16.5">
      <c r="A1698" s="14" t="s">
        <v>4603</v>
      </c>
      <c r="B1698" s="11" t="s">
        <v>60</v>
      </c>
      <c r="C1698" s="11" t="s">
        <v>62</v>
      </c>
      <c r="D1698" s="12" t="s">
        <v>6166</v>
      </c>
      <c r="E1698" s="11" t="s">
        <v>81</v>
      </c>
      <c r="F1698" s="11" t="s">
        <v>82</v>
      </c>
      <c r="G1698" s="12" t="s">
        <v>6170</v>
      </c>
      <c r="H1698" s="13" t="s">
        <v>6171</v>
      </c>
      <c r="I1698" s="11" t="s">
        <v>65</v>
      </c>
      <c r="J1698" s="14">
        <v>1</v>
      </c>
      <c r="K1698" s="14" t="s">
        <v>6156</v>
      </c>
      <c r="L1698" s="14" t="s">
        <v>6172</v>
      </c>
      <c r="M1698" s="15" t="s">
        <v>6169</v>
      </c>
      <c r="N1698" s="15" t="s">
        <v>86</v>
      </c>
      <c r="O1698" s="15" t="s">
        <v>6173</v>
      </c>
      <c r="P1698" s="15"/>
      <c r="Q1698" s="12" t="s">
        <v>53</v>
      </c>
      <c r="R1698" s="22" t="s">
        <v>88</v>
      </c>
      <c r="S1698" s="15" t="s">
        <v>4603</v>
      </c>
      <c r="T1698" s="14" t="s">
        <v>55</v>
      </c>
    </row>
    <row r="1699" spans="1:20" ht="16.5">
      <c r="A1699" s="21" t="s">
        <v>4603</v>
      </c>
      <c r="B1699" s="17" t="s">
        <v>60</v>
      </c>
      <c r="C1699" s="17" t="s">
        <v>62</v>
      </c>
      <c r="D1699" s="18" t="s">
        <v>6166</v>
      </c>
      <c r="E1699" s="17" t="s">
        <v>81</v>
      </c>
      <c r="F1699" s="17" t="s">
        <v>82</v>
      </c>
      <c r="G1699" s="18" t="s">
        <v>6174</v>
      </c>
      <c r="H1699" s="20" t="s">
        <v>6175</v>
      </c>
      <c r="I1699" s="17" t="s">
        <v>65</v>
      </c>
      <c r="J1699" s="21">
        <v>1</v>
      </c>
      <c r="K1699" s="21" t="s">
        <v>6156</v>
      </c>
      <c r="L1699" s="21" t="s">
        <v>6176</v>
      </c>
      <c r="M1699" s="19" t="s">
        <v>6169</v>
      </c>
      <c r="N1699" s="19" t="s">
        <v>86</v>
      </c>
      <c r="O1699" s="19" t="s">
        <v>6177</v>
      </c>
      <c r="P1699" s="19"/>
      <c r="Q1699" s="18" t="s">
        <v>53</v>
      </c>
      <c r="R1699" s="22" t="s">
        <v>88</v>
      </c>
      <c r="S1699" s="19" t="s">
        <v>4603</v>
      </c>
      <c r="T1699" s="21" t="s">
        <v>55</v>
      </c>
    </row>
    <row r="1700" spans="1:20" ht="16.5">
      <c r="A1700" s="14" t="s">
        <v>4603</v>
      </c>
      <c r="B1700" s="11" t="s">
        <v>60</v>
      </c>
      <c r="C1700" s="11" t="s">
        <v>62</v>
      </c>
      <c r="D1700" s="12" t="s">
        <v>6166</v>
      </c>
      <c r="E1700" s="11" t="s">
        <v>81</v>
      </c>
      <c r="F1700" s="11" t="s">
        <v>82</v>
      </c>
      <c r="G1700" s="12" t="s">
        <v>6178</v>
      </c>
      <c r="H1700" s="13" t="s">
        <v>6179</v>
      </c>
      <c r="I1700" s="11" t="s">
        <v>65</v>
      </c>
      <c r="J1700" s="14">
        <v>1</v>
      </c>
      <c r="K1700" s="14" t="s">
        <v>6156</v>
      </c>
      <c r="L1700" s="14" t="s">
        <v>6180</v>
      </c>
      <c r="M1700" s="15" t="s">
        <v>6169</v>
      </c>
      <c r="N1700" s="15" t="s">
        <v>86</v>
      </c>
      <c r="O1700" s="15" t="s">
        <v>6181</v>
      </c>
      <c r="P1700" s="15"/>
      <c r="Q1700" s="12" t="s">
        <v>53</v>
      </c>
      <c r="R1700" s="22" t="s">
        <v>88</v>
      </c>
      <c r="S1700" s="15" t="s">
        <v>4603</v>
      </c>
      <c r="T1700" s="14" t="s">
        <v>55</v>
      </c>
    </row>
    <row r="1701" spans="1:20" ht="16.5">
      <c r="A1701" s="21" t="s">
        <v>4603</v>
      </c>
      <c r="B1701" s="17" t="s">
        <v>60</v>
      </c>
      <c r="C1701" s="17" t="s">
        <v>62</v>
      </c>
      <c r="D1701" s="18" t="s">
        <v>6166</v>
      </c>
      <c r="E1701" s="17" t="s">
        <v>81</v>
      </c>
      <c r="F1701" s="17" t="s">
        <v>82</v>
      </c>
      <c r="G1701" s="18" t="s">
        <v>6182</v>
      </c>
      <c r="H1701" s="20" t="s">
        <v>6183</v>
      </c>
      <c r="I1701" s="17" t="s">
        <v>65</v>
      </c>
      <c r="J1701" s="21">
        <v>1</v>
      </c>
      <c r="K1701" s="21" t="s">
        <v>6156</v>
      </c>
      <c r="L1701" s="21" t="s">
        <v>6184</v>
      </c>
      <c r="M1701" s="19" t="s">
        <v>6169</v>
      </c>
      <c r="N1701" s="19" t="s">
        <v>86</v>
      </c>
      <c r="O1701" s="19" t="s">
        <v>6185</v>
      </c>
      <c r="P1701" s="19"/>
      <c r="Q1701" s="18" t="s">
        <v>53</v>
      </c>
      <c r="R1701" s="22" t="s">
        <v>88</v>
      </c>
      <c r="S1701" s="19" t="s">
        <v>4603</v>
      </c>
      <c r="T1701" s="21" t="s">
        <v>55</v>
      </c>
    </row>
    <row r="1702" spans="1:20" ht="16.5">
      <c r="A1702" s="14" t="s">
        <v>4603</v>
      </c>
      <c r="B1702" s="11" t="s">
        <v>60</v>
      </c>
      <c r="C1702" s="11" t="s">
        <v>44</v>
      </c>
      <c r="D1702" s="15" t="s">
        <v>4603</v>
      </c>
      <c r="E1702" s="11" t="s">
        <v>61</v>
      </c>
      <c r="F1702" s="11" t="s">
        <v>62</v>
      </c>
      <c r="G1702" s="12" t="s">
        <v>6186</v>
      </c>
      <c r="H1702" s="23" t="s">
        <v>6187</v>
      </c>
      <c r="I1702" s="11" t="s">
        <v>65</v>
      </c>
      <c r="J1702" s="14">
        <v>1</v>
      </c>
      <c r="K1702" s="14" t="s">
        <v>6156</v>
      </c>
      <c r="L1702" s="14" t="s">
        <v>6188</v>
      </c>
      <c r="M1702" s="15" t="s">
        <v>4606</v>
      </c>
      <c r="N1702" s="15" t="s">
        <v>67</v>
      </c>
      <c r="O1702" s="15" t="s">
        <v>6189</v>
      </c>
      <c r="P1702" s="15"/>
      <c r="Q1702" s="12" t="s">
        <v>69</v>
      </c>
      <c r="R1702" s="16" t="s">
        <v>54</v>
      </c>
      <c r="S1702" s="15" t="s">
        <v>4603</v>
      </c>
      <c r="T1702" s="14" t="s">
        <v>55</v>
      </c>
    </row>
    <row r="1703" spans="1:20" ht="16.5">
      <c r="A1703" s="21" t="s">
        <v>4603</v>
      </c>
      <c r="B1703" s="17" t="s">
        <v>60</v>
      </c>
      <c r="C1703" s="17" t="s">
        <v>62</v>
      </c>
      <c r="D1703" s="18" t="s">
        <v>6186</v>
      </c>
      <c r="E1703" s="17" t="s">
        <v>81</v>
      </c>
      <c r="F1703" s="17" t="s">
        <v>82</v>
      </c>
      <c r="G1703" s="18" t="s">
        <v>6190</v>
      </c>
      <c r="H1703" s="20" t="s">
        <v>6191</v>
      </c>
      <c r="I1703" s="17" t="s">
        <v>65</v>
      </c>
      <c r="J1703" s="21">
        <v>1</v>
      </c>
      <c r="K1703" s="21" t="s">
        <v>6156</v>
      </c>
      <c r="L1703" s="21" t="s">
        <v>6192</v>
      </c>
      <c r="M1703" s="19" t="s">
        <v>6189</v>
      </c>
      <c r="N1703" s="19" t="s">
        <v>86</v>
      </c>
      <c r="O1703" s="19" t="s">
        <v>6193</v>
      </c>
      <c r="P1703" s="19"/>
      <c r="Q1703" s="18" t="s">
        <v>53</v>
      </c>
      <c r="R1703" s="22" t="s">
        <v>88</v>
      </c>
      <c r="S1703" s="19" t="s">
        <v>4603</v>
      </c>
      <c r="T1703" s="21" t="s">
        <v>55</v>
      </c>
    </row>
    <row r="1704" spans="1:20" ht="16.5">
      <c r="A1704" s="14" t="s">
        <v>4603</v>
      </c>
      <c r="B1704" s="11" t="s">
        <v>60</v>
      </c>
      <c r="C1704" s="11" t="s">
        <v>62</v>
      </c>
      <c r="D1704" s="12" t="s">
        <v>6186</v>
      </c>
      <c r="E1704" s="11" t="s">
        <v>81</v>
      </c>
      <c r="F1704" s="11" t="s">
        <v>82</v>
      </c>
      <c r="G1704" s="12" t="s">
        <v>6194</v>
      </c>
      <c r="H1704" s="13" t="s">
        <v>6195</v>
      </c>
      <c r="I1704" s="11" t="s">
        <v>65</v>
      </c>
      <c r="J1704" s="14">
        <v>1</v>
      </c>
      <c r="K1704" s="14" t="s">
        <v>6156</v>
      </c>
      <c r="L1704" s="14" t="s">
        <v>6196</v>
      </c>
      <c r="M1704" s="15" t="s">
        <v>6189</v>
      </c>
      <c r="N1704" s="15" t="s">
        <v>86</v>
      </c>
      <c r="O1704" s="15" t="s">
        <v>6197</v>
      </c>
      <c r="P1704" s="15"/>
      <c r="Q1704" s="12" t="s">
        <v>53</v>
      </c>
      <c r="R1704" s="22" t="s">
        <v>88</v>
      </c>
      <c r="S1704" s="15" t="s">
        <v>4603</v>
      </c>
      <c r="T1704" s="14" t="s">
        <v>55</v>
      </c>
    </row>
    <row r="1705" spans="1:20" ht="16.5">
      <c r="A1705" s="21" t="s">
        <v>4603</v>
      </c>
      <c r="B1705" s="17" t="s">
        <v>60</v>
      </c>
      <c r="C1705" s="17" t="s">
        <v>62</v>
      </c>
      <c r="D1705" s="18" t="s">
        <v>6186</v>
      </c>
      <c r="E1705" s="17" t="s">
        <v>81</v>
      </c>
      <c r="F1705" s="17" t="s">
        <v>82</v>
      </c>
      <c r="G1705" s="18" t="s">
        <v>6198</v>
      </c>
      <c r="H1705" s="20" t="s">
        <v>6199</v>
      </c>
      <c r="I1705" s="17" t="s">
        <v>65</v>
      </c>
      <c r="J1705" s="21">
        <v>1</v>
      </c>
      <c r="K1705" s="21" t="s">
        <v>6156</v>
      </c>
      <c r="L1705" s="21" t="s">
        <v>6200</v>
      </c>
      <c r="M1705" s="19" t="s">
        <v>6189</v>
      </c>
      <c r="N1705" s="19" t="s">
        <v>86</v>
      </c>
      <c r="O1705" s="19" t="s">
        <v>6201</v>
      </c>
      <c r="P1705" s="19"/>
      <c r="Q1705" s="18" t="s">
        <v>53</v>
      </c>
      <c r="R1705" s="22" t="s">
        <v>88</v>
      </c>
      <c r="S1705" s="19" t="s">
        <v>4603</v>
      </c>
      <c r="T1705" s="21" t="s">
        <v>55</v>
      </c>
    </row>
    <row r="1706" spans="1:20" ht="16.5">
      <c r="A1706" s="14" t="s">
        <v>4603</v>
      </c>
      <c r="B1706" s="11" t="s">
        <v>60</v>
      </c>
      <c r="C1706" s="11" t="s">
        <v>62</v>
      </c>
      <c r="D1706" s="12" t="s">
        <v>6186</v>
      </c>
      <c r="E1706" s="11" t="s">
        <v>81</v>
      </c>
      <c r="F1706" s="11" t="s">
        <v>82</v>
      </c>
      <c r="G1706" s="12" t="s">
        <v>6202</v>
      </c>
      <c r="H1706" s="13" t="s">
        <v>6203</v>
      </c>
      <c r="I1706" s="11" t="s">
        <v>65</v>
      </c>
      <c r="J1706" s="14">
        <v>1</v>
      </c>
      <c r="K1706" s="14" t="s">
        <v>6156</v>
      </c>
      <c r="L1706" s="14" t="s">
        <v>6204</v>
      </c>
      <c r="M1706" s="15" t="s">
        <v>6189</v>
      </c>
      <c r="N1706" s="15" t="s">
        <v>86</v>
      </c>
      <c r="O1706" s="15" t="s">
        <v>6205</v>
      </c>
      <c r="P1706" s="15"/>
      <c r="Q1706" s="12" t="s">
        <v>53</v>
      </c>
      <c r="R1706" s="22" t="s">
        <v>88</v>
      </c>
      <c r="S1706" s="15" t="s">
        <v>4603</v>
      </c>
      <c r="T1706" s="14" t="s">
        <v>55</v>
      </c>
    </row>
    <row r="1707" spans="1:20" ht="16.5">
      <c r="A1707" s="21" t="s">
        <v>4603</v>
      </c>
      <c r="B1707" s="17" t="s">
        <v>60</v>
      </c>
      <c r="C1707" s="17" t="s">
        <v>44</v>
      </c>
      <c r="D1707" s="19" t="s">
        <v>4603</v>
      </c>
      <c r="E1707" s="17" t="s">
        <v>61</v>
      </c>
      <c r="F1707" s="17" t="s">
        <v>62</v>
      </c>
      <c r="G1707" s="18" t="s">
        <v>6206</v>
      </c>
      <c r="H1707" s="24" t="s">
        <v>6207</v>
      </c>
      <c r="I1707" s="17" t="s">
        <v>65</v>
      </c>
      <c r="J1707" s="21">
        <v>1</v>
      </c>
      <c r="K1707" s="21" t="s">
        <v>6156</v>
      </c>
      <c r="L1707" s="21" t="s">
        <v>6208</v>
      </c>
      <c r="M1707" s="19" t="s">
        <v>4606</v>
      </c>
      <c r="N1707" s="19" t="s">
        <v>67</v>
      </c>
      <c r="O1707" s="19" t="s">
        <v>6209</v>
      </c>
      <c r="P1707" s="19"/>
      <c r="Q1707" s="18" t="s">
        <v>69</v>
      </c>
      <c r="R1707" s="16" t="s">
        <v>54</v>
      </c>
      <c r="S1707" s="19" t="s">
        <v>4603</v>
      </c>
      <c r="T1707" s="21" t="s">
        <v>55</v>
      </c>
    </row>
    <row r="1708" spans="1:20" ht="16.5">
      <c r="A1708" s="14" t="s">
        <v>4603</v>
      </c>
      <c r="B1708" s="11" t="s">
        <v>60</v>
      </c>
      <c r="C1708" s="11" t="s">
        <v>62</v>
      </c>
      <c r="D1708" s="12" t="s">
        <v>6206</v>
      </c>
      <c r="E1708" s="11" t="s">
        <v>71</v>
      </c>
      <c r="F1708" s="11" t="s">
        <v>72</v>
      </c>
      <c r="G1708" s="15" t="s">
        <v>6210</v>
      </c>
      <c r="H1708" s="13" t="s">
        <v>6211</v>
      </c>
      <c r="I1708" s="11" t="s">
        <v>65</v>
      </c>
      <c r="J1708" s="14">
        <v>1</v>
      </c>
      <c r="K1708" s="14" t="s">
        <v>6156</v>
      </c>
      <c r="L1708" s="14" t="s">
        <v>6212</v>
      </c>
      <c r="M1708" s="15" t="s">
        <v>6209</v>
      </c>
      <c r="N1708" s="15" t="s">
        <v>76</v>
      </c>
      <c r="O1708" s="15" t="s">
        <v>6213</v>
      </c>
      <c r="P1708" s="15"/>
      <c r="Q1708" s="12" t="s">
        <v>69</v>
      </c>
      <c r="R1708" s="16" t="s">
        <v>54</v>
      </c>
      <c r="S1708" s="15" t="s">
        <v>4603</v>
      </c>
      <c r="T1708" s="14" t="s">
        <v>55</v>
      </c>
    </row>
    <row r="1709" spans="1:20" ht="16.5">
      <c r="A1709" s="21" t="s">
        <v>4603</v>
      </c>
      <c r="B1709" s="17" t="s">
        <v>60</v>
      </c>
      <c r="C1709" s="17" t="s">
        <v>62</v>
      </c>
      <c r="D1709" s="18" t="s">
        <v>6206</v>
      </c>
      <c r="E1709" s="17" t="s">
        <v>71</v>
      </c>
      <c r="F1709" s="17" t="s">
        <v>72</v>
      </c>
      <c r="G1709" s="19" t="s">
        <v>6214</v>
      </c>
      <c r="H1709" s="20" t="s">
        <v>6211</v>
      </c>
      <c r="I1709" s="17" t="s">
        <v>65</v>
      </c>
      <c r="J1709" s="21">
        <v>1</v>
      </c>
      <c r="K1709" s="21" t="s">
        <v>6156</v>
      </c>
      <c r="L1709" s="21" t="s">
        <v>6215</v>
      </c>
      <c r="M1709" s="19" t="s">
        <v>6209</v>
      </c>
      <c r="N1709" s="19" t="s">
        <v>76</v>
      </c>
      <c r="O1709" s="19" t="s">
        <v>6216</v>
      </c>
      <c r="P1709" s="19"/>
      <c r="Q1709" s="18" t="s">
        <v>69</v>
      </c>
      <c r="R1709" s="16" t="s">
        <v>54</v>
      </c>
      <c r="S1709" s="19" t="s">
        <v>4603</v>
      </c>
      <c r="T1709" s="21" t="s">
        <v>55</v>
      </c>
    </row>
    <row r="1710" spans="1:20" ht="16.5">
      <c r="A1710" s="14" t="s">
        <v>4603</v>
      </c>
      <c r="B1710" s="11" t="s">
        <v>60</v>
      </c>
      <c r="C1710" s="11" t="s">
        <v>62</v>
      </c>
      <c r="D1710" s="12" t="s">
        <v>6206</v>
      </c>
      <c r="E1710" s="11" t="s">
        <v>71</v>
      </c>
      <c r="F1710" s="11" t="s">
        <v>72</v>
      </c>
      <c r="G1710" s="15" t="s">
        <v>6217</v>
      </c>
      <c r="H1710" s="13" t="s">
        <v>6211</v>
      </c>
      <c r="I1710" s="11" t="s">
        <v>65</v>
      </c>
      <c r="J1710" s="14">
        <v>1</v>
      </c>
      <c r="K1710" s="14" t="s">
        <v>6156</v>
      </c>
      <c r="L1710" s="14" t="s">
        <v>6218</v>
      </c>
      <c r="M1710" s="15" t="s">
        <v>6209</v>
      </c>
      <c r="N1710" s="15" t="s">
        <v>76</v>
      </c>
      <c r="O1710" s="15" t="s">
        <v>6219</v>
      </c>
      <c r="P1710" s="15"/>
      <c r="Q1710" s="12" t="s">
        <v>69</v>
      </c>
      <c r="R1710" s="16" t="s">
        <v>54</v>
      </c>
      <c r="S1710" s="15" t="s">
        <v>4603</v>
      </c>
      <c r="T1710" s="14" t="s">
        <v>55</v>
      </c>
    </row>
    <row r="1711" spans="1:20" ht="16.5">
      <c r="A1711" s="21" t="s">
        <v>4603</v>
      </c>
      <c r="B1711" s="17" t="s">
        <v>60</v>
      </c>
      <c r="C1711" s="17" t="s">
        <v>62</v>
      </c>
      <c r="D1711" s="18" t="s">
        <v>6206</v>
      </c>
      <c r="E1711" s="17" t="s">
        <v>71</v>
      </c>
      <c r="F1711" s="17" t="s">
        <v>72</v>
      </c>
      <c r="G1711" s="19" t="s">
        <v>6220</v>
      </c>
      <c r="H1711" s="20" t="s">
        <v>6211</v>
      </c>
      <c r="I1711" s="17" t="s">
        <v>65</v>
      </c>
      <c r="J1711" s="21">
        <v>1</v>
      </c>
      <c r="K1711" s="21" t="s">
        <v>6156</v>
      </c>
      <c r="L1711" s="21" t="s">
        <v>6221</v>
      </c>
      <c r="M1711" s="19" t="s">
        <v>6209</v>
      </c>
      <c r="N1711" s="19" t="s">
        <v>76</v>
      </c>
      <c r="O1711" s="19" t="s">
        <v>6222</v>
      </c>
      <c r="P1711" s="19"/>
      <c r="Q1711" s="18" t="s">
        <v>69</v>
      </c>
      <c r="R1711" s="16" t="s">
        <v>54</v>
      </c>
      <c r="S1711" s="19" t="s">
        <v>4603</v>
      </c>
      <c r="T1711" s="21" t="s">
        <v>55</v>
      </c>
    </row>
    <row r="1712" spans="1:20" ht="16.5">
      <c r="A1712" s="14" t="s">
        <v>4603</v>
      </c>
      <c r="B1712" s="11" t="s">
        <v>60</v>
      </c>
      <c r="C1712" s="11" t="s">
        <v>62</v>
      </c>
      <c r="D1712" s="12" t="s">
        <v>6206</v>
      </c>
      <c r="E1712" s="11" t="s">
        <v>81</v>
      </c>
      <c r="F1712" s="11" t="s">
        <v>82</v>
      </c>
      <c r="G1712" s="12" t="s">
        <v>6223</v>
      </c>
      <c r="H1712" s="13" t="s">
        <v>6224</v>
      </c>
      <c r="I1712" s="11" t="s">
        <v>65</v>
      </c>
      <c r="J1712" s="14">
        <v>1</v>
      </c>
      <c r="K1712" s="14" t="s">
        <v>6156</v>
      </c>
      <c r="L1712" s="14" t="s">
        <v>6225</v>
      </c>
      <c r="M1712" s="15" t="s">
        <v>6209</v>
      </c>
      <c r="N1712" s="15" t="s">
        <v>86</v>
      </c>
      <c r="O1712" s="15" t="s">
        <v>6226</v>
      </c>
      <c r="P1712" s="15"/>
      <c r="Q1712" s="12" t="s">
        <v>53</v>
      </c>
      <c r="R1712" s="22" t="s">
        <v>88</v>
      </c>
      <c r="S1712" s="15" t="s">
        <v>4603</v>
      </c>
      <c r="T1712" s="14" t="s">
        <v>55</v>
      </c>
    </row>
    <row r="1713" spans="1:20" ht="16.5">
      <c r="A1713" s="21" t="s">
        <v>4603</v>
      </c>
      <c r="B1713" s="17" t="s">
        <v>60</v>
      </c>
      <c r="C1713" s="17" t="s">
        <v>44</v>
      </c>
      <c r="D1713" s="19" t="s">
        <v>4603</v>
      </c>
      <c r="E1713" s="17" t="s">
        <v>61</v>
      </c>
      <c r="F1713" s="17" t="s">
        <v>62</v>
      </c>
      <c r="G1713" s="18" t="s">
        <v>6227</v>
      </c>
      <c r="H1713" s="24" t="s">
        <v>6228</v>
      </c>
      <c r="I1713" s="17" t="s">
        <v>65</v>
      </c>
      <c r="J1713" s="21">
        <v>1</v>
      </c>
      <c r="K1713" s="21" t="s">
        <v>6156</v>
      </c>
      <c r="L1713" s="21" t="s">
        <v>6229</v>
      </c>
      <c r="M1713" s="19" t="s">
        <v>4606</v>
      </c>
      <c r="N1713" s="19" t="s">
        <v>67</v>
      </c>
      <c r="O1713" s="19" t="s">
        <v>6230</v>
      </c>
      <c r="P1713" s="19"/>
      <c r="Q1713" s="18" t="s">
        <v>69</v>
      </c>
      <c r="R1713" s="16" t="s">
        <v>54</v>
      </c>
      <c r="S1713" s="19" t="s">
        <v>4603</v>
      </c>
      <c r="T1713" s="21" t="s">
        <v>55</v>
      </c>
    </row>
    <row r="1714" spans="1:20" ht="16.5">
      <c r="A1714" s="14" t="s">
        <v>4603</v>
      </c>
      <c r="B1714" s="11" t="s">
        <v>60</v>
      </c>
      <c r="C1714" s="11" t="s">
        <v>62</v>
      </c>
      <c r="D1714" s="12" t="s">
        <v>6227</v>
      </c>
      <c r="E1714" s="11" t="s">
        <v>71</v>
      </c>
      <c r="F1714" s="11" t="s">
        <v>72</v>
      </c>
      <c r="G1714" s="15" t="s">
        <v>5435</v>
      </c>
      <c r="H1714" s="13" t="s">
        <v>6231</v>
      </c>
      <c r="I1714" s="11" t="s">
        <v>65</v>
      </c>
      <c r="J1714" s="14">
        <v>1</v>
      </c>
      <c r="K1714" s="14" t="s">
        <v>6156</v>
      </c>
      <c r="L1714" s="14" t="s">
        <v>6232</v>
      </c>
      <c r="M1714" s="15" t="s">
        <v>6230</v>
      </c>
      <c r="N1714" s="15" t="s">
        <v>76</v>
      </c>
      <c r="O1714" s="15" t="s">
        <v>5437</v>
      </c>
      <c r="P1714" s="15"/>
      <c r="Q1714" s="12" t="s">
        <v>69</v>
      </c>
      <c r="R1714" s="16" t="s">
        <v>54</v>
      </c>
      <c r="S1714" s="15" t="s">
        <v>4603</v>
      </c>
      <c r="T1714" s="14" t="s">
        <v>55</v>
      </c>
    </row>
    <row r="1715" spans="1:20" ht="16.5">
      <c r="A1715" s="21" t="s">
        <v>4603</v>
      </c>
      <c r="B1715" s="17" t="s">
        <v>60</v>
      </c>
      <c r="C1715" s="17" t="s">
        <v>62</v>
      </c>
      <c r="D1715" s="18" t="s">
        <v>6227</v>
      </c>
      <c r="E1715" s="17" t="s">
        <v>71</v>
      </c>
      <c r="F1715" s="17" t="s">
        <v>72</v>
      </c>
      <c r="G1715" s="19" t="s">
        <v>5438</v>
      </c>
      <c r="H1715" s="20" t="s">
        <v>6231</v>
      </c>
      <c r="I1715" s="17" t="s">
        <v>65</v>
      </c>
      <c r="J1715" s="21">
        <v>1</v>
      </c>
      <c r="K1715" s="21" t="s">
        <v>6156</v>
      </c>
      <c r="L1715" s="21" t="s">
        <v>6233</v>
      </c>
      <c r="M1715" s="19" t="s">
        <v>6230</v>
      </c>
      <c r="N1715" s="19" t="s">
        <v>76</v>
      </c>
      <c r="O1715" s="19" t="s">
        <v>5440</v>
      </c>
      <c r="P1715" s="19"/>
      <c r="Q1715" s="18" t="s">
        <v>69</v>
      </c>
      <c r="R1715" s="16" t="s">
        <v>54</v>
      </c>
      <c r="S1715" s="19" t="s">
        <v>4603</v>
      </c>
      <c r="T1715" s="21" t="s">
        <v>55</v>
      </c>
    </row>
    <row r="1716" spans="1:20" ht="16.5">
      <c r="A1716" s="14" t="s">
        <v>4603</v>
      </c>
      <c r="B1716" s="11" t="s">
        <v>60</v>
      </c>
      <c r="C1716" s="11" t="s">
        <v>62</v>
      </c>
      <c r="D1716" s="12" t="s">
        <v>6227</v>
      </c>
      <c r="E1716" s="11" t="s">
        <v>81</v>
      </c>
      <c r="F1716" s="11" t="s">
        <v>82</v>
      </c>
      <c r="G1716" s="12" t="s">
        <v>6234</v>
      </c>
      <c r="H1716" s="13" t="s">
        <v>6235</v>
      </c>
      <c r="I1716" s="11" t="s">
        <v>65</v>
      </c>
      <c r="J1716" s="14">
        <v>1</v>
      </c>
      <c r="K1716" s="14" t="s">
        <v>6156</v>
      </c>
      <c r="L1716" s="14" t="s">
        <v>6236</v>
      </c>
      <c r="M1716" s="15" t="s">
        <v>6230</v>
      </c>
      <c r="N1716" s="15" t="s">
        <v>86</v>
      </c>
      <c r="O1716" s="15" t="s">
        <v>6237</v>
      </c>
      <c r="P1716" s="15"/>
      <c r="Q1716" s="12" t="s">
        <v>53</v>
      </c>
      <c r="R1716" s="22" t="s">
        <v>88</v>
      </c>
      <c r="S1716" s="15" t="s">
        <v>4603</v>
      </c>
      <c r="T1716" s="14" t="s">
        <v>55</v>
      </c>
    </row>
    <row r="1717" spans="1:20" ht="16.5">
      <c r="A1717" s="21" t="s">
        <v>4603</v>
      </c>
      <c r="B1717" s="17" t="s">
        <v>60</v>
      </c>
      <c r="C1717" s="17" t="s">
        <v>62</v>
      </c>
      <c r="D1717" s="18" t="s">
        <v>6158</v>
      </c>
      <c r="E1717" s="17" t="s">
        <v>203</v>
      </c>
      <c r="F1717" s="17" t="s">
        <v>204</v>
      </c>
      <c r="G1717" s="18" t="s">
        <v>6238</v>
      </c>
      <c r="H1717" s="20" t="s">
        <v>6239</v>
      </c>
      <c r="I1717" s="17" t="s">
        <v>65</v>
      </c>
      <c r="J1717" s="21">
        <v>1</v>
      </c>
      <c r="K1717" s="21" t="s">
        <v>6156</v>
      </c>
      <c r="L1717" s="21" t="s">
        <v>6240</v>
      </c>
      <c r="M1717" s="19" t="s">
        <v>6161</v>
      </c>
      <c r="N1717" s="19" t="s">
        <v>208</v>
      </c>
      <c r="O1717" s="19" t="s">
        <v>6241</v>
      </c>
      <c r="P1717" s="19" t="s">
        <v>6242</v>
      </c>
      <c r="Q1717" s="19" t="s">
        <v>211</v>
      </c>
      <c r="R1717" s="16" t="s">
        <v>54</v>
      </c>
      <c r="S1717" s="19" t="s">
        <v>4603</v>
      </c>
      <c r="T1717" s="21" t="s">
        <v>55</v>
      </c>
    </row>
    <row r="1718" spans="1:20" ht="16.5">
      <c r="A1718" s="14" t="s">
        <v>4603</v>
      </c>
      <c r="B1718" s="11" t="s">
        <v>60</v>
      </c>
      <c r="C1718" s="11" t="s">
        <v>62</v>
      </c>
      <c r="D1718" s="12" t="s">
        <v>6166</v>
      </c>
      <c r="E1718" s="11" t="s">
        <v>203</v>
      </c>
      <c r="F1718" s="11" t="s">
        <v>204</v>
      </c>
      <c r="G1718" s="12" t="s">
        <v>6243</v>
      </c>
      <c r="H1718" s="13" t="s">
        <v>6244</v>
      </c>
      <c r="I1718" s="11" t="s">
        <v>65</v>
      </c>
      <c r="J1718" s="14">
        <v>1</v>
      </c>
      <c r="K1718" s="14" t="s">
        <v>6156</v>
      </c>
      <c r="L1718" s="14" t="s">
        <v>6245</v>
      </c>
      <c r="M1718" s="15" t="s">
        <v>6169</v>
      </c>
      <c r="N1718" s="15" t="s">
        <v>208</v>
      </c>
      <c r="O1718" s="15" t="s">
        <v>6246</v>
      </c>
      <c r="P1718" s="15" t="s">
        <v>6247</v>
      </c>
      <c r="Q1718" s="15" t="s">
        <v>211</v>
      </c>
      <c r="R1718" s="16" t="s">
        <v>54</v>
      </c>
      <c r="S1718" s="15" t="s">
        <v>4603</v>
      </c>
      <c r="T1718" s="14" t="s">
        <v>55</v>
      </c>
    </row>
    <row r="1719" spans="1:20" ht="16.5">
      <c r="A1719" s="21" t="s">
        <v>4603</v>
      </c>
      <c r="B1719" s="17" t="s">
        <v>60</v>
      </c>
      <c r="C1719" s="17" t="s">
        <v>62</v>
      </c>
      <c r="D1719" s="18" t="s">
        <v>6166</v>
      </c>
      <c r="E1719" s="17" t="s">
        <v>203</v>
      </c>
      <c r="F1719" s="17" t="s">
        <v>204</v>
      </c>
      <c r="G1719" s="18" t="s">
        <v>6248</v>
      </c>
      <c r="H1719" s="20" t="s">
        <v>6249</v>
      </c>
      <c r="I1719" s="17" t="s">
        <v>65</v>
      </c>
      <c r="J1719" s="21">
        <v>1</v>
      </c>
      <c r="K1719" s="21" t="s">
        <v>6156</v>
      </c>
      <c r="L1719" s="21" t="s">
        <v>6250</v>
      </c>
      <c r="M1719" s="19" t="s">
        <v>6169</v>
      </c>
      <c r="N1719" s="19" t="s">
        <v>208</v>
      </c>
      <c r="O1719" s="19" t="s">
        <v>6251</v>
      </c>
      <c r="P1719" s="19" t="s">
        <v>6252</v>
      </c>
      <c r="Q1719" s="19" t="s">
        <v>211</v>
      </c>
      <c r="R1719" s="16" t="s">
        <v>54</v>
      </c>
      <c r="S1719" s="19" t="s">
        <v>4603</v>
      </c>
      <c r="T1719" s="21" t="s">
        <v>55</v>
      </c>
    </row>
    <row r="1720" spans="1:20" ht="16.5">
      <c r="A1720" s="14" t="s">
        <v>4603</v>
      </c>
      <c r="B1720" s="11" t="s">
        <v>60</v>
      </c>
      <c r="C1720" s="11" t="s">
        <v>62</v>
      </c>
      <c r="D1720" s="12" t="s">
        <v>6166</v>
      </c>
      <c r="E1720" s="11" t="s">
        <v>203</v>
      </c>
      <c r="F1720" s="11" t="s">
        <v>204</v>
      </c>
      <c r="G1720" s="12" t="s">
        <v>6253</v>
      </c>
      <c r="H1720" s="13" t="s">
        <v>6254</v>
      </c>
      <c r="I1720" s="11" t="s">
        <v>65</v>
      </c>
      <c r="J1720" s="14">
        <v>1</v>
      </c>
      <c r="K1720" s="14" t="s">
        <v>6156</v>
      </c>
      <c r="L1720" s="14" t="s">
        <v>6255</v>
      </c>
      <c r="M1720" s="15" t="s">
        <v>6169</v>
      </c>
      <c r="N1720" s="15" t="s">
        <v>208</v>
      </c>
      <c r="O1720" s="15" t="s">
        <v>6256</v>
      </c>
      <c r="P1720" s="15" t="s">
        <v>6257</v>
      </c>
      <c r="Q1720" s="15" t="s">
        <v>211</v>
      </c>
      <c r="R1720" s="16" t="s">
        <v>54</v>
      </c>
      <c r="S1720" s="15" t="s">
        <v>4603</v>
      </c>
      <c r="T1720" s="14" t="s">
        <v>55</v>
      </c>
    </row>
    <row r="1721" spans="1:20" ht="16.5">
      <c r="A1721" s="21" t="s">
        <v>4603</v>
      </c>
      <c r="B1721" s="17" t="s">
        <v>60</v>
      </c>
      <c r="C1721" s="17" t="s">
        <v>62</v>
      </c>
      <c r="D1721" s="18" t="s">
        <v>6166</v>
      </c>
      <c r="E1721" s="17" t="s">
        <v>203</v>
      </c>
      <c r="F1721" s="17" t="s">
        <v>204</v>
      </c>
      <c r="G1721" s="18" t="s">
        <v>6258</v>
      </c>
      <c r="H1721" s="20" t="s">
        <v>6259</v>
      </c>
      <c r="I1721" s="17" t="s">
        <v>65</v>
      </c>
      <c r="J1721" s="21">
        <v>1</v>
      </c>
      <c r="K1721" s="21" t="s">
        <v>6156</v>
      </c>
      <c r="L1721" s="21" t="s">
        <v>6260</v>
      </c>
      <c r="M1721" s="19" t="s">
        <v>6169</v>
      </c>
      <c r="N1721" s="19" t="s">
        <v>208</v>
      </c>
      <c r="O1721" s="19" t="s">
        <v>6261</v>
      </c>
      <c r="P1721" s="19" t="s">
        <v>6262</v>
      </c>
      <c r="Q1721" s="19" t="s">
        <v>211</v>
      </c>
      <c r="R1721" s="16" t="s">
        <v>54</v>
      </c>
      <c r="S1721" s="19" t="s">
        <v>4603</v>
      </c>
      <c r="T1721" s="21" t="s">
        <v>55</v>
      </c>
    </row>
    <row r="1722" spans="1:20" ht="16.5">
      <c r="A1722" s="14" t="s">
        <v>4603</v>
      </c>
      <c r="B1722" s="11" t="s">
        <v>60</v>
      </c>
      <c r="C1722" s="11" t="s">
        <v>62</v>
      </c>
      <c r="D1722" s="12" t="s">
        <v>6186</v>
      </c>
      <c r="E1722" s="11" t="s">
        <v>203</v>
      </c>
      <c r="F1722" s="11" t="s">
        <v>204</v>
      </c>
      <c r="G1722" s="12" t="s">
        <v>6263</v>
      </c>
      <c r="H1722" s="13" t="s">
        <v>6264</v>
      </c>
      <c r="I1722" s="11" t="s">
        <v>65</v>
      </c>
      <c r="J1722" s="14">
        <v>1</v>
      </c>
      <c r="K1722" s="14" t="s">
        <v>6156</v>
      </c>
      <c r="L1722" s="14" t="s">
        <v>6265</v>
      </c>
      <c r="M1722" s="15" t="s">
        <v>6189</v>
      </c>
      <c r="N1722" s="15" t="s">
        <v>208</v>
      </c>
      <c r="O1722" s="15" t="s">
        <v>6266</v>
      </c>
      <c r="P1722" s="15" t="s">
        <v>6267</v>
      </c>
      <c r="Q1722" s="15" t="s">
        <v>211</v>
      </c>
      <c r="R1722" s="16" t="s">
        <v>54</v>
      </c>
      <c r="S1722" s="15" t="s">
        <v>4603</v>
      </c>
      <c r="T1722" s="14" t="s">
        <v>55</v>
      </c>
    </row>
    <row r="1723" spans="1:20" ht="16.5">
      <c r="A1723" s="21" t="s">
        <v>4603</v>
      </c>
      <c r="B1723" s="17" t="s">
        <v>60</v>
      </c>
      <c r="C1723" s="17" t="s">
        <v>62</v>
      </c>
      <c r="D1723" s="18" t="s">
        <v>6186</v>
      </c>
      <c r="E1723" s="17" t="s">
        <v>203</v>
      </c>
      <c r="F1723" s="17" t="s">
        <v>204</v>
      </c>
      <c r="G1723" s="18" t="s">
        <v>6268</v>
      </c>
      <c r="H1723" s="20" t="s">
        <v>6269</v>
      </c>
      <c r="I1723" s="17" t="s">
        <v>65</v>
      </c>
      <c r="J1723" s="21">
        <v>1</v>
      </c>
      <c r="K1723" s="21" t="s">
        <v>6156</v>
      </c>
      <c r="L1723" s="21" t="s">
        <v>6270</v>
      </c>
      <c r="M1723" s="19" t="s">
        <v>6189</v>
      </c>
      <c r="N1723" s="19" t="s">
        <v>208</v>
      </c>
      <c r="O1723" s="19" t="s">
        <v>6271</v>
      </c>
      <c r="P1723" s="19" t="s">
        <v>6272</v>
      </c>
      <c r="Q1723" s="19" t="s">
        <v>211</v>
      </c>
      <c r="R1723" s="16" t="s">
        <v>54</v>
      </c>
      <c r="S1723" s="19" t="s">
        <v>4603</v>
      </c>
      <c r="T1723" s="21" t="s">
        <v>55</v>
      </c>
    </row>
    <row r="1724" spans="1:20" ht="16.5">
      <c r="A1724" s="14" t="s">
        <v>4603</v>
      </c>
      <c r="B1724" s="11" t="s">
        <v>60</v>
      </c>
      <c r="C1724" s="11" t="s">
        <v>62</v>
      </c>
      <c r="D1724" s="12" t="s">
        <v>6186</v>
      </c>
      <c r="E1724" s="11" t="s">
        <v>203</v>
      </c>
      <c r="F1724" s="11" t="s">
        <v>204</v>
      </c>
      <c r="G1724" s="12" t="s">
        <v>6273</v>
      </c>
      <c r="H1724" s="13" t="s">
        <v>6274</v>
      </c>
      <c r="I1724" s="11" t="s">
        <v>65</v>
      </c>
      <c r="J1724" s="14">
        <v>1</v>
      </c>
      <c r="K1724" s="14" t="s">
        <v>6156</v>
      </c>
      <c r="L1724" s="14" t="s">
        <v>6275</v>
      </c>
      <c r="M1724" s="15" t="s">
        <v>6189</v>
      </c>
      <c r="N1724" s="15" t="s">
        <v>208</v>
      </c>
      <c r="O1724" s="15" t="s">
        <v>6276</v>
      </c>
      <c r="P1724" s="15" t="s">
        <v>6277</v>
      </c>
      <c r="Q1724" s="15" t="s">
        <v>211</v>
      </c>
      <c r="R1724" s="16" t="s">
        <v>54</v>
      </c>
      <c r="S1724" s="15" t="s">
        <v>4603</v>
      </c>
      <c r="T1724" s="14" t="s">
        <v>55</v>
      </c>
    </row>
    <row r="1725" spans="1:20" ht="16.5">
      <c r="A1725" s="21" t="s">
        <v>4603</v>
      </c>
      <c r="B1725" s="17" t="s">
        <v>60</v>
      </c>
      <c r="C1725" s="17" t="s">
        <v>62</v>
      </c>
      <c r="D1725" s="18" t="s">
        <v>6186</v>
      </c>
      <c r="E1725" s="17" t="s">
        <v>203</v>
      </c>
      <c r="F1725" s="17" t="s">
        <v>204</v>
      </c>
      <c r="G1725" s="18" t="s">
        <v>6278</v>
      </c>
      <c r="H1725" s="20" t="s">
        <v>6279</v>
      </c>
      <c r="I1725" s="17" t="s">
        <v>65</v>
      </c>
      <c r="J1725" s="21">
        <v>1</v>
      </c>
      <c r="K1725" s="21" t="s">
        <v>6156</v>
      </c>
      <c r="L1725" s="21" t="s">
        <v>6280</v>
      </c>
      <c r="M1725" s="19" t="s">
        <v>6189</v>
      </c>
      <c r="N1725" s="19" t="s">
        <v>208</v>
      </c>
      <c r="O1725" s="19" t="s">
        <v>6281</v>
      </c>
      <c r="P1725" s="19" t="s">
        <v>6282</v>
      </c>
      <c r="Q1725" s="19" t="s">
        <v>211</v>
      </c>
      <c r="R1725" s="16" t="s">
        <v>54</v>
      </c>
      <c r="S1725" s="19" t="s">
        <v>4603</v>
      </c>
      <c r="T1725" s="21" t="s">
        <v>55</v>
      </c>
    </row>
    <row r="1726" spans="1:20" ht="16.5">
      <c r="A1726" s="14" t="s">
        <v>4603</v>
      </c>
      <c r="B1726" s="11" t="s">
        <v>60</v>
      </c>
      <c r="C1726" s="11" t="s">
        <v>62</v>
      </c>
      <c r="D1726" s="12" t="s">
        <v>6158</v>
      </c>
      <c r="E1726" s="11" t="s">
        <v>203</v>
      </c>
      <c r="F1726" s="11" t="s">
        <v>204</v>
      </c>
      <c r="G1726" s="12" t="s">
        <v>6283</v>
      </c>
      <c r="H1726" s="13" t="s">
        <v>6284</v>
      </c>
      <c r="I1726" s="11" t="s">
        <v>65</v>
      </c>
      <c r="J1726" s="14">
        <v>1</v>
      </c>
      <c r="K1726" s="14" t="s">
        <v>6156</v>
      </c>
      <c r="L1726" s="14" t="s">
        <v>6285</v>
      </c>
      <c r="M1726" s="15" t="s">
        <v>6161</v>
      </c>
      <c r="N1726" s="15" t="s">
        <v>208</v>
      </c>
      <c r="O1726" s="15" t="s">
        <v>6286</v>
      </c>
      <c r="P1726" s="15" t="s">
        <v>6287</v>
      </c>
      <c r="Q1726" s="15" t="s">
        <v>211</v>
      </c>
      <c r="R1726" s="16" t="s">
        <v>54</v>
      </c>
      <c r="S1726" s="15" t="s">
        <v>4603</v>
      </c>
      <c r="T1726" s="14" t="s">
        <v>55</v>
      </c>
    </row>
    <row r="1727" spans="1:20" ht="16.5">
      <c r="A1727" s="21" t="s">
        <v>4603</v>
      </c>
      <c r="B1727" s="17" t="s">
        <v>60</v>
      </c>
      <c r="C1727" s="17" t="s">
        <v>62</v>
      </c>
      <c r="D1727" s="18" t="s">
        <v>6158</v>
      </c>
      <c r="E1727" s="17" t="s">
        <v>203</v>
      </c>
      <c r="F1727" s="17" t="s">
        <v>204</v>
      </c>
      <c r="G1727" s="18" t="s">
        <v>6288</v>
      </c>
      <c r="H1727" s="20" t="s">
        <v>6289</v>
      </c>
      <c r="I1727" s="17" t="s">
        <v>65</v>
      </c>
      <c r="J1727" s="21">
        <v>1</v>
      </c>
      <c r="K1727" s="21" t="s">
        <v>6156</v>
      </c>
      <c r="L1727" s="21" t="s">
        <v>6290</v>
      </c>
      <c r="M1727" s="19" t="s">
        <v>6161</v>
      </c>
      <c r="N1727" s="19" t="s">
        <v>208</v>
      </c>
      <c r="O1727" s="19" t="s">
        <v>6291</v>
      </c>
      <c r="P1727" s="19" t="s">
        <v>6292</v>
      </c>
      <c r="Q1727" s="19" t="s">
        <v>211</v>
      </c>
      <c r="R1727" s="16" t="s">
        <v>54</v>
      </c>
      <c r="S1727" s="19" t="s">
        <v>4603</v>
      </c>
      <c r="T1727" s="21" t="s">
        <v>55</v>
      </c>
    </row>
    <row r="1728" spans="1:20" ht="29.25">
      <c r="A1728" s="14" t="s">
        <v>4603</v>
      </c>
      <c r="B1728" s="11" t="s">
        <v>60</v>
      </c>
      <c r="C1728" s="11" t="s">
        <v>62</v>
      </c>
      <c r="D1728" s="12" t="s">
        <v>6166</v>
      </c>
      <c r="E1728" s="11" t="s">
        <v>203</v>
      </c>
      <c r="F1728" s="11" t="s">
        <v>204</v>
      </c>
      <c r="G1728" s="12" t="s">
        <v>6293</v>
      </c>
      <c r="H1728" s="13" t="s">
        <v>6294</v>
      </c>
      <c r="I1728" s="11" t="s">
        <v>65</v>
      </c>
      <c r="J1728" s="14">
        <v>1</v>
      </c>
      <c r="K1728" s="14" t="s">
        <v>6156</v>
      </c>
      <c r="L1728" s="14" t="s">
        <v>6295</v>
      </c>
      <c r="M1728" s="15" t="s">
        <v>6169</v>
      </c>
      <c r="N1728" s="15" t="s">
        <v>208</v>
      </c>
      <c r="O1728" s="15" t="s">
        <v>6296</v>
      </c>
      <c r="P1728" s="15"/>
      <c r="Q1728" s="12" t="s">
        <v>286</v>
      </c>
      <c r="R1728" s="22" t="s">
        <v>88</v>
      </c>
      <c r="S1728" s="15" t="s">
        <v>4603</v>
      </c>
      <c r="T1728" s="14" t="s">
        <v>55</v>
      </c>
    </row>
    <row r="1729" spans="1:20" ht="16.5">
      <c r="A1729" s="21" t="s">
        <v>4603</v>
      </c>
      <c r="B1729" s="17" t="s">
        <v>311</v>
      </c>
      <c r="C1729" s="17" t="s">
        <v>204</v>
      </c>
      <c r="D1729" s="18" t="s">
        <v>6238</v>
      </c>
      <c r="E1729" s="17" t="s">
        <v>312</v>
      </c>
      <c r="F1729" s="21" t="s">
        <v>313</v>
      </c>
      <c r="G1729" s="19" t="s">
        <v>6242</v>
      </c>
      <c r="H1729" s="24" t="s">
        <v>6297</v>
      </c>
      <c r="I1729" s="17" t="s">
        <v>65</v>
      </c>
      <c r="J1729" s="21">
        <v>1</v>
      </c>
      <c r="K1729" s="21" t="s">
        <v>6156</v>
      </c>
      <c r="L1729" s="21" t="s">
        <v>6298</v>
      </c>
      <c r="M1729" s="19" t="s">
        <v>6241</v>
      </c>
      <c r="N1729" s="19" t="s">
        <v>316</v>
      </c>
      <c r="O1729" s="19" t="s">
        <v>6299</v>
      </c>
      <c r="P1729" s="19" t="s">
        <v>6242</v>
      </c>
      <c r="Q1729" s="19" t="s">
        <v>211</v>
      </c>
      <c r="R1729" s="16" t="s">
        <v>54</v>
      </c>
      <c r="S1729" s="19" t="s">
        <v>4603</v>
      </c>
      <c r="T1729" s="21" t="s">
        <v>55</v>
      </c>
    </row>
    <row r="1730" spans="1:20" ht="16.5">
      <c r="A1730" s="14" t="s">
        <v>4603</v>
      </c>
      <c r="B1730" s="11" t="s">
        <v>311</v>
      </c>
      <c r="C1730" s="11" t="s">
        <v>204</v>
      </c>
      <c r="D1730" s="12" t="s">
        <v>6243</v>
      </c>
      <c r="E1730" s="11" t="s">
        <v>312</v>
      </c>
      <c r="F1730" s="14" t="s">
        <v>313</v>
      </c>
      <c r="G1730" s="15" t="s">
        <v>6247</v>
      </c>
      <c r="H1730" s="23" t="s">
        <v>6300</v>
      </c>
      <c r="I1730" s="11" t="s">
        <v>65</v>
      </c>
      <c r="J1730" s="14">
        <v>1</v>
      </c>
      <c r="K1730" s="14" t="s">
        <v>6156</v>
      </c>
      <c r="L1730" s="14" t="s">
        <v>6301</v>
      </c>
      <c r="M1730" s="15" t="s">
        <v>6246</v>
      </c>
      <c r="N1730" s="15" t="s">
        <v>316</v>
      </c>
      <c r="O1730" s="15" t="s">
        <v>6302</v>
      </c>
      <c r="P1730" s="15" t="s">
        <v>6247</v>
      </c>
      <c r="Q1730" s="15" t="s">
        <v>211</v>
      </c>
      <c r="R1730" s="16" t="s">
        <v>54</v>
      </c>
      <c r="S1730" s="15" t="s">
        <v>4603</v>
      </c>
      <c r="T1730" s="14" t="s">
        <v>55</v>
      </c>
    </row>
    <row r="1731" spans="1:20" ht="16.5">
      <c r="A1731" s="21" t="s">
        <v>4603</v>
      </c>
      <c r="B1731" s="17" t="s">
        <v>311</v>
      </c>
      <c r="C1731" s="17" t="s">
        <v>204</v>
      </c>
      <c r="D1731" s="18" t="s">
        <v>6248</v>
      </c>
      <c r="E1731" s="17" t="s">
        <v>312</v>
      </c>
      <c r="F1731" s="21" t="s">
        <v>313</v>
      </c>
      <c r="G1731" s="19" t="s">
        <v>6252</v>
      </c>
      <c r="H1731" s="24" t="s">
        <v>6303</v>
      </c>
      <c r="I1731" s="17" t="s">
        <v>65</v>
      </c>
      <c r="J1731" s="21">
        <v>1</v>
      </c>
      <c r="K1731" s="21" t="s">
        <v>6156</v>
      </c>
      <c r="L1731" s="21" t="s">
        <v>6304</v>
      </c>
      <c r="M1731" s="19" t="s">
        <v>6251</v>
      </c>
      <c r="N1731" s="19" t="s">
        <v>316</v>
      </c>
      <c r="O1731" s="19" t="s">
        <v>6305</v>
      </c>
      <c r="P1731" s="19" t="s">
        <v>6252</v>
      </c>
      <c r="Q1731" s="19" t="s">
        <v>211</v>
      </c>
      <c r="R1731" s="16" t="s">
        <v>54</v>
      </c>
      <c r="S1731" s="19" t="s">
        <v>4603</v>
      </c>
      <c r="T1731" s="21" t="s">
        <v>55</v>
      </c>
    </row>
    <row r="1732" spans="1:20" ht="16.5">
      <c r="A1732" s="14" t="s">
        <v>4603</v>
      </c>
      <c r="B1732" s="11" t="s">
        <v>311</v>
      </c>
      <c r="C1732" s="11" t="s">
        <v>204</v>
      </c>
      <c r="D1732" s="12" t="s">
        <v>6253</v>
      </c>
      <c r="E1732" s="11" t="s">
        <v>312</v>
      </c>
      <c r="F1732" s="14" t="s">
        <v>313</v>
      </c>
      <c r="G1732" s="15" t="s">
        <v>6257</v>
      </c>
      <c r="H1732" s="23" t="s">
        <v>6306</v>
      </c>
      <c r="I1732" s="11" t="s">
        <v>65</v>
      </c>
      <c r="J1732" s="14">
        <v>1</v>
      </c>
      <c r="K1732" s="14" t="s">
        <v>6156</v>
      </c>
      <c r="L1732" s="14" t="s">
        <v>6307</v>
      </c>
      <c r="M1732" s="15" t="s">
        <v>6256</v>
      </c>
      <c r="N1732" s="15" t="s">
        <v>316</v>
      </c>
      <c r="O1732" s="15" t="s">
        <v>6308</v>
      </c>
      <c r="P1732" s="15" t="s">
        <v>6257</v>
      </c>
      <c r="Q1732" s="15" t="s">
        <v>211</v>
      </c>
      <c r="R1732" s="16" t="s">
        <v>54</v>
      </c>
      <c r="S1732" s="15" t="s">
        <v>4603</v>
      </c>
      <c r="T1732" s="14" t="s">
        <v>55</v>
      </c>
    </row>
    <row r="1733" spans="1:20" ht="16.5">
      <c r="A1733" s="21" t="s">
        <v>4603</v>
      </c>
      <c r="B1733" s="17" t="s">
        <v>311</v>
      </c>
      <c r="C1733" s="17" t="s">
        <v>204</v>
      </c>
      <c r="D1733" s="18" t="s">
        <v>6258</v>
      </c>
      <c r="E1733" s="17" t="s">
        <v>312</v>
      </c>
      <c r="F1733" s="21" t="s">
        <v>313</v>
      </c>
      <c r="G1733" s="19" t="s">
        <v>6262</v>
      </c>
      <c r="H1733" s="24" t="s">
        <v>6309</v>
      </c>
      <c r="I1733" s="17" t="s">
        <v>65</v>
      </c>
      <c r="J1733" s="21">
        <v>1</v>
      </c>
      <c r="K1733" s="21" t="s">
        <v>6156</v>
      </c>
      <c r="L1733" s="21" t="s">
        <v>6310</v>
      </c>
      <c r="M1733" s="19" t="s">
        <v>6261</v>
      </c>
      <c r="N1733" s="19" t="s">
        <v>316</v>
      </c>
      <c r="O1733" s="19" t="s">
        <v>6311</v>
      </c>
      <c r="P1733" s="19" t="s">
        <v>6262</v>
      </c>
      <c r="Q1733" s="19" t="s">
        <v>211</v>
      </c>
      <c r="R1733" s="16" t="s">
        <v>54</v>
      </c>
      <c r="S1733" s="19" t="s">
        <v>4603</v>
      </c>
      <c r="T1733" s="21" t="s">
        <v>55</v>
      </c>
    </row>
    <row r="1734" spans="1:20" ht="16.5">
      <c r="A1734" s="14" t="s">
        <v>4603</v>
      </c>
      <c r="B1734" s="11" t="s">
        <v>311</v>
      </c>
      <c r="C1734" s="11" t="s">
        <v>204</v>
      </c>
      <c r="D1734" s="12" t="s">
        <v>6263</v>
      </c>
      <c r="E1734" s="11" t="s">
        <v>312</v>
      </c>
      <c r="F1734" s="14" t="s">
        <v>313</v>
      </c>
      <c r="G1734" s="15" t="s">
        <v>6267</v>
      </c>
      <c r="H1734" s="23" t="s">
        <v>6312</v>
      </c>
      <c r="I1734" s="11" t="s">
        <v>65</v>
      </c>
      <c r="J1734" s="14">
        <v>1</v>
      </c>
      <c r="K1734" s="14" t="s">
        <v>6156</v>
      </c>
      <c r="L1734" s="14" t="s">
        <v>6313</v>
      </c>
      <c r="M1734" s="15" t="s">
        <v>6266</v>
      </c>
      <c r="N1734" s="15" t="s">
        <v>316</v>
      </c>
      <c r="O1734" s="15" t="s">
        <v>6314</v>
      </c>
      <c r="P1734" s="15" t="s">
        <v>6267</v>
      </c>
      <c r="Q1734" s="15" t="s">
        <v>211</v>
      </c>
      <c r="R1734" s="16" t="s">
        <v>54</v>
      </c>
      <c r="S1734" s="15" t="s">
        <v>4603</v>
      </c>
      <c r="T1734" s="14" t="s">
        <v>55</v>
      </c>
    </row>
    <row r="1735" spans="1:20" ht="16.5">
      <c r="A1735" s="21" t="s">
        <v>4603</v>
      </c>
      <c r="B1735" s="17" t="s">
        <v>311</v>
      </c>
      <c r="C1735" s="17" t="s">
        <v>204</v>
      </c>
      <c r="D1735" s="18" t="s">
        <v>6268</v>
      </c>
      <c r="E1735" s="17" t="s">
        <v>312</v>
      </c>
      <c r="F1735" s="21" t="s">
        <v>313</v>
      </c>
      <c r="G1735" s="19" t="s">
        <v>6272</v>
      </c>
      <c r="H1735" s="24" t="s">
        <v>6315</v>
      </c>
      <c r="I1735" s="17" t="s">
        <v>65</v>
      </c>
      <c r="J1735" s="21">
        <v>1</v>
      </c>
      <c r="K1735" s="21" t="s">
        <v>6156</v>
      </c>
      <c r="L1735" s="21" t="s">
        <v>6316</v>
      </c>
      <c r="M1735" s="19" t="s">
        <v>6271</v>
      </c>
      <c r="N1735" s="19" t="s">
        <v>316</v>
      </c>
      <c r="O1735" s="19" t="s">
        <v>6317</v>
      </c>
      <c r="P1735" s="19" t="s">
        <v>6272</v>
      </c>
      <c r="Q1735" s="19" t="s">
        <v>211</v>
      </c>
      <c r="R1735" s="16" t="s">
        <v>54</v>
      </c>
      <c r="S1735" s="19" t="s">
        <v>4603</v>
      </c>
      <c r="T1735" s="21" t="s">
        <v>55</v>
      </c>
    </row>
    <row r="1736" spans="1:20" ht="16.5">
      <c r="A1736" s="14" t="s">
        <v>4603</v>
      </c>
      <c r="B1736" s="11" t="s">
        <v>311</v>
      </c>
      <c r="C1736" s="11" t="s">
        <v>204</v>
      </c>
      <c r="D1736" s="12" t="s">
        <v>6273</v>
      </c>
      <c r="E1736" s="11" t="s">
        <v>312</v>
      </c>
      <c r="F1736" s="14" t="s">
        <v>313</v>
      </c>
      <c r="G1736" s="15" t="s">
        <v>6277</v>
      </c>
      <c r="H1736" s="23" t="s">
        <v>6318</v>
      </c>
      <c r="I1736" s="11" t="s">
        <v>65</v>
      </c>
      <c r="J1736" s="14">
        <v>1</v>
      </c>
      <c r="K1736" s="14" t="s">
        <v>6156</v>
      </c>
      <c r="L1736" s="14" t="s">
        <v>6319</v>
      </c>
      <c r="M1736" s="15" t="s">
        <v>6276</v>
      </c>
      <c r="N1736" s="15" t="s">
        <v>316</v>
      </c>
      <c r="O1736" s="15" t="s">
        <v>6320</v>
      </c>
      <c r="P1736" s="15" t="s">
        <v>6277</v>
      </c>
      <c r="Q1736" s="15" t="s">
        <v>211</v>
      </c>
      <c r="R1736" s="16" t="s">
        <v>54</v>
      </c>
      <c r="S1736" s="15" t="s">
        <v>4603</v>
      </c>
      <c r="T1736" s="14" t="s">
        <v>55</v>
      </c>
    </row>
    <row r="1737" spans="1:20" ht="16.5">
      <c r="A1737" s="21" t="s">
        <v>4603</v>
      </c>
      <c r="B1737" s="17" t="s">
        <v>311</v>
      </c>
      <c r="C1737" s="17" t="s">
        <v>204</v>
      </c>
      <c r="D1737" s="18" t="s">
        <v>6278</v>
      </c>
      <c r="E1737" s="17" t="s">
        <v>312</v>
      </c>
      <c r="F1737" s="21" t="s">
        <v>313</v>
      </c>
      <c r="G1737" s="19" t="s">
        <v>6282</v>
      </c>
      <c r="H1737" s="24" t="s">
        <v>6321</v>
      </c>
      <c r="I1737" s="17" t="s">
        <v>65</v>
      </c>
      <c r="J1737" s="21">
        <v>1</v>
      </c>
      <c r="K1737" s="21" t="s">
        <v>6156</v>
      </c>
      <c r="L1737" s="21" t="s">
        <v>6322</v>
      </c>
      <c r="M1737" s="19" t="s">
        <v>6281</v>
      </c>
      <c r="N1737" s="19" t="s">
        <v>316</v>
      </c>
      <c r="O1737" s="19" t="s">
        <v>6323</v>
      </c>
      <c r="P1737" s="19" t="s">
        <v>6282</v>
      </c>
      <c r="Q1737" s="19" t="s">
        <v>211</v>
      </c>
      <c r="R1737" s="16" t="s">
        <v>54</v>
      </c>
      <c r="S1737" s="19" t="s">
        <v>4603</v>
      </c>
      <c r="T1737" s="21" t="s">
        <v>55</v>
      </c>
    </row>
    <row r="1738" spans="1:20" ht="16.5">
      <c r="A1738" s="14" t="s">
        <v>4603</v>
      </c>
      <c r="B1738" s="11" t="s">
        <v>311</v>
      </c>
      <c r="C1738" s="11" t="s">
        <v>204</v>
      </c>
      <c r="D1738" s="12" t="s">
        <v>6283</v>
      </c>
      <c r="E1738" s="11" t="s">
        <v>312</v>
      </c>
      <c r="F1738" s="14" t="s">
        <v>313</v>
      </c>
      <c r="G1738" s="15" t="s">
        <v>6287</v>
      </c>
      <c r="H1738" s="23" t="s">
        <v>6324</v>
      </c>
      <c r="I1738" s="11" t="s">
        <v>65</v>
      </c>
      <c r="J1738" s="14">
        <v>1</v>
      </c>
      <c r="K1738" s="14" t="s">
        <v>6156</v>
      </c>
      <c r="L1738" s="14" t="s">
        <v>6325</v>
      </c>
      <c r="M1738" s="15" t="s">
        <v>6286</v>
      </c>
      <c r="N1738" s="15" t="s">
        <v>316</v>
      </c>
      <c r="O1738" s="15" t="s">
        <v>6326</v>
      </c>
      <c r="P1738" s="15" t="s">
        <v>6287</v>
      </c>
      <c r="Q1738" s="15" t="s">
        <v>211</v>
      </c>
      <c r="R1738" s="16" t="s">
        <v>54</v>
      </c>
      <c r="S1738" s="15" t="s">
        <v>4603</v>
      </c>
      <c r="T1738" s="14" t="s">
        <v>55</v>
      </c>
    </row>
    <row r="1739" spans="1:20" ht="16.5">
      <c r="A1739" s="21" t="s">
        <v>4603</v>
      </c>
      <c r="B1739" s="17" t="s">
        <v>311</v>
      </c>
      <c r="C1739" s="17" t="s">
        <v>204</v>
      </c>
      <c r="D1739" s="18" t="s">
        <v>6288</v>
      </c>
      <c r="E1739" s="17" t="s">
        <v>312</v>
      </c>
      <c r="F1739" s="21" t="s">
        <v>313</v>
      </c>
      <c r="G1739" s="19" t="s">
        <v>6292</v>
      </c>
      <c r="H1739" s="24" t="s">
        <v>6327</v>
      </c>
      <c r="I1739" s="17" t="s">
        <v>65</v>
      </c>
      <c r="J1739" s="21">
        <v>1</v>
      </c>
      <c r="K1739" s="21" t="s">
        <v>6156</v>
      </c>
      <c r="L1739" s="21" t="s">
        <v>6328</v>
      </c>
      <c r="M1739" s="19" t="s">
        <v>6291</v>
      </c>
      <c r="N1739" s="19" t="s">
        <v>316</v>
      </c>
      <c r="O1739" s="19" t="s">
        <v>6329</v>
      </c>
      <c r="P1739" s="19" t="s">
        <v>6292</v>
      </c>
      <c r="Q1739" s="19" t="s">
        <v>211</v>
      </c>
      <c r="R1739" s="16" t="s">
        <v>54</v>
      </c>
      <c r="S1739" s="19" t="s">
        <v>4603</v>
      </c>
      <c r="T1739" s="21" t="s">
        <v>55</v>
      </c>
    </row>
    <row r="1740" spans="1:20" ht="16.5">
      <c r="A1740" s="14" t="s">
        <v>4603</v>
      </c>
      <c r="B1740" s="11" t="s">
        <v>487</v>
      </c>
      <c r="C1740" s="11" t="s">
        <v>488</v>
      </c>
      <c r="D1740" s="12" t="s">
        <v>6330</v>
      </c>
      <c r="E1740" s="11" t="s">
        <v>490</v>
      </c>
      <c r="F1740" s="11" t="s">
        <v>491</v>
      </c>
      <c r="G1740" s="12" t="s">
        <v>6331</v>
      </c>
      <c r="H1740" s="23" t="s">
        <v>584</v>
      </c>
      <c r="I1740" s="11" t="s">
        <v>494</v>
      </c>
      <c r="J1740" s="14">
        <v>1</v>
      </c>
      <c r="K1740" s="14" t="s">
        <v>6156</v>
      </c>
      <c r="L1740" s="14" t="s">
        <v>6332</v>
      </c>
      <c r="M1740" s="15" t="s">
        <v>6333</v>
      </c>
      <c r="N1740" s="15" t="s">
        <v>497</v>
      </c>
      <c r="O1740" s="15" t="s">
        <v>6334</v>
      </c>
      <c r="P1740" s="15" t="s">
        <v>6335</v>
      </c>
      <c r="Q1740" s="15" t="s">
        <v>500</v>
      </c>
      <c r="R1740" s="16" t="s">
        <v>54</v>
      </c>
      <c r="S1740" s="15" t="s">
        <v>4603</v>
      </c>
      <c r="T1740" s="14" t="s">
        <v>55</v>
      </c>
    </row>
    <row r="1741" spans="1:20" ht="16.5">
      <c r="A1741" s="21" t="s">
        <v>4603</v>
      </c>
      <c r="B1741" s="17" t="s">
        <v>487</v>
      </c>
      <c r="C1741" s="17" t="s">
        <v>204</v>
      </c>
      <c r="D1741" s="18" t="s">
        <v>6283</v>
      </c>
      <c r="E1741" s="17" t="s">
        <v>501</v>
      </c>
      <c r="F1741" s="17" t="s">
        <v>488</v>
      </c>
      <c r="G1741" s="18" t="s">
        <v>6330</v>
      </c>
      <c r="H1741" s="20" t="s">
        <v>6336</v>
      </c>
      <c r="I1741" s="17" t="s">
        <v>494</v>
      </c>
      <c r="J1741" s="21">
        <v>1</v>
      </c>
      <c r="K1741" s="21" t="s">
        <v>6156</v>
      </c>
      <c r="L1741" s="21" t="s">
        <v>6337</v>
      </c>
      <c r="M1741" s="19" t="s">
        <v>6286</v>
      </c>
      <c r="N1741" s="19" t="s">
        <v>504</v>
      </c>
      <c r="O1741" s="19" t="s">
        <v>6333</v>
      </c>
      <c r="P1741" s="19"/>
      <c r="Q1741" s="19" t="s">
        <v>211</v>
      </c>
      <c r="R1741" s="16" t="s">
        <v>54</v>
      </c>
      <c r="S1741" s="19" t="s">
        <v>4603</v>
      </c>
      <c r="T1741" s="21" t="s">
        <v>55</v>
      </c>
    </row>
    <row r="1742" spans="1:20" ht="16.5">
      <c r="A1742" s="14" t="s">
        <v>4603</v>
      </c>
      <c r="B1742" s="11" t="s">
        <v>487</v>
      </c>
      <c r="C1742" s="11" t="s">
        <v>491</v>
      </c>
      <c r="D1742" s="12" t="s">
        <v>6331</v>
      </c>
      <c r="E1742" s="11" t="s">
        <v>505</v>
      </c>
      <c r="F1742" s="11" t="s">
        <v>204</v>
      </c>
      <c r="G1742" s="12" t="s">
        <v>6283</v>
      </c>
      <c r="H1742" s="13" t="s">
        <v>6338</v>
      </c>
      <c r="I1742" s="11" t="s">
        <v>507</v>
      </c>
      <c r="J1742" s="14">
        <v>1</v>
      </c>
      <c r="K1742" s="14" t="s">
        <v>6156</v>
      </c>
      <c r="L1742" s="14" t="s">
        <v>6339</v>
      </c>
      <c r="M1742" s="15" t="s">
        <v>6334</v>
      </c>
      <c r="N1742" s="15" t="s">
        <v>509</v>
      </c>
      <c r="O1742" s="15" t="s">
        <v>6286</v>
      </c>
      <c r="P1742" s="15" t="s">
        <v>6335</v>
      </c>
      <c r="Q1742" s="12" t="s">
        <v>286</v>
      </c>
      <c r="R1742" s="22" t="s">
        <v>88</v>
      </c>
      <c r="S1742" s="15" t="s">
        <v>4603</v>
      </c>
      <c r="T1742" s="14" t="s">
        <v>55</v>
      </c>
    </row>
    <row r="1743" spans="1:20" ht="16.5">
      <c r="A1743" s="21" t="s">
        <v>4603</v>
      </c>
      <c r="B1743" s="17" t="s">
        <v>487</v>
      </c>
      <c r="C1743" s="17" t="s">
        <v>488</v>
      </c>
      <c r="D1743" s="18" t="s">
        <v>6340</v>
      </c>
      <c r="E1743" s="17" t="s">
        <v>490</v>
      </c>
      <c r="F1743" s="17" t="s">
        <v>491</v>
      </c>
      <c r="G1743" s="18" t="s">
        <v>6341</v>
      </c>
      <c r="H1743" s="24" t="s">
        <v>584</v>
      </c>
      <c r="I1743" s="17" t="s">
        <v>494</v>
      </c>
      <c r="J1743" s="21">
        <v>1</v>
      </c>
      <c r="K1743" s="21" t="s">
        <v>6156</v>
      </c>
      <c r="L1743" s="21" t="s">
        <v>6342</v>
      </c>
      <c r="M1743" s="19" t="s">
        <v>6343</v>
      </c>
      <c r="N1743" s="19" t="s">
        <v>497</v>
      </c>
      <c r="O1743" s="19" t="s">
        <v>6344</v>
      </c>
      <c r="P1743" s="19" t="s">
        <v>6345</v>
      </c>
      <c r="Q1743" s="19" t="s">
        <v>500</v>
      </c>
      <c r="R1743" s="16" t="s">
        <v>54</v>
      </c>
      <c r="S1743" s="19" t="s">
        <v>4603</v>
      </c>
      <c r="T1743" s="21" t="s">
        <v>55</v>
      </c>
    </row>
    <row r="1744" spans="1:20" ht="16.5">
      <c r="A1744" s="14" t="s">
        <v>4603</v>
      </c>
      <c r="B1744" s="11" t="s">
        <v>487</v>
      </c>
      <c r="C1744" s="11" t="s">
        <v>204</v>
      </c>
      <c r="D1744" s="12" t="s">
        <v>6243</v>
      </c>
      <c r="E1744" s="11" t="s">
        <v>501</v>
      </c>
      <c r="F1744" s="11" t="s">
        <v>488</v>
      </c>
      <c r="G1744" s="12" t="s">
        <v>6340</v>
      </c>
      <c r="H1744" s="13" t="s">
        <v>6346</v>
      </c>
      <c r="I1744" s="11" t="s">
        <v>494</v>
      </c>
      <c r="J1744" s="14">
        <v>1</v>
      </c>
      <c r="K1744" s="14" t="s">
        <v>6156</v>
      </c>
      <c r="L1744" s="14" t="s">
        <v>6347</v>
      </c>
      <c r="M1744" s="15" t="s">
        <v>6246</v>
      </c>
      <c r="N1744" s="15" t="s">
        <v>504</v>
      </c>
      <c r="O1744" s="15" t="s">
        <v>6343</v>
      </c>
      <c r="P1744" s="15"/>
      <c r="Q1744" s="15" t="s">
        <v>211</v>
      </c>
      <c r="R1744" s="16" t="s">
        <v>54</v>
      </c>
      <c r="S1744" s="15" t="s">
        <v>4603</v>
      </c>
      <c r="T1744" s="14" t="s">
        <v>55</v>
      </c>
    </row>
    <row r="1745" spans="1:20" ht="16.5">
      <c r="A1745" s="21" t="s">
        <v>4603</v>
      </c>
      <c r="B1745" s="17" t="s">
        <v>487</v>
      </c>
      <c r="C1745" s="17" t="s">
        <v>491</v>
      </c>
      <c r="D1745" s="18" t="s">
        <v>6341</v>
      </c>
      <c r="E1745" s="17" t="s">
        <v>505</v>
      </c>
      <c r="F1745" s="17" t="s">
        <v>204</v>
      </c>
      <c r="G1745" s="18" t="s">
        <v>6243</v>
      </c>
      <c r="H1745" s="20" t="s">
        <v>6348</v>
      </c>
      <c r="I1745" s="17" t="s">
        <v>507</v>
      </c>
      <c r="J1745" s="21">
        <v>1</v>
      </c>
      <c r="K1745" s="21" t="s">
        <v>6156</v>
      </c>
      <c r="L1745" s="21" t="s">
        <v>6349</v>
      </c>
      <c r="M1745" s="19" t="s">
        <v>6344</v>
      </c>
      <c r="N1745" s="19" t="s">
        <v>509</v>
      </c>
      <c r="O1745" s="19" t="s">
        <v>6246</v>
      </c>
      <c r="P1745" s="19" t="s">
        <v>6345</v>
      </c>
      <c r="Q1745" s="18" t="s">
        <v>286</v>
      </c>
      <c r="R1745" s="22" t="s">
        <v>88</v>
      </c>
      <c r="S1745" s="19" t="s">
        <v>4603</v>
      </c>
      <c r="T1745" s="21" t="s">
        <v>55</v>
      </c>
    </row>
    <row r="1746" spans="1:20" ht="16.5">
      <c r="A1746" s="14" t="s">
        <v>4603</v>
      </c>
      <c r="B1746" s="11" t="s">
        <v>487</v>
      </c>
      <c r="C1746" s="11" t="s">
        <v>488</v>
      </c>
      <c r="D1746" s="12" t="s">
        <v>6350</v>
      </c>
      <c r="E1746" s="11" t="s">
        <v>490</v>
      </c>
      <c r="F1746" s="11" t="s">
        <v>491</v>
      </c>
      <c r="G1746" s="12" t="s">
        <v>6351</v>
      </c>
      <c r="H1746" s="23" t="s">
        <v>584</v>
      </c>
      <c r="I1746" s="11" t="s">
        <v>494</v>
      </c>
      <c r="J1746" s="14">
        <v>1</v>
      </c>
      <c r="K1746" s="14" t="s">
        <v>6156</v>
      </c>
      <c r="L1746" s="14" t="s">
        <v>6352</v>
      </c>
      <c r="M1746" s="15" t="s">
        <v>6353</v>
      </c>
      <c r="N1746" s="15" t="s">
        <v>497</v>
      </c>
      <c r="O1746" s="15" t="s">
        <v>6354</v>
      </c>
      <c r="P1746" s="15" t="s">
        <v>6355</v>
      </c>
      <c r="Q1746" s="15" t="s">
        <v>500</v>
      </c>
      <c r="R1746" s="16" t="s">
        <v>54</v>
      </c>
      <c r="S1746" s="15" t="s">
        <v>4603</v>
      </c>
      <c r="T1746" s="14" t="s">
        <v>55</v>
      </c>
    </row>
    <row r="1747" spans="1:20" ht="16.5">
      <c r="A1747" s="21" t="s">
        <v>4603</v>
      </c>
      <c r="B1747" s="17" t="s">
        <v>487</v>
      </c>
      <c r="C1747" s="17" t="s">
        <v>204</v>
      </c>
      <c r="D1747" s="18" t="s">
        <v>6263</v>
      </c>
      <c r="E1747" s="17" t="s">
        <v>501</v>
      </c>
      <c r="F1747" s="17" t="s">
        <v>488</v>
      </c>
      <c r="G1747" s="18" t="s">
        <v>6350</v>
      </c>
      <c r="H1747" s="20" t="s">
        <v>6356</v>
      </c>
      <c r="I1747" s="17" t="s">
        <v>494</v>
      </c>
      <c r="J1747" s="21">
        <v>1</v>
      </c>
      <c r="K1747" s="21" t="s">
        <v>6156</v>
      </c>
      <c r="L1747" s="21" t="s">
        <v>6357</v>
      </c>
      <c r="M1747" s="19" t="s">
        <v>6266</v>
      </c>
      <c r="N1747" s="19" t="s">
        <v>504</v>
      </c>
      <c r="O1747" s="19" t="s">
        <v>6353</v>
      </c>
      <c r="P1747" s="19"/>
      <c r="Q1747" s="19" t="s">
        <v>211</v>
      </c>
      <c r="R1747" s="16" t="s">
        <v>54</v>
      </c>
      <c r="S1747" s="19" t="s">
        <v>4603</v>
      </c>
      <c r="T1747" s="21" t="s">
        <v>55</v>
      </c>
    </row>
    <row r="1748" spans="1:20" ht="16.5">
      <c r="A1748" s="14" t="s">
        <v>4603</v>
      </c>
      <c r="B1748" s="11" t="s">
        <v>487</v>
      </c>
      <c r="C1748" s="11" t="s">
        <v>491</v>
      </c>
      <c r="D1748" s="12" t="s">
        <v>6351</v>
      </c>
      <c r="E1748" s="11" t="s">
        <v>505</v>
      </c>
      <c r="F1748" s="11" t="s">
        <v>204</v>
      </c>
      <c r="G1748" s="12" t="s">
        <v>6263</v>
      </c>
      <c r="H1748" s="13" t="s">
        <v>6358</v>
      </c>
      <c r="I1748" s="11" t="s">
        <v>507</v>
      </c>
      <c r="J1748" s="14">
        <v>1</v>
      </c>
      <c r="K1748" s="14" t="s">
        <v>6156</v>
      </c>
      <c r="L1748" s="14" t="s">
        <v>6359</v>
      </c>
      <c r="M1748" s="15" t="s">
        <v>6354</v>
      </c>
      <c r="N1748" s="15" t="s">
        <v>509</v>
      </c>
      <c r="O1748" s="15" t="s">
        <v>6266</v>
      </c>
      <c r="P1748" s="15" t="s">
        <v>6355</v>
      </c>
      <c r="Q1748" s="12" t="s">
        <v>286</v>
      </c>
      <c r="R1748" s="22" t="s">
        <v>88</v>
      </c>
      <c r="S1748" s="15" t="s">
        <v>4603</v>
      </c>
      <c r="T1748" s="14" t="s">
        <v>55</v>
      </c>
    </row>
    <row r="1749" spans="1:20" ht="16.5">
      <c r="A1749" s="21" t="s">
        <v>4603</v>
      </c>
      <c r="B1749" s="17" t="s">
        <v>487</v>
      </c>
      <c r="C1749" s="17" t="s">
        <v>488</v>
      </c>
      <c r="D1749" s="18" t="s">
        <v>6360</v>
      </c>
      <c r="E1749" s="17" t="s">
        <v>490</v>
      </c>
      <c r="F1749" s="17" t="s">
        <v>491</v>
      </c>
      <c r="G1749" s="18" t="s">
        <v>6361</v>
      </c>
      <c r="H1749" s="24" t="s">
        <v>6362</v>
      </c>
      <c r="I1749" s="17" t="s">
        <v>494</v>
      </c>
      <c r="J1749" s="21">
        <v>1</v>
      </c>
      <c r="K1749" s="21" t="s">
        <v>6156</v>
      </c>
      <c r="L1749" s="21" t="s">
        <v>6363</v>
      </c>
      <c r="M1749" s="19" t="s">
        <v>6364</v>
      </c>
      <c r="N1749" s="19" t="s">
        <v>497</v>
      </c>
      <c r="O1749" s="19" t="s">
        <v>6365</v>
      </c>
      <c r="P1749" s="19" t="s">
        <v>6366</v>
      </c>
      <c r="Q1749" s="19" t="s">
        <v>500</v>
      </c>
      <c r="R1749" s="16" t="s">
        <v>54</v>
      </c>
      <c r="S1749" s="19" t="s">
        <v>4603</v>
      </c>
      <c r="T1749" s="21" t="s">
        <v>55</v>
      </c>
    </row>
    <row r="1750" spans="1:20" ht="16.5">
      <c r="A1750" s="14" t="s">
        <v>4603</v>
      </c>
      <c r="B1750" s="11" t="s">
        <v>487</v>
      </c>
      <c r="C1750" s="11" t="s">
        <v>204</v>
      </c>
      <c r="D1750" s="12" t="s">
        <v>6248</v>
      </c>
      <c r="E1750" s="11" t="s">
        <v>501</v>
      </c>
      <c r="F1750" s="11" t="s">
        <v>488</v>
      </c>
      <c r="G1750" s="12" t="s">
        <v>6360</v>
      </c>
      <c r="H1750" s="13" t="s">
        <v>6367</v>
      </c>
      <c r="I1750" s="11" t="s">
        <v>494</v>
      </c>
      <c r="J1750" s="14">
        <v>1</v>
      </c>
      <c r="K1750" s="14" t="s">
        <v>6156</v>
      </c>
      <c r="L1750" s="14" t="s">
        <v>6368</v>
      </c>
      <c r="M1750" s="15" t="s">
        <v>6251</v>
      </c>
      <c r="N1750" s="15" t="s">
        <v>504</v>
      </c>
      <c r="O1750" s="15" t="s">
        <v>6364</v>
      </c>
      <c r="P1750" s="15"/>
      <c r="Q1750" s="15" t="s">
        <v>211</v>
      </c>
      <c r="R1750" s="16" t="s">
        <v>54</v>
      </c>
      <c r="S1750" s="15" t="s">
        <v>4603</v>
      </c>
      <c r="T1750" s="14" t="s">
        <v>55</v>
      </c>
    </row>
    <row r="1751" spans="1:20" ht="29.25">
      <c r="A1751" s="21" t="s">
        <v>4603</v>
      </c>
      <c r="B1751" s="17" t="s">
        <v>487</v>
      </c>
      <c r="C1751" s="17" t="s">
        <v>491</v>
      </c>
      <c r="D1751" s="18" t="s">
        <v>6361</v>
      </c>
      <c r="E1751" s="17" t="s">
        <v>505</v>
      </c>
      <c r="F1751" s="17" t="s">
        <v>204</v>
      </c>
      <c r="G1751" s="18" t="s">
        <v>6248</v>
      </c>
      <c r="H1751" s="20" t="s">
        <v>6369</v>
      </c>
      <c r="I1751" s="17" t="s">
        <v>507</v>
      </c>
      <c r="J1751" s="21">
        <v>1</v>
      </c>
      <c r="K1751" s="21" t="s">
        <v>6156</v>
      </c>
      <c r="L1751" s="21" t="s">
        <v>6370</v>
      </c>
      <c r="M1751" s="19" t="s">
        <v>6365</v>
      </c>
      <c r="N1751" s="19" t="s">
        <v>509</v>
      </c>
      <c r="O1751" s="19" t="s">
        <v>6251</v>
      </c>
      <c r="P1751" s="19" t="s">
        <v>6366</v>
      </c>
      <c r="Q1751" s="18" t="s">
        <v>286</v>
      </c>
      <c r="R1751" s="22" t="s">
        <v>88</v>
      </c>
      <c r="S1751" s="19" t="s">
        <v>4603</v>
      </c>
      <c r="T1751" s="21" t="s">
        <v>55</v>
      </c>
    </row>
    <row r="1752" spans="1:20" ht="16.5">
      <c r="A1752" s="14" t="s">
        <v>4603</v>
      </c>
      <c r="B1752" s="11" t="s">
        <v>487</v>
      </c>
      <c r="C1752" s="11" t="s">
        <v>488</v>
      </c>
      <c r="D1752" s="12" t="s">
        <v>6371</v>
      </c>
      <c r="E1752" s="11" t="s">
        <v>490</v>
      </c>
      <c r="F1752" s="11" t="s">
        <v>491</v>
      </c>
      <c r="G1752" s="12" t="s">
        <v>6372</v>
      </c>
      <c r="H1752" s="23" t="s">
        <v>584</v>
      </c>
      <c r="I1752" s="11" t="s">
        <v>494</v>
      </c>
      <c r="J1752" s="14">
        <v>1</v>
      </c>
      <c r="K1752" s="14" t="s">
        <v>6156</v>
      </c>
      <c r="L1752" s="14" t="s">
        <v>6373</v>
      </c>
      <c r="M1752" s="15" t="s">
        <v>6374</v>
      </c>
      <c r="N1752" s="15" t="s">
        <v>497</v>
      </c>
      <c r="O1752" s="15" t="s">
        <v>6375</v>
      </c>
      <c r="P1752" s="15" t="s">
        <v>6376</v>
      </c>
      <c r="Q1752" s="15" t="s">
        <v>500</v>
      </c>
      <c r="R1752" s="16" t="s">
        <v>54</v>
      </c>
      <c r="S1752" s="15" t="s">
        <v>4603</v>
      </c>
      <c r="T1752" s="14" t="s">
        <v>55</v>
      </c>
    </row>
    <row r="1753" spans="1:20" ht="16.5">
      <c r="A1753" s="21" t="s">
        <v>4603</v>
      </c>
      <c r="B1753" s="17" t="s">
        <v>487</v>
      </c>
      <c r="C1753" s="17" t="s">
        <v>204</v>
      </c>
      <c r="D1753" s="18" t="s">
        <v>5592</v>
      </c>
      <c r="E1753" s="17" t="s">
        <v>501</v>
      </c>
      <c r="F1753" s="17" t="s">
        <v>488</v>
      </c>
      <c r="G1753" s="18" t="s">
        <v>6371</v>
      </c>
      <c r="H1753" s="20" t="s">
        <v>6377</v>
      </c>
      <c r="I1753" s="17" t="s">
        <v>494</v>
      </c>
      <c r="J1753" s="21">
        <v>1</v>
      </c>
      <c r="K1753" s="21" t="s">
        <v>6156</v>
      </c>
      <c r="L1753" s="21" t="s">
        <v>6378</v>
      </c>
      <c r="M1753" s="19" t="s">
        <v>5595</v>
      </c>
      <c r="N1753" s="19" t="s">
        <v>504</v>
      </c>
      <c r="O1753" s="19" t="s">
        <v>6374</v>
      </c>
      <c r="P1753" s="19"/>
      <c r="Q1753" s="19" t="s">
        <v>211</v>
      </c>
      <c r="R1753" s="16" t="s">
        <v>54</v>
      </c>
      <c r="S1753" s="19" t="s">
        <v>4603</v>
      </c>
      <c r="T1753" s="21" t="s">
        <v>55</v>
      </c>
    </row>
    <row r="1754" spans="1:20" ht="16.5">
      <c r="A1754" s="14" t="s">
        <v>4603</v>
      </c>
      <c r="B1754" s="11" t="s">
        <v>487</v>
      </c>
      <c r="C1754" s="11" t="s">
        <v>491</v>
      </c>
      <c r="D1754" s="12" t="s">
        <v>6372</v>
      </c>
      <c r="E1754" s="11" t="s">
        <v>505</v>
      </c>
      <c r="F1754" s="11" t="s">
        <v>204</v>
      </c>
      <c r="G1754" s="12" t="s">
        <v>5592</v>
      </c>
      <c r="H1754" s="13" t="s">
        <v>6379</v>
      </c>
      <c r="I1754" s="11" t="s">
        <v>507</v>
      </c>
      <c r="J1754" s="14">
        <v>1</v>
      </c>
      <c r="K1754" s="14" t="s">
        <v>6156</v>
      </c>
      <c r="L1754" s="14" t="s">
        <v>6380</v>
      </c>
      <c r="M1754" s="15" t="s">
        <v>6375</v>
      </c>
      <c r="N1754" s="15" t="s">
        <v>509</v>
      </c>
      <c r="O1754" s="15" t="s">
        <v>5595</v>
      </c>
      <c r="P1754" s="15" t="s">
        <v>6376</v>
      </c>
      <c r="Q1754" s="12" t="s">
        <v>286</v>
      </c>
      <c r="R1754" s="22" t="s">
        <v>88</v>
      </c>
      <c r="S1754" s="15" t="s">
        <v>4603</v>
      </c>
      <c r="T1754" s="14" t="s">
        <v>55</v>
      </c>
    </row>
    <row r="1755" spans="1:20" ht="16.5">
      <c r="A1755" s="21" t="s">
        <v>4603</v>
      </c>
      <c r="B1755" s="17" t="s">
        <v>578</v>
      </c>
      <c r="C1755" s="17" t="s">
        <v>300</v>
      </c>
      <c r="D1755" s="19" t="s">
        <v>4994</v>
      </c>
      <c r="E1755" s="17" t="s">
        <v>579</v>
      </c>
      <c r="F1755" s="17" t="s">
        <v>62</v>
      </c>
      <c r="G1755" s="18" t="s">
        <v>6158</v>
      </c>
      <c r="H1755" s="24" t="s">
        <v>584</v>
      </c>
      <c r="I1755" s="17" t="s">
        <v>5302</v>
      </c>
      <c r="J1755" s="21">
        <v>1</v>
      </c>
      <c r="K1755" s="21" t="s">
        <v>6156</v>
      </c>
      <c r="L1755" s="21" t="s">
        <v>6381</v>
      </c>
      <c r="M1755" s="19" t="s">
        <v>4997</v>
      </c>
      <c r="N1755" s="19" t="s">
        <v>583</v>
      </c>
      <c r="O1755" s="19" t="s">
        <v>6161</v>
      </c>
      <c r="P1755" s="19"/>
      <c r="Q1755" s="18" t="s">
        <v>53</v>
      </c>
      <c r="R1755" s="16" t="s">
        <v>54</v>
      </c>
      <c r="S1755" s="19" t="s">
        <v>4603</v>
      </c>
      <c r="T1755" s="21" t="s">
        <v>55</v>
      </c>
    </row>
    <row r="1756" spans="1:20" ht="16.5">
      <c r="A1756" s="14" t="s">
        <v>4603</v>
      </c>
      <c r="B1756" s="11" t="s">
        <v>578</v>
      </c>
      <c r="C1756" s="11" t="s">
        <v>1250</v>
      </c>
      <c r="D1756" s="12" t="s">
        <v>3606</v>
      </c>
      <c r="E1756" s="11" t="s">
        <v>1386</v>
      </c>
      <c r="F1756" s="11" t="s">
        <v>62</v>
      </c>
      <c r="G1756" s="12" t="s">
        <v>6158</v>
      </c>
      <c r="H1756" s="23" t="s">
        <v>6382</v>
      </c>
      <c r="I1756" s="11" t="s">
        <v>5302</v>
      </c>
      <c r="J1756" s="14">
        <v>1</v>
      </c>
      <c r="K1756" s="14" t="s">
        <v>6156</v>
      </c>
      <c r="L1756" s="14" t="s">
        <v>6383</v>
      </c>
      <c r="M1756" s="15" t="s">
        <v>3609</v>
      </c>
      <c r="N1756" s="15" t="s">
        <v>1390</v>
      </c>
      <c r="O1756" s="15" t="s">
        <v>6161</v>
      </c>
      <c r="P1756" s="15"/>
      <c r="Q1756" s="12" t="s">
        <v>53</v>
      </c>
      <c r="R1756" s="16" t="s">
        <v>54</v>
      </c>
      <c r="S1756" s="15" t="s">
        <v>4603</v>
      </c>
      <c r="T1756" s="14" t="s">
        <v>55</v>
      </c>
    </row>
    <row r="1757" spans="1:20" ht="16.5">
      <c r="A1757" s="21" t="s">
        <v>4603</v>
      </c>
      <c r="B1757" s="17" t="s">
        <v>578</v>
      </c>
      <c r="C1757" s="17" t="s">
        <v>1250</v>
      </c>
      <c r="D1757" s="18" t="s">
        <v>3593</v>
      </c>
      <c r="E1757" s="17" t="s">
        <v>1386</v>
      </c>
      <c r="F1757" s="17" t="s">
        <v>62</v>
      </c>
      <c r="G1757" s="18" t="s">
        <v>6158</v>
      </c>
      <c r="H1757" s="24" t="s">
        <v>6384</v>
      </c>
      <c r="I1757" s="17" t="s">
        <v>5302</v>
      </c>
      <c r="J1757" s="21">
        <v>1</v>
      </c>
      <c r="K1757" s="21" t="s">
        <v>6156</v>
      </c>
      <c r="L1757" s="21" t="s">
        <v>6385</v>
      </c>
      <c r="M1757" s="19" t="s">
        <v>3596</v>
      </c>
      <c r="N1757" s="19" t="s">
        <v>1390</v>
      </c>
      <c r="O1757" s="19" t="s">
        <v>6161</v>
      </c>
      <c r="P1757" s="19"/>
      <c r="Q1757" s="18" t="s">
        <v>53</v>
      </c>
      <c r="R1757" s="16" t="s">
        <v>54</v>
      </c>
      <c r="S1757" s="19" t="s">
        <v>4603</v>
      </c>
      <c r="T1757" s="21" t="s">
        <v>55</v>
      </c>
    </row>
    <row r="1758" spans="1:20" ht="16.5">
      <c r="A1758" s="14" t="s">
        <v>4603</v>
      </c>
      <c r="B1758" s="11" t="s">
        <v>578</v>
      </c>
      <c r="C1758" s="11" t="s">
        <v>62</v>
      </c>
      <c r="D1758" s="12" t="s">
        <v>6158</v>
      </c>
      <c r="E1758" s="11" t="s">
        <v>45</v>
      </c>
      <c r="F1758" s="11" t="s">
        <v>62</v>
      </c>
      <c r="G1758" s="12" t="s">
        <v>6166</v>
      </c>
      <c r="H1758" s="23" t="s">
        <v>584</v>
      </c>
      <c r="I1758" s="11" t="s">
        <v>3113</v>
      </c>
      <c r="J1758" s="14">
        <v>1</v>
      </c>
      <c r="K1758" s="14" t="s">
        <v>6156</v>
      </c>
      <c r="L1758" s="14" t="s">
        <v>6386</v>
      </c>
      <c r="M1758" s="15" t="s">
        <v>6161</v>
      </c>
      <c r="N1758" s="15" t="s">
        <v>51</v>
      </c>
      <c r="O1758" s="15" t="s">
        <v>6169</v>
      </c>
      <c r="P1758" s="15"/>
      <c r="Q1758" s="12" t="s">
        <v>53</v>
      </c>
      <c r="R1758" s="16" t="s">
        <v>54</v>
      </c>
      <c r="S1758" s="15" t="s">
        <v>4603</v>
      </c>
      <c r="T1758" s="14" t="s">
        <v>55</v>
      </c>
    </row>
    <row r="1759" spans="1:20" ht="16.5">
      <c r="A1759" s="21" t="s">
        <v>4603</v>
      </c>
      <c r="B1759" s="17" t="s">
        <v>578</v>
      </c>
      <c r="C1759" s="17" t="s">
        <v>300</v>
      </c>
      <c r="D1759" s="18" t="s">
        <v>6095</v>
      </c>
      <c r="E1759" s="17" t="s">
        <v>589</v>
      </c>
      <c r="F1759" s="17" t="s">
        <v>62</v>
      </c>
      <c r="G1759" s="18" t="s">
        <v>6166</v>
      </c>
      <c r="H1759" s="24" t="s">
        <v>6387</v>
      </c>
      <c r="I1759" s="17" t="s">
        <v>3113</v>
      </c>
      <c r="J1759" s="21">
        <v>1</v>
      </c>
      <c r="K1759" s="21" t="s">
        <v>6156</v>
      </c>
      <c r="L1759" s="21" t="s">
        <v>6388</v>
      </c>
      <c r="M1759" s="19" t="s">
        <v>6098</v>
      </c>
      <c r="N1759" s="19" t="s">
        <v>594</v>
      </c>
      <c r="O1759" s="19" t="s">
        <v>6169</v>
      </c>
      <c r="P1759" s="19"/>
      <c r="Q1759" s="18" t="s">
        <v>53</v>
      </c>
      <c r="R1759" s="16" t="s">
        <v>54</v>
      </c>
      <c r="S1759" s="19" t="s">
        <v>4603</v>
      </c>
      <c r="T1759" s="21" t="s">
        <v>55</v>
      </c>
    </row>
    <row r="1760" spans="1:20" ht="16.5">
      <c r="A1760" s="14" t="s">
        <v>4603</v>
      </c>
      <c r="B1760" s="11" t="s">
        <v>578</v>
      </c>
      <c r="C1760" s="11" t="s">
        <v>62</v>
      </c>
      <c r="D1760" s="12" t="s">
        <v>6166</v>
      </c>
      <c r="E1760" s="11" t="s">
        <v>45</v>
      </c>
      <c r="F1760" s="11" t="s">
        <v>62</v>
      </c>
      <c r="G1760" s="12" t="s">
        <v>6206</v>
      </c>
      <c r="H1760" s="23" t="s">
        <v>6389</v>
      </c>
      <c r="I1760" s="11" t="s">
        <v>3113</v>
      </c>
      <c r="J1760" s="14">
        <v>1</v>
      </c>
      <c r="K1760" s="14" t="s">
        <v>6156</v>
      </c>
      <c r="L1760" s="14" t="s">
        <v>6390</v>
      </c>
      <c r="M1760" s="15" t="s">
        <v>6169</v>
      </c>
      <c r="N1760" s="15" t="s">
        <v>51</v>
      </c>
      <c r="O1760" s="15" t="s">
        <v>6209</v>
      </c>
      <c r="P1760" s="15"/>
      <c r="Q1760" s="12" t="s">
        <v>53</v>
      </c>
      <c r="R1760" s="16" t="s">
        <v>54</v>
      </c>
      <c r="S1760" s="15" t="s">
        <v>4603</v>
      </c>
      <c r="T1760" s="14" t="s">
        <v>55</v>
      </c>
    </row>
    <row r="1761" spans="1:20" ht="16.5">
      <c r="A1761" s="21" t="s">
        <v>4603</v>
      </c>
      <c r="B1761" s="17" t="s">
        <v>578</v>
      </c>
      <c r="C1761" s="17" t="s">
        <v>62</v>
      </c>
      <c r="D1761" s="18" t="s">
        <v>6206</v>
      </c>
      <c r="E1761" s="17" t="s">
        <v>45</v>
      </c>
      <c r="F1761" s="17" t="s">
        <v>62</v>
      </c>
      <c r="G1761" s="18" t="s">
        <v>6186</v>
      </c>
      <c r="H1761" s="24" t="s">
        <v>584</v>
      </c>
      <c r="I1761" s="17" t="s">
        <v>3113</v>
      </c>
      <c r="J1761" s="21">
        <v>1</v>
      </c>
      <c r="K1761" s="21" t="s">
        <v>6156</v>
      </c>
      <c r="L1761" s="21" t="s">
        <v>6391</v>
      </c>
      <c r="M1761" s="19" t="s">
        <v>6209</v>
      </c>
      <c r="N1761" s="19" t="s">
        <v>51</v>
      </c>
      <c r="O1761" s="19" t="s">
        <v>6189</v>
      </c>
      <c r="P1761" s="19"/>
      <c r="Q1761" s="18" t="s">
        <v>53</v>
      </c>
      <c r="R1761" s="16" t="s">
        <v>54</v>
      </c>
      <c r="S1761" s="19" t="s">
        <v>4603</v>
      </c>
      <c r="T1761" s="21" t="s">
        <v>55</v>
      </c>
    </row>
    <row r="1762" spans="1:20" ht="16.5">
      <c r="A1762" s="14" t="s">
        <v>4603</v>
      </c>
      <c r="B1762" s="11" t="s">
        <v>578</v>
      </c>
      <c r="C1762" s="11" t="s">
        <v>300</v>
      </c>
      <c r="D1762" s="12" t="s">
        <v>6095</v>
      </c>
      <c r="E1762" s="11" t="s">
        <v>589</v>
      </c>
      <c r="F1762" s="11" t="s">
        <v>62</v>
      </c>
      <c r="G1762" s="12" t="s">
        <v>6186</v>
      </c>
      <c r="H1762" s="23" t="s">
        <v>584</v>
      </c>
      <c r="I1762" s="11" t="s">
        <v>3113</v>
      </c>
      <c r="J1762" s="14">
        <v>1</v>
      </c>
      <c r="K1762" s="14" t="s">
        <v>6156</v>
      </c>
      <c r="L1762" s="14" t="s">
        <v>6392</v>
      </c>
      <c r="M1762" s="15" t="s">
        <v>6098</v>
      </c>
      <c r="N1762" s="15" t="s">
        <v>594</v>
      </c>
      <c r="O1762" s="15" t="s">
        <v>6189</v>
      </c>
      <c r="P1762" s="15"/>
      <c r="Q1762" s="12" t="s">
        <v>53</v>
      </c>
      <c r="R1762" s="16" t="s">
        <v>54</v>
      </c>
      <c r="S1762" s="15" t="s">
        <v>4603</v>
      </c>
      <c r="T1762" s="14" t="s">
        <v>55</v>
      </c>
    </row>
    <row r="1763" spans="1:20" ht="16.5">
      <c r="A1763" s="21" t="s">
        <v>4603</v>
      </c>
      <c r="B1763" s="17" t="s">
        <v>578</v>
      </c>
      <c r="C1763" s="17" t="s">
        <v>62</v>
      </c>
      <c r="D1763" s="18" t="s">
        <v>6186</v>
      </c>
      <c r="E1763" s="17" t="s">
        <v>45</v>
      </c>
      <c r="F1763" s="17" t="s">
        <v>62</v>
      </c>
      <c r="G1763" s="18" t="s">
        <v>6227</v>
      </c>
      <c r="H1763" s="24" t="s">
        <v>6393</v>
      </c>
      <c r="I1763" s="17" t="s">
        <v>6394</v>
      </c>
      <c r="J1763" s="21">
        <v>1</v>
      </c>
      <c r="K1763" s="21" t="s">
        <v>6156</v>
      </c>
      <c r="L1763" s="21" t="s">
        <v>6395</v>
      </c>
      <c r="M1763" s="19" t="s">
        <v>6189</v>
      </c>
      <c r="N1763" s="19" t="s">
        <v>51</v>
      </c>
      <c r="O1763" s="19" t="s">
        <v>6230</v>
      </c>
      <c r="P1763" s="19"/>
      <c r="Q1763" s="18" t="s">
        <v>53</v>
      </c>
      <c r="R1763" s="16" t="s">
        <v>54</v>
      </c>
      <c r="S1763" s="19" t="s">
        <v>4603</v>
      </c>
      <c r="T1763" s="21" t="s">
        <v>55</v>
      </c>
    </row>
    <row r="1764" spans="1:20" ht="16.5">
      <c r="A1764" s="14" t="s">
        <v>4603</v>
      </c>
      <c r="B1764" s="11" t="s">
        <v>578</v>
      </c>
      <c r="C1764" s="11" t="s">
        <v>62</v>
      </c>
      <c r="D1764" s="12" t="s">
        <v>6227</v>
      </c>
      <c r="E1764" s="11" t="s">
        <v>45</v>
      </c>
      <c r="F1764" s="11" t="s">
        <v>62</v>
      </c>
      <c r="G1764" s="15" t="s">
        <v>5516</v>
      </c>
      <c r="H1764" s="13" t="s">
        <v>6396</v>
      </c>
      <c r="I1764" s="11" t="s">
        <v>3115</v>
      </c>
      <c r="J1764" s="14">
        <v>1</v>
      </c>
      <c r="K1764" s="14" t="s">
        <v>6156</v>
      </c>
      <c r="L1764" s="14" t="s">
        <v>6397</v>
      </c>
      <c r="M1764" s="15" t="s">
        <v>6230</v>
      </c>
      <c r="N1764" s="15" t="s">
        <v>51</v>
      </c>
      <c r="O1764" s="15" t="s">
        <v>5519</v>
      </c>
      <c r="P1764" s="15"/>
      <c r="Q1764" s="12" t="s">
        <v>53</v>
      </c>
      <c r="R1764" s="16" t="s">
        <v>54</v>
      </c>
      <c r="S1764" s="15" t="s">
        <v>4603</v>
      </c>
      <c r="T1764" s="14" t="s">
        <v>55</v>
      </c>
    </row>
    <row r="1765" spans="1:20" ht="16.5">
      <c r="A1765" s="21" t="s">
        <v>4603</v>
      </c>
      <c r="B1765" s="17" t="s">
        <v>650</v>
      </c>
      <c r="C1765" s="17" t="s">
        <v>204</v>
      </c>
      <c r="D1765" s="18" t="s">
        <v>6238</v>
      </c>
      <c r="E1765" s="17" t="s">
        <v>667</v>
      </c>
      <c r="F1765" s="17" t="s">
        <v>204</v>
      </c>
      <c r="G1765" s="18" t="s">
        <v>6248</v>
      </c>
      <c r="H1765" s="24" t="s">
        <v>6398</v>
      </c>
      <c r="I1765" s="17" t="s">
        <v>680</v>
      </c>
      <c r="J1765" s="21">
        <v>1</v>
      </c>
      <c r="K1765" s="21" t="s">
        <v>6156</v>
      </c>
      <c r="L1765" s="21" t="s">
        <v>6399</v>
      </c>
      <c r="M1765" s="19" t="s">
        <v>6241</v>
      </c>
      <c r="N1765" s="19" t="s">
        <v>670</v>
      </c>
      <c r="O1765" s="19" t="s">
        <v>6251</v>
      </c>
      <c r="P1765" s="19" t="s">
        <v>6400</v>
      </c>
      <c r="Q1765" s="18" t="s">
        <v>286</v>
      </c>
      <c r="R1765" s="22" t="s">
        <v>88</v>
      </c>
      <c r="S1765" s="19" t="s">
        <v>4603</v>
      </c>
      <c r="T1765" s="21" t="s">
        <v>55</v>
      </c>
    </row>
    <row r="1766" spans="1:20" ht="16.5">
      <c r="A1766" s="14" t="s">
        <v>4603</v>
      </c>
      <c r="B1766" s="11" t="s">
        <v>650</v>
      </c>
      <c r="C1766" s="11" t="s">
        <v>204</v>
      </c>
      <c r="D1766" s="12" t="s">
        <v>6288</v>
      </c>
      <c r="E1766" s="11" t="s">
        <v>667</v>
      </c>
      <c r="F1766" s="11" t="s">
        <v>204</v>
      </c>
      <c r="G1766" s="12" t="s">
        <v>6243</v>
      </c>
      <c r="H1766" s="23" t="s">
        <v>584</v>
      </c>
      <c r="I1766" s="11" t="s">
        <v>507</v>
      </c>
      <c r="J1766" s="14">
        <v>1</v>
      </c>
      <c r="K1766" s="14" t="s">
        <v>6156</v>
      </c>
      <c r="L1766" s="14" t="s">
        <v>6401</v>
      </c>
      <c r="M1766" s="15" t="s">
        <v>6291</v>
      </c>
      <c r="N1766" s="15" t="s">
        <v>670</v>
      </c>
      <c r="O1766" s="15" t="s">
        <v>6246</v>
      </c>
      <c r="P1766" s="15" t="s">
        <v>6402</v>
      </c>
      <c r="Q1766" s="15" t="s">
        <v>661</v>
      </c>
      <c r="R1766" s="16" t="s">
        <v>54</v>
      </c>
      <c r="S1766" s="15" t="s">
        <v>4603</v>
      </c>
      <c r="T1766" s="14" t="s">
        <v>55</v>
      </c>
    </row>
    <row r="1767" spans="1:20" ht="16.5">
      <c r="A1767" s="21" t="s">
        <v>4603</v>
      </c>
      <c r="B1767" s="17" t="s">
        <v>650</v>
      </c>
      <c r="C1767" s="17" t="s">
        <v>204</v>
      </c>
      <c r="D1767" s="18" t="s">
        <v>6243</v>
      </c>
      <c r="E1767" s="17" t="s">
        <v>505</v>
      </c>
      <c r="F1767" s="17" t="s">
        <v>204</v>
      </c>
      <c r="G1767" s="18" t="s">
        <v>5657</v>
      </c>
      <c r="H1767" s="20" t="s">
        <v>6403</v>
      </c>
      <c r="I1767" s="17" t="s">
        <v>652</v>
      </c>
      <c r="J1767" s="21">
        <v>1</v>
      </c>
      <c r="K1767" s="21" t="s">
        <v>6156</v>
      </c>
      <c r="L1767" s="21" t="s">
        <v>6404</v>
      </c>
      <c r="M1767" s="19" t="s">
        <v>6246</v>
      </c>
      <c r="N1767" s="19" t="s">
        <v>509</v>
      </c>
      <c r="O1767" s="19" t="s">
        <v>5660</v>
      </c>
      <c r="P1767" s="19" t="s">
        <v>6247</v>
      </c>
      <c r="Q1767" s="18" t="s">
        <v>286</v>
      </c>
      <c r="R1767" s="22" t="s">
        <v>88</v>
      </c>
      <c r="S1767" s="19" t="s">
        <v>4603</v>
      </c>
      <c r="T1767" s="21" t="s">
        <v>55</v>
      </c>
    </row>
    <row r="1768" spans="1:20" ht="16.5">
      <c r="A1768" s="14" t="s">
        <v>4603</v>
      </c>
      <c r="B1768" s="11" t="s">
        <v>650</v>
      </c>
      <c r="C1768" s="11" t="s">
        <v>204</v>
      </c>
      <c r="D1768" s="12" t="s">
        <v>6263</v>
      </c>
      <c r="E1768" s="11" t="s">
        <v>505</v>
      </c>
      <c r="F1768" s="11" t="s">
        <v>204</v>
      </c>
      <c r="G1768" s="15" t="s">
        <v>5673</v>
      </c>
      <c r="H1768" s="13" t="s">
        <v>6405</v>
      </c>
      <c r="I1768" s="11" t="s">
        <v>652</v>
      </c>
      <c r="J1768" s="14">
        <v>1</v>
      </c>
      <c r="K1768" s="14" t="s">
        <v>6156</v>
      </c>
      <c r="L1768" s="14" t="s">
        <v>6406</v>
      </c>
      <c r="M1768" s="15" t="s">
        <v>6266</v>
      </c>
      <c r="N1768" s="15" t="s">
        <v>509</v>
      </c>
      <c r="O1768" s="15" t="s">
        <v>5676</v>
      </c>
      <c r="P1768" s="15" t="s">
        <v>6267</v>
      </c>
      <c r="Q1768" s="12" t="s">
        <v>286</v>
      </c>
      <c r="R1768" s="22" t="s">
        <v>88</v>
      </c>
      <c r="S1768" s="15" t="s">
        <v>4603</v>
      </c>
      <c r="T1768" s="14" t="s">
        <v>55</v>
      </c>
    </row>
    <row r="1769" spans="1:20" ht="16.5">
      <c r="A1769" s="21" t="s">
        <v>4603</v>
      </c>
      <c r="B1769" s="17" t="s">
        <v>650</v>
      </c>
      <c r="C1769" s="17" t="s">
        <v>204</v>
      </c>
      <c r="D1769" s="18" t="s">
        <v>6283</v>
      </c>
      <c r="E1769" s="17" t="s">
        <v>654</v>
      </c>
      <c r="F1769" s="17" t="s">
        <v>204</v>
      </c>
      <c r="G1769" s="18" t="s">
        <v>6293</v>
      </c>
      <c r="H1769" s="24" t="s">
        <v>584</v>
      </c>
      <c r="I1769" s="17" t="s">
        <v>680</v>
      </c>
      <c r="J1769" s="21">
        <v>1</v>
      </c>
      <c r="K1769" s="21" t="s">
        <v>6156</v>
      </c>
      <c r="L1769" s="21" t="s">
        <v>6407</v>
      </c>
      <c r="M1769" s="19" t="s">
        <v>6286</v>
      </c>
      <c r="N1769" s="19" t="s">
        <v>657</v>
      </c>
      <c r="O1769" s="19" t="s">
        <v>6296</v>
      </c>
      <c r="P1769" s="19" t="s">
        <v>6287</v>
      </c>
      <c r="Q1769" s="18" t="s">
        <v>286</v>
      </c>
      <c r="R1769" s="22" t="s">
        <v>88</v>
      </c>
      <c r="S1769" s="19" t="s">
        <v>4603</v>
      </c>
      <c r="T1769" s="21" t="s">
        <v>55</v>
      </c>
    </row>
    <row r="1770" spans="1:20" ht="16.5">
      <c r="A1770" s="14" t="s">
        <v>4603</v>
      </c>
      <c r="B1770" s="11" t="s">
        <v>650</v>
      </c>
      <c r="C1770" s="11" t="s">
        <v>204</v>
      </c>
      <c r="D1770" s="12" t="s">
        <v>6293</v>
      </c>
      <c r="E1770" s="11" t="s">
        <v>667</v>
      </c>
      <c r="F1770" s="11" t="s">
        <v>295</v>
      </c>
      <c r="G1770" s="12" t="s">
        <v>5661</v>
      </c>
      <c r="H1770" s="13" t="s">
        <v>6408</v>
      </c>
      <c r="I1770" s="11" t="s">
        <v>652</v>
      </c>
      <c r="J1770" s="14">
        <v>1</v>
      </c>
      <c r="K1770" s="14" t="s">
        <v>6156</v>
      </c>
      <c r="L1770" s="14" t="s">
        <v>6409</v>
      </c>
      <c r="M1770" s="15" t="s">
        <v>6296</v>
      </c>
      <c r="N1770" s="15" t="s">
        <v>670</v>
      </c>
      <c r="O1770" s="15" t="s">
        <v>5664</v>
      </c>
      <c r="P1770" s="15"/>
      <c r="Q1770" s="12" t="s">
        <v>286</v>
      </c>
      <c r="R1770" s="22" t="s">
        <v>88</v>
      </c>
      <c r="S1770" s="15" t="s">
        <v>4603</v>
      </c>
      <c r="T1770" s="14" t="s">
        <v>55</v>
      </c>
    </row>
    <row r="1771" spans="1:20" ht="16.5">
      <c r="A1771" s="21" t="s">
        <v>4603</v>
      </c>
      <c r="B1771" s="17" t="s">
        <v>650</v>
      </c>
      <c r="C1771" s="17" t="s">
        <v>204</v>
      </c>
      <c r="D1771" s="18" t="s">
        <v>6253</v>
      </c>
      <c r="E1771" s="17" t="s">
        <v>505</v>
      </c>
      <c r="F1771" s="17" t="s">
        <v>204</v>
      </c>
      <c r="G1771" s="18" t="s">
        <v>6293</v>
      </c>
      <c r="H1771" s="24" t="s">
        <v>584</v>
      </c>
      <c r="I1771" s="17" t="s">
        <v>680</v>
      </c>
      <c r="J1771" s="21">
        <v>2</v>
      </c>
      <c r="K1771" s="21" t="s">
        <v>6156</v>
      </c>
      <c r="L1771" s="21" t="s">
        <v>6410</v>
      </c>
      <c r="M1771" s="19" t="s">
        <v>6256</v>
      </c>
      <c r="N1771" s="19" t="s">
        <v>509</v>
      </c>
      <c r="O1771" s="19" t="s">
        <v>6296</v>
      </c>
      <c r="P1771" s="19" t="s">
        <v>6257</v>
      </c>
      <c r="Q1771" s="18" t="s">
        <v>286</v>
      </c>
      <c r="R1771" s="22" t="s">
        <v>88</v>
      </c>
      <c r="S1771" s="19" t="s">
        <v>4603</v>
      </c>
      <c r="T1771" s="21" t="s">
        <v>55</v>
      </c>
    </row>
    <row r="1772" spans="1:20" ht="16.5">
      <c r="A1772" s="11" t="s">
        <v>6411</v>
      </c>
      <c r="B1772" s="11" t="s">
        <v>43</v>
      </c>
      <c r="C1772" s="11" t="s">
        <v>44</v>
      </c>
      <c r="D1772" s="12" t="s">
        <v>6411</v>
      </c>
      <c r="E1772" s="11" t="s">
        <v>45</v>
      </c>
      <c r="F1772" s="11" t="s">
        <v>44</v>
      </c>
      <c r="G1772" s="12" t="s">
        <v>3658</v>
      </c>
      <c r="H1772" s="13" t="s">
        <v>6412</v>
      </c>
      <c r="I1772" s="11" t="s">
        <v>43</v>
      </c>
      <c r="J1772" s="14">
        <v>1</v>
      </c>
      <c r="K1772" s="14" t="s">
        <v>6413</v>
      </c>
      <c r="L1772" s="14" t="s">
        <v>6414</v>
      </c>
      <c r="M1772" s="15" t="s">
        <v>6415</v>
      </c>
      <c r="N1772" s="15" t="s">
        <v>51</v>
      </c>
      <c r="O1772" s="15" t="s">
        <v>3661</v>
      </c>
      <c r="P1772" s="15"/>
      <c r="Q1772" s="12" t="s">
        <v>53</v>
      </c>
      <c r="R1772" s="16" t="s">
        <v>54</v>
      </c>
      <c r="S1772" s="15"/>
      <c r="T1772" s="14" t="s">
        <v>55</v>
      </c>
    </row>
    <row r="1773" spans="1:20" ht="29.25">
      <c r="A1773" s="17" t="s">
        <v>6411</v>
      </c>
      <c r="B1773" s="17" t="s">
        <v>43</v>
      </c>
      <c r="C1773" s="17" t="s">
        <v>44</v>
      </c>
      <c r="D1773" s="18" t="s">
        <v>6411</v>
      </c>
      <c r="E1773" s="17" t="s">
        <v>45</v>
      </c>
      <c r="F1773" s="17" t="s">
        <v>44</v>
      </c>
      <c r="G1773" s="19" t="s">
        <v>4598</v>
      </c>
      <c r="H1773" s="20" t="s">
        <v>6416</v>
      </c>
      <c r="I1773" s="17" t="s">
        <v>43</v>
      </c>
      <c r="J1773" s="21">
        <v>1</v>
      </c>
      <c r="K1773" s="21" t="s">
        <v>6413</v>
      </c>
      <c r="L1773" s="21" t="s">
        <v>6417</v>
      </c>
      <c r="M1773" s="19" t="s">
        <v>6415</v>
      </c>
      <c r="N1773" s="19" t="s">
        <v>51</v>
      </c>
      <c r="O1773" s="19" t="s">
        <v>4602</v>
      </c>
      <c r="P1773" s="19"/>
      <c r="Q1773" s="18" t="s">
        <v>53</v>
      </c>
      <c r="R1773" s="16" t="s">
        <v>54</v>
      </c>
      <c r="S1773" s="19"/>
      <c r="T1773" s="21" t="s">
        <v>55</v>
      </c>
    </row>
    <row r="1774" spans="1:20" ht="16.5">
      <c r="A1774" s="11" t="s">
        <v>6411</v>
      </c>
      <c r="B1774" s="11" t="s">
        <v>43</v>
      </c>
      <c r="C1774" s="11" t="s">
        <v>44</v>
      </c>
      <c r="D1774" s="12" t="s">
        <v>6411</v>
      </c>
      <c r="E1774" s="11" t="s">
        <v>45</v>
      </c>
      <c r="F1774" s="11" t="s">
        <v>44</v>
      </c>
      <c r="G1774" s="15" t="s">
        <v>4603</v>
      </c>
      <c r="H1774" s="13" t="s">
        <v>6418</v>
      </c>
      <c r="I1774" s="11" t="s">
        <v>43</v>
      </c>
      <c r="J1774" s="14">
        <v>1</v>
      </c>
      <c r="K1774" s="14" t="s">
        <v>6413</v>
      </c>
      <c r="L1774" s="14" t="s">
        <v>6419</v>
      </c>
      <c r="M1774" s="15" t="s">
        <v>6415</v>
      </c>
      <c r="N1774" s="15" t="s">
        <v>51</v>
      </c>
      <c r="O1774" s="15" t="s">
        <v>4606</v>
      </c>
      <c r="P1774" s="15"/>
      <c r="Q1774" s="12" t="s">
        <v>53</v>
      </c>
      <c r="R1774" s="16" t="s">
        <v>54</v>
      </c>
      <c r="S1774" s="15"/>
      <c r="T1774" s="14" t="s">
        <v>55</v>
      </c>
    </row>
    <row r="1775" spans="1:20" ht="16.5">
      <c r="A1775" s="17" t="s">
        <v>6411</v>
      </c>
      <c r="B1775" s="17" t="s">
        <v>60</v>
      </c>
      <c r="C1775" s="17" t="s">
        <v>44</v>
      </c>
      <c r="D1775" s="18" t="s">
        <v>6411</v>
      </c>
      <c r="E1775" s="17" t="s">
        <v>61</v>
      </c>
      <c r="F1775" s="17" t="s">
        <v>62</v>
      </c>
      <c r="G1775" s="18" t="s">
        <v>6420</v>
      </c>
      <c r="H1775" s="20" t="s">
        <v>6421</v>
      </c>
      <c r="I1775" s="17" t="s">
        <v>65</v>
      </c>
      <c r="J1775" s="21">
        <v>1</v>
      </c>
      <c r="K1775" s="21" t="s">
        <v>6413</v>
      </c>
      <c r="L1775" s="21" t="s">
        <v>6422</v>
      </c>
      <c r="M1775" s="19" t="s">
        <v>6415</v>
      </c>
      <c r="N1775" s="19" t="s">
        <v>67</v>
      </c>
      <c r="O1775" s="19" t="s">
        <v>6423</v>
      </c>
      <c r="P1775" s="19"/>
      <c r="Q1775" s="18" t="s">
        <v>69</v>
      </c>
      <c r="R1775" s="16" t="s">
        <v>54</v>
      </c>
      <c r="S1775" s="18" t="s">
        <v>6095</v>
      </c>
      <c r="T1775" s="21" t="s">
        <v>55</v>
      </c>
    </row>
    <row r="1776" spans="1:20" ht="16.5">
      <c r="A1776" s="11" t="s">
        <v>6411</v>
      </c>
      <c r="B1776" s="11" t="s">
        <v>60</v>
      </c>
      <c r="C1776" s="11" t="s">
        <v>62</v>
      </c>
      <c r="D1776" s="12" t="s">
        <v>6420</v>
      </c>
      <c r="E1776" s="11" t="s">
        <v>81</v>
      </c>
      <c r="F1776" s="11" t="s">
        <v>82</v>
      </c>
      <c r="G1776" s="12" t="s">
        <v>6424</v>
      </c>
      <c r="H1776" s="13" t="s">
        <v>6425</v>
      </c>
      <c r="I1776" s="11" t="s">
        <v>65</v>
      </c>
      <c r="J1776" s="14">
        <v>1</v>
      </c>
      <c r="K1776" s="14" t="s">
        <v>6413</v>
      </c>
      <c r="L1776" s="14" t="s">
        <v>6426</v>
      </c>
      <c r="M1776" s="15" t="s">
        <v>6423</v>
      </c>
      <c r="N1776" s="15" t="s">
        <v>86</v>
      </c>
      <c r="O1776" s="15" t="s">
        <v>6427</v>
      </c>
      <c r="P1776" s="15"/>
      <c r="Q1776" s="12" t="s">
        <v>53</v>
      </c>
      <c r="R1776" s="22" t="s">
        <v>88</v>
      </c>
      <c r="S1776" s="12" t="s">
        <v>6095</v>
      </c>
      <c r="T1776" s="14" t="s">
        <v>55</v>
      </c>
    </row>
    <row r="1777" spans="1:20" ht="16.5">
      <c r="A1777" s="17" t="s">
        <v>6411</v>
      </c>
      <c r="B1777" s="17" t="s">
        <v>60</v>
      </c>
      <c r="C1777" s="17" t="s">
        <v>44</v>
      </c>
      <c r="D1777" s="18" t="s">
        <v>6411</v>
      </c>
      <c r="E1777" s="17" t="s">
        <v>61</v>
      </c>
      <c r="F1777" s="17" t="s">
        <v>62</v>
      </c>
      <c r="G1777" s="18" t="s">
        <v>6428</v>
      </c>
      <c r="H1777" s="20" t="s">
        <v>6429</v>
      </c>
      <c r="I1777" s="17" t="s">
        <v>65</v>
      </c>
      <c r="J1777" s="21">
        <v>1</v>
      </c>
      <c r="K1777" s="21" t="s">
        <v>6413</v>
      </c>
      <c r="L1777" s="21" t="s">
        <v>6430</v>
      </c>
      <c r="M1777" s="19" t="s">
        <v>6415</v>
      </c>
      <c r="N1777" s="19" t="s">
        <v>67</v>
      </c>
      <c r="O1777" s="19" t="s">
        <v>6431</v>
      </c>
      <c r="P1777" s="19"/>
      <c r="Q1777" s="18" t="s">
        <v>69</v>
      </c>
      <c r="R1777" s="16" t="s">
        <v>54</v>
      </c>
      <c r="S1777" s="18" t="s">
        <v>6095</v>
      </c>
      <c r="T1777" s="21" t="s">
        <v>55</v>
      </c>
    </row>
    <row r="1778" spans="1:20" ht="16.5">
      <c r="A1778" s="11" t="s">
        <v>6411</v>
      </c>
      <c r="B1778" s="11" t="s">
        <v>60</v>
      </c>
      <c r="C1778" s="11" t="s">
        <v>62</v>
      </c>
      <c r="D1778" s="12" t="s">
        <v>6428</v>
      </c>
      <c r="E1778" s="11" t="s">
        <v>71</v>
      </c>
      <c r="F1778" s="11" t="s">
        <v>72</v>
      </c>
      <c r="G1778" s="12" t="s">
        <v>6432</v>
      </c>
      <c r="H1778" s="13" t="s">
        <v>6433</v>
      </c>
      <c r="I1778" s="11" t="s">
        <v>65</v>
      </c>
      <c r="J1778" s="14">
        <v>1</v>
      </c>
      <c r="K1778" s="14" t="s">
        <v>6413</v>
      </c>
      <c r="L1778" s="14" t="s">
        <v>6434</v>
      </c>
      <c r="M1778" s="15" t="s">
        <v>6431</v>
      </c>
      <c r="N1778" s="15" t="s">
        <v>76</v>
      </c>
      <c r="O1778" s="15" t="s">
        <v>6435</v>
      </c>
      <c r="P1778" s="15"/>
      <c r="Q1778" s="12" t="s">
        <v>69</v>
      </c>
      <c r="R1778" s="16" t="s">
        <v>54</v>
      </c>
      <c r="S1778" s="12" t="s">
        <v>6095</v>
      </c>
      <c r="T1778" s="14" t="s">
        <v>55</v>
      </c>
    </row>
    <row r="1779" spans="1:20" ht="16.5">
      <c r="A1779" s="17" t="s">
        <v>6411</v>
      </c>
      <c r="B1779" s="17" t="s">
        <v>60</v>
      </c>
      <c r="C1779" s="17" t="s">
        <v>62</v>
      </c>
      <c r="D1779" s="18" t="s">
        <v>6428</v>
      </c>
      <c r="E1779" s="17" t="s">
        <v>71</v>
      </c>
      <c r="F1779" s="17" t="s">
        <v>72</v>
      </c>
      <c r="G1779" s="18" t="s">
        <v>6436</v>
      </c>
      <c r="H1779" s="20" t="s">
        <v>6433</v>
      </c>
      <c r="I1779" s="17" t="s">
        <v>65</v>
      </c>
      <c r="J1779" s="21">
        <v>1</v>
      </c>
      <c r="K1779" s="21" t="s">
        <v>6413</v>
      </c>
      <c r="L1779" s="21" t="s">
        <v>6437</v>
      </c>
      <c r="M1779" s="19" t="s">
        <v>6431</v>
      </c>
      <c r="N1779" s="19" t="s">
        <v>76</v>
      </c>
      <c r="O1779" s="19" t="s">
        <v>6438</v>
      </c>
      <c r="P1779" s="19"/>
      <c r="Q1779" s="18" t="s">
        <v>69</v>
      </c>
      <c r="R1779" s="16" t="s">
        <v>54</v>
      </c>
      <c r="S1779" s="18" t="s">
        <v>6095</v>
      </c>
      <c r="T1779" s="21" t="s">
        <v>55</v>
      </c>
    </row>
    <row r="1780" spans="1:20" ht="16.5">
      <c r="A1780" s="11" t="s">
        <v>6411</v>
      </c>
      <c r="B1780" s="11" t="s">
        <v>60</v>
      </c>
      <c r="C1780" s="11" t="s">
        <v>62</v>
      </c>
      <c r="D1780" s="12" t="s">
        <v>6428</v>
      </c>
      <c r="E1780" s="11" t="s">
        <v>71</v>
      </c>
      <c r="F1780" s="11" t="s">
        <v>72</v>
      </c>
      <c r="G1780" s="12" t="s">
        <v>6439</v>
      </c>
      <c r="H1780" s="13" t="s">
        <v>6433</v>
      </c>
      <c r="I1780" s="11" t="s">
        <v>65</v>
      </c>
      <c r="J1780" s="14">
        <v>1</v>
      </c>
      <c r="K1780" s="14" t="s">
        <v>6413</v>
      </c>
      <c r="L1780" s="14" t="s">
        <v>6440</v>
      </c>
      <c r="M1780" s="15" t="s">
        <v>6431</v>
      </c>
      <c r="N1780" s="15" t="s">
        <v>76</v>
      </c>
      <c r="O1780" s="15" t="s">
        <v>6441</v>
      </c>
      <c r="P1780" s="15"/>
      <c r="Q1780" s="12" t="s">
        <v>69</v>
      </c>
      <c r="R1780" s="16" t="s">
        <v>54</v>
      </c>
      <c r="S1780" s="12" t="s">
        <v>6095</v>
      </c>
      <c r="T1780" s="14" t="s">
        <v>55</v>
      </c>
    </row>
    <row r="1781" spans="1:20" ht="16.5">
      <c r="A1781" s="17" t="s">
        <v>6411</v>
      </c>
      <c r="B1781" s="17" t="s">
        <v>60</v>
      </c>
      <c r="C1781" s="17" t="s">
        <v>62</v>
      </c>
      <c r="D1781" s="18" t="s">
        <v>6428</v>
      </c>
      <c r="E1781" s="17" t="s">
        <v>71</v>
      </c>
      <c r="F1781" s="17" t="s">
        <v>72</v>
      </c>
      <c r="G1781" s="18" t="s">
        <v>6442</v>
      </c>
      <c r="H1781" s="20" t="s">
        <v>6433</v>
      </c>
      <c r="I1781" s="17" t="s">
        <v>65</v>
      </c>
      <c r="J1781" s="21">
        <v>1</v>
      </c>
      <c r="K1781" s="21" t="s">
        <v>6413</v>
      </c>
      <c r="L1781" s="21" t="s">
        <v>6443</v>
      </c>
      <c r="M1781" s="19" t="s">
        <v>6431</v>
      </c>
      <c r="N1781" s="19" t="s">
        <v>76</v>
      </c>
      <c r="O1781" s="19" t="s">
        <v>6444</v>
      </c>
      <c r="P1781" s="19"/>
      <c r="Q1781" s="18" t="s">
        <v>69</v>
      </c>
      <c r="R1781" s="16" t="s">
        <v>54</v>
      </c>
      <c r="S1781" s="18" t="s">
        <v>6095</v>
      </c>
      <c r="T1781" s="21" t="s">
        <v>55</v>
      </c>
    </row>
    <row r="1782" spans="1:20" ht="16.5">
      <c r="A1782" s="11" t="s">
        <v>6411</v>
      </c>
      <c r="B1782" s="11" t="s">
        <v>60</v>
      </c>
      <c r="C1782" s="11" t="s">
        <v>44</v>
      </c>
      <c r="D1782" s="12" t="s">
        <v>6411</v>
      </c>
      <c r="E1782" s="11" t="s">
        <v>61</v>
      </c>
      <c r="F1782" s="11" t="s">
        <v>62</v>
      </c>
      <c r="G1782" s="12" t="s">
        <v>6445</v>
      </c>
      <c r="H1782" s="13" t="s">
        <v>6446</v>
      </c>
      <c r="I1782" s="11" t="s">
        <v>65</v>
      </c>
      <c r="J1782" s="14">
        <v>1</v>
      </c>
      <c r="K1782" s="14" t="s">
        <v>6413</v>
      </c>
      <c r="L1782" s="14" t="s">
        <v>6447</v>
      </c>
      <c r="M1782" s="15" t="s">
        <v>6415</v>
      </c>
      <c r="N1782" s="15" t="s">
        <v>67</v>
      </c>
      <c r="O1782" s="15" t="s">
        <v>6448</v>
      </c>
      <c r="P1782" s="15"/>
      <c r="Q1782" s="12" t="s">
        <v>69</v>
      </c>
      <c r="R1782" s="16" t="s">
        <v>54</v>
      </c>
      <c r="S1782" s="12" t="s">
        <v>6095</v>
      </c>
      <c r="T1782" s="14" t="s">
        <v>55</v>
      </c>
    </row>
    <row r="1783" spans="1:20" ht="16.5">
      <c r="A1783" s="17" t="s">
        <v>6411</v>
      </c>
      <c r="B1783" s="17" t="s">
        <v>60</v>
      </c>
      <c r="C1783" s="17" t="s">
        <v>62</v>
      </c>
      <c r="D1783" s="18" t="s">
        <v>6445</v>
      </c>
      <c r="E1783" s="17" t="s">
        <v>71</v>
      </c>
      <c r="F1783" s="17" t="s">
        <v>72</v>
      </c>
      <c r="G1783" s="18" t="s">
        <v>6449</v>
      </c>
      <c r="H1783" s="20" t="s">
        <v>6450</v>
      </c>
      <c r="I1783" s="17" t="s">
        <v>65</v>
      </c>
      <c r="J1783" s="21">
        <v>1</v>
      </c>
      <c r="K1783" s="21" t="s">
        <v>6413</v>
      </c>
      <c r="L1783" s="21" t="s">
        <v>6451</v>
      </c>
      <c r="M1783" s="19" t="s">
        <v>6448</v>
      </c>
      <c r="N1783" s="19" t="s">
        <v>76</v>
      </c>
      <c r="O1783" s="19" t="s">
        <v>6452</v>
      </c>
      <c r="P1783" s="19"/>
      <c r="Q1783" s="18" t="s">
        <v>69</v>
      </c>
      <c r="R1783" s="16" t="s">
        <v>54</v>
      </c>
      <c r="S1783" s="18" t="s">
        <v>6095</v>
      </c>
      <c r="T1783" s="21" t="s">
        <v>55</v>
      </c>
    </row>
    <row r="1784" spans="1:20" ht="16.5">
      <c r="A1784" s="11" t="s">
        <v>6411</v>
      </c>
      <c r="B1784" s="11" t="s">
        <v>60</v>
      </c>
      <c r="C1784" s="11" t="s">
        <v>62</v>
      </c>
      <c r="D1784" s="12" t="s">
        <v>6445</v>
      </c>
      <c r="E1784" s="11" t="s">
        <v>71</v>
      </c>
      <c r="F1784" s="11" t="s">
        <v>72</v>
      </c>
      <c r="G1784" s="12" t="s">
        <v>6453</v>
      </c>
      <c r="H1784" s="13" t="s">
        <v>6450</v>
      </c>
      <c r="I1784" s="11" t="s">
        <v>65</v>
      </c>
      <c r="J1784" s="14">
        <v>1</v>
      </c>
      <c r="K1784" s="14" t="s">
        <v>6413</v>
      </c>
      <c r="L1784" s="14" t="s">
        <v>6454</v>
      </c>
      <c r="M1784" s="15" t="s">
        <v>6448</v>
      </c>
      <c r="N1784" s="15" t="s">
        <v>76</v>
      </c>
      <c r="O1784" s="15" t="s">
        <v>6455</v>
      </c>
      <c r="P1784" s="15"/>
      <c r="Q1784" s="12" t="s">
        <v>69</v>
      </c>
      <c r="R1784" s="16" t="s">
        <v>54</v>
      </c>
      <c r="S1784" s="12" t="s">
        <v>6095</v>
      </c>
      <c r="T1784" s="14" t="s">
        <v>55</v>
      </c>
    </row>
    <row r="1785" spans="1:20" ht="16.5">
      <c r="A1785" s="17" t="s">
        <v>6411</v>
      </c>
      <c r="B1785" s="17" t="s">
        <v>60</v>
      </c>
      <c r="C1785" s="17" t="s">
        <v>62</v>
      </c>
      <c r="D1785" s="18" t="s">
        <v>6445</v>
      </c>
      <c r="E1785" s="17" t="s">
        <v>71</v>
      </c>
      <c r="F1785" s="17" t="s">
        <v>72</v>
      </c>
      <c r="G1785" s="18" t="s">
        <v>6456</v>
      </c>
      <c r="H1785" s="20" t="s">
        <v>6450</v>
      </c>
      <c r="I1785" s="17" t="s">
        <v>65</v>
      </c>
      <c r="J1785" s="21">
        <v>1</v>
      </c>
      <c r="K1785" s="21" t="s">
        <v>6413</v>
      </c>
      <c r="L1785" s="21" t="s">
        <v>6457</v>
      </c>
      <c r="M1785" s="19" t="s">
        <v>6448</v>
      </c>
      <c r="N1785" s="19" t="s">
        <v>76</v>
      </c>
      <c r="O1785" s="19" t="s">
        <v>6458</v>
      </c>
      <c r="P1785" s="19"/>
      <c r="Q1785" s="18" t="s">
        <v>69</v>
      </c>
      <c r="R1785" s="16" t="s">
        <v>54</v>
      </c>
      <c r="S1785" s="18" t="s">
        <v>6095</v>
      </c>
      <c r="T1785" s="21" t="s">
        <v>55</v>
      </c>
    </row>
    <row r="1786" spans="1:20" ht="16.5">
      <c r="A1786" s="11" t="s">
        <v>6411</v>
      </c>
      <c r="B1786" s="11" t="s">
        <v>60</v>
      </c>
      <c r="C1786" s="11" t="s">
        <v>62</v>
      </c>
      <c r="D1786" s="12" t="s">
        <v>6445</v>
      </c>
      <c r="E1786" s="11" t="s">
        <v>71</v>
      </c>
      <c r="F1786" s="11" t="s">
        <v>72</v>
      </c>
      <c r="G1786" s="12" t="s">
        <v>6459</v>
      </c>
      <c r="H1786" s="13" t="s">
        <v>6450</v>
      </c>
      <c r="I1786" s="11" t="s">
        <v>65</v>
      </c>
      <c r="J1786" s="14">
        <v>1</v>
      </c>
      <c r="K1786" s="14" t="s">
        <v>6413</v>
      </c>
      <c r="L1786" s="14" t="s">
        <v>6460</v>
      </c>
      <c r="M1786" s="15" t="s">
        <v>6448</v>
      </c>
      <c r="N1786" s="15" t="s">
        <v>76</v>
      </c>
      <c r="O1786" s="15" t="s">
        <v>6461</v>
      </c>
      <c r="P1786" s="15"/>
      <c r="Q1786" s="12" t="s">
        <v>69</v>
      </c>
      <c r="R1786" s="16" t="s">
        <v>54</v>
      </c>
      <c r="S1786" s="12" t="s">
        <v>6095</v>
      </c>
      <c r="T1786" s="14" t="s">
        <v>55</v>
      </c>
    </row>
    <row r="1787" spans="1:20" ht="16.5">
      <c r="A1787" s="17" t="s">
        <v>6411</v>
      </c>
      <c r="B1787" s="17" t="s">
        <v>60</v>
      </c>
      <c r="C1787" s="17" t="s">
        <v>62</v>
      </c>
      <c r="D1787" s="18" t="s">
        <v>6445</v>
      </c>
      <c r="E1787" s="17" t="s">
        <v>81</v>
      </c>
      <c r="F1787" s="17" t="s">
        <v>82</v>
      </c>
      <c r="G1787" s="18" t="s">
        <v>6462</v>
      </c>
      <c r="H1787" s="20" t="s">
        <v>6463</v>
      </c>
      <c r="I1787" s="17" t="s">
        <v>65</v>
      </c>
      <c r="J1787" s="21">
        <v>1</v>
      </c>
      <c r="K1787" s="21" t="s">
        <v>6413</v>
      </c>
      <c r="L1787" s="21" t="s">
        <v>6464</v>
      </c>
      <c r="M1787" s="19" t="s">
        <v>6448</v>
      </c>
      <c r="N1787" s="19" t="s">
        <v>86</v>
      </c>
      <c r="O1787" s="19" t="s">
        <v>6465</v>
      </c>
      <c r="P1787" s="19"/>
      <c r="Q1787" s="18" t="s">
        <v>53</v>
      </c>
      <c r="R1787" s="22" t="s">
        <v>88</v>
      </c>
      <c r="S1787" s="18" t="s">
        <v>6095</v>
      </c>
      <c r="T1787" s="21" t="s">
        <v>55</v>
      </c>
    </row>
    <row r="1788" spans="1:20" ht="16.5">
      <c r="A1788" s="11" t="s">
        <v>6411</v>
      </c>
      <c r="B1788" s="11" t="s">
        <v>60</v>
      </c>
      <c r="C1788" s="11" t="s">
        <v>62</v>
      </c>
      <c r="D1788" s="12" t="s">
        <v>6445</v>
      </c>
      <c r="E1788" s="11" t="s">
        <v>81</v>
      </c>
      <c r="F1788" s="11" t="s">
        <v>82</v>
      </c>
      <c r="G1788" s="12" t="s">
        <v>6466</v>
      </c>
      <c r="H1788" s="13" t="s">
        <v>6467</v>
      </c>
      <c r="I1788" s="11" t="s">
        <v>65</v>
      </c>
      <c r="J1788" s="14">
        <v>1</v>
      </c>
      <c r="K1788" s="14" t="s">
        <v>6413</v>
      </c>
      <c r="L1788" s="14" t="s">
        <v>6468</v>
      </c>
      <c r="M1788" s="15" t="s">
        <v>6448</v>
      </c>
      <c r="N1788" s="15" t="s">
        <v>86</v>
      </c>
      <c r="O1788" s="15" t="s">
        <v>6469</v>
      </c>
      <c r="P1788" s="15"/>
      <c r="Q1788" s="12" t="s">
        <v>53</v>
      </c>
      <c r="R1788" s="22" t="s">
        <v>88</v>
      </c>
      <c r="S1788" s="12" t="s">
        <v>6095</v>
      </c>
      <c r="T1788" s="14" t="s">
        <v>55</v>
      </c>
    </row>
    <row r="1789" spans="1:20" ht="33">
      <c r="A1789" s="17" t="s">
        <v>6411</v>
      </c>
      <c r="B1789" s="17" t="s">
        <v>60</v>
      </c>
      <c r="C1789" s="17" t="s">
        <v>44</v>
      </c>
      <c r="D1789" s="18" t="s">
        <v>6411</v>
      </c>
      <c r="E1789" s="17" t="s">
        <v>61</v>
      </c>
      <c r="F1789" s="17" t="s">
        <v>62</v>
      </c>
      <c r="G1789" s="18" t="s">
        <v>6470</v>
      </c>
      <c r="H1789" s="20" t="s">
        <v>6471</v>
      </c>
      <c r="I1789" s="17" t="s">
        <v>65</v>
      </c>
      <c r="J1789" s="21">
        <v>1</v>
      </c>
      <c r="K1789" s="21" t="s">
        <v>6413</v>
      </c>
      <c r="L1789" s="21" t="s">
        <v>6472</v>
      </c>
      <c r="M1789" s="19" t="s">
        <v>6415</v>
      </c>
      <c r="N1789" s="19" t="s">
        <v>67</v>
      </c>
      <c r="O1789" s="19" t="s">
        <v>6473</v>
      </c>
      <c r="P1789" s="19"/>
      <c r="Q1789" s="18" t="s">
        <v>69</v>
      </c>
      <c r="R1789" s="16" t="s">
        <v>54</v>
      </c>
      <c r="S1789" s="18" t="s">
        <v>6095</v>
      </c>
      <c r="T1789" s="21" t="s">
        <v>55</v>
      </c>
    </row>
    <row r="1790" spans="1:20" ht="16.5">
      <c r="A1790" s="11" t="s">
        <v>6411</v>
      </c>
      <c r="B1790" s="11" t="s">
        <v>60</v>
      </c>
      <c r="C1790" s="11" t="s">
        <v>62</v>
      </c>
      <c r="D1790" s="12" t="s">
        <v>6470</v>
      </c>
      <c r="E1790" s="11" t="s">
        <v>81</v>
      </c>
      <c r="F1790" s="11" t="s">
        <v>82</v>
      </c>
      <c r="G1790" s="12" t="s">
        <v>6474</v>
      </c>
      <c r="H1790" s="13" t="s">
        <v>6475</v>
      </c>
      <c r="I1790" s="11" t="s">
        <v>65</v>
      </c>
      <c r="J1790" s="14">
        <v>1</v>
      </c>
      <c r="K1790" s="14" t="s">
        <v>6413</v>
      </c>
      <c r="L1790" s="14" t="s">
        <v>6476</v>
      </c>
      <c r="M1790" s="15" t="s">
        <v>6473</v>
      </c>
      <c r="N1790" s="15" t="s">
        <v>86</v>
      </c>
      <c r="O1790" s="15" t="s">
        <v>6477</v>
      </c>
      <c r="P1790" s="15"/>
      <c r="Q1790" s="12" t="s">
        <v>53</v>
      </c>
      <c r="R1790" s="22" t="s">
        <v>88</v>
      </c>
      <c r="S1790" s="12" t="s">
        <v>6095</v>
      </c>
      <c r="T1790" s="14" t="s">
        <v>55</v>
      </c>
    </row>
    <row r="1791" spans="1:20" ht="16.5">
      <c r="A1791" s="17" t="s">
        <v>6411</v>
      </c>
      <c r="B1791" s="17" t="s">
        <v>60</v>
      </c>
      <c r="C1791" s="17" t="s">
        <v>62</v>
      </c>
      <c r="D1791" s="18" t="s">
        <v>6470</v>
      </c>
      <c r="E1791" s="17" t="s">
        <v>81</v>
      </c>
      <c r="F1791" s="17" t="s">
        <v>82</v>
      </c>
      <c r="G1791" s="18" t="s">
        <v>6478</v>
      </c>
      <c r="H1791" s="20" t="s">
        <v>6479</v>
      </c>
      <c r="I1791" s="17" t="s">
        <v>65</v>
      </c>
      <c r="J1791" s="21">
        <v>1</v>
      </c>
      <c r="K1791" s="21" t="s">
        <v>6413</v>
      </c>
      <c r="L1791" s="21" t="s">
        <v>6480</v>
      </c>
      <c r="M1791" s="19" t="s">
        <v>6473</v>
      </c>
      <c r="N1791" s="19" t="s">
        <v>86</v>
      </c>
      <c r="O1791" s="19" t="s">
        <v>6481</v>
      </c>
      <c r="P1791" s="19"/>
      <c r="Q1791" s="18" t="s">
        <v>53</v>
      </c>
      <c r="R1791" s="22" t="s">
        <v>88</v>
      </c>
      <c r="S1791" s="18" t="s">
        <v>6095</v>
      </c>
      <c r="T1791" s="21" t="s">
        <v>55</v>
      </c>
    </row>
    <row r="1792" spans="1:20" ht="16.5">
      <c r="A1792" s="11" t="s">
        <v>6411</v>
      </c>
      <c r="B1792" s="11" t="s">
        <v>60</v>
      </c>
      <c r="C1792" s="11" t="s">
        <v>44</v>
      </c>
      <c r="D1792" s="12" t="s">
        <v>6411</v>
      </c>
      <c r="E1792" s="11" t="s">
        <v>61</v>
      </c>
      <c r="F1792" s="11" t="s">
        <v>62</v>
      </c>
      <c r="G1792" s="12" t="s">
        <v>6482</v>
      </c>
      <c r="H1792" s="13" t="s">
        <v>6483</v>
      </c>
      <c r="I1792" s="11" t="s">
        <v>65</v>
      </c>
      <c r="J1792" s="14">
        <v>1</v>
      </c>
      <c r="K1792" s="14" t="s">
        <v>6413</v>
      </c>
      <c r="L1792" s="14" t="s">
        <v>6484</v>
      </c>
      <c r="M1792" s="15" t="s">
        <v>6415</v>
      </c>
      <c r="N1792" s="15" t="s">
        <v>67</v>
      </c>
      <c r="O1792" s="15" t="s">
        <v>6485</v>
      </c>
      <c r="P1792" s="15"/>
      <c r="Q1792" s="12" t="s">
        <v>69</v>
      </c>
      <c r="R1792" s="16" t="s">
        <v>54</v>
      </c>
      <c r="S1792" s="12" t="s">
        <v>6095</v>
      </c>
      <c r="T1792" s="14" t="s">
        <v>55</v>
      </c>
    </row>
    <row r="1793" spans="1:20" ht="16.5">
      <c r="A1793" s="17" t="s">
        <v>6411</v>
      </c>
      <c r="B1793" s="17" t="s">
        <v>60</v>
      </c>
      <c r="C1793" s="17" t="s">
        <v>62</v>
      </c>
      <c r="D1793" s="18" t="s">
        <v>6482</v>
      </c>
      <c r="E1793" s="17" t="s">
        <v>81</v>
      </c>
      <c r="F1793" s="17" t="s">
        <v>82</v>
      </c>
      <c r="G1793" s="18" t="s">
        <v>6486</v>
      </c>
      <c r="H1793" s="20" t="s">
        <v>6487</v>
      </c>
      <c r="I1793" s="17" t="s">
        <v>65</v>
      </c>
      <c r="J1793" s="21">
        <v>1</v>
      </c>
      <c r="K1793" s="21" t="s">
        <v>6413</v>
      </c>
      <c r="L1793" s="21" t="s">
        <v>6488</v>
      </c>
      <c r="M1793" s="19" t="s">
        <v>6485</v>
      </c>
      <c r="N1793" s="19" t="s">
        <v>86</v>
      </c>
      <c r="O1793" s="19" t="s">
        <v>6489</v>
      </c>
      <c r="P1793" s="19"/>
      <c r="Q1793" s="18" t="s">
        <v>53</v>
      </c>
      <c r="R1793" s="22" t="s">
        <v>88</v>
      </c>
      <c r="S1793" s="18" t="s">
        <v>6095</v>
      </c>
      <c r="T1793" s="21" t="s">
        <v>55</v>
      </c>
    </row>
    <row r="1794" spans="1:20" ht="16.5">
      <c r="A1794" s="11" t="s">
        <v>6411</v>
      </c>
      <c r="B1794" s="11" t="s">
        <v>60</v>
      </c>
      <c r="C1794" s="11" t="s">
        <v>62</v>
      </c>
      <c r="D1794" s="12" t="s">
        <v>6482</v>
      </c>
      <c r="E1794" s="11" t="s">
        <v>81</v>
      </c>
      <c r="F1794" s="11" t="s">
        <v>82</v>
      </c>
      <c r="G1794" s="12" t="s">
        <v>6490</v>
      </c>
      <c r="H1794" s="13" t="s">
        <v>6491</v>
      </c>
      <c r="I1794" s="11" t="s">
        <v>65</v>
      </c>
      <c r="J1794" s="14">
        <v>1</v>
      </c>
      <c r="K1794" s="14" t="s">
        <v>6413</v>
      </c>
      <c r="L1794" s="14" t="s">
        <v>6492</v>
      </c>
      <c r="M1794" s="15" t="s">
        <v>6485</v>
      </c>
      <c r="N1794" s="15" t="s">
        <v>86</v>
      </c>
      <c r="O1794" s="15" t="s">
        <v>6493</v>
      </c>
      <c r="P1794" s="15"/>
      <c r="Q1794" s="12" t="s">
        <v>53</v>
      </c>
      <c r="R1794" s="22" t="s">
        <v>88</v>
      </c>
      <c r="S1794" s="12" t="s">
        <v>6095</v>
      </c>
      <c r="T1794" s="14" t="s">
        <v>55</v>
      </c>
    </row>
    <row r="1795" spans="1:20" ht="16.5">
      <c r="A1795" s="17" t="s">
        <v>6411</v>
      </c>
      <c r="B1795" s="17" t="s">
        <v>60</v>
      </c>
      <c r="C1795" s="17" t="s">
        <v>62</v>
      </c>
      <c r="D1795" s="18" t="s">
        <v>6420</v>
      </c>
      <c r="E1795" s="17" t="s">
        <v>203</v>
      </c>
      <c r="F1795" s="17" t="s">
        <v>204</v>
      </c>
      <c r="G1795" s="18" t="s">
        <v>6494</v>
      </c>
      <c r="H1795" s="20" t="s">
        <v>6495</v>
      </c>
      <c r="I1795" s="17" t="s">
        <v>65</v>
      </c>
      <c r="J1795" s="21">
        <v>1</v>
      </c>
      <c r="K1795" s="21" t="s">
        <v>6413</v>
      </c>
      <c r="L1795" s="21" t="s">
        <v>6496</v>
      </c>
      <c r="M1795" s="19" t="s">
        <v>6423</v>
      </c>
      <c r="N1795" s="19" t="s">
        <v>208</v>
      </c>
      <c r="O1795" s="19" t="s">
        <v>6497</v>
      </c>
      <c r="P1795" s="19" t="s">
        <v>6498</v>
      </c>
      <c r="Q1795" s="19" t="s">
        <v>211</v>
      </c>
      <c r="R1795" s="16" t="s">
        <v>54</v>
      </c>
      <c r="S1795" s="18" t="s">
        <v>6095</v>
      </c>
      <c r="T1795" s="21" t="s">
        <v>55</v>
      </c>
    </row>
    <row r="1796" spans="1:20" ht="16.5">
      <c r="A1796" s="11" t="s">
        <v>6411</v>
      </c>
      <c r="B1796" s="11" t="s">
        <v>60</v>
      </c>
      <c r="C1796" s="11" t="s">
        <v>62</v>
      </c>
      <c r="D1796" s="12" t="s">
        <v>6428</v>
      </c>
      <c r="E1796" s="11" t="s">
        <v>203</v>
      </c>
      <c r="F1796" s="11" t="s">
        <v>204</v>
      </c>
      <c r="G1796" s="12" t="s">
        <v>6499</v>
      </c>
      <c r="H1796" s="13" t="s">
        <v>6500</v>
      </c>
      <c r="I1796" s="11" t="s">
        <v>65</v>
      </c>
      <c r="J1796" s="14">
        <v>1</v>
      </c>
      <c r="K1796" s="14" t="s">
        <v>6413</v>
      </c>
      <c r="L1796" s="14" t="s">
        <v>6501</v>
      </c>
      <c r="M1796" s="15" t="s">
        <v>6431</v>
      </c>
      <c r="N1796" s="15" t="s">
        <v>208</v>
      </c>
      <c r="O1796" s="15" t="s">
        <v>6502</v>
      </c>
      <c r="P1796" s="15" t="s">
        <v>6503</v>
      </c>
      <c r="Q1796" s="15" t="s">
        <v>211</v>
      </c>
      <c r="R1796" s="16" t="s">
        <v>54</v>
      </c>
      <c r="S1796" s="12" t="s">
        <v>6095</v>
      </c>
      <c r="T1796" s="14" t="s">
        <v>55</v>
      </c>
    </row>
    <row r="1797" spans="1:20" ht="16.5">
      <c r="A1797" s="17" t="s">
        <v>6411</v>
      </c>
      <c r="B1797" s="17" t="s">
        <v>60</v>
      </c>
      <c r="C1797" s="17" t="s">
        <v>62</v>
      </c>
      <c r="D1797" s="18" t="s">
        <v>6428</v>
      </c>
      <c r="E1797" s="17" t="s">
        <v>203</v>
      </c>
      <c r="F1797" s="17" t="s">
        <v>204</v>
      </c>
      <c r="G1797" s="18" t="s">
        <v>6504</v>
      </c>
      <c r="H1797" s="20" t="s">
        <v>6505</v>
      </c>
      <c r="I1797" s="17" t="s">
        <v>65</v>
      </c>
      <c r="J1797" s="21">
        <v>1</v>
      </c>
      <c r="K1797" s="21" t="s">
        <v>6413</v>
      </c>
      <c r="L1797" s="21" t="s">
        <v>6506</v>
      </c>
      <c r="M1797" s="19" t="s">
        <v>6431</v>
      </c>
      <c r="N1797" s="19" t="s">
        <v>208</v>
      </c>
      <c r="O1797" s="19" t="s">
        <v>6507</v>
      </c>
      <c r="P1797" s="19" t="s">
        <v>6508</v>
      </c>
      <c r="Q1797" s="19" t="s">
        <v>211</v>
      </c>
      <c r="R1797" s="16" t="s">
        <v>54</v>
      </c>
      <c r="S1797" s="18" t="s">
        <v>6095</v>
      </c>
      <c r="T1797" s="21" t="s">
        <v>55</v>
      </c>
    </row>
    <row r="1798" spans="1:20" ht="16.5">
      <c r="A1798" s="11" t="s">
        <v>6411</v>
      </c>
      <c r="B1798" s="11" t="s">
        <v>60</v>
      </c>
      <c r="C1798" s="11" t="s">
        <v>62</v>
      </c>
      <c r="D1798" s="12" t="s">
        <v>6445</v>
      </c>
      <c r="E1798" s="11" t="s">
        <v>203</v>
      </c>
      <c r="F1798" s="11" t="s">
        <v>204</v>
      </c>
      <c r="G1798" s="12" t="s">
        <v>6509</v>
      </c>
      <c r="H1798" s="13" t="s">
        <v>6510</v>
      </c>
      <c r="I1798" s="11" t="s">
        <v>65</v>
      </c>
      <c r="J1798" s="14">
        <v>1</v>
      </c>
      <c r="K1798" s="14" t="s">
        <v>6413</v>
      </c>
      <c r="L1798" s="14" t="s">
        <v>6511</v>
      </c>
      <c r="M1798" s="15" t="s">
        <v>6448</v>
      </c>
      <c r="N1798" s="15" t="s">
        <v>208</v>
      </c>
      <c r="O1798" s="15" t="s">
        <v>6512</v>
      </c>
      <c r="P1798" s="15" t="s">
        <v>6513</v>
      </c>
      <c r="Q1798" s="15" t="s">
        <v>211</v>
      </c>
      <c r="R1798" s="16" t="s">
        <v>54</v>
      </c>
      <c r="S1798" s="12" t="s">
        <v>6095</v>
      </c>
      <c r="T1798" s="14" t="s">
        <v>55</v>
      </c>
    </row>
    <row r="1799" spans="1:20" ht="16.5">
      <c r="A1799" s="17" t="s">
        <v>6411</v>
      </c>
      <c r="B1799" s="17" t="s">
        <v>60</v>
      </c>
      <c r="C1799" s="17" t="s">
        <v>62</v>
      </c>
      <c r="D1799" s="18" t="s">
        <v>6445</v>
      </c>
      <c r="E1799" s="17" t="s">
        <v>203</v>
      </c>
      <c r="F1799" s="17" t="s">
        <v>204</v>
      </c>
      <c r="G1799" s="18" t="s">
        <v>6514</v>
      </c>
      <c r="H1799" s="20" t="s">
        <v>6515</v>
      </c>
      <c r="I1799" s="17" t="s">
        <v>65</v>
      </c>
      <c r="J1799" s="21">
        <v>1</v>
      </c>
      <c r="K1799" s="21" t="s">
        <v>6413</v>
      </c>
      <c r="L1799" s="21" t="s">
        <v>6516</v>
      </c>
      <c r="M1799" s="19" t="s">
        <v>6448</v>
      </c>
      <c r="N1799" s="19" t="s">
        <v>208</v>
      </c>
      <c r="O1799" s="19" t="s">
        <v>6517</v>
      </c>
      <c r="P1799" s="19" t="s">
        <v>6518</v>
      </c>
      <c r="Q1799" s="19" t="s">
        <v>211</v>
      </c>
      <c r="R1799" s="16" t="s">
        <v>54</v>
      </c>
      <c r="S1799" s="18" t="s">
        <v>6095</v>
      </c>
      <c r="T1799" s="21" t="s">
        <v>55</v>
      </c>
    </row>
    <row r="1800" spans="1:20" ht="16.5">
      <c r="A1800" s="11" t="s">
        <v>6411</v>
      </c>
      <c r="B1800" s="11" t="s">
        <v>60</v>
      </c>
      <c r="C1800" s="11" t="s">
        <v>62</v>
      </c>
      <c r="D1800" s="12" t="s">
        <v>6470</v>
      </c>
      <c r="E1800" s="11" t="s">
        <v>203</v>
      </c>
      <c r="F1800" s="11" t="s">
        <v>204</v>
      </c>
      <c r="G1800" s="12" t="s">
        <v>6519</v>
      </c>
      <c r="H1800" s="13" t="s">
        <v>6520</v>
      </c>
      <c r="I1800" s="11" t="s">
        <v>65</v>
      </c>
      <c r="J1800" s="14">
        <v>1</v>
      </c>
      <c r="K1800" s="14" t="s">
        <v>6413</v>
      </c>
      <c r="L1800" s="14" t="s">
        <v>6521</v>
      </c>
      <c r="M1800" s="15" t="s">
        <v>6473</v>
      </c>
      <c r="N1800" s="15" t="s">
        <v>208</v>
      </c>
      <c r="O1800" s="15" t="s">
        <v>6522</v>
      </c>
      <c r="P1800" s="15" t="s">
        <v>6523</v>
      </c>
      <c r="Q1800" s="15" t="s">
        <v>211</v>
      </c>
      <c r="R1800" s="16" t="s">
        <v>54</v>
      </c>
      <c r="S1800" s="12" t="s">
        <v>6095</v>
      </c>
      <c r="T1800" s="14" t="s">
        <v>55</v>
      </c>
    </row>
    <row r="1801" spans="1:20" ht="16.5">
      <c r="A1801" s="17" t="s">
        <v>6411</v>
      </c>
      <c r="B1801" s="17" t="s">
        <v>60</v>
      </c>
      <c r="C1801" s="17" t="s">
        <v>62</v>
      </c>
      <c r="D1801" s="18" t="s">
        <v>6470</v>
      </c>
      <c r="E1801" s="17" t="s">
        <v>203</v>
      </c>
      <c r="F1801" s="17" t="s">
        <v>204</v>
      </c>
      <c r="G1801" s="18" t="s">
        <v>6524</v>
      </c>
      <c r="H1801" s="20" t="s">
        <v>6525</v>
      </c>
      <c r="I1801" s="17" t="s">
        <v>65</v>
      </c>
      <c r="J1801" s="21">
        <v>1</v>
      </c>
      <c r="K1801" s="21" t="s">
        <v>6413</v>
      </c>
      <c r="L1801" s="21" t="s">
        <v>6526</v>
      </c>
      <c r="M1801" s="19" t="s">
        <v>6473</v>
      </c>
      <c r="N1801" s="19" t="s">
        <v>208</v>
      </c>
      <c r="O1801" s="19" t="s">
        <v>6527</v>
      </c>
      <c r="P1801" s="19" t="s">
        <v>6528</v>
      </c>
      <c r="Q1801" s="19" t="s">
        <v>211</v>
      </c>
      <c r="R1801" s="16" t="s">
        <v>54</v>
      </c>
      <c r="S1801" s="18" t="s">
        <v>6095</v>
      </c>
      <c r="T1801" s="21" t="s">
        <v>55</v>
      </c>
    </row>
    <row r="1802" spans="1:20" ht="16.5">
      <c r="A1802" s="11" t="s">
        <v>6411</v>
      </c>
      <c r="B1802" s="11" t="s">
        <v>60</v>
      </c>
      <c r="C1802" s="11" t="s">
        <v>62</v>
      </c>
      <c r="D1802" s="12" t="s">
        <v>6482</v>
      </c>
      <c r="E1802" s="11" t="s">
        <v>203</v>
      </c>
      <c r="F1802" s="11" t="s">
        <v>204</v>
      </c>
      <c r="G1802" s="12" t="s">
        <v>6529</v>
      </c>
      <c r="H1802" s="13" t="s">
        <v>6530</v>
      </c>
      <c r="I1802" s="11" t="s">
        <v>65</v>
      </c>
      <c r="J1802" s="14">
        <v>1</v>
      </c>
      <c r="K1802" s="14" t="s">
        <v>6413</v>
      </c>
      <c r="L1802" s="14" t="s">
        <v>6531</v>
      </c>
      <c r="M1802" s="15" t="s">
        <v>6485</v>
      </c>
      <c r="N1802" s="15" t="s">
        <v>208</v>
      </c>
      <c r="O1802" s="15" t="s">
        <v>6532</v>
      </c>
      <c r="P1802" s="15" t="s">
        <v>6533</v>
      </c>
      <c r="Q1802" s="15" t="s">
        <v>211</v>
      </c>
      <c r="R1802" s="16" t="s">
        <v>54</v>
      </c>
      <c r="S1802" s="12" t="s">
        <v>6095</v>
      </c>
      <c r="T1802" s="14" t="s">
        <v>55</v>
      </c>
    </row>
    <row r="1803" spans="1:20" ht="16.5">
      <c r="A1803" s="17" t="s">
        <v>6411</v>
      </c>
      <c r="B1803" s="17" t="s">
        <v>60</v>
      </c>
      <c r="C1803" s="17" t="s">
        <v>62</v>
      </c>
      <c r="D1803" s="18" t="s">
        <v>6482</v>
      </c>
      <c r="E1803" s="17" t="s">
        <v>203</v>
      </c>
      <c r="F1803" s="17" t="s">
        <v>204</v>
      </c>
      <c r="G1803" s="18" t="s">
        <v>6534</v>
      </c>
      <c r="H1803" s="20" t="s">
        <v>6535</v>
      </c>
      <c r="I1803" s="17" t="s">
        <v>65</v>
      </c>
      <c r="J1803" s="21">
        <v>1</v>
      </c>
      <c r="K1803" s="21" t="s">
        <v>6413</v>
      </c>
      <c r="L1803" s="21" t="s">
        <v>6536</v>
      </c>
      <c r="M1803" s="19" t="s">
        <v>6485</v>
      </c>
      <c r="N1803" s="19" t="s">
        <v>208</v>
      </c>
      <c r="O1803" s="19" t="s">
        <v>6537</v>
      </c>
      <c r="P1803" s="19" t="s">
        <v>6538</v>
      </c>
      <c r="Q1803" s="19" t="s">
        <v>211</v>
      </c>
      <c r="R1803" s="16" t="s">
        <v>54</v>
      </c>
      <c r="S1803" s="18" t="s">
        <v>6095</v>
      </c>
      <c r="T1803" s="21" t="s">
        <v>55</v>
      </c>
    </row>
    <row r="1804" spans="1:20" ht="16.5">
      <c r="A1804" s="11" t="s">
        <v>6411</v>
      </c>
      <c r="B1804" s="11" t="s">
        <v>60</v>
      </c>
      <c r="C1804" s="11" t="s">
        <v>300</v>
      </c>
      <c r="D1804" s="12" t="s">
        <v>5308</v>
      </c>
      <c r="E1804" s="11" t="s">
        <v>203</v>
      </c>
      <c r="F1804" s="11" t="s">
        <v>204</v>
      </c>
      <c r="G1804" s="12" t="s">
        <v>4833</v>
      </c>
      <c r="H1804" s="13" t="s">
        <v>6539</v>
      </c>
      <c r="I1804" s="11" t="s">
        <v>65</v>
      </c>
      <c r="J1804" s="14">
        <v>1</v>
      </c>
      <c r="K1804" s="14" t="s">
        <v>6413</v>
      </c>
      <c r="L1804" s="14" t="s">
        <v>6540</v>
      </c>
      <c r="M1804" s="15" t="s">
        <v>5311</v>
      </c>
      <c r="N1804" s="15" t="s">
        <v>208</v>
      </c>
      <c r="O1804" s="15" t="s">
        <v>4836</v>
      </c>
      <c r="P1804" s="15" t="s">
        <v>4837</v>
      </c>
      <c r="Q1804" s="15" t="s">
        <v>211</v>
      </c>
      <c r="R1804" s="16" t="s">
        <v>54</v>
      </c>
      <c r="S1804" s="12" t="s">
        <v>6095</v>
      </c>
      <c r="T1804" s="14" t="s">
        <v>55</v>
      </c>
    </row>
    <row r="1805" spans="1:20" ht="16.5">
      <c r="A1805" s="17" t="s">
        <v>6411</v>
      </c>
      <c r="B1805" s="17" t="s">
        <v>60</v>
      </c>
      <c r="C1805" s="17" t="s">
        <v>300</v>
      </c>
      <c r="D1805" s="18" t="s">
        <v>6095</v>
      </c>
      <c r="E1805" s="17" t="s">
        <v>203</v>
      </c>
      <c r="F1805" s="17" t="s">
        <v>204</v>
      </c>
      <c r="G1805" s="18" t="s">
        <v>5612</v>
      </c>
      <c r="H1805" s="20" t="s">
        <v>6541</v>
      </c>
      <c r="I1805" s="17" t="s">
        <v>65</v>
      </c>
      <c r="J1805" s="21">
        <v>1</v>
      </c>
      <c r="K1805" s="21" t="s">
        <v>6413</v>
      </c>
      <c r="L1805" s="21" t="s">
        <v>6542</v>
      </c>
      <c r="M1805" s="19" t="s">
        <v>6098</v>
      </c>
      <c r="N1805" s="19" t="s">
        <v>208</v>
      </c>
      <c r="O1805" s="19" t="s">
        <v>5615</v>
      </c>
      <c r="P1805" s="19" t="s">
        <v>5616</v>
      </c>
      <c r="Q1805" s="19" t="s">
        <v>211</v>
      </c>
      <c r="R1805" s="16" t="s">
        <v>54</v>
      </c>
      <c r="S1805" s="18" t="s">
        <v>6095</v>
      </c>
      <c r="T1805" s="21" t="s">
        <v>55</v>
      </c>
    </row>
    <row r="1806" spans="1:20" ht="16.5">
      <c r="A1806" s="11" t="s">
        <v>6411</v>
      </c>
      <c r="B1806" s="11" t="s">
        <v>311</v>
      </c>
      <c r="C1806" s="11" t="s">
        <v>204</v>
      </c>
      <c r="D1806" s="12" t="s">
        <v>6494</v>
      </c>
      <c r="E1806" s="11" t="s">
        <v>312</v>
      </c>
      <c r="F1806" s="14" t="s">
        <v>313</v>
      </c>
      <c r="G1806" s="15" t="s">
        <v>6498</v>
      </c>
      <c r="H1806" s="23" t="s">
        <v>6543</v>
      </c>
      <c r="I1806" s="11" t="s">
        <v>65</v>
      </c>
      <c r="J1806" s="14">
        <v>1</v>
      </c>
      <c r="K1806" s="14" t="s">
        <v>6413</v>
      </c>
      <c r="L1806" s="14" t="s">
        <v>6544</v>
      </c>
      <c r="M1806" s="15" t="s">
        <v>6497</v>
      </c>
      <c r="N1806" s="15" t="s">
        <v>316</v>
      </c>
      <c r="O1806" s="15" t="s">
        <v>6545</v>
      </c>
      <c r="P1806" s="15" t="s">
        <v>6498</v>
      </c>
      <c r="Q1806" s="15" t="s">
        <v>211</v>
      </c>
      <c r="R1806" s="16" t="s">
        <v>54</v>
      </c>
      <c r="S1806" s="12" t="s">
        <v>6095</v>
      </c>
      <c r="T1806" s="14" t="s">
        <v>55</v>
      </c>
    </row>
    <row r="1807" spans="1:20" ht="16.5">
      <c r="A1807" s="17" t="s">
        <v>6411</v>
      </c>
      <c r="B1807" s="17" t="s">
        <v>311</v>
      </c>
      <c r="C1807" s="17" t="s">
        <v>204</v>
      </c>
      <c r="D1807" s="18" t="s">
        <v>6499</v>
      </c>
      <c r="E1807" s="17" t="s">
        <v>312</v>
      </c>
      <c r="F1807" s="21" t="s">
        <v>313</v>
      </c>
      <c r="G1807" s="19" t="s">
        <v>6503</v>
      </c>
      <c r="H1807" s="24" t="s">
        <v>6546</v>
      </c>
      <c r="I1807" s="17" t="s">
        <v>65</v>
      </c>
      <c r="J1807" s="21">
        <v>1</v>
      </c>
      <c r="K1807" s="21" t="s">
        <v>6413</v>
      </c>
      <c r="L1807" s="21" t="s">
        <v>6547</v>
      </c>
      <c r="M1807" s="19" t="s">
        <v>6502</v>
      </c>
      <c r="N1807" s="19" t="s">
        <v>316</v>
      </c>
      <c r="O1807" s="19" t="s">
        <v>6548</v>
      </c>
      <c r="P1807" s="19" t="s">
        <v>6503</v>
      </c>
      <c r="Q1807" s="19" t="s">
        <v>211</v>
      </c>
      <c r="R1807" s="16" t="s">
        <v>54</v>
      </c>
      <c r="S1807" s="18" t="s">
        <v>6095</v>
      </c>
      <c r="T1807" s="21" t="s">
        <v>55</v>
      </c>
    </row>
    <row r="1808" spans="1:20" ht="16.5">
      <c r="A1808" s="11" t="s">
        <v>6411</v>
      </c>
      <c r="B1808" s="11" t="s">
        <v>311</v>
      </c>
      <c r="C1808" s="11" t="s">
        <v>204</v>
      </c>
      <c r="D1808" s="12" t="s">
        <v>6504</v>
      </c>
      <c r="E1808" s="11" t="s">
        <v>312</v>
      </c>
      <c r="F1808" s="14" t="s">
        <v>313</v>
      </c>
      <c r="G1808" s="15" t="s">
        <v>6508</v>
      </c>
      <c r="H1808" s="23" t="s">
        <v>6549</v>
      </c>
      <c r="I1808" s="11" t="s">
        <v>65</v>
      </c>
      <c r="J1808" s="14">
        <v>1</v>
      </c>
      <c r="K1808" s="14" t="s">
        <v>6413</v>
      </c>
      <c r="L1808" s="14" t="s">
        <v>6550</v>
      </c>
      <c r="M1808" s="15" t="s">
        <v>6507</v>
      </c>
      <c r="N1808" s="15" t="s">
        <v>316</v>
      </c>
      <c r="O1808" s="15" t="s">
        <v>6551</v>
      </c>
      <c r="P1808" s="15" t="s">
        <v>6508</v>
      </c>
      <c r="Q1808" s="15" t="s">
        <v>211</v>
      </c>
      <c r="R1808" s="16" t="s">
        <v>54</v>
      </c>
      <c r="S1808" s="12" t="s">
        <v>6095</v>
      </c>
      <c r="T1808" s="14" t="s">
        <v>55</v>
      </c>
    </row>
    <row r="1809" spans="1:20" ht="16.5">
      <c r="A1809" s="17" t="s">
        <v>6411</v>
      </c>
      <c r="B1809" s="17" t="s">
        <v>311</v>
      </c>
      <c r="C1809" s="17" t="s">
        <v>204</v>
      </c>
      <c r="D1809" s="18" t="s">
        <v>6509</v>
      </c>
      <c r="E1809" s="17" t="s">
        <v>312</v>
      </c>
      <c r="F1809" s="21" t="s">
        <v>313</v>
      </c>
      <c r="G1809" s="19" t="s">
        <v>6552</v>
      </c>
      <c r="H1809" s="24" t="s">
        <v>6553</v>
      </c>
      <c r="I1809" s="17" t="s">
        <v>65</v>
      </c>
      <c r="J1809" s="21">
        <v>1</v>
      </c>
      <c r="K1809" s="21" t="s">
        <v>6413</v>
      </c>
      <c r="L1809" s="21" t="s">
        <v>6554</v>
      </c>
      <c r="M1809" s="19" t="s">
        <v>6512</v>
      </c>
      <c r="N1809" s="19" t="s">
        <v>316</v>
      </c>
      <c r="O1809" s="19" t="s">
        <v>6555</v>
      </c>
      <c r="P1809" s="19" t="s">
        <v>6552</v>
      </c>
      <c r="Q1809" s="19" t="s">
        <v>211</v>
      </c>
      <c r="R1809" s="16" t="s">
        <v>54</v>
      </c>
      <c r="S1809" s="18" t="s">
        <v>6095</v>
      </c>
      <c r="T1809" s="21" t="s">
        <v>55</v>
      </c>
    </row>
    <row r="1810" spans="1:20" ht="16.5">
      <c r="A1810" s="11" t="s">
        <v>6411</v>
      </c>
      <c r="B1810" s="11" t="s">
        <v>311</v>
      </c>
      <c r="C1810" s="11" t="s">
        <v>204</v>
      </c>
      <c r="D1810" s="12" t="s">
        <v>6509</v>
      </c>
      <c r="E1810" s="11" t="s">
        <v>312</v>
      </c>
      <c r="F1810" s="14" t="s">
        <v>313</v>
      </c>
      <c r="G1810" s="15" t="s">
        <v>6556</v>
      </c>
      <c r="H1810" s="23" t="s">
        <v>6557</v>
      </c>
      <c r="I1810" s="11" t="s">
        <v>65</v>
      </c>
      <c r="J1810" s="14">
        <v>1</v>
      </c>
      <c r="K1810" s="14" t="s">
        <v>6413</v>
      </c>
      <c r="L1810" s="14" t="s">
        <v>6558</v>
      </c>
      <c r="M1810" s="15" t="s">
        <v>6512</v>
      </c>
      <c r="N1810" s="15" t="s">
        <v>316</v>
      </c>
      <c r="O1810" s="15" t="s">
        <v>6559</v>
      </c>
      <c r="P1810" s="15" t="s">
        <v>6556</v>
      </c>
      <c r="Q1810" s="15" t="s">
        <v>211</v>
      </c>
      <c r="R1810" s="16" t="s">
        <v>54</v>
      </c>
      <c r="S1810" s="12" t="s">
        <v>6095</v>
      </c>
      <c r="T1810" s="14" t="s">
        <v>55</v>
      </c>
    </row>
    <row r="1811" spans="1:20" ht="16.5">
      <c r="A1811" s="17" t="s">
        <v>6411</v>
      </c>
      <c r="B1811" s="17" t="s">
        <v>311</v>
      </c>
      <c r="C1811" s="17" t="s">
        <v>204</v>
      </c>
      <c r="D1811" s="18" t="s">
        <v>6509</v>
      </c>
      <c r="E1811" s="17" t="s">
        <v>312</v>
      </c>
      <c r="F1811" s="21" t="s">
        <v>313</v>
      </c>
      <c r="G1811" s="19" t="s">
        <v>6560</v>
      </c>
      <c r="H1811" s="24" t="s">
        <v>6561</v>
      </c>
      <c r="I1811" s="17" t="s">
        <v>65</v>
      </c>
      <c r="J1811" s="21">
        <v>1</v>
      </c>
      <c r="K1811" s="21" t="s">
        <v>6413</v>
      </c>
      <c r="L1811" s="21" t="s">
        <v>6562</v>
      </c>
      <c r="M1811" s="19" t="s">
        <v>6512</v>
      </c>
      <c r="N1811" s="19" t="s">
        <v>316</v>
      </c>
      <c r="O1811" s="19" t="s">
        <v>6563</v>
      </c>
      <c r="P1811" s="19" t="s">
        <v>6560</v>
      </c>
      <c r="Q1811" s="19" t="s">
        <v>211</v>
      </c>
      <c r="R1811" s="16" t="s">
        <v>54</v>
      </c>
      <c r="S1811" s="18" t="s">
        <v>6095</v>
      </c>
      <c r="T1811" s="21" t="s">
        <v>55</v>
      </c>
    </row>
    <row r="1812" spans="1:20" ht="16.5">
      <c r="A1812" s="11" t="s">
        <v>6411</v>
      </c>
      <c r="B1812" s="11" t="s">
        <v>311</v>
      </c>
      <c r="C1812" s="11" t="s">
        <v>204</v>
      </c>
      <c r="D1812" s="12" t="s">
        <v>6509</v>
      </c>
      <c r="E1812" s="11" t="s">
        <v>312</v>
      </c>
      <c r="F1812" s="14" t="s">
        <v>313</v>
      </c>
      <c r="G1812" s="15" t="s">
        <v>6564</v>
      </c>
      <c r="H1812" s="23" t="s">
        <v>6565</v>
      </c>
      <c r="I1812" s="11" t="s">
        <v>65</v>
      </c>
      <c r="J1812" s="14">
        <v>1</v>
      </c>
      <c r="K1812" s="14" t="s">
        <v>6413</v>
      </c>
      <c r="L1812" s="14" t="s">
        <v>6566</v>
      </c>
      <c r="M1812" s="15" t="s">
        <v>6512</v>
      </c>
      <c r="N1812" s="15" t="s">
        <v>316</v>
      </c>
      <c r="O1812" s="15" t="s">
        <v>6567</v>
      </c>
      <c r="P1812" s="15" t="s">
        <v>6564</v>
      </c>
      <c r="Q1812" s="15" t="s">
        <v>211</v>
      </c>
      <c r="R1812" s="16" t="s">
        <v>54</v>
      </c>
      <c r="S1812" s="12" t="s">
        <v>6095</v>
      </c>
      <c r="T1812" s="14" t="s">
        <v>55</v>
      </c>
    </row>
    <row r="1813" spans="1:20" ht="16.5">
      <c r="A1813" s="17" t="s">
        <v>6411</v>
      </c>
      <c r="B1813" s="17" t="s">
        <v>311</v>
      </c>
      <c r="C1813" s="17" t="s">
        <v>204</v>
      </c>
      <c r="D1813" s="18" t="s">
        <v>6514</v>
      </c>
      <c r="E1813" s="17" t="s">
        <v>312</v>
      </c>
      <c r="F1813" s="21" t="s">
        <v>313</v>
      </c>
      <c r="G1813" s="19" t="s">
        <v>6518</v>
      </c>
      <c r="H1813" s="24" t="s">
        <v>6568</v>
      </c>
      <c r="I1813" s="17" t="s">
        <v>65</v>
      </c>
      <c r="J1813" s="21">
        <v>1</v>
      </c>
      <c r="K1813" s="21" t="s">
        <v>6413</v>
      </c>
      <c r="L1813" s="21" t="s">
        <v>6569</v>
      </c>
      <c r="M1813" s="19" t="s">
        <v>6517</v>
      </c>
      <c r="N1813" s="19" t="s">
        <v>316</v>
      </c>
      <c r="O1813" s="19" t="s">
        <v>6570</v>
      </c>
      <c r="P1813" s="19" t="s">
        <v>6518</v>
      </c>
      <c r="Q1813" s="19" t="s">
        <v>211</v>
      </c>
      <c r="R1813" s="16" t="s">
        <v>54</v>
      </c>
      <c r="S1813" s="18" t="s">
        <v>6095</v>
      </c>
      <c r="T1813" s="21" t="s">
        <v>55</v>
      </c>
    </row>
    <row r="1814" spans="1:20" ht="16.5">
      <c r="A1814" s="11" t="s">
        <v>6411</v>
      </c>
      <c r="B1814" s="11" t="s">
        <v>311</v>
      </c>
      <c r="C1814" s="11" t="s">
        <v>204</v>
      </c>
      <c r="D1814" s="12" t="s">
        <v>6519</v>
      </c>
      <c r="E1814" s="11" t="s">
        <v>312</v>
      </c>
      <c r="F1814" s="14" t="s">
        <v>313</v>
      </c>
      <c r="G1814" s="15" t="s">
        <v>6523</v>
      </c>
      <c r="H1814" s="23" t="s">
        <v>6571</v>
      </c>
      <c r="I1814" s="11" t="s">
        <v>65</v>
      </c>
      <c r="J1814" s="14">
        <v>1</v>
      </c>
      <c r="K1814" s="14" t="s">
        <v>6413</v>
      </c>
      <c r="L1814" s="14" t="s">
        <v>6572</v>
      </c>
      <c r="M1814" s="15" t="s">
        <v>6522</v>
      </c>
      <c r="N1814" s="15" t="s">
        <v>316</v>
      </c>
      <c r="O1814" s="15" t="s">
        <v>6573</v>
      </c>
      <c r="P1814" s="15" t="s">
        <v>6523</v>
      </c>
      <c r="Q1814" s="15" t="s">
        <v>211</v>
      </c>
      <c r="R1814" s="16" t="s">
        <v>54</v>
      </c>
      <c r="S1814" s="12" t="s">
        <v>6095</v>
      </c>
      <c r="T1814" s="14" t="s">
        <v>55</v>
      </c>
    </row>
    <row r="1815" spans="1:20" ht="16.5">
      <c r="A1815" s="17" t="s">
        <v>6411</v>
      </c>
      <c r="B1815" s="17" t="s">
        <v>311</v>
      </c>
      <c r="C1815" s="17" t="s">
        <v>204</v>
      </c>
      <c r="D1815" s="18" t="s">
        <v>6524</v>
      </c>
      <c r="E1815" s="17" t="s">
        <v>312</v>
      </c>
      <c r="F1815" s="21" t="s">
        <v>313</v>
      </c>
      <c r="G1815" s="19" t="s">
        <v>6528</v>
      </c>
      <c r="H1815" s="24" t="s">
        <v>6574</v>
      </c>
      <c r="I1815" s="17" t="s">
        <v>65</v>
      </c>
      <c r="J1815" s="21">
        <v>1</v>
      </c>
      <c r="K1815" s="21" t="s">
        <v>6413</v>
      </c>
      <c r="L1815" s="21" t="s">
        <v>6575</v>
      </c>
      <c r="M1815" s="19" t="s">
        <v>6527</v>
      </c>
      <c r="N1815" s="19" t="s">
        <v>316</v>
      </c>
      <c r="O1815" s="19" t="s">
        <v>6576</v>
      </c>
      <c r="P1815" s="19" t="s">
        <v>6528</v>
      </c>
      <c r="Q1815" s="19" t="s">
        <v>211</v>
      </c>
      <c r="R1815" s="16" t="s">
        <v>54</v>
      </c>
      <c r="S1815" s="18" t="s">
        <v>6095</v>
      </c>
      <c r="T1815" s="21" t="s">
        <v>55</v>
      </c>
    </row>
    <row r="1816" spans="1:20" ht="16.5">
      <c r="A1816" s="11" t="s">
        <v>6411</v>
      </c>
      <c r="B1816" s="11" t="s">
        <v>311</v>
      </c>
      <c r="C1816" s="11" t="s">
        <v>204</v>
      </c>
      <c r="D1816" s="12" t="s">
        <v>6529</v>
      </c>
      <c r="E1816" s="11" t="s">
        <v>312</v>
      </c>
      <c r="F1816" s="14" t="s">
        <v>313</v>
      </c>
      <c r="G1816" s="15" t="s">
        <v>6533</v>
      </c>
      <c r="H1816" s="23" t="s">
        <v>6577</v>
      </c>
      <c r="I1816" s="11" t="s">
        <v>65</v>
      </c>
      <c r="J1816" s="14">
        <v>1</v>
      </c>
      <c r="K1816" s="14" t="s">
        <v>6413</v>
      </c>
      <c r="L1816" s="14" t="s">
        <v>6578</v>
      </c>
      <c r="M1816" s="15" t="s">
        <v>6532</v>
      </c>
      <c r="N1816" s="15" t="s">
        <v>316</v>
      </c>
      <c r="O1816" s="15" t="s">
        <v>6579</v>
      </c>
      <c r="P1816" s="15" t="s">
        <v>6533</v>
      </c>
      <c r="Q1816" s="15" t="s">
        <v>211</v>
      </c>
      <c r="R1816" s="16" t="s">
        <v>54</v>
      </c>
      <c r="S1816" s="12" t="s">
        <v>6095</v>
      </c>
      <c r="T1816" s="14" t="s">
        <v>55</v>
      </c>
    </row>
    <row r="1817" spans="1:20" ht="16.5">
      <c r="A1817" s="17" t="s">
        <v>6411</v>
      </c>
      <c r="B1817" s="17" t="s">
        <v>311</v>
      </c>
      <c r="C1817" s="17" t="s">
        <v>204</v>
      </c>
      <c r="D1817" s="18" t="s">
        <v>6534</v>
      </c>
      <c r="E1817" s="17" t="s">
        <v>312</v>
      </c>
      <c r="F1817" s="21" t="s">
        <v>313</v>
      </c>
      <c r="G1817" s="19" t="s">
        <v>6538</v>
      </c>
      <c r="H1817" s="24" t="s">
        <v>6580</v>
      </c>
      <c r="I1817" s="17" t="s">
        <v>65</v>
      </c>
      <c r="J1817" s="21">
        <v>1</v>
      </c>
      <c r="K1817" s="21" t="s">
        <v>6413</v>
      </c>
      <c r="L1817" s="21" t="s">
        <v>6581</v>
      </c>
      <c r="M1817" s="19" t="s">
        <v>6537</v>
      </c>
      <c r="N1817" s="19" t="s">
        <v>316</v>
      </c>
      <c r="O1817" s="19" t="s">
        <v>6582</v>
      </c>
      <c r="P1817" s="19" t="s">
        <v>6538</v>
      </c>
      <c r="Q1817" s="19" t="s">
        <v>211</v>
      </c>
      <c r="R1817" s="16" t="s">
        <v>54</v>
      </c>
      <c r="S1817" s="18" t="s">
        <v>6095</v>
      </c>
      <c r="T1817" s="21" t="s">
        <v>55</v>
      </c>
    </row>
    <row r="1818" spans="1:20" ht="16.5">
      <c r="A1818" s="11" t="s">
        <v>6411</v>
      </c>
      <c r="B1818" s="11" t="s">
        <v>564</v>
      </c>
      <c r="C1818" s="11" t="s">
        <v>204</v>
      </c>
      <c r="D1818" s="12" t="s">
        <v>6509</v>
      </c>
      <c r="E1818" s="11" t="s">
        <v>565</v>
      </c>
      <c r="F1818" s="11" t="s">
        <v>566</v>
      </c>
      <c r="G1818" s="12" t="s">
        <v>6583</v>
      </c>
      <c r="H1818" s="13" t="s">
        <v>6584</v>
      </c>
      <c r="I1818" s="11" t="s">
        <v>569</v>
      </c>
      <c r="J1818" s="14">
        <v>1</v>
      </c>
      <c r="K1818" s="14" t="s">
        <v>6413</v>
      </c>
      <c r="L1818" s="14" t="s">
        <v>6585</v>
      </c>
      <c r="M1818" s="15" t="s">
        <v>6512</v>
      </c>
      <c r="N1818" s="15" t="s">
        <v>571</v>
      </c>
      <c r="O1818" s="15" t="s">
        <v>6586</v>
      </c>
      <c r="P1818" s="15" t="s">
        <v>6513</v>
      </c>
      <c r="Q1818" s="12" t="s">
        <v>53</v>
      </c>
      <c r="R1818" s="16" t="s">
        <v>54</v>
      </c>
      <c r="S1818" s="12" t="s">
        <v>6095</v>
      </c>
      <c r="T1818" s="14" t="s">
        <v>55</v>
      </c>
    </row>
    <row r="1819" spans="1:20" ht="16.5">
      <c r="A1819" s="17" t="s">
        <v>6411</v>
      </c>
      <c r="B1819" s="17" t="s">
        <v>578</v>
      </c>
      <c r="C1819" s="17" t="s">
        <v>62</v>
      </c>
      <c r="D1819" s="18" t="s">
        <v>6420</v>
      </c>
      <c r="E1819" s="17" t="s">
        <v>45</v>
      </c>
      <c r="F1819" s="17" t="s">
        <v>62</v>
      </c>
      <c r="G1819" s="18" t="s">
        <v>6428</v>
      </c>
      <c r="H1819" s="24" t="s">
        <v>584</v>
      </c>
      <c r="I1819" s="17" t="s">
        <v>1257</v>
      </c>
      <c r="J1819" s="21">
        <v>1</v>
      </c>
      <c r="K1819" s="21" t="s">
        <v>6413</v>
      </c>
      <c r="L1819" s="21" t="s">
        <v>6587</v>
      </c>
      <c r="M1819" s="19" t="s">
        <v>6423</v>
      </c>
      <c r="N1819" s="19" t="s">
        <v>51</v>
      </c>
      <c r="O1819" s="19" t="s">
        <v>6431</v>
      </c>
      <c r="P1819" s="19"/>
      <c r="Q1819" s="18" t="s">
        <v>53</v>
      </c>
      <c r="R1819" s="16" t="s">
        <v>54</v>
      </c>
      <c r="S1819" s="18" t="s">
        <v>6095</v>
      </c>
      <c r="T1819" s="21" t="s">
        <v>55</v>
      </c>
    </row>
    <row r="1820" spans="1:20" ht="16.5">
      <c r="A1820" s="11" t="s">
        <v>6411</v>
      </c>
      <c r="B1820" s="11" t="s">
        <v>578</v>
      </c>
      <c r="C1820" s="11" t="s">
        <v>62</v>
      </c>
      <c r="D1820" s="12" t="s">
        <v>6428</v>
      </c>
      <c r="E1820" s="11" t="s">
        <v>635</v>
      </c>
      <c r="F1820" s="11" t="s">
        <v>300</v>
      </c>
      <c r="G1820" s="12" t="s">
        <v>6095</v>
      </c>
      <c r="H1820" s="13" t="s">
        <v>6588</v>
      </c>
      <c r="I1820" s="11" t="s">
        <v>1257</v>
      </c>
      <c r="J1820" s="14">
        <v>1</v>
      </c>
      <c r="K1820" s="14" t="s">
        <v>6413</v>
      </c>
      <c r="L1820" s="14" t="s">
        <v>6589</v>
      </c>
      <c r="M1820" s="15" t="s">
        <v>6431</v>
      </c>
      <c r="N1820" s="15" t="s">
        <v>640</v>
      </c>
      <c r="O1820" s="15" t="s">
        <v>6098</v>
      </c>
      <c r="P1820" s="15"/>
      <c r="Q1820" s="12" t="s">
        <v>53</v>
      </c>
      <c r="R1820" s="16" t="s">
        <v>54</v>
      </c>
      <c r="S1820" s="12" t="s">
        <v>6095</v>
      </c>
      <c r="T1820" s="14" t="s">
        <v>55</v>
      </c>
    </row>
    <row r="1821" spans="1:20" ht="16.5">
      <c r="A1821" s="17" t="s">
        <v>6411</v>
      </c>
      <c r="B1821" s="17" t="s">
        <v>578</v>
      </c>
      <c r="C1821" s="17" t="s">
        <v>62</v>
      </c>
      <c r="D1821" s="18" t="s">
        <v>6428</v>
      </c>
      <c r="E1821" s="17" t="s">
        <v>45</v>
      </c>
      <c r="F1821" s="17" t="s">
        <v>62</v>
      </c>
      <c r="G1821" s="18" t="s">
        <v>3696</v>
      </c>
      <c r="H1821" s="20" t="s">
        <v>6590</v>
      </c>
      <c r="I1821" s="17" t="s">
        <v>1257</v>
      </c>
      <c r="J1821" s="21">
        <v>1</v>
      </c>
      <c r="K1821" s="21" t="s">
        <v>6413</v>
      </c>
      <c r="L1821" s="21" t="s">
        <v>6591</v>
      </c>
      <c r="M1821" s="19" t="s">
        <v>6431</v>
      </c>
      <c r="N1821" s="19" t="s">
        <v>51</v>
      </c>
      <c r="O1821" s="19" t="s">
        <v>3699</v>
      </c>
      <c r="P1821" s="19"/>
      <c r="Q1821" s="18" t="s">
        <v>53</v>
      </c>
      <c r="R1821" s="16" t="s">
        <v>54</v>
      </c>
      <c r="S1821" s="18" t="s">
        <v>6095</v>
      </c>
      <c r="T1821" s="21" t="s">
        <v>55</v>
      </c>
    </row>
    <row r="1822" spans="1:20" ht="16.5">
      <c r="A1822" s="11" t="s">
        <v>6411</v>
      </c>
      <c r="B1822" s="11" t="s">
        <v>578</v>
      </c>
      <c r="C1822" s="11" t="s">
        <v>62</v>
      </c>
      <c r="D1822" s="12" t="s">
        <v>6445</v>
      </c>
      <c r="E1822" s="11" t="s">
        <v>45</v>
      </c>
      <c r="F1822" s="11" t="s">
        <v>62</v>
      </c>
      <c r="G1822" s="12" t="s">
        <v>4629</v>
      </c>
      <c r="H1822" s="23" t="s">
        <v>6518</v>
      </c>
      <c r="I1822" s="11" t="s">
        <v>1257</v>
      </c>
      <c r="J1822" s="14">
        <v>1</v>
      </c>
      <c r="K1822" s="14" t="s">
        <v>6413</v>
      </c>
      <c r="L1822" s="14" t="s">
        <v>6592</v>
      </c>
      <c r="M1822" s="15" t="s">
        <v>6448</v>
      </c>
      <c r="N1822" s="15" t="s">
        <v>51</v>
      </c>
      <c r="O1822" s="15" t="s">
        <v>4632</v>
      </c>
      <c r="P1822" s="15"/>
      <c r="Q1822" s="12" t="s">
        <v>53</v>
      </c>
      <c r="R1822" s="16" t="s">
        <v>54</v>
      </c>
      <c r="S1822" s="12" t="s">
        <v>6095</v>
      </c>
      <c r="T1822" s="14" t="s">
        <v>55</v>
      </c>
    </row>
    <row r="1823" spans="1:20" ht="16.5">
      <c r="A1823" s="17" t="s">
        <v>6411</v>
      </c>
      <c r="B1823" s="17" t="s">
        <v>578</v>
      </c>
      <c r="C1823" s="17" t="s">
        <v>62</v>
      </c>
      <c r="D1823" s="18" t="s">
        <v>6445</v>
      </c>
      <c r="E1823" s="17" t="s">
        <v>635</v>
      </c>
      <c r="F1823" s="17" t="s">
        <v>300</v>
      </c>
      <c r="G1823" s="18" t="s">
        <v>5308</v>
      </c>
      <c r="H1823" s="24" t="s">
        <v>584</v>
      </c>
      <c r="I1823" s="17" t="s">
        <v>1257</v>
      </c>
      <c r="J1823" s="21">
        <v>1</v>
      </c>
      <c r="K1823" s="21" t="s">
        <v>6413</v>
      </c>
      <c r="L1823" s="21" t="s">
        <v>6593</v>
      </c>
      <c r="M1823" s="19" t="s">
        <v>6448</v>
      </c>
      <c r="N1823" s="19" t="s">
        <v>640</v>
      </c>
      <c r="O1823" s="19" t="s">
        <v>5311</v>
      </c>
      <c r="P1823" s="19"/>
      <c r="Q1823" s="18" t="s">
        <v>53</v>
      </c>
      <c r="R1823" s="16" t="s">
        <v>54</v>
      </c>
      <c r="S1823" s="18" t="s">
        <v>6095</v>
      </c>
      <c r="T1823" s="21" t="s">
        <v>55</v>
      </c>
    </row>
    <row r="1824" spans="1:20" ht="16.5">
      <c r="A1824" s="11" t="s">
        <v>6411</v>
      </c>
      <c r="B1824" s="11" t="s">
        <v>578</v>
      </c>
      <c r="C1824" s="11" t="s">
        <v>62</v>
      </c>
      <c r="D1824" s="12" t="s">
        <v>6470</v>
      </c>
      <c r="E1824" s="11" t="s">
        <v>45</v>
      </c>
      <c r="F1824" s="11" t="s">
        <v>62</v>
      </c>
      <c r="G1824" s="12" t="s">
        <v>6445</v>
      </c>
      <c r="H1824" s="13" t="s">
        <v>6594</v>
      </c>
      <c r="I1824" s="11" t="s">
        <v>6595</v>
      </c>
      <c r="J1824" s="14">
        <v>1</v>
      </c>
      <c r="K1824" s="14" t="s">
        <v>6413</v>
      </c>
      <c r="L1824" s="14" t="s">
        <v>6596</v>
      </c>
      <c r="M1824" s="15" t="s">
        <v>6473</v>
      </c>
      <c r="N1824" s="15" t="s">
        <v>51</v>
      </c>
      <c r="O1824" s="15" t="s">
        <v>6448</v>
      </c>
      <c r="P1824" s="15"/>
      <c r="Q1824" s="12" t="s">
        <v>649</v>
      </c>
      <c r="R1824" s="22" t="s">
        <v>88</v>
      </c>
      <c r="S1824" s="12" t="s">
        <v>6095</v>
      </c>
      <c r="T1824" s="14" t="s">
        <v>55</v>
      </c>
    </row>
    <row r="1825" spans="1:20" ht="16.5">
      <c r="A1825" s="17" t="s">
        <v>6411</v>
      </c>
      <c r="B1825" s="17" t="s">
        <v>578</v>
      </c>
      <c r="C1825" s="17" t="s">
        <v>62</v>
      </c>
      <c r="D1825" s="18" t="s">
        <v>6482</v>
      </c>
      <c r="E1825" s="17" t="s">
        <v>635</v>
      </c>
      <c r="F1825" s="17" t="s">
        <v>1250</v>
      </c>
      <c r="G1825" s="18" t="s">
        <v>2751</v>
      </c>
      <c r="H1825" s="20" t="s">
        <v>6597</v>
      </c>
      <c r="I1825" s="17" t="s">
        <v>1023</v>
      </c>
      <c r="J1825" s="21">
        <v>1</v>
      </c>
      <c r="K1825" s="21" t="s">
        <v>6413</v>
      </c>
      <c r="L1825" s="21" t="s">
        <v>6598</v>
      </c>
      <c r="M1825" s="19" t="s">
        <v>6485</v>
      </c>
      <c r="N1825" s="19" t="s">
        <v>640</v>
      </c>
      <c r="O1825" s="19" t="s">
        <v>2753</v>
      </c>
      <c r="P1825" s="19"/>
      <c r="Q1825" s="18" t="s">
        <v>53</v>
      </c>
      <c r="R1825" s="16" t="s">
        <v>54</v>
      </c>
      <c r="S1825" s="18" t="s">
        <v>6095</v>
      </c>
      <c r="T1825" s="21" t="s">
        <v>55</v>
      </c>
    </row>
    <row r="1826" spans="1:20" ht="16.5">
      <c r="A1826" s="11" t="s">
        <v>6411</v>
      </c>
      <c r="B1826" s="11" t="s">
        <v>650</v>
      </c>
      <c r="C1826" s="11" t="s">
        <v>204</v>
      </c>
      <c r="D1826" s="12" t="s">
        <v>6494</v>
      </c>
      <c r="E1826" s="11" t="s">
        <v>505</v>
      </c>
      <c r="F1826" s="11" t="s">
        <v>204</v>
      </c>
      <c r="G1826" s="12" t="s">
        <v>5612</v>
      </c>
      <c r="H1826" s="13" t="s">
        <v>6599</v>
      </c>
      <c r="I1826" s="11" t="s">
        <v>680</v>
      </c>
      <c r="J1826" s="14">
        <v>3</v>
      </c>
      <c r="K1826" s="14" t="s">
        <v>6413</v>
      </c>
      <c r="L1826" s="14" t="s">
        <v>6600</v>
      </c>
      <c r="M1826" s="15" t="s">
        <v>6497</v>
      </c>
      <c r="N1826" s="15" t="s">
        <v>509</v>
      </c>
      <c r="O1826" s="15" t="s">
        <v>5615</v>
      </c>
      <c r="P1826" s="15" t="s">
        <v>6601</v>
      </c>
      <c r="Q1826" s="12" t="s">
        <v>286</v>
      </c>
      <c r="R1826" s="22" t="s">
        <v>88</v>
      </c>
      <c r="S1826" s="12" t="s">
        <v>6095</v>
      </c>
      <c r="T1826" s="14" t="s">
        <v>55</v>
      </c>
    </row>
    <row r="1827" spans="1:20" ht="16.5">
      <c r="A1827" s="17" t="s">
        <v>6411</v>
      </c>
      <c r="B1827" s="17" t="s">
        <v>650</v>
      </c>
      <c r="C1827" s="17" t="s">
        <v>204</v>
      </c>
      <c r="D1827" s="18" t="s">
        <v>6509</v>
      </c>
      <c r="E1827" s="17" t="s">
        <v>505</v>
      </c>
      <c r="F1827" s="17" t="s">
        <v>204</v>
      </c>
      <c r="G1827" s="18" t="s">
        <v>4833</v>
      </c>
      <c r="H1827" s="20" t="s">
        <v>6602</v>
      </c>
      <c r="I1827" s="17" t="s">
        <v>680</v>
      </c>
      <c r="J1827" s="21">
        <v>3</v>
      </c>
      <c r="K1827" s="21" t="s">
        <v>6413</v>
      </c>
      <c r="L1827" s="21" t="s">
        <v>6603</v>
      </c>
      <c r="M1827" s="19" t="s">
        <v>6512</v>
      </c>
      <c r="N1827" s="19" t="s">
        <v>509</v>
      </c>
      <c r="O1827" s="19" t="s">
        <v>4836</v>
      </c>
      <c r="P1827" s="19" t="s">
        <v>6604</v>
      </c>
      <c r="Q1827" s="18" t="s">
        <v>286</v>
      </c>
      <c r="R1827" s="22" t="s">
        <v>88</v>
      </c>
      <c r="S1827" s="18" t="s">
        <v>6095</v>
      </c>
      <c r="T1827" s="21" t="s">
        <v>55</v>
      </c>
    </row>
    <row r="1828" spans="1:20" ht="29.25">
      <c r="A1828" s="14" t="s">
        <v>5404</v>
      </c>
      <c r="B1828" s="11" t="s">
        <v>43</v>
      </c>
      <c r="C1828" s="11" t="s">
        <v>44</v>
      </c>
      <c r="D1828" s="15" t="s">
        <v>5404</v>
      </c>
      <c r="E1828" s="11" t="s">
        <v>45</v>
      </c>
      <c r="F1828" s="11" t="s">
        <v>44</v>
      </c>
      <c r="G1828" s="12" t="s">
        <v>2812</v>
      </c>
      <c r="H1828" s="13" t="s">
        <v>6605</v>
      </c>
      <c r="I1828" s="11" t="s">
        <v>43</v>
      </c>
      <c r="J1828" s="14">
        <v>1</v>
      </c>
      <c r="K1828" s="14" t="s">
        <v>6606</v>
      </c>
      <c r="L1828" s="14" t="s">
        <v>6607</v>
      </c>
      <c r="M1828" s="15" t="s">
        <v>5408</v>
      </c>
      <c r="N1828" s="15" t="s">
        <v>51</v>
      </c>
      <c r="O1828" s="15" t="s">
        <v>2815</v>
      </c>
      <c r="P1828" s="15"/>
      <c r="Q1828" s="12" t="s">
        <v>53</v>
      </c>
      <c r="R1828" s="25" t="s">
        <v>607</v>
      </c>
      <c r="S1828" s="15"/>
      <c r="T1828" s="14" t="s">
        <v>55</v>
      </c>
    </row>
    <row r="1829" spans="1:20" ht="16.5">
      <c r="A1829" s="21" t="s">
        <v>5404</v>
      </c>
      <c r="B1829" s="17" t="s">
        <v>60</v>
      </c>
      <c r="C1829" s="17" t="s">
        <v>44</v>
      </c>
      <c r="D1829" s="19" t="s">
        <v>5404</v>
      </c>
      <c r="E1829" s="17" t="s">
        <v>61</v>
      </c>
      <c r="F1829" s="17" t="s">
        <v>62</v>
      </c>
      <c r="G1829" s="19" t="s">
        <v>6608</v>
      </c>
      <c r="H1829" s="24" t="s">
        <v>6609</v>
      </c>
      <c r="I1829" s="17" t="s">
        <v>65</v>
      </c>
      <c r="J1829" s="21">
        <v>1</v>
      </c>
      <c r="K1829" s="21" t="s">
        <v>6606</v>
      </c>
      <c r="L1829" s="21" t="s">
        <v>6610</v>
      </c>
      <c r="M1829" s="19" t="s">
        <v>5408</v>
      </c>
      <c r="N1829" s="19" t="s">
        <v>67</v>
      </c>
      <c r="O1829" s="19" t="s">
        <v>6611</v>
      </c>
      <c r="P1829" s="19"/>
      <c r="Q1829" s="18" t="s">
        <v>69</v>
      </c>
      <c r="R1829" s="16" t="s">
        <v>54</v>
      </c>
      <c r="S1829" s="19" t="s">
        <v>6612</v>
      </c>
      <c r="T1829" s="21" t="s">
        <v>55</v>
      </c>
    </row>
    <row r="1830" spans="1:20" ht="16.5">
      <c r="A1830" s="14" t="s">
        <v>5404</v>
      </c>
      <c r="B1830" s="11" t="s">
        <v>60</v>
      </c>
      <c r="C1830" s="11" t="s">
        <v>62</v>
      </c>
      <c r="D1830" s="15" t="s">
        <v>6608</v>
      </c>
      <c r="E1830" s="11" t="s">
        <v>71</v>
      </c>
      <c r="F1830" s="11" t="s">
        <v>72</v>
      </c>
      <c r="G1830" s="12" t="s">
        <v>6613</v>
      </c>
      <c r="H1830" s="23" t="s">
        <v>6614</v>
      </c>
      <c r="I1830" s="11" t="s">
        <v>65</v>
      </c>
      <c r="J1830" s="14">
        <v>1</v>
      </c>
      <c r="K1830" s="14" t="s">
        <v>6606</v>
      </c>
      <c r="L1830" s="14" t="s">
        <v>6615</v>
      </c>
      <c r="M1830" s="15" t="s">
        <v>6611</v>
      </c>
      <c r="N1830" s="15" t="s">
        <v>76</v>
      </c>
      <c r="O1830" s="15" t="s">
        <v>6616</v>
      </c>
      <c r="P1830" s="15"/>
      <c r="Q1830" s="12" t="s">
        <v>69</v>
      </c>
      <c r="R1830" s="16" t="s">
        <v>54</v>
      </c>
      <c r="S1830" s="15" t="s">
        <v>6612</v>
      </c>
      <c r="T1830" s="14" t="s">
        <v>55</v>
      </c>
    </row>
    <row r="1831" spans="1:20" ht="16.5">
      <c r="A1831" s="21" t="s">
        <v>5404</v>
      </c>
      <c r="B1831" s="17" t="s">
        <v>60</v>
      </c>
      <c r="C1831" s="17" t="s">
        <v>62</v>
      </c>
      <c r="D1831" s="19" t="s">
        <v>6608</v>
      </c>
      <c r="E1831" s="17" t="s">
        <v>71</v>
      </c>
      <c r="F1831" s="17" t="s">
        <v>72</v>
      </c>
      <c r="G1831" s="18" t="s">
        <v>6617</v>
      </c>
      <c r="H1831" s="24" t="s">
        <v>6614</v>
      </c>
      <c r="I1831" s="17" t="s">
        <v>65</v>
      </c>
      <c r="J1831" s="21">
        <v>1</v>
      </c>
      <c r="K1831" s="21" t="s">
        <v>6606</v>
      </c>
      <c r="L1831" s="21" t="s">
        <v>6618</v>
      </c>
      <c r="M1831" s="19" t="s">
        <v>6611</v>
      </c>
      <c r="N1831" s="19" t="s">
        <v>76</v>
      </c>
      <c r="O1831" s="19" t="s">
        <v>6619</v>
      </c>
      <c r="P1831" s="19"/>
      <c r="Q1831" s="18" t="s">
        <v>69</v>
      </c>
      <c r="R1831" s="16" t="s">
        <v>54</v>
      </c>
      <c r="S1831" s="19" t="s">
        <v>6612</v>
      </c>
      <c r="T1831" s="21" t="s">
        <v>55</v>
      </c>
    </row>
    <row r="1832" spans="1:20" ht="16.5">
      <c r="A1832" s="14" t="s">
        <v>5404</v>
      </c>
      <c r="B1832" s="11" t="s">
        <v>60</v>
      </c>
      <c r="C1832" s="11" t="s">
        <v>62</v>
      </c>
      <c r="D1832" s="15" t="s">
        <v>6608</v>
      </c>
      <c r="E1832" s="11" t="s">
        <v>71</v>
      </c>
      <c r="F1832" s="11" t="s">
        <v>72</v>
      </c>
      <c r="G1832" s="12" t="s">
        <v>6620</v>
      </c>
      <c r="H1832" s="23" t="s">
        <v>6614</v>
      </c>
      <c r="I1832" s="11" t="s">
        <v>65</v>
      </c>
      <c r="J1832" s="14">
        <v>1</v>
      </c>
      <c r="K1832" s="14" t="s">
        <v>6606</v>
      </c>
      <c r="L1832" s="14" t="s">
        <v>6621</v>
      </c>
      <c r="M1832" s="15" t="s">
        <v>6611</v>
      </c>
      <c r="N1832" s="15" t="s">
        <v>76</v>
      </c>
      <c r="O1832" s="15" t="s">
        <v>6622</v>
      </c>
      <c r="P1832" s="15"/>
      <c r="Q1832" s="12" t="s">
        <v>69</v>
      </c>
      <c r="R1832" s="16" t="s">
        <v>54</v>
      </c>
      <c r="S1832" s="15" t="s">
        <v>6612</v>
      </c>
      <c r="T1832" s="14" t="s">
        <v>55</v>
      </c>
    </row>
    <row r="1833" spans="1:20" ht="16.5">
      <c r="A1833" s="21" t="s">
        <v>5404</v>
      </c>
      <c r="B1833" s="17" t="s">
        <v>60</v>
      </c>
      <c r="C1833" s="17" t="s">
        <v>62</v>
      </c>
      <c r="D1833" s="19" t="s">
        <v>6608</v>
      </c>
      <c r="E1833" s="17" t="s">
        <v>81</v>
      </c>
      <c r="F1833" s="17" t="s">
        <v>82</v>
      </c>
      <c r="G1833" s="19" t="s">
        <v>6623</v>
      </c>
      <c r="H1833" s="24" t="s">
        <v>6624</v>
      </c>
      <c r="I1833" s="17" t="s">
        <v>65</v>
      </c>
      <c r="J1833" s="21">
        <v>1</v>
      </c>
      <c r="K1833" s="21" t="s">
        <v>6606</v>
      </c>
      <c r="L1833" s="21" t="s">
        <v>6625</v>
      </c>
      <c r="M1833" s="19" t="s">
        <v>6611</v>
      </c>
      <c r="N1833" s="19" t="s">
        <v>86</v>
      </c>
      <c r="O1833" s="19" t="s">
        <v>6626</v>
      </c>
      <c r="P1833" s="19"/>
      <c r="Q1833" s="18" t="s">
        <v>53</v>
      </c>
      <c r="R1833" s="22" t="s">
        <v>88</v>
      </c>
      <c r="S1833" s="19" t="s">
        <v>6612</v>
      </c>
      <c r="T1833" s="21" t="s">
        <v>55</v>
      </c>
    </row>
    <row r="1834" spans="1:20" ht="16.5">
      <c r="A1834" s="14" t="s">
        <v>5404</v>
      </c>
      <c r="B1834" s="11" t="s">
        <v>60</v>
      </c>
      <c r="C1834" s="11" t="s">
        <v>62</v>
      </c>
      <c r="D1834" s="15" t="s">
        <v>6608</v>
      </c>
      <c r="E1834" s="11" t="s">
        <v>81</v>
      </c>
      <c r="F1834" s="11" t="s">
        <v>82</v>
      </c>
      <c r="G1834" s="15" t="s">
        <v>6627</v>
      </c>
      <c r="H1834" s="23" t="s">
        <v>6628</v>
      </c>
      <c r="I1834" s="11" t="s">
        <v>65</v>
      </c>
      <c r="J1834" s="14">
        <v>1</v>
      </c>
      <c r="K1834" s="14" t="s">
        <v>6606</v>
      </c>
      <c r="L1834" s="14" t="s">
        <v>6629</v>
      </c>
      <c r="M1834" s="15" t="s">
        <v>6611</v>
      </c>
      <c r="N1834" s="15" t="s">
        <v>86</v>
      </c>
      <c r="O1834" s="15" t="s">
        <v>6630</v>
      </c>
      <c r="P1834" s="15"/>
      <c r="Q1834" s="12" t="s">
        <v>53</v>
      </c>
      <c r="R1834" s="22" t="s">
        <v>88</v>
      </c>
      <c r="S1834" s="15" t="s">
        <v>6612</v>
      </c>
      <c r="T1834" s="14" t="s">
        <v>55</v>
      </c>
    </row>
    <row r="1835" spans="1:20" ht="16.5">
      <c r="A1835" s="21" t="s">
        <v>5404</v>
      </c>
      <c r="B1835" s="17" t="s">
        <v>60</v>
      </c>
      <c r="C1835" s="17" t="s">
        <v>62</v>
      </c>
      <c r="D1835" s="19" t="s">
        <v>6608</v>
      </c>
      <c r="E1835" s="17" t="s">
        <v>81</v>
      </c>
      <c r="F1835" s="17" t="s">
        <v>82</v>
      </c>
      <c r="G1835" s="19" t="s">
        <v>6631</v>
      </c>
      <c r="H1835" s="24" t="s">
        <v>6632</v>
      </c>
      <c r="I1835" s="17" t="s">
        <v>65</v>
      </c>
      <c r="J1835" s="21">
        <v>1</v>
      </c>
      <c r="K1835" s="21" t="s">
        <v>6606</v>
      </c>
      <c r="L1835" s="21" t="s">
        <v>6633</v>
      </c>
      <c r="M1835" s="19" t="s">
        <v>6611</v>
      </c>
      <c r="N1835" s="19" t="s">
        <v>86</v>
      </c>
      <c r="O1835" s="19" t="s">
        <v>6634</v>
      </c>
      <c r="P1835" s="19"/>
      <c r="Q1835" s="18" t="s">
        <v>53</v>
      </c>
      <c r="R1835" s="22" t="s">
        <v>88</v>
      </c>
      <c r="S1835" s="19" t="s">
        <v>6612</v>
      </c>
      <c r="T1835" s="21" t="s">
        <v>55</v>
      </c>
    </row>
    <row r="1836" spans="1:20" ht="16.5">
      <c r="A1836" s="14" t="s">
        <v>5404</v>
      </c>
      <c r="B1836" s="11" t="s">
        <v>60</v>
      </c>
      <c r="C1836" s="11" t="s">
        <v>62</v>
      </c>
      <c r="D1836" s="15" t="s">
        <v>6608</v>
      </c>
      <c r="E1836" s="11" t="s">
        <v>81</v>
      </c>
      <c r="F1836" s="11" t="s">
        <v>82</v>
      </c>
      <c r="G1836" s="15" t="s">
        <v>6635</v>
      </c>
      <c r="H1836" s="23" t="s">
        <v>6636</v>
      </c>
      <c r="I1836" s="11" t="s">
        <v>65</v>
      </c>
      <c r="J1836" s="14">
        <v>1</v>
      </c>
      <c r="K1836" s="14" t="s">
        <v>6606</v>
      </c>
      <c r="L1836" s="14" t="s">
        <v>6637</v>
      </c>
      <c r="M1836" s="15" t="s">
        <v>6611</v>
      </c>
      <c r="N1836" s="15" t="s">
        <v>86</v>
      </c>
      <c r="O1836" s="15" t="s">
        <v>6638</v>
      </c>
      <c r="P1836" s="15"/>
      <c r="Q1836" s="12" t="s">
        <v>53</v>
      </c>
      <c r="R1836" s="22" t="s">
        <v>88</v>
      </c>
      <c r="S1836" s="15" t="s">
        <v>6612</v>
      </c>
      <c r="T1836" s="14" t="s">
        <v>55</v>
      </c>
    </row>
    <row r="1837" spans="1:20" ht="16.5">
      <c r="A1837" s="21" t="s">
        <v>5404</v>
      </c>
      <c r="B1837" s="17" t="s">
        <v>60</v>
      </c>
      <c r="C1837" s="17" t="s">
        <v>62</v>
      </c>
      <c r="D1837" s="19" t="s">
        <v>6608</v>
      </c>
      <c r="E1837" s="17" t="s">
        <v>81</v>
      </c>
      <c r="F1837" s="17" t="s">
        <v>82</v>
      </c>
      <c r="G1837" s="19" t="s">
        <v>6639</v>
      </c>
      <c r="H1837" s="24" t="s">
        <v>6640</v>
      </c>
      <c r="I1837" s="17" t="s">
        <v>65</v>
      </c>
      <c r="J1837" s="21">
        <v>1</v>
      </c>
      <c r="K1837" s="21" t="s">
        <v>6606</v>
      </c>
      <c r="L1837" s="21" t="s">
        <v>6641</v>
      </c>
      <c r="M1837" s="19" t="s">
        <v>6611</v>
      </c>
      <c r="N1837" s="19" t="s">
        <v>86</v>
      </c>
      <c r="O1837" s="19" t="s">
        <v>6642</v>
      </c>
      <c r="P1837" s="19"/>
      <c r="Q1837" s="18" t="s">
        <v>53</v>
      </c>
      <c r="R1837" s="22" t="s">
        <v>88</v>
      </c>
      <c r="S1837" s="19" t="s">
        <v>6612</v>
      </c>
      <c r="T1837" s="21" t="s">
        <v>55</v>
      </c>
    </row>
    <row r="1838" spans="1:20" ht="16.5">
      <c r="A1838" s="14" t="s">
        <v>5404</v>
      </c>
      <c r="B1838" s="11" t="s">
        <v>60</v>
      </c>
      <c r="C1838" s="11" t="s">
        <v>62</v>
      </c>
      <c r="D1838" s="15" t="s">
        <v>6608</v>
      </c>
      <c r="E1838" s="11" t="s">
        <v>203</v>
      </c>
      <c r="F1838" s="11" t="s">
        <v>204</v>
      </c>
      <c r="G1838" s="12" t="s">
        <v>6643</v>
      </c>
      <c r="H1838" s="23" t="s">
        <v>6644</v>
      </c>
      <c r="I1838" s="11" t="s">
        <v>65</v>
      </c>
      <c r="J1838" s="14">
        <v>1</v>
      </c>
      <c r="K1838" s="14" t="s">
        <v>6606</v>
      </c>
      <c r="L1838" s="14" t="s">
        <v>6645</v>
      </c>
      <c r="M1838" s="15" t="s">
        <v>6611</v>
      </c>
      <c r="N1838" s="15" t="s">
        <v>208</v>
      </c>
      <c r="O1838" s="15" t="s">
        <v>6646</v>
      </c>
      <c r="P1838" s="15" t="s">
        <v>6647</v>
      </c>
      <c r="Q1838" s="15" t="s">
        <v>211</v>
      </c>
      <c r="R1838" s="16" t="s">
        <v>54</v>
      </c>
      <c r="S1838" s="15" t="s">
        <v>6612</v>
      </c>
      <c r="T1838" s="14" t="s">
        <v>55</v>
      </c>
    </row>
    <row r="1839" spans="1:20" ht="16.5">
      <c r="A1839" s="21" t="s">
        <v>5404</v>
      </c>
      <c r="B1839" s="17" t="s">
        <v>60</v>
      </c>
      <c r="C1839" s="17" t="s">
        <v>62</v>
      </c>
      <c r="D1839" s="19" t="s">
        <v>6608</v>
      </c>
      <c r="E1839" s="17" t="s">
        <v>203</v>
      </c>
      <c r="F1839" s="17" t="s">
        <v>204</v>
      </c>
      <c r="G1839" s="18" t="s">
        <v>6648</v>
      </c>
      <c r="H1839" s="24" t="s">
        <v>6649</v>
      </c>
      <c r="I1839" s="17" t="s">
        <v>65</v>
      </c>
      <c r="J1839" s="21">
        <v>1</v>
      </c>
      <c r="K1839" s="21" t="s">
        <v>6606</v>
      </c>
      <c r="L1839" s="21" t="s">
        <v>6650</v>
      </c>
      <c r="M1839" s="19" t="s">
        <v>6611</v>
      </c>
      <c r="N1839" s="19" t="s">
        <v>208</v>
      </c>
      <c r="O1839" s="19" t="s">
        <v>6651</v>
      </c>
      <c r="P1839" s="19" t="s">
        <v>6652</v>
      </c>
      <c r="Q1839" s="19" t="s">
        <v>211</v>
      </c>
      <c r="R1839" s="16" t="s">
        <v>54</v>
      </c>
      <c r="S1839" s="19" t="s">
        <v>6612</v>
      </c>
      <c r="T1839" s="21" t="s">
        <v>55</v>
      </c>
    </row>
    <row r="1840" spans="1:20" ht="16.5">
      <c r="A1840" s="14" t="s">
        <v>5404</v>
      </c>
      <c r="B1840" s="11" t="s">
        <v>60</v>
      </c>
      <c r="C1840" s="11" t="s">
        <v>62</v>
      </c>
      <c r="D1840" s="15" t="s">
        <v>6608</v>
      </c>
      <c r="E1840" s="11" t="s">
        <v>203</v>
      </c>
      <c r="F1840" s="11" t="s">
        <v>204</v>
      </c>
      <c r="G1840" s="12" t="s">
        <v>6653</v>
      </c>
      <c r="H1840" s="23" t="s">
        <v>6654</v>
      </c>
      <c r="I1840" s="11" t="s">
        <v>65</v>
      </c>
      <c r="J1840" s="14">
        <v>1</v>
      </c>
      <c r="K1840" s="14" t="s">
        <v>6606</v>
      </c>
      <c r="L1840" s="14" t="s">
        <v>6655</v>
      </c>
      <c r="M1840" s="15" t="s">
        <v>6611</v>
      </c>
      <c r="N1840" s="15" t="s">
        <v>208</v>
      </c>
      <c r="O1840" s="15" t="s">
        <v>6656</v>
      </c>
      <c r="P1840" s="15" t="s">
        <v>6657</v>
      </c>
      <c r="Q1840" s="15" t="s">
        <v>211</v>
      </c>
      <c r="R1840" s="16" t="s">
        <v>54</v>
      </c>
      <c r="S1840" s="15" t="s">
        <v>6612</v>
      </c>
      <c r="T1840" s="14" t="s">
        <v>55</v>
      </c>
    </row>
    <row r="1841" spans="1:20" ht="29.25">
      <c r="A1841" s="21" t="s">
        <v>5404</v>
      </c>
      <c r="B1841" s="17" t="s">
        <v>60</v>
      </c>
      <c r="C1841" s="17" t="s">
        <v>62</v>
      </c>
      <c r="D1841" s="19" t="s">
        <v>6608</v>
      </c>
      <c r="E1841" s="17" t="s">
        <v>203</v>
      </c>
      <c r="F1841" s="17" t="s">
        <v>295</v>
      </c>
      <c r="G1841" s="19" t="s">
        <v>6150</v>
      </c>
      <c r="H1841" s="24" t="s">
        <v>6658</v>
      </c>
      <c r="I1841" s="17" t="s">
        <v>65</v>
      </c>
      <c r="J1841" s="21">
        <v>1</v>
      </c>
      <c r="K1841" s="21" t="s">
        <v>6606</v>
      </c>
      <c r="L1841" s="21" t="s">
        <v>6659</v>
      </c>
      <c r="M1841" s="19" t="s">
        <v>6611</v>
      </c>
      <c r="N1841" s="19" t="s">
        <v>208</v>
      </c>
      <c r="O1841" s="19" t="s">
        <v>6153</v>
      </c>
      <c r="P1841" s="19"/>
      <c r="Q1841" s="18" t="s">
        <v>286</v>
      </c>
      <c r="R1841" s="22" t="s">
        <v>88</v>
      </c>
      <c r="S1841" s="19" t="s">
        <v>6612</v>
      </c>
      <c r="T1841" s="21" t="s">
        <v>55</v>
      </c>
    </row>
    <row r="1842" spans="1:20" ht="29.25">
      <c r="A1842" s="14" t="s">
        <v>5404</v>
      </c>
      <c r="B1842" s="11" t="s">
        <v>60</v>
      </c>
      <c r="C1842" s="11" t="s">
        <v>62</v>
      </c>
      <c r="D1842" s="15" t="s">
        <v>6608</v>
      </c>
      <c r="E1842" s="11" t="s">
        <v>203</v>
      </c>
      <c r="F1842" s="11" t="s">
        <v>295</v>
      </c>
      <c r="G1842" s="15" t="s">
        <v>2170</v>
      </c>
      <c r="H1842" s="23" t="s">
        <v>6660</v>
      </c>
      <c r="I1842" s="11" t="s">
        <v>65</v>
      </c>
      <c r="J1842" s="14">
        <v>1</v>
      </c>
      <c r="K1842" s="14" t="s">
        <v>6606</v>
      </c>
      <c r="L1842" s="14" t="s">
        <v>6661</v>
      </c>
      <c r="M1842" s="15" t="s">
        <v>6611</v>
      </c>
      <c r="N1842" s="15" t="s">
        <v>208</v>
      </c>
      <c r="O1842" s="15" t="s">
        <v>2173</v>
      </c>
      <c r="P1842" s="15"/>
      <c r="Q1842" s="12" t="s">
        <v>286</v>
      </c>
      <c r="R1842" s="22" t="s">
        <v>88</v>
      </c>
      <c r="S1842" s="15" t="s">
        <v>6612</v>
      </c>
      <c r="T1842" s="14" t="s">
        <v>55</v>
      </c>
    </row>
    <row r="1843" spans="1:20" ht="29.25">
      <c r="A1843" s="21" t="s">
        <v>5404</v>
      </c>
      <c r="B1843" s="17" t="s">
        <v>60</v>
      </c>
      <c r="C1843" s="17" t="s">
        <v>62</v>
      </c>
      <c r="D1843" s="19" t="s">
        <v>6608</v>
      </c>
      <c r="E1843" s="17" t="s">
        <v>203</v>
      </c>
      <c r="F1843" s="17" t="s">
        <v>295</v>
      </c>
      <c r="G1843" s="18" t="s">
        <v>6662</v>
      </c>
      <c r="H1843" s="24" t="s">
        <v>6663</v>
      </c>
      <c r="I1843" s="17" t="s">
        <v>65</v>
      </c>
      <c r="J1843" s="21">
        <v>1</v>
      </c>
      <c r="K1843" s="21" t="s">
        <v>6606</v>
      </c>
      <c r="L1843" s="21" t="s">
        <v>6664</v>
      </c>
      <c r="M1843" s="19" t="s">
        <v>6611</v>
      </c>
      <c r="N1843" s="19" t="s">
        <v>208</v>
      </c>
      <c r="O1843" s="19" t="s">
        <v>6665</v>
      </c>
      <c r="P1843" s="19"/>
      <c r="Q1843" s="18" t="s">
        <v>286</v>
      </c>
      <c r="R1843" s="22" t="s">
        <v>88</v>
      </c>
      <c r="S1843" s="19" t="s">
        <v>6612</v>
      </c>
      <c r="T1843" s="21" t="s">
        <v>55</v>
      </c>
    </row>
    <row r="1844" spans="1:20" ht="16.5">
      <c r="A1844" s="14" t="s">
        <v>5404</v>
      </c>
      <c r="B1844" s="11" t="s">
        <v>311</v>
      </c>
      <c r="C1844" s="11" t="s">
        <v>204</v>
      </c>
      <c r="D1844" s="12" t="s">
        <v>6643</v>
      </c>
      <c r="E1844" s="11" t="s">
        <v>312</v>
      </c>
      <c r="F1844" s="14" t="s">
        <v>313</v>
      </c>
      <c r="G1844" s="15" t="s">
        <v>6647</v>
      </c>
      <c r="H1844" s="23" t="s">
        <v>6666</v>
      </c>
      <c r="I1844" s="11" t="s">
        <v>65</v>
      </c>
      <c r="J1844" s="14">
        <v>1</v>
      </c>
      <c r="K1844" s="14" t="s">
        <v>6606</v>
      </c>
      <c r="L1844" s="14" t="s">
        <v>6667</v>
      </c>
      <c r="M1844" s="15" t="s">
        <v>6646</v>
      </c>
      <c r="N1844" s="15" t="s">
        <v>316</v>
      </c>
      <c r="O1844" s="15" t="s">
        <v>6668</v>
      </c>
      <c r="P1844" s="15" t="s">
        <v>6647</v>
      </c>
      <c r="Q1844" s="15" t="s">
        <v>211</v>
      </c>
      <c r="R1844" s="16" t="s">
        <v>54</v>
      </c>
      <c r="S1844" s="15" t="s">
        <v>6612</v>
      </c>
      <c r="T1844" s="14" t="s">
        <v>55</v>
      </c>
    </row>
    <row r="1845" spans="1:20" ht="16.5">
      <c r="A1845" s="21" t="s">
        <v>5404</v>
      </c>
      <c r="B1845" s="17" t="s">
        <v>311</v>
      </c>
      <c r="C1845" s="17" t="s">
        <v>204</v>
      </c>
      <c r="D1845" s="18" t="s">
        <v>6648</v>
      </c>
      <c r="E1845" s="17" t="s">
        <v>312</v>
      </c>
      <c r="F1845" s="21" t="s">
        <v>313</v>
      </c>
      <c r="G1845" s="19" t="s">
        <v>6652</v>
      </c>
      <c r="H1845" s="24" t="s">
        <v>6669</v>
      </c>
      <c r="I1845" s="17" t="s">
        <v>65</v>
      </c>
      <c r="J1845" s="21">
        <v>1</v>
      </c>
      <c r="K1845" s="21" t="s">
        <v>6606</v>
      </c>
      <c r="L1845" s="21" t="s">
        <v>6670</v>
      </c>
      <c r="M1845" s="19" t="s">
        <v>6651</v>
      </c>
      <c r="N1845" s="19" t="s">
        <v>316</v>
      </c>
      <c r="O1845" s="19" t="s">
        <v>6671</v>
      </c>
      <c r="P1845" s="19" t="s">
        <v>6652</v>
      </c>
      <c r="Q1845" s="19" t="s">
        <v>211</v>
      </c>
      <c r="R1845" s="16" t="s">
        <v>54</v>
      </c>
      <c r="S1845" s="19" t="s">
        <v>6612</v>
      </c>
      <c r="T1845" s="21" t="s">
        <v>55</v>
      </c>
    </row>
    <row r="1846" spans="1:20" ht="16.5">
      <c r="A1846" s="14" t="s">
        <v>5404</v>
      </c>
      <c r="B1846" s="11" t="s">
        <v>311</v>
      </c>
      <c r="C1846" s="11" t="s">
        <v>204</v>
      </c>
      <c r="D1846" s="12" t="s">
        <v>6653</v>
      </c>
      <c r="E1846" s="11" t="s">
        <v>312</v>
      </c>
      <c r="F1846" s="14" t="s">
        <v>313</v>
      </c>
      <c r="G1846" s="15" t="s">
        <v>6657</v>
      </c>
      <c r="H1846" s="23" t="s">
        <v>6672</v>
      </c>
      <c r="I1846" s="11" t="s">
        <v>65</v>
      </c>
      <c r="J1846" s="14">
        <v>1</v>
      </c>
      <c r="K1846" s="14" t="s">
        <v>6606</v>
      </c>
      <c r="L1846" s="14" t="s">
        <v>6673</v>
      </c>
      <c r="M1846" s="15" t="s">
        <v>6656</v>
      </c>
      <c r="N1846" s="15" t="s">
        <v>316</v>
      </c>
      <c r="O1846" s="15" t="s">
        <v>6674</v>
      </c>
      <c r="P1846" s="15" t="s">
        <v>6657</v>
      </c>
      <c r="Q1846" s="15" t="s">
        <v>211</v>
      </c>
      <c r="R1846" s="16" t="s">
        <v>54</v>
      </c>
      <c r="S1846" s="15" t="s">
        <v>6612</v>
      </c>
      <c r="T1846" s="14" t="s">
        <v>55</v>
      </c>
    </row>
    <row r="1847" spans="1:20" ht="16.5">
      <c r="A1847" s="21" t="s">
        <v>5404</v>
      </c>
      <c r="B1847" s="17" t="s">
        <v>578</v>
      </c>
      <c r="C1847" s="17" t="s">
        <v>300</v>
      </c>
      <c r="D1847" s="19" t="s">
        <v>5693</v>
      </c>
      <c r="E1847" s="17" t="s">
        <v>579</v>
      </c>
      <c r="F1847" s="17" t="s">
        <v>62</v>
      </c>
      <c r="G1847" s="19" t="s">
        <v>6608</v>
      </c>
      <c r="H1847" s="24" t="s">
        <v>584</v>
      </c>
      <c r="I1847" s="17" t="s">
        <v>6675</v>
      </c>
      <c r="J1847" s="21">
        <v>1</v>
      </c>
      <c r="K1847" s="21" t="s">
        <v>6606</v>
      </c>
      <c r="L1847" s="21" t="s">
        <v>6676</v>
      </c>
      <c r="M1847" s="19" t="s">
        <v>5696</v>
      </c>
      <c r="N1847" s="19" t="s">
        <v>583</v>
      </c>
      <c r="O1847" s="19" t="s">
        <v>6611</v>
      </c>
      <c r="P1847" s="19"/>
      <c r="Q1847" s="18" t="s">
        <v>649</v>
      </c>
      <c r="R1847" s="22" t="s">
        <v>88</v>
      </c>
      <c r="S1847" s="19" t="s">
        <v>6612</v>
      </c>
      <c r="T1847" s="21" t="s">
        <v>55</v>
      </c>
    </row>
    <row r="1848" spans="1:20" ht="16.5">
      <c r="A1848" s="14" t="s">
        <v>5404</v>
      </c>
      <c r="B1848" s="11" t="s">
        <v>578</v>
      </c>
      <c r="C1848" s="11" t="s">
        <v>1250</v>
      </c>
      <c r="D1848" s="12" t="s">
        <v>1385</v>
      </c>
      <c r="E1848" s="11" t="s">
        <v>1386</v>
      </c>
      <c r="F1848" s="11" t="s">
        <v>62</v>
      </c>
      <c r="G1848" s="15" t="s">
        <v>6608</v>
      </c>
      <c r="H1848" s="23" t="s">
        <v>584</v>
      </c>
      <c r="I1848" s="11" t="s">
        <v>6675</v>
      </c>
      <c r="J1848" s="14">
        <v>1</v>
      </c>
      <c r="K1848" s="14" t="s">
        <v>6606</v>
      </c>
      <c r="L1848" s="14" t="s">
        <v>6677</v>
      </c>
      <c r="M1848" s="15" t="s">
        <v>1389</v>
      </c>
      <c r="N1848" s="15" t="s">
        <v>1390</v>
      </c>
      <c r="O1848" s="15" t="s">
        <v>6611</v>
      </c>
      <c r="P1848" s="15"/>
      <c r="Q1848" s="12" t="s">
        <v>53</v>
      </c>
      <c r="R1848" s="16" t="s">
        <v>54</v>
      </c>
      <c r="S1848" s="15" t="s">
        <v>6612</v>
      </c>
      <c r="T1848" s="14" t="s">
        <v>55</v>
      </c>
    </row>
    <row r="1849" spans="1:20" ht="16.5">
      <c r="A1849" s="21" t="s">
        <v>5404</v>
      </c>
      <c r="B1849" s="17" t="s">
        <v>578</v>
      </c>
      <c r="C1849" s="17" t="s">
        <v>1250</v>
      </c>
      <c r="D1849" s="18" t="s">
        <v>2151</v>
      </c>
      <c r="E1849" s="17" t="s">
        <v>1386</v>
      </c>
      <c r="F1849" s="17" t="s">
        <v>62</v>
      </c>
      <c r="G1849" s="19" t="s">
        <v>6608</v>
      </c>
      <c r="H1849" s="24" t="s">
        <v>584</v>
      </c>
      <c r="I1849" s="17" t="s">
        <v>6675</v>
      </c>
      <c r="J1849" s="21">
        <v>1</v>
      </c>
      <c r="K1849" s="21" t="s">
        <v>6606</v>
      </c>
      <c r="L1849" s="21" t="s">
        <v>6678</v>
      </c>
      <c r="M1849" s="19" t="s">
        <v>2153</v>
      </c>
      <c r="N1849" s="19" t="s">
        <v>1390</v>
      </c>
      <c r="O1849" s="19" t="s">
        <v>6611</v>
      </c>
      <c r="P1849" s="19"/>
      <c r="Q1849" s="18" t="s">
        <v>53</v>
      </c>
      <c r="R1849" s="16" t="s">
        <v>54</v>
      </c>
      <c r="S1849" s="19" t="s">
        <v>6612</v>
      </c>
      <c r="T1849" s="21" t="s">
        <v>55</v>
      </c>
    </row>
    <row r="1850" spans="1:20" ht="16.5">
      <c r="A1850" s="14" t="s">
        <v>5404</v>
      </c>
      <c r="B1850" s="11" t="s">
        <v>578</v>
      </c>
      <c r="C1850" s="11" t="s">
        <v>62</v>
      </c>
      <c r="D1850" s="15" t="s">
        <v>6608</v>
      </c>
      <c r="E1850" s="11" t="s">
        <v>635</v>
      </c>
      <c r="F1850" s="11" t="s">
        <v>300</v>
      </c>
      <c r="G1850" s="15" t="s">
        <v>6679</v>
      </c>
      <c r="H1850" s="23" t="s">
        <v>584</v>
      </c>
      <c r="I1850" s="11" t="s">
        <v>6675</v>
      </c>
      <c r="J1850" s="14">
        <v>1</v>
      </c>
      <c r="K1850" s="14" t="s">
        <v>6606</v>
      </c>
      <c r="L1850" s="14" t="s">
        <v>6680</v>
      </c>
      <c r="M1850" s="15" t="s">
        <v>6611</v>
      </c>
      <c r="N1850" s="15" t="s">
        <v>640</v>
      </c>
      <c r="O1850" s="15" t="s">
        <v>6681</v>
      </c>
      <c r="P1850" s="15"/>
      <c r="Q1850" s="12" t="s">
        <v>53</v>
      </c>
      <c r="R1850" s="16" t="s">
        <v>54</v>
      </c>
      <c r="S1850" s="15" t="s">
        <v>6612</v>
      </c>
      <c r="T1850" s="14" t="s">
        <v>55</v>
      </c>
    </row>
    <row r="1851" spans="1:20" ht="16.5">
      <c r="A1851" s="21" t="s">
        <v>5404</v>
      </c>
      <c r="B1851" s="17" t="s">
        <v>650</v>
      </c>
      <c r="C1851" s="17" t="s">
        <v>204</v>
      </c>
      <c r="D1851" s="18" t="s">
        <v>6643</v>
      </c>
      <c r="E1851" s="17" t="s">
        <v>654</v>
      </c>
      <c r="F1851" s="17" t="s">
        <v>295</v>
      </c>
      <c r="G1851" s="19" t="s">
        <v>6150</v>
      </c>
      <c r="H1851" s="24" t="s">
        <v>584</v>
      </c>
      <c r="I1851" s="17" t="s">
        <v>652</v>
      </c>
      <c r="J1851" s="21">
        <v>1</v>
      </c>
      <c r="K1851" s="21" t="s">
        <v>6606</v>
      </c>
      <c r="L1851" s="21" t="s">
        <v>6682</v>
      </c>
      <c r="M1851" s="19" t="s">
        <v>6646</v>
      </c>
      <c r="N1851" s="19" t="s">
        <v>657</v>
      </c>
      <c r="O1851" s="19" t="s">
        <v>6153</v>
      </c>
      <c r="P1851" s="19" t="s">
        <v>6647</v>
      </c>
      <c r="Q1851" s="18" t="s">
        <v>286</v>
      </c>
      <c r="R1851" s="22" t="s">
        <v>88</v>
      </c>
      <c r="S1851" s="19" t="s">
        <v>6612</v>
      </c>
      <c r="T1851" s="21" t="s">
        <v>55</v>
      </c>
    </row>
    <row r="1852" spans="1:20" ht="16.5">
      <c r="A1852" s="14" t="s">
        <v>5404</v>
      </c>
      <c r="B1852" s="11" t="s">
        <v>650</v>
      </c>
      <c r="C1852" s="11" t="s">
        <v>204</v>
      </c>
      <c r="D1852" s="12" t="s">
        <v>6643</v>
      </c>
      <c r="E1852" s="11" t="s">
        <v>667</v>
      </c>
      <c r="F1852" s="11" t="s">
        <v>295</v>
      </c>
      <c r="G1852" s="12" t="s">
        <v>6662</v>
      </c>
      <c r="H1852" s="23" t="s">
        <v>6683</v>
      </c>
      <c r="I1852" s="11" t="s">
        <v>652</v>
      </c>
      <c r="J1852" s="14">
        <v>1</v>
      </c>
      <c r="K1852" s="14" t="s">
        <v>6606</v>
      </c>
      <c r="L1852" s="14" t="s">
        <v>6684</v>
      </c>
      <c r="M1852" s="15" t="s">
        <v>6646</v>
      </c>
      <c r="N1852" s="15" t="s">
        <v>670</v>
      </c>
      <c r="O1852" s="15" t="s">
        <v>6665</v>
      </c>
      <c r="P1852" s="15" t="s">
        <v>6647</v>
      </c>
      <c r="Q1852" s="12" t="s">
        <v>286</v>
      </c>
      <c r="R1852" s="22" t="s">
        <v>88</v>
      </c>
      <c r="S1852" s="15" t="s">
        <v>6612</v>
      </c>
      <c r="T1852" s="14" t="s">
        <v>55</v>
      </c>
    </row>
    <row r="1853" spans="1:20" ht="16.5">
      <c r="A1853" s="21" t="s">
        <v>5404</v>
      </c>
      <c r="B1853" s="17" t="s">
        <v>695</v>
      </c>
      <c r="C1853" s="17" t="s">
        <v>295</v>
      </c>
      <c r="D1853" s="18" t="s">
        <v>6662</v>
      </c>
      <c r="E1853" s="17" t="s">
        <v>654</v>
      </c>
      <c r="F1853" s="17" t="s">
        <v>295</v>
      </c>
      <c r="G1853" s="19" t="s">
        <v>2170</v>
      </c>
      <c r="H1853" s="24" t="s">
        <v>584</v>
      </c>
      <c r="I1853" s="17" t="s">
        <v>696</v>
      </c>
      <c r="J1853" s="21">
        <v>1</v>
      </c>
      <c r="K1853" s="21" t="s">
        <v>6606</v>
      </c>
      <c r="L1853" s="21" t="s">
        <v>6685</v>
      </c>
      <c r="M1853" s="19" t="s">
        <v>6665</v>
      </c>
      <c r="N1853" s="19" t="s">
        <v>657</v>
      </c>
      <c r="O1853" s="19" t="s">
        <v>2173</v>
      </c>
      <c r="P1853" s="19"/>
      <c r="Q1853" s="18" t="s">
        <v>286</v>
      </c>
      <c r="R1853" s="22" t="s">
        <v>88</v>
      </c>
      <c r="S1853" s="19" t="s">
        <v>6612</v>
      </c>
      <c r="T1853" s="21" t="s">
        <v>55</v>
      </c>
    </row>
    <row r="1854" spans="1:20" ht="16.5">
      <c r="A1854" s="14" t="s">
        <v>5404</v>
      </c>
      <c r="B1854" s="11" t="s">
        <v>695</v>
      </c>
      <c r="C1854" s="11" t="s">
        <v>295</v>
      </c>
      <c r="D1854" s="15" t="s">
        <v>2170</v>
      </c>
      <c r="E1854" s="11" t="s">
        <v>667</v>
      </c>
      <c r="F1854" s="11" t="s">
        <v>698</v>
      </c>
      <c r="G1854" s="12" t="s">
        <v>6686</v>
      </c>
      <c r="H1854" s="13" t="s">
        <v>6687</v>
      </c>
      <c r="I1854" s="11" t="s">
        <v>6688</v>
      </c>
      <c r="J1854" s="14">
        <v>2</v>
      </c>
      <c r="K1854" s="14" t="s">
        <v>6606</v>
      </c>
      <c r="L1854" s="14" t="s">
        <v>6689</v>
      </c>
      <c r="M1854" s="15" t="s">
        <v>2173</v>
      </c>
      <c r="N1854" s="15" t="s">
        <v>670</v>
      </c>
      <c r="O1854" s="15" t="s">
        <v>6690</v>
      </c>
      <c r="P1854" s="15"/>
      <c r="Q1854" s="12" t="s">
        <v>286</v>
      </c>
      <c r="R1854" s="22" t="s">
        <v>88</v>
      </c>
      <c r="S1854" s="15" t="s">
        <v>6612</v>
      </c>
      <c r="T1854" s="14" t="s">
        <v>55</v>
      </c>
    </row>
    <row r="1855" spans="1:20" ht="16.5">
      <c r="A1855" s="17" t="s">
        <v>5409</v>
      </c>
      <c r="B1855" s="17" t="s">
        <v>43</v>
      </c>
      <c r="C1855" s="17" t="s">
        <v>44</v>
      </c>
      <c r="D1855" s="18" t="s">
        <v>5409</v>
      </c>
      <c r="E1855" s="17" t="s">
        <v>45</v>
      </c>
      <c r="F1855" s="17" t="s">
        <v>44</v>
      </c>
      <c r="G1855" s="18" t="s">
        <v>3131</v>
      </c>
      <c r="H1855" s="20" t="s">
        <v>6691</v>
      </c>
      <c r="I1855" s="17" t="s">
        <v>43</v>
      </c>
      <c r="J1855" s="21">
        <v>1</v>
      </c>
      <c r="K1855" s="21" t="s">
        <v>6692</v>
      </c>
      <c r="L1855" s="21" t="s">
        <v>6693</v>
      </c>
      <c r="M1855" s="19" t="s">
        <v>5412</v>
      </c>
      <c r="N1855" s="19" t="s">
        <v>51</v>
      </c>
      <c r="O1855" s="19" t="s">
        <v>3135</v>
      </c>
      <c r="P1855" s="19"/>
      <c r="Q1855" s="18" t="s">
        <v>53</v>
      </c>
      <c r="R1855" s="16" t="s">
        <v>54</v>
      </c>
      <c r="S1855" s="19"/>
      <c r="T1855" s="21" t="s">
        <v>55</v>
      </c>
    </row>
    <row r="1856" spans="1:20" ht="16.5">
      <c r="A1856" s="11" t="s">
        <v>5409</v>
      </c>
      <c r="B1856" s="11" t="s">
        <v>60</v>
      </c>
      <c r="C1856" s="11" t="s">
        <v>44</v>
      </c>
      <c r="D1856" s="12" t="s">
        <v>5409</v>
      </c>
      <c r="E1856" s="11" t="s">
        <v>61</v>
      </c>
      <c r="F1856" s="11" t="s">
        <v>62</v>
      </c>
      <c r="G1856" s="12" t="s">
        <v>6694</v>
      </c>
      <c r="H1856" s="13" t="s">
        <v>6695</v>
      </c>
      <c r="I1856" s="11" t="s">
        <v>65</v>
      </c>
      <c r="J1856" s="14">
        <v>1</v>
      </c>
      <c r="K1856" s="14" t="s">
        <v>6692</v>
      </c>
      <c r="L1856" s="14" t="s">
        <v>6696</v>
      </c>
      <c r="M1856" s="15" t="s">
        <v>5412</v>
      </c>
      <c r="N1856" s="15" t="s">
        <v>67</v>
      </c>
      <c r="O1856" s="15" t="s">
        <v>6697</v>
      </c>
      <c r="P1856" s="15"/>
      <c r="Q1856" s="12" t="s">
        <v>69</v>
      </c>
      <c r="R1856" s="16" t="s">
        <v>54</v>
      </c>
      <c r="S1856" s="12" t="s">
        <v>2818</v>
      </c>
      <c r="T1856" s="14" t="s">
        <v>55</v>
      </c>
    </row>
    <row r="1857" spans="1:20" ht="16.5">
      <c r="A1857" s="17" t="s">
        <v>5409</v>
      </c>
      <c r="B1857" s="17" t="s">
        <v>60</v>
      </c>
      <c r="C1857" s="17" t="s">
        <v>62</v>
      </c>
      <c r="D1857" s="18" t="s">
        <v>6694</v>
      </c>
      <c r="E1857" s="17" t="s">
        <v>71</v>
      </c>
      <c r="F1857" s="17" t="s">
        <v>72</v>
      </c>
      <c r="G1857" s="18" t="s">
        <v>5578</v>
      </c>
      <c r="H1857" s="20" t="s">
        <v>6698</v>
      </c>
      <c r="I1857" s="17" t="s">
        <v>65</v>
      </c>
      <c r="J1857" s="21">
        <v>1</v>
      </c>
      <c r="K1857" s="21" t="s">
        <v>6692</v>
      </c>
      <c r="L1857" s="21" t="s">
        <v>6699</v>
      </c>
      <c r="M1857" s="19" t="s">
        <v>6697</v>
      </c>
      <c r="N1857" s="19" t="s">
        <v>76</v>
      </c>
      <c r="O1857" s="19" t="s">
        <v>5581</v>
      </c>
      <c r="P1857" s="19"/>
      <c r="Q1857" s="18" t="s">
        <v>69</v>
      </c>
      <c r="R1857" s="16" t="s">
        <v>54</v>
      </c>
      <c r="S1857" s="18" t="s">
        <v>2818</v>
      </c>
      <c r="T1857" s="21" t="s">
        <v>55</v>
      </c>
    </row>
    <row r="1858" spans="1:20" ht="16.5">
      <c r="A1858" s="11" t="s">
        <v>5409</v>
      </c>
      <c r="B1858" s="11" t="s">
        <v>60</v>
      </c>
      <c r="C1858" s="11" t="s">
        <v>62</v>
      </c>
      <c r="D1858" s="12" t="s">
        <v>6694</v>
      </c>
      <c r="E1858" s="11" t="s">
        <v>71</v>
      </c>
      <c r="F1858" s="11" t="s">
        <v>72</v>
      </c>
      <c r="G1858" s="12" t="s">
        <v>6700</v>
      </c>
      <c r="H1858" s="13" t="s">
        <v>6698</v>
      </c>
      <c r="I1858" s="11" t="s">
        <v>65</v>
      </c>
      <c r="J1858" s="14">
        <v>1</v>
      </c>
      <c r="K1858" s="14" t="s">
        <v>6692</v>
      </c>
      <c r="L1858" s="14" t="s">
        <v>6701</v>
      </c>
      <c r="M1858" s="15" t="s">
        <v>6697</v>
      </c>
      <c r="N1858" s="15" t="s">
        <v>76</v>
      </c>
      <c r="O1858" s="15" t="s">
        <v>6702</v>
      </c>
      <c r="P1858" s="15"/>
      <c r="Q1858" s="12" t="s">
        <v>69</v>
      </c>
      <c r="R1858" s="16" t="s">
        <v>54</v>
      </c>
      <c r="S1858" s="12" t="s">
        <v>2818</v>
      </c>
      <c r="T1858" s="14" t="s">
        <v>55</v>
      </c>
    </row>
    <row r="1859" spans="1:20" ht="16.5">
      <c r="A1859" s="17" t="s">
        <v>5409</v>
      </c>
      <c r="B1859" s="17" t="s">
        <v>60</v>
      </c>
      <c r="C1859" s="17" t="s">
        <v>62</v>
      </c>
      <c r="D1859" s="18" t="s">
        <v>6694</v>
      </c>
      <c r="E1859" s="17" t="s">
        <v>71</v>
      </c>
      <c r="F1859" s="17" t="s">
        <v>72</v>
      </c>
      <c r="G1859" s="18" t="s">
        <v>6703</v>
      </c>
      <c r="H1859" s="20" t="s">
        <v>6698</v>
      </c>
      <c r="I1859" s="17" t="s">
        <v>65</v>
      </c>
      <c r="J1859" s="21">
        <v>1</v>
      </c>
      <c r="K1859" s="21" t="s">
        <v>6692</v>
      </c>
      <c r="L1859" s="21" t="s">
        <v>6704</v>
      </c>
      <c r="M1859" s="19" t="s">
        <v>6697</v>
      </c>
      <c r="N1859" s="19" t="s">
        <v>76</v>
      </c>
      <c r="O1859" s="19" t="s">
        <v>6705</v>
      </c>
      <c r="P1859" s="19"/>
      <c r="Q1859" s="18" t="s">
        <v>69</v>
      </c>
      <c r="R1859" s="16" t="s">
        <v>54</v>
      </c>
      <c r="S1859" s="18" t="s">
        <v>2818</v>
      </c>
      <c r="T1859" s="21" t="s">
        <v>55</v>
      </c>
    </row>
    <row r="1860" spans="1:20" ht="16.5">
      <c r="A1860" s="11" t="s">
        <v>5409</v>
      </c>
      <c r="B1860" s="11" t="s">
        <v>60</v>
      </c>
      <c r="C1860" s="11" t="s">
        <v>62</v>
      </c>
      <c r="D1860" s="12" t="s">
        <v>6694</v>
      </c>
      <c r="E1860" s="11" t="s">
        <v>81</v>
      </c>
      <c r="F1860" s="11" t="s">
        <v>82</v>
      </c>
      <c r="G1860" s="12" t="s">
        <v>6706</v>
      </c>
      <c r="H1860" s="13" t="s">
        <v>6707</v>
      </c>
      <c r="I1860" s="11" t="s">
        <v>65</v>
      </c>
      <c r="J1860" s="14">
        <v>1</v>
      </c>
      <c r="K1860" s="14" t="s">
        <v>6692</v>
      </c>
      <c r="L1860" s="14" t="s">
        <v>6708</v>
      </c>
      <c r="M1860" s="15" t="s">
        <v>6697</v>
      </c>
      <c r="N1860" s="15" t="s">
        <v>86</v>
      </c>
      <c r="O1860" s="15" t="s">
        <v>6709</v>
      </c>
      <c r="P1860" s="15"/>
      <c r="Q1860" s="12" t="s">
        <v>53</v>
      </c>
      <c r="R1860" s="22" t="s">
        <v>88</v>
      </c>
      <c r="S1860" s="12" t="s">
        <v>2818</v>
      </c>
      <c r="T1860" s="14" t="s">
        <v>55</v>
      </c>
    </row>
    <row r="1861" spans="1:20" ht="16.5">
      <c r="A1861" s="17" t="s">
        <v>5409</v>
      </c>
      <c r="B1861" s="17" t="s">
        <v>60</v>
      </c>
      <c r="C1861" s="17" t="s">
        <v>62</v>
      </c>
      <c r="D1861" s="18" t="s">
        <v>6694</v>
      </c>
      <c r="E1861" s="17" t="s">
        <v>81</v>
      </c>
      <c r="F1861" s="17" t="s">
        <v>82</v>
      </c>
      <c r="G1861" s="18" t="s">
        <v>6710</v>
      </c>
      <c r="H1861" s="20" t="s">
        <v>6711</v>
      </c>
      <c r="I1861" s="17" t="s">
        <v>65</v>
      </c>
      <c r="J1861" s="21">
        <v>1</v>
      </c>
      <c r="K1861" s="21" t="s">
        <v>6692</v>
      </c>
      <c r="L1861" s="21" t="s">
        <v>6712</v>
      </c>
      <c r="M1861" s="19" t="s">
        <v>6697</v>
      </c>
      <c r="N1861" s="19" t="s">
        <v>86</v>
      </c>
      <c r="O1861" s="19" t="s">
        <v>6713</v>
      </c>
      <c r="P1861" s="19"/>
      <c r="Q1861" s="18" t="s">
        <v>53</v>
      </c>
      <c r="R1861" s="22" t="s">
        <v>88</v>
      </c>
      <c r="S1861" s="18" t="s">
        <v>2818</v>
      </c>
      <c r="T1861" s="21" t="s">
        <v>55</v>
      </c>
    </row>
    <row r="1862" spans="1:20" ht="16.5">
      <c r="A1862" s="11" t="s">
        <v>5409</v>
      </c>
      <c r="B1862" s="11" t="s">
        <v>60</v>
      </c>
      <c r="C1862" s="11" t="s">
        <v>44</v>
      </c>
      <c r="D1862" s="12" t="s">
        <v>5409</v>
      </c>
      <c r="E1862" s="11" t="s">
        <v>61</v>
      </c>
      <c r="F1862" s="11" t="s">
        <v>62</v>
      </c>
      <c r="G1862" s="12" t="s">
        <v>6714</v>
      </c>
      <c r="H1862" s="13" t="s">
        <v>6715</v>
      </c>
      <c r="I1862" s="11" t="s">
        <v>65</v>
      </c>
      <c r="J1862" s="14">
        <v>1</v>
      </c>
      <c r="K1862" s="14" t="s">
        <v>6692</v>
      </c>
      <c r="L1862" s="14" t="s">
        <v>6716</v>
      </c>
      <c r="M1862" s="15" t="s">
        <v>5412</v>
      </c>
      <c r="N1862" s="15" t="s">
        <v>67</v>
      </c>
      <c r="O1862" s="15" t="s">
        <v>6717</v>
      </c>
      <c r="P1862" s="15"/>
      <c r="Q1862" s="12" t="s">
        <v>69</v>
      </c>
      <c r="R1862" s="16" t="s">
        <v>54</v>
      </c>
      <c r="S1862" s="12" t="s">
        <v>2818</v>
      </c>
      <c r="T1862" s="14" t="s">
        <v>55</v>
      </c>
    </row>
    <row r="1863" spans="1:20" ht="16.5">
      <c r="A1863" s="17" t="s">
        <v>5409</v>
      </c>
      <c r="B1863" s="17" t="s">
        <v>60</v>
      </c>
      <c r="C1863" s="17" t="s">
        <v>62</v>
      </c>
      <c r="D1863" s="18" t="s">
        <v>6714</v>
      </c>
      <c r="E1863" s="17" t="s">
        <v>81</v>
      </c>
      <c r="F1863" s="17" t="s">
        <v>82</v>
      </c>
      <c r="G1863" s="18" t="s">
        <v>6718</v>
      </c>
      <c r="H1863" s="20" t="s">
        <v>6719</v>
      </c>
      <c r="I1863" s="17" t="s">
        <v>65</v>
      </c>
      <c r="J1863" s="21">
        <v>1</v>
      </c>
      <c r="K1863" s="21" t="s">
        <v>6692</v>
      </c>
      <c r="L1863" s="21" t="s">
        <v>6720</v>
      </c>
      <c r="M1863" s="19" t="s">
        <v>6717</v>
      </c>
      <c r="N1863" s="19" t="s">
        <v>86</v>
      </c>
      <c r="O1863" s="19" t="s">
        <v>6721</v>
      </c>
      <c r="P1863" s="19"/>
      <c r="Q1863" s="18" t="s">
        <v>53</v>
      </c>
      <c r="R1863" s="22" t="s">
        <v>88</v>
      </c>
      <c r="S1863" s="18" t="s">
        <v>2818</v>
      </c>
      <c r="T1863" s="21" t="s">
        <v>55</v>
      </c>
    </row>
    <row r="1864" spans="1:20" ht="16.5">
      <c r="A1864" s="11" t="s">
        <v>5409</v>
      </c>
      <c r="B1864" s="11" t="s">
        <v>60</v>
      </c>
      <c r="C1864" s="11" t="s">
        <v>44</v>
      </c>
      <c r="D1864" s="12" t="s">
        <v>5409</v>
      </c>
      <c r="E1864" s="11" t="s">
        <v>61</v>
      </c>
      <c r="F1864" s="11" t="s">
        <v>62</v>
      </c>
      <c r="G1864" s="12" t="s">
        <v>6722</v>
      </c>
      <c r="H1864" s="13" t="s">
        <v>6723</v>
      </c>
      <c r="I1864" s="11" t="s">
        <v>65</v>
      </c>
      <c r="J1864" s="14">
        <v>1</v>
      </c>
      <c r="K1864" s="14" t="s">
        <v>6692</v>
      </c>
      <c r="L1864" s="14" t="s">
        <v>6724</v>
      </c>
      <c r="M1864" s="15" t="s">
        <v>5412</v>
      </c>
      <c r="N1864" s="15" t="s">
        <v>67</v>
      </c>
      <c r="O1864" s="15" t="s">
        <v>6725</v>
      </c>
      <c r="P1864" s="15"/>
      <c r="Q1864" s="12" t="s">
        <v>69</v>
      </c>
      <c r="R1864" s="16" t="s">
        <v>54</v>
      </c>
      <c r="S1864" s="12" t="s">
        <v>2818</v>
      </c>
      <c r="T1864" s="14" t="s">
        <v>55</v>
      </c>
    </row>
    <row r="1865" spans="1:20" ht="16.5">
      <c r="A1865" s="17" t="s">
        <v>5409</v>
      </c>
      <c r="B1865" s="17" t="s">
        <v>60</v>
      </c>
      <c r="C1865" s="17" t="s">
        <v>62</v>
      </c>
      <c r="D1865" s="18" t="s">
        <v>6722</v>
      </c>
      <c r="E1865" s="17" t="s">
        <v>71</v>
      </c>
      <c r="F1865" s="17" t="s">
        <v>72</v>
      </c>
      <c r="G1865" s="18" t="s">
        <v>6726</v>
      </c>
      <c r="H1865" s="20" t="s">
        <v>6727</v>
      </c>
      <c r="I1865" s="17" t="s">
        <v>65</v>
      </c>
      <c r="J1865" s="21">
        <v>1</v>
      </c>
      <c r="K1865" s="21" t="s">
        <v>6692</v>
      </c>
      <c r="L1865" s="21" t="s">
        <v>6728</v>
      </c>
      <c r="M1865" s="19" t="s">
        <v>6725</v>
      </c>
      <c r="N1865" s="19" t="s">
        <v>76</v>
      </c>
      <c r="O1865" s="19" t="s">
        <v>6729</v>
      </c>
      <c r="P1865" s="19"/>
      <c r="Q1865" s="18" t="s">
        <v>69</v>
      </c>
      <c r="R1865" s="16" t="s">
        <v>54</v>
      </c>
      <c r="S1865" s="18" t="s">
        <v>2818</v>
      </c>
      <c r="T1865" s="21" t="s">
        <v>55</v>
      </c>
    </row>
    <row r="1866" spans="1:20" ht="16.5">
      <c r="A1866" s="11" t="s">
        <v>5409</v>
      </c>
      <c r="B1866" s="11" t="s">
        <v>60</v>
      </c>
      <c r="C1866" s="11" t="s">
        <v>62</v>
      </c>
      <c r="D1866" s="12" t="s">
        <v>6722</v>
      </c>
      <c r="E1866" s="11" t="s">
        <v>71</v>
      </c>
      <c r="F1866" s="11" t="s">
        <v>72</v>
      </c>
      <c r="G1866" s="12" t="s">
        <v>6730</v>
      </c>
      <c r="H1866" s="13" t="s">
        <v>6727</v>
      </c>
      <c r="I1866" s="11" t="s">
        <v>65</v>
      </c>
      <c r="J1866" s="14">
        <v>1</v>
      </c>
      <c r="K1866" s="14" t="s">
        <v>6692</v>
      </c>
      <c r="L1866" s="14" t="s">
        <v>6731</v>
      </c>
      <c r="M1866" s="15" t="s">
        <v>6725</v>
      </c>
      <c r="N1866" s="15" t="s">
        <v>76</v>
      </c>
      <c r="O1866" s="15" t="s">
        <v>6732</v>
      </c>
      <c r="P1866" s="15"/>
      <c r="Q1866" s="12" t="s">
        <v>69</v>
      </c>
      <c r="R1866" s="16" t="s">
        <v>54</v>
      </c>
      <c r="S1866" s="12" t="s">
        <v>2818</v>
      </c>
      <c r="T1866" s="14" t="s">
        <v>55</v>
      </c>
    </row>
    <row r="1867" spans="1:20" ht="16.5">
      <c r="A1867" s="17" t="s">
        <v>5409</v>
      </c>
      <c r="B1867" s="17" t="s">
        <v>60</v>
      </c>
      <c r="C1867" s="17" t="s">
        <v>62</v>
      </c>
      <c r="D1867" s="18" t="s">
        <v>6722</v>
      </c>
      <c r="E1867" s="17" t="s">
        <v>71</v>
      </c>
      <c r="F1867" s="17" t="s">
        <v>72</v>
      </c>
      <c r="G1867" s="18" t="s">
        <v>6733</v>
      </c>
      <c r="H1867" s="20" t="s">
        <v>6727</v>
      </c>
      <c r="I1867" s="17" t="s">
        <v>65</v>
      </c>
      <c r="J1867" s="21">
        <v>1</v>
      </c>
      <c r="K1867" s="21" t="s">
        <v>6692</v>
      </c>
      <c r="L1867" s="21" t="s">
        <v>6734</v>
      </c>
      <c r="M1867" s="19" t="s">
        <v>6725</v>
      </c>
      <c r="N1867" s="19" t="s">
        <v>76</v>
      </c>
      <c r="O1867" s="19" t="s">
        <v>6735</v>
      </c>
      <c r="P1867" s="19"/>
      <c r="Q1867" s="18" t="s">
        <v>69</v>
      </c>
      <c r="R1867" s="16" t="s">
        <v>54</v>
      </c>
      <c r="S1867" s="18" t="s">
        <v>2818</v>
      </c>
      <c r="T1867" s="21" t="s">
        <v>55</v>
      </c>
    </row>
    <row r="1868" spans="1:20" ht="16.5">
      <c r="A1868" s="11" t="s">
        <v>5409</v>
      </c>
      <c r="B1868" s="11" t="s">
        <v>60</v>
      </c>
      <c r="C1868" s="11" t="s">
        <v>62</v>
      </c>
      <c r="D1868" s="12" t="s">
        <v>6722</v>
      </c>
      <c r="E1868" s="11" t="s">
        <v>71</v>
      </c>
      <c r="F1868" s="11" t="s">
        <v>72</v>
      </c>
      <c r="G1868" s="12" t="s">
        <v>6736</v>
      </c>
      <c r="H1868" s="13" t="s">
        <v>6727</v>
      </c>
      <c r="I1868" s="11" t="s">
        <v>65</v>
      </c>
      <c r="J1868" s="14">
        <v>1</v>
      </c>
      <c r="K1868" s="14" t="s">
        <v>6692</v>
      </c>
      <c r="L1868" s="14" t="s">
        <v>6737</v>
      </c>
      <c r="M1868" s="15" t="s">
        <v>6725</v>
      </c>
      <c r="N1868" s="15" t="s">
        <v>76</v>
      </c>
      <c r="O1868" s="15" t="s">
        <v>6738</v>
      </c>
      <c r="P1868" s="15"/>
      <c r="Q1868" s="12" t="s">
        <v>69</v>
      </c>
      <c r="R1868" s="16" t="s">
        <v>54</v>
      </c>
      <c r="S1868" s="12" t="s">
        <v>2818</v>
      </c>
      <c r="T1868" s="14" t="s">
        <v>55</v>
      </c>
    </row>
    <row r="1869" spans="1:20" ht="16.5">
      <c r="A1869" s="17" t="s">
        <v>5409</v>
      </c>
      <c r="B1869" s="17" t="s">
        <v>60</v>
      </c>
      <c r="C1869" s="17" t="s">
        <v>62</v>
      </c>
      <c r="D1869" s="18" t="s">
        <v>6722</v>
      </c>
      <c r="E1869" s="17" t="s">
        <v>81</v>
      </c>
      <c r="F1869" s="17" t="s">
        <v>82</v>
      </c>
      <c r="G1869" s="18" t="s">
        <v>6739</v>
      </c>
      <c r="H1869" s="20" t="s">
        <v>6740</v>
      </c>
      <c r="I1869" s="17" t="s">
        <v>65</v>
      </c>
      <c r="J1869" s="21">
        <v>1</v>
      </c>
      <c r="K1869" s="21" t="s">
        <v>6692</v>
      </c>
      <c r="L1869" s="21" t="s">
        <v>6741</v>
      </c>
      <c r="M1869" s="19" t="s">
        <v>6725</v>
      </c>
      <c r="N1869" s="19" t="s">
        <v>86</v>
      </c>
      <c r="O1869" s="19" t="s">
        <v>6742</v>
      </c>
      <c r="P1869" s="19"/>
      <c r="Q1869" s="18" t="s">
        <v>53</v>
      </c>
      <c r="R1869" s="22" t="s">
        <v>88</v>
      </c>
      <c r="S1869" s="18" t="s">
        <v>2818</v>
      </c>
      <c r="T1869" s="21" t="s">
        <v>55</v>
      </c>
    </row>
    <row r="1870" spans="1:20" ht="16.5">
      <c r="A1870" s="11" t="s">
        <v>5409</v>
      </c>
      <c r="B1870" s="11" t="s">
        <v>60</v>
      </c>
      <c r="C1870" s="11" t="s">
        <v>62</v>
      </c>
      <c r="D1870" s="12" t="s">
        <v>6722</v>
      </c>
      <c r="E1870" s="11" t="s">
        <v>81</v>
      </c>
      <c r="F1870" s="11" t="s">
        <v>82</v>
      </c>
      <c r="G1870" s="12" t="s">
        <v>6743</v>
      </c>
      <c r="H1870" s="13" t="s">
        <v>6744</v>
      </c>
      <c r="I1870" s="11" t="s">
        <v>65</v>
      </c>
      <c r="J1870" s="14">
        <v>1</v>
      </c>
      <c r="K1870" s="14" t="s">
        <v>6692</v>
      </c>
      <c r="L1870" s="14" t="s">
        <v>6745</v>
      </c>
      <c r="M1870" s="15" t="s">
        <v>6725</v>
      </c>
      <c r="N1870" s="15" t="s">
        <v>86</v>
      </c>
      <c r="O1870" s="15" t="s">
        <v>6746</v>
      </c>
      <c r="P1870" s="15"/>
      <c r="Q1870" s="12" t="s">
        <v>53</v>
      </c>
      <c r="R1870" s="22" t="s">
        <v>88</v>
      </c>
      <c r="S1870" s="12" t="s">
        <v>2818</v>
      </c>
      <c r="T1870" s="14" t="s">
        <v>55</v>
      </c>
    </row>
    <row r="1871" spans="1:20" ht="16.5">
      <c r="A1871" s="17" t="s">
        <v>5409</v>
      </c>
      <c r="B1871" s="17" t="s">
        <v>60</v>
      </c>
      <c r="C1871" s="17" t="s">
        <v>44</v>
      </c>
      <c r="D1871" s="18" t="s">
        <v>5409</v>
      </c>
      <c r="E1871" s="17" t="s">
        <v>61</v>
      </c>
      <c r="F1871" s="17" t="s">
        <v>62</v>
      </c>
      <c r="G1871" s="18" t="s">
        <v>6747</v>
      </c>
      <c r="H1871" s="20" t="s">
        <v>6748</v>
      </c>
      <c r="I1871" s="17" t="s">
        <v>65</v>
      </c>
      <c r="J1871" s="21">
        <v>1</v>
      </c>
      <c r="K1871" s="21" t="s">
        <v>6692</v>
      </c>
      <c r="L1871" s="21" t="s">
        <v>6749</v>
      </c>
      <c r="M1871" s="19" t="s">
        <v>5412</v>
      </c>
      <c r="N1871" s="19" t="s">
        <v>67</v>
      </c>
      <c r="O1871" s="19" t="s">
        <v>6750</v>
      </c>
      <c r="P1871" s="19"/>
      <c r="Q1871" s="18" t="s">
        <v>69</v>
      </c>
      <c r="R1871" s="16" t="s">
        <v>54</v>
      </c>
      <c r="S1871" s="18" t="s">
        <v>2818</v>
      </c>
      <c r="T1871" s="21" t="s">
        <v>55</v>
      </c>
    </row>
    <row r="1872" spans="1:20" ht="16.5">
      <c r="A1872" s="11" t="s">
        <v>5409</v>
      </c>
      <c r="B1872" s="11" t="s">
        <v>60</v>
      </c>
      <c r="C1872" s="11" t="s">
        <v>62</v>
      </c>
      <c r="D1872" s="12" t="s">
        <v>6747</v>
      </c>
      <c r="E1872" s="11" t="s">
        <v>71</v>
      </c>
      <c r="F1872" s="11" t="s">
        <v>72</v>
      </c>
      <c r="G1872" s="12" t="s">
        <v>6751</v>
      </c>
      <c r="H1872" s="13" t="s">
        <v>6752</v>
      </c>
      <c r="I1872" s="11" t="s">
        <v>65</v>
      </c>
      <c r="J1872" s="14">
        <v>1</v>
      </c>
      <c r="K1872" s="14" t="s">
        <v>6692</v>
      </c>
      <c r="L1872" s="14" t="s">
        <v>6753</v>
      </c>
      <c r="M1872" s="15" t="s">
        <v>6750</v>
      </c>
      <c r="N1872" s="15" t="s">
        <v>76</v>
      </c>
      <c r="O1872" s="15" t="s">
        <v>6754</v>
      </c>
      <c r="P1872" s="15"/>
      <c r="Q1872" s="12" t="s">
        <v>69</v>
      </c>
      <c r="R1872" s="16" t="s">
        <v>54</v>
      </c>
      <c r="S1872" s="12" t="s">
        <v>2818</v>
      </c>
      <c r="T1872" s="14" t="s">
        <v>55</v>
      </c>
    </row>
    <row r="1873" spans="1:20" ht="16.5">
      <c r="A1873" s="17" t="s">
        <v>5409</v>
      </c>
      <c r="B1873" s="17" t="s">
        <v>60</v>
      </c>
      <c r="C1873" s="17" t="s">
        <v>62</v>
      </c>
      <c r="D1873" s="18" t="s">
        <v>6747</v>
      </c>
      <c r="E1873" s="17" t="s">
        <v>71</v>
      </c>
      <c r="F1873" s="17" t="s">
        <v>72</v>
      </c>
      <c r="G1873" s="18" t="s">
        <v>6755</v>
      </c>
      <c r="H1873" s="20" t="s">
        <v>6752</v>
      </c>
      <c r="I1873" s="17" t="s">
        <v>65</v>
      </c>
      <c r="J1873" s="21">
        <v>1</v>
      </c>
      <c r="K1873" s="21" t="s">
        <v>6692</v>
      </c>
      <c r="L1873" s="21" t="s">
        <v>6756</v>
      </c>
      <c r="M1873" s="19" t="s">
        <v>6750</v>
      </c>
      <c r="N1873" s="19" t="s">
        <v>76</v>
      </c>
      <c r="O1873" s="19" t="s">
        <v>6757</v>
      </c>
      <c r="P1873" s="19"/>
      <c r="Q1873" s="18" t="s">
        <v>69</v>
      </c>
      <c r="R1873" s="16" t="s">
        <v>54</v>
      </c>
      <c r="S1873" s="18" t="s">
        <v>2818</v>
      </c>
      <c r="T1873" s="21" t="s">
        <v>55</v>
      </c>
    </row>
    <row r="1874" spans="1:20" ht="16.5">
      <c r="A1874" s="11" t="s">
        <v>5409</v>
      </c>
      <c r="B1874" s="11" t="s">
        <v>60</v>
      </c>
      <c r="C1874" s="11" t="s">
        <v>62</v>
      </c>
      <c r="D1874" s="12" t="s">
        <v>6747</v>
      </c>
      <c r="E1874" s="11" t="s">
        <v>81</v>
      </c>
      <c r="F1874" s="11" t="s">
        <v>82</v>
      </c>
      <c r="G1874" s="12" t="s">
        <v>6758</v>
      </c>
      <c r="H1874" s="13" t="s">
        <v>6759</v>
      </c>
      <c r="I1874" s="11" t="s">
        <v>65</v>
      </c>
      <c r="J1874" s="14">
        <v>1</v>
      </c>
      <c r="K1874" s="14" t="s">
        <v>6692</v>
      </c>
      <c r="L1874" s="14" t="s">
        <v>6760</v>
      </c>
      <c r="M1874" s="15" t="s">
        <v>6750</v>
      </c>
      <c r="N1874" s="15" t="s">
        <v>86</v>
      </c>
      <c r="O1874" s="15" t="s">
        <v>6761</v>
      </c>
      <c r="P1874" s="15"/>
      <c r="Q1874" s="12" t="s">
        <v>53</v>
      </c>
      <c r="R1874" s="22" t="s">
        <v>88</v>
      </c>
      <c r="S1874" s="12" t="s">
        <v>2818</v>
      </c>
      <c r="T1874" s="14" t="s">
        <v>55</v>
      </c>
    </row>
    <row r="1875" spans="1:20" ht="16.5">
      <c r="A1875" s="17" t="s">
        <v>5409</v>
      </c>
      <c r="B1875" s="17" t="s">
        <v>60</v>
      </c>
      <c r="C1875" s="17" t="s">
        <v>62</v>
      </c>
      <c r="D1875" s="18" t="s">
        <v>6747</v>
      </c>
      <c r="E1875" s="17" t="s">
        <v>81</v>
      </c>
      <c r="F1875" s="17" t="s">
        <v>82</v>
      </c>
      <c r="G1875" s="18" t="s">
        <v>6762</v>
      </c>
      <c r="H1875" s="20" t="s">
        <v>6763</v>
      </c>
      <c r="I1875" s="17" t="s">
        <v>65</v>
      </c>
      <c r="J1875" s="21">
        <v>1</v>
      </c>
      <c r="K1875" s="21" t="s">
        <v>6692</v>
      </c>
      <c r="L1875" s="21" t="s">
        <v>6764</v>
      </c>
      <c r="M1875" s="19" t="s">
        <v>6750</v>
      </c>
      <c r="N1875" s="19" t="s">
        <v>86</v>
      </c>
      <c r="O1875" s="19" t="s">
        <v>6765</v>
      </c>
      <c r="P1875" s="19"/>
      <c r="Q1875" s="18" t="s">
        <v>53</v>
      </c>
      <c r="R1875" s="22" t="s">
        <v>88</v>
      </c>
      <c r="S1875" s="18" t="s">
        <v>2818</v>
      </c>
      <c r="T1875" s="21" t="s">
        <v>55</v>
      </c>
    </row>
    <row r="1876" spans="1:20" ht="16.5">
      <c r="A1876" s="11" t="s">
        <v>5409</v>
      </c>
      <c r="B1876" s="11" t="s">
        <v>60</v>
      </c>
      <c r="C1876" s="11" t="s">
        <v>62</v>
      </c>
      <c r="D1876" s="12" t="s">
        <v>6747</v>
      </c>
      <c r="E1876" s="11" t="s">
        <v>81</v>
      </c>
      <c r="F1876" s="11" t="s">
        <v>82</v>
      </c>
      <c r="G1876" s="12" t="s">
        <v>6766</v>
      </c>
      <c r="H1876" s="13" t="s">
        <v>6767</v>
      </c>
      <c r="I1876" s="11" t="s">
        <v>65</v>
      </c>
      <c r="J1876" s="14">
        <v>1</v>
      </c>
      <c r="K1876" s="14" t="s">
        <v>6692</v>
      </c>
      <c r="L1876" s="14" t="s">
        <v>6768</v>
      </c>
      <c r="M1876" s="15" t="s">
        <v>6750</v>
      </c>
      <c r="N1876" s="15" t="s">
        <v>86</v>
      </c>
      <c r="O1876" s="15" t="s">
        <v>6769</v>
      </c>
      <c r="P1876" s="15"/>
      <c r="Q1876" s="12" t="s">
        <v>53</v>
      </c>
      <c r="R1876" s="22" t="s">
        <v>88</v>
      </c>
      <c r="S1876" s="12" t="s">
        <v>2818</v>
      </c>
      <c r="T1876" s="14" t="s">
        <v>55</v>
      </c>
    </row>
    <row r="1877" spans="1:20" ht="16.5">
      <c r="A1877" s="17" t="s">
        <v>5409</v>
      </c>
      <c r="B1877" s="17" t="s">
        <v>60</v>
      </c>
      <c r="C1877" s="17" t="s">
        <v>44</v>
      </c>
      <c r="D1877" s="18" t="s">
        <v>5409</v>
      </c>
      <c r="E1877" s="17" t="s">
        <v>61</v>
      </c>
      <c r="F1877" s="17" t="s">
        <v>62</v>
      </c>
      <c r="G1877" s="18" t="s">
        <v>6770</v>
      </c>
      <c r="H1877" s="20" t="s">
        <v>6771</v>
      </c>
      <c r="I1877" s="17" t="s">
        <v>65</v>
      </c>
      <c r="J1877" s="21">
        <v>1</v>
      </c>
      <c r="K1877" s="21" t="s">
        <v>6692</v>
      </c>
      <c r="L1877" s="21" t="s">
        <v>6772</v>
      </c>
      <c r="M1877" s="19" t="s">
        <v>5412</v>
      </c>
      <c r="N1877" s="19" t="s">
        <v>67</v>
      </c>
      <c r="O1877" s="19" t="s">
        <v>6773</v>
      </c>
      <c r="P1877" s="19"/>
      <c r="Q1877" s="18" t="s">
        <v>69</v>
      </c>
      <c r="R1877" s="16" t="s">
        <v>54</v>
      </c>
      <c r="S1877" s="18" t="s">
        <v>2818</v>
      </c>
      <c r="T1877" s="21" t="s">
        <v>55</v>
      </c>
    </row>
    <row r="1878" spans="1:20" ht="16.5">
      <c r="A1878" s="11" t="s">
        <v>5409</v>
      </c>
      <c r="B1878" s="11" t="s">
        <v>60</v>
      </c>
      <c r="C1878" s="11" t="s">
        <v>62</v>
      </c>
      <c r="D1878" s="12" t="s">
        <v>6770</v>
      </c>
      <c r="E1878" s="11" t="s">
        <v>71</v>
      </c>
      <c r="F1878" s="11" t="s">
        <v>72</v>
      </c>
      <c r="G1878" s="12" t="s">
        <v>6774</v>
      </c>
      <c r="H1878" s="13" t="s">
        <v>6775</v>
      </c>
      <c r="I1878" s="11" t="s">
        <v>65</v>
      </c>
      <c r="J1878" s="14">
        <v>1</v>
      </c>
      <c r="K1878" s="14" t="s">
        <v>6692</v>
      </c>
      <c r="L1878" s="14" t="s">
        <v>6776</v>
      </c>
      <c r="M1878" s="15" t="s">
        <v>6773</v>
      </c>
      <c r="N1878" s="15" t="s">
        <v>76</v>
      </c>
      <c r="O1878" s="15" t="s">
        <v>6777</v>
      </c>
      <c r="P1878" s="15"/>
      <c r="Q1878" s="12" t="s">
        <v>69</v>
      </c>
      <c r="R1878" s="16" t="s">
        <v>54</v>
      </c>
      <c r="S1878" s="12" t="s">
        <v>2818</v>
      </c>
      <c r="T1878" s="14" t="s">
        <v>55</v>
      </c>
    </row>
    <row r="1879" spans="1:20" ht="16.5">
      <c r="A1879" s="17" t="s">
        <v>5409</v>
      </c>
      <c r="B1879" s="17" t="s">
        <v>60</v>
      </c>
      <c r="C1879" s="17" t="s">
        <v>62</v>
      </c>
      <c r="D1879" s="18" t="s">
        <v>6770</v>
      </c>
      <c r="E1879" s="17" t="s">
        <v>71</v>
      </c>
      <c r="F1879" s="17" t="s">
        <v>72</v>
      </c>
      <c r="G1879" s="18" t="s">
        <v>6778</v>
      </c>
      <c r="H1879" s="20" t="s">
        <v>6775</v>
      </c>
      <c r="I1879" s="17" t="s">
        <v>65</v>
      </c>
      <c r="J1879" s="21">
        <v>1</v>
      </c>
      <c r="K1879" s="21" t="s">
        <v>6692</v>
      </c>
      <c r="L1879" s="21" t="s">
        <v>6779</v>
      </c>
      <c r="M1879" s="19" t="s">
        <v>6773</v>
      </c>
      <c r="N1879" s="19" t="s">
        <v>76</v>
      </c>
      <c r="O1879" s="19" t="s">
        <v>6780</v>
      </c>
      <c r="P1879" s="19"/>
      <c r="Q1879" s="18" t="s">
        <v>69</v>
      </c>
      <c r="R1879" s="16" t="s">
        <v>54</v>
      </c>
      <c r="S1879" s="18" t="s">
        <v>2818</v>
      </c>
      <c r="T1879" s="21" t="s">
        <v>55</v>
      </c>
    </row>
    <row r="1880" spans="1:20" ht="16.5">
      <c r="A1880" s="11" t="s">
        <v>5409</v>
      </c>
      <c r="B1880" s="11" t="s">
        <v>60</v>
      </c>
      <c r="C1880" s="11" t="s">
        <v>62</v>
      </c>
      <c r="D1880" s="12" t="s">
        <v>6694</v>
      </c>
      <c r="E1880" s="11" t="s">
        <v>203</v>
      </c>
      <c r="F1880" s="11" t="s">
        <v>204</v>
      </c>
      <c r="G1880" s="12" t="s">
        <v>6781</v>
      </c>
      <c r="H1880" s="13" t="s">
        <v>6782</v>
      </c>
      <c r="I1880" s="11" t="s">
        <v>65</v>
      </c>
      <c r="J1880" s="14">
        <v>1</v>
      </c>
      <c r="K1880" s="14" t="s">
        <v>6692</v>
      </c>
      <c r="L1880" s="14" t="s">
        <v>6783</v>
      </c>
      <c r="M1880" s="15" t="s">
        <v>6697</v>
      </c>
      <c r="N1880" s="15" t="s">
        <v>208</v>
      </c>
      <c r="O1880" s="15" t="s">
        <v>6784</v>
      </c>
      <c r="P1880" s="15" t="s">
        <v>6785</v>
      </c>
      <c r="Q1880" s="15" t="s">
        <v>211</v>
      </c>
      <c r="R1880" s="16" t="s">
        <v>54</v>
      </c>
      <c r="S1880" s="12" t="s">
        <v>2818</v>
      </c>
      <c r="T1880" s="14" t="s">
        <v>55</v>
      </c>
    </row>
    <row r="1881" spans="1:20" ht="16.5">
      <c r="A1881" s="17" t="s">
        <v>5409</v>
      </c>
      <c r="B1881" s="17" t="s">
        <v>60</v>
      </c>
      <c r="C1881" s="17" t="s">
        <v>62</v>
      </c>
      <c r="D1881" s="18" t="s">
        <v>6694</v>
      </c>
      <c r="E1881" s="17" t="s">
        <v>203</v>
      </c>
      <c r="F1881" s="17" t="s">
        <v>204</v>
      </c>
      <c r="G1881" s="18" t="s">
        <v>6786</v>
      </c>
      <c r="H1881" s="20" t="s">
        <v>6787</v>
      </c>
      <c r="I1881" s="17" t="s">
        <v>65</v>
      </c>
      <c r="J1881" s="21">
        <v>1</v>
      </c>
      <c r="K1881" s="21" t="s">
        <v>6692</v>
      </c>
      <c r="L1881" s="21" t="s">
        <v>6788</v>
      </c>
      <c r="M1881" s="19" t="s">
        <v>6697</v>
      </c>
      <c r="N1881" s="19" t="s">
        <v>208</v>
      </c>
      <c r="O1881" s="19" t="s">
        <v>6789</v>
      </c>
      <c r="P1881" s="19" t="s">
        <v>6790</v>
      </c>
      <c r="Q1881" s="19" t="s">
        <v>211</v>
      </c>
      <c r="R1881" s="16" t="s">
        <v>54</v>
      </c>
      <c r="S1881" s="18" t="s">
        <v>2818</v>
      </c>
      <c r="T1881" s="21" t="s">
        <v>55</v>
      </c>
    </row>
    <row r="1882" spans="1:20" ht="16.5">
      <c r="A1882" s="11" t="s">
        <v>5409</v>
      </c>
      <c r="B1882" s="11" t="s">
        <v>60</v>
      </c>
      <c r="C1882" s="11" t="s">
        <v>62</v>
      </c>
      <c r="D1882" s="12" t="s">
        <v>6722</v>
      </c>
      <c r="E1882" s="11" t="s">
        <v>203</v>
      </c>
      <c r="F1882" s="11" t="s">
        <v>204</v>
      </c>
      <c r="G1882" s="12" t="s">
        <v>6791</v>
      </c>
      <c r="H1882" s="13" t="s">
        <v>6792</v>
      </c>
      <c r="I1882" s="11" t="s">
        <v>65</v>
      </c>
      <c r="J1882" s="14">
        <v>1</v>
      </c>
      <c r="K1882" s="14" t="s">
        <v>6692</v>
      </c>
      <c r="L1882" s="14" t="s">
        <v>6793</v>
      </c>
      <c r="M1882" s="15" t="s">
        <v>6725</v>
      </c>
      <c r="N1882" s="15" t="s">
        <v>208</v>
      </c>
      <c r="O1882" s="15" t="s">
        <v>6794</v>
      </c>
      <c r="P1882" s="15" t="s">
        <v>6795</v>
      </c>
      <c r="Q1882" s="15" t="s">
        <v>211</v>
      </c>
      <c r="R1882" s="16" t="s">
        <v>54</v>
      </c>
      <c r="S1882" s="12" t="s">
        <v>2818</v>
      </c>
      <c r="T1882" s="14" t="s">
        <v>55</v>
      </c>
    </row>
    <row r="1883" spans="1:20" ht="16.5">
      <c r="A1883" s="17" t="s">
        <v>5409</v>
      </c>
      <c r="B1883" s="17" t="s">
        <v>60</v>
      </c>
      <c r="C1883" s="17" t="s">
        <v>62</v>
      </c>
      <c r="D1883" s="18" t="s">
        <v>6722</v>
      </c>
      <c r="E1883" s="17" t="s">
        <v>203</v>
      </c>
      <c r="F1883" s="17" t="s">
        <v>204</v>
      </c>
      <c r="G1883" s="18" t="s">
        <v>6796</v>
      </c>
      <c r="H1883" s="20" t="s">
        <v>6797</v>
      </c>
      <c r="I1883" s="17" t="s">
        <v>65</v>
      </c>
      <c r="J1883" s="21">
        <v>1</v>
      </c>
      <c r="K1883" s="21" t="s">
        <v>6692</v>
      </c>
      <c r="L1883" s="21" t="s">
        <v>6798</v>
      </c>
      <c r="M1883" s="19" t="s">
        <v>6725</v>
      </c>
      <c r="N1883" s="19" t="s">
        <v>208</v>
      </c>
      <c r="O1883" s="19" t="s">
        <v>6799</v>
      </c>
      <c r="P1883" s="19" t="s">
        <v>6800</v>
      </c>
      <c r="Q1883" s="19" t="s">
        <v>211</v>
      </c>
      <c r="R1883" s="16" t="s">
        <v>54</v>
      </c>
      <c r="S1883" s="18" t="s">
        <v>2818</v>
      </c>
      <c r="T1883" s="21" t="s">
        <v>55</v>
      </c>
    </row>
    <row r="1884" spans="1:20" ht="16.5">
      <c r="A1884" s="11" t="s">
        <v>5409</v>
      </c>
      <c r="B1884" s="11" t="s">
        <v>60</v>
      </c>
      <c r="C1884" s="11" t="s">
        <v>62</v>
      </c>
      <c r="D1884" s="12" t="s">
        <v>6722</v>
      </c>
      <c r="E1884" s="11" t="s">
        <v>203</v>
      </c>
      <c r="F1884" s="11" t="s">
        <v>204</v>
      </c>
      <c r="G1884" s="12" t="s">
        <v>6801</v>
      </c>
      <c r="H1884" s="13" t="s">
        <v>6802</v>
      </c>
      <c r="I1884" s="11" t="s">
        <v>65</v>
      </c>
      <c r="J1884" s="14">
        <v>1</v>
      </c>
      <c r="K1884" s="14" t="s">
        <v>6692</v>
      </c>
      <c r="L1884" s="14" t="s">
        <v>6803</v>
      </c>
      <c r="M1884" s="15" t="s">
        <v>6725</v>
      </c>
      <c r="N1884" s="15" t="s">
        <v>208</v>
      </c>
      <c r="O1884" s="15" t="s">
        <v>6804</v>
      </c>
      <c r="P1884" s="15" t="s">
        <v>6805</v>
      </c>
      <c r="Q1884" s="15" t="s">
        <v>211</v>
      </c>
      <c r="R1884" s="16" t="s">
        <v>54</v>
      </c>
      <c r="S1884" s="12" t="s">
        <v>2818</v>
      </c>
      <c r="T1884" s="14" t="s">
        <v>55</v>
      </c>
    </row>
    <row r="1885" spans="1:20" ht="16.5">
      <c r="A1885" s="17" t="s">
        <v>5409</v>
      </c>
      <c r="B1885" s="17" t="s">
        <v>60</v>
      </c>
      <c r="C1885" s="17" t="s">
        <v>62</v>
      </c>
      <c r="D1885" s="18" t="s">
        <v>6722</v>
      </c>
      <c r="E1885" s="17" t="s">
        <v>203</v>
      </c>
      <c r="F1885" s="17" t="s">
        <v>204</v>
      </c>
      <c r="G1885" s="18" t="s">
        <v>6806</v>
      </c>
      <c r="H1885" s="20" t="s">
        <v>6807</v>
      </c>
      <c r="I1885" s="17" t="s">
        <v>65</v>
      </c>
      <c r="J1885" s="21">
        <v>1</v>
      </c>
      <c r="K1885" s="21" t="s">
        <v>6692</v>
      </c>
      <c r="L1885" s="21" t="s">
        <v>6808</v>
      </c>
      <c r="M1885" s="19" t="s">
        <v>6725</v>
      </c>
      <c r="N1885" s="19" t="s">
        <v>208</v>
      </c>
      <c r="O1885" s="19" t="s">
        <v>6809</v>
      </c>
      <c r="P1885" s="19" t="s">
        <v>6810</v>
      </c>
      <c r="Q1885" s="19" t="s">
        <v>211</v>
      </c>
      <c r="R1885" s="16" t="s">
        <v>54</v>
      </c>
      <c r="S1885" s="18" t="s">
        <v>2818</v>
      </c>
      <c r="T1885" s="21" t="s">
        <v>55</v>
      </c>
    </row>
    <row r="1886" spans="1:20" ht="16.5">
      <c r="A1886" s="11" t="s">
        <v>5409</v>
      </c>
      <c r="B1886" s="11" t="s">
        <v>60</v>
      </c>
      <c r="C1886" s="11" t="s">
        <v>62</v>
      </c>
      <c r="D1886" s="12" t="s">
        <v>6747</v>
      </c>
      <c r="E1886" s="11" t="s">
        <v>203</v>
      </c>
      <c r="F1886" s="11" t="s">
        <v>204</v>
      </c>
      <c r="G1886" s="12" t="s">
        <v>6811</v>
      </c>
      <c r="H1886" s="13" t="s">
        <v>6812</v>
      </c>
      <c r="I1886" s="11" t="s">
        <v>65</v>
      </c>
      <c r="J1886" s="14">
        <v>1</v>
      </c>
      <c r="K1886" s="14" t="s">
        <v>6692</v>
      </c>
      <c r="L1886" s="14" t="s">
        <v>6813</v>
      </c>
      <c r="M1886" s="15" t="s">
        <v>6750</v>
      </c>
      <c r="N1886" s="15" t="s">
        <v>208</v>
      </c>
      <c r="O1886" s="15" t="s">
        <v>6814</v>
      </c>
      <c r="P1886" s="15" t="s">
        <v>6815</v>
      </c>
      <c r="Q1886" s="15" t="s">
        <v>211</v>
      </c>
      <c r="R1886" s="16" t="s">
        <v>54</v>
      </c>
      <c r="S1886" s="12" t="s">
        <v>2818</v>
      </c>
      <c r="T1886" s="14" t="s">
        <v>55</v>
      </c>
    </row>
    <row r="1887" spans="1:20" ht="16.5">
      <c r="A1887" s="17" t="s">
        <v>5409</v>
      </c>
      <c r="B1887" s="17" t="s">
        <v>60</v>
      </c>
      <c r="C1887" s="17" t="s">
        <v>62</v>
      </c>
      <c r="D1887" s="18" t="s">
        <v>6747</v>
      </c>
      <c r="E1887" s="17" t="s">
        <v>203</v>
      </c>
      <c r="F1887" s="17" t="s">
        <v>204</v>
      </c>
      <c r="G1887" s="18" t="s">
        <v>6816</v>
      </c>
      <c r="H1887" s="20" t="s">
        <v>6817</v>
      </c>
      <c r="I1887" s="17" t="s">
        <v>65</v>
      </c>
      <c r="J1887" s="21">
        <v>1</v>
      </c>
      <c r="K1887" s="21" t="s">
        <v>6692</v>
      </c>
      <c r="L1887" s="21" t="s">
        <v>6818</v>
      </c>
      <c r="M1887" s="19" t="s">
        <v>6750</v>
      </c>
      <c r="N1887" s="19" t="s">
        <v>208</v>
      </c>
      <c r="O1887" s="19" t="s">
        <v>6819</v>
      </c>
      <c r="P1887" s="19" t="s">
        <v>6820</v>
      </c>
      <c r="Q1887" s="19" t="s">
        <v>211</v>
      </c>
      <c r="R1887" s="16" t="s">
        <v>54</v>
      </c>
      <c r="S1887" s="18" t="s">
        <v>2818</v>
      </c>
      <c r="T1887" s="21" t="s">
        <v>55</v>
      </c>
    </row>
    <row r="1888" spans="1:20" ht="16.5">
      <c r="A1888" s="11" t="s">
        <v>5409</v>
      </c>
      <c r="B1888" s="11" t="s">
        <v>60</v>
      </c>
      <c r="C1888" s="11" t="s">
        <v>62</v>
      </c>
      <c r="D1888" s="12" t="s">
        <v>6747</v>
      </c>
      <c r="E1888" s="11" t="s">
        <v>203</v>
      </c>
      <c r="F1888" s="11" t="s">
        <v>204</v>
      </c>
      <c r="G1888" s="12" t="s">
        <v>6821</v>
      </c>
      <c r="H1888" s="13" t="s">
        <v>6822</v>
      </c>
      <c r="I1888" s="11" t="s">
        <v>65</v>
      </c>
      <c r="J1888" s="14">
        <v>1</v>
      </c>
      <c r="K1888" s="14" t="s">
        <v>6692</v>
      </c>
      <c r="L1888" s="14" t="s">
        <v>6823</v>
      </c>
      <c r="M1888" s="15" t="s">
        <v>6750</v>
      </c>
      <c r="N1888" s="15" t="s">
        <v>208</v>
      </c>
      <c r="O1888" s="15" t="s">
        <v>6824</v>
      </c>
      <c r="P1888" s="15" t="s">
        <v>6825</v>
      </c>
      <c r="Q1888" s="15" t="s">
        <v>211</v>
      </c>
      <c r="R1888" s="16" t="s">
        <v>54</v>
      </c>
      <c r="S1888" s="12" t="s">
        <v>2818</v>
      </c>
      <c r="T1888" s="14" t="s">
        <v>55</v>
      </c>
    </row>
    <row r="1889" spans="1:20" ht="16.5">
      <c r="A1889" s="17" t="s">
        <v>5409</v>
      </c>
      <c r="B1889" s="17" t="s">
        <v>60</v>
      </c>
      <c r="C1889" s="17" t="s">
        <v>62</v>
      </c>
      <c r="D1889" s="18" t="s">
        <v>6770</v>
      </c>
      <c r="E1889" s="17" t="s">
        <v>203</v>
      </c>
      <c r="F1889" s="17" t="s">
        <v>204</v>
      </c>
      <c r="G1889" s="18" t="s">
        <v>6826</v>
      </c>
      <c r="H1889" s="20" t="s">
        <v>6827</v>
      </c>
      <c r="I1889" s="17" t="s">
        <v>65</v>
      </c>
      <c r="J1889" s="21">
        <v>1</v>
      </c>
      <c r="K1889" s="21" t="s">
        <v>6692</v>
      </c>
      <c r="L1889" s="21" t="s">
        <v>6828</v>
      </c>
      <c r="M1889" s="19" t="s">
        <v>6773</v>
      </c>
      <c r="N1889" s="19" t="s">
        <v>208</v>
      </c>
      <c r="O1889" s="19" t="s">
        <v>6829</v>
      </c>
      <c r="P1889" s="19" t="s">
        <v>6830</v>
      </c>
      <c r="Q1889" s="19" t="s">
        <v>211</v>
      </c>
      <c r="R1889" s="16" t="s">
        <v>54</v>
      </c>
      <c r="S1889" s="18" t="s">
        <v>2818</v>
      </c>
      <c r="T1889" s="21" t="s">
        <v>55</v>
      </c>
    </row>
    <row r="1890" spans="1:20" ht="16.5">
      <c r="A1890" s="11" t="s">
        <v>5409</v>
      </c>
      <c r="B1890" s="11" t="s">
        <v>60</v>
      </c>
      <c r="C1890" s="11" t="s">
        <v>62</v>
      </c>
      <c r="D1890" s="12" t="s">
        <v>6770</v>
      </c>
      <c r="E1890" s="11" t="s">
        <v>203</v>
      </c>
      <c r="F1890" s="11" t="s">
        <v>204</v>
      </c>
      <c r="G1890" s="12" t="s">
        <v>6831</v>
      </c>
      <c r="H1890" s="13" t="s">
        <v>6832</v>
      </c>
      <c r="I1890" s="11" t="s">
        <v>65</v>
      </c>
      <c r="J1890" s="14">
        <v>1</v>
      </c>
      <c r="K1890" s="14" t="s">
        <v>6692</v>
      </c>
      <c r="L1890" s="14" t="s">
        <v>6833</v>
      </c>
      <c r="M1890" s="15" t="s">
        <v>6773</v>
      </c>
      <c r="N1890" s="15" t="s">
        <v>208</v>
      </c>
      <c r="O1890" s="15" t="s">
        <v>6834</v>
      </c>
      <c r="P1890" s="15" t="s">
        <v>6835</v>
      </c>
      <c r="Q1890" s="15" t="s">
        <v>211</v>
      </c>
      <c r="R1890" s="16" t="s">
        <v>54</v>
      </c>
      <c r="S1890" s="12" t="s">
        <v>2818</v>
      </c>
      <c r="T1890" s="14" t="s">
        <v>55</v>
      </c>
    </row>
    <row r="1891" spans="1:20" ht="16.5">
      <c r="A1891" s="17" t="s">
        <v>5409</v>
      </c>
      <c r="B1891" s="17" t="s">
        <v>60</v>
      </c>
      <c r="C1891" s="17" t="s">
        <v>62</v>
      </c>
      <c r="D1891" s="18" t="s">
        <v>6722</v>
      </c>
      <c r="E1891" s="17" t="s">
        <v>203</v>
      </c>
      <c r="F1891" s="17" t="s">
        <v>295</v>
      </c>
      <c r="G1891" s="18" t="s">
        <v>6836</v>
      </c>
      <c r="H1891" s="20" t="s">
        <v>6837</v>
      </c>
      <c r="I1891" s="17" t="s">
        <v>65</v>
      </c>
      <c r="J1891" s="21">
        <v>1</v>
      </c>
      <c r="K1891" s="21" t="s">
        <v>6692</v>
      </c>
      <c r="L1891" s="21" t="s">
        <v>6838</v>
      </c>
      <c r="M1891" s="19" t="s">
        <v>6725</v>
      </c>
      <c r="N1891" s="19" t="s">
        <v>208</v>
      </c>
      <c r="O1891" s="19" t="s">
        <v>6839</v>
      </c>
      <c r="P1891" s="19"/>
      <c r="Q1891" s="18" t="s">
        <v>286</v>
      </c>
      <c r="R1891" s="22" t="s">
        <v>88</v>
      </c>
      <c r="S1891" s="18" t="s">
        <v>2818</v>
      </c>
      <c r="T1891" s="21" t="s">
        <v>55</v>
      </c>
    </row>
    <row r="1892" spans="1:20" ht="16.5">
      <c r="A1892" s="11" t="s">
        <v>5409</v>
      </c>
      <c r="B1892" s="11" t="s">
        <v>311</v>
      </c>
      <c r="C1892" s="11" t="s">
        <v>204</v>
      </c>
      <c r="D1892" s="12" t="s">
        <v>6781</v>
      </c>
      <c r="E1892" s="11" t="s">
        <v>312</v>
      </c>
      <c r="F1892" s="14" t="s">
        <v>313</v>
      </c>
      <c r="G1892" s="15" t="s">
        <v>6785</v>
      </c>
      <c r="H1892" s="23" t="s">
        <v>6840</v>
      </c>
      <c r="I1892" s="11" t="s">
        <v>65</v>
      </c>
      <c r="J1892" s="14">
        <v>1</v>
      </c>
      <c r="K1892" s="14" t="s">
        <v>6692</v>
      </c>
      <c r="L1892" s="14" t="s">
        <v>6841</v>
      </c>
      <c r="M1892" s="15" t="s">
        <v>6784</v>
      </c>
      <c r="N1892" s="15" t="s">
        <v>316</v>
      </c>
      <c r="O1892" s="15" t="s">
        <v>6842</v>
      </c>
      <c r="P1892" s="15" t="s">
        <v>6785</v>
      </c>
      <c r="Q1892" s="15" t="s">
        <v>211</v>
      </c>
      <c r="R1892" s="16" t="s">
        <v>54</v>
      </c>
      <c r="S1892" s="12" t="s">
        <v>2818</v>
      </c>
      <c r="T1892" s="14" t="s">
        <v>55</v>
      </c>
    </row>
    <row r="1893" spans="1:20" ht="16.5">
      <c r="A1893" s="17" t="s">
        <v>5409</v>
      </c>
      <c r="B1893" s="17" t="s">
        <v>311</v>
      </c>
      <c r="C1893" s="17" t="s">
        <v>204</v>
      </c>
      <c r="D1893" s="18" t="s">
        <v>6786</v>
      </c>
      <c r="E1893" s="17" t="s">
        <v>312</v>
      </c>
      <c r="F1893" s="21" t="s">
        <v>313</v>
      </c>
      <c r="G1893" s="19" t="s">
        <v>6790</v>
      </c>
      <c r="H1893" s="24" t="s">
        <v>6843</v>
      </c>
      <c r="I1893" s="17" t="s">
        <v>65</v>
      </c>
      <c r="J1893" s="21">
        <v>1</v>
      </c>
      <c r="K1893" s="21" t="s">
        <v>6692</v>
      </c>
      <c r="L1893" s="21" t="s">
        <v>6844</v>
      </c>
      <c r="M1893" s="19" t="s">
        <v>6789</v>
      </c>
      <c r="N1893" s="19" t="s">
        <v>316</v>
      </c>
      <c r="O1893" s="19" t="s">
        <v>6845</v>
      </c>
      <c r="P1893" s="19" t="s">
        <v>6790</v>
      </c>
      <c r="Q1893" s="19" t="s">
        <v>211</v>
      </c>
      <c r="R1893" s="16" t="s">
        <v>54</v>
      </c>
      <c r="S1893" s="18" t="s">
        <v>2818</v>
      </c>
      <c r="T1893" s="21" t="s">
        <v>55</v>
      </c>
    </row>
    <row r="1894" spans="1:20" ht="16.5">
      <c r="A1894" s="11" t="s">
        <v>5409</v>
      </c>
      <c r="B1894" s="11" t="s">
        <v>311</v>
      </c>
      <c r="C1894" s="11" t="s">
        <v>204</v>
      </c>
      <c r="D1894" s="12" t="s">
        <v>6791</v>
      </c>
      <c r="E1894" s="11" t="s">
        <v>312</v>
      </c>
      <c r="F1894" s="14" t="s">
        <v>313</v>
      </c>
      <c r="G1894" s="15" t="s">
        <v>6846</v>
      </c>
      <c r="H1894" s="23" t="s">
        <v>6847</v>
      </c>
      <c r="I1894" s="11" t="s">
        <v>65</v>
      </c>
      <c r="J1894" s="14">
        <v>1</v>
      </c>
      <c r="K1894" s="14" t="s">
        <v>6692</v>
      </c>
      <c r="L1894" s="14" t="s">
        <v>6848</v>
      </c>
      <c r="M1894" s="15" t="s">
        <v>6794</v>
      </c>
      <c r="N1894" s="15" t="s">
        <v>316</v>
      </c>
      <c r="O1894" s="15" t="s">
        <v>6849</v>
      </c>
      <c r="P1894" s="15" t="s">
        <v>6846</v>
      </c>
      <c r="Q1894" s="15" t="s">
        <v>211</v>
      </c>
      <c r="R1894" s="16" t="s">
        <v>54</v>
      </c>
      <c r="S1894" s="12" t="s">
        <v>2818</v>
      </c>
      <c r="T1894" s="14" t="s">
        <v>55</v>
      </c>
    </row>
    <row r="1895" spans="1:20" ht="16.5">
      <c r="A1895" s="17" t="s">
        <v>5409</v>
      </c>
      <c r="B1895" s="17" t="s">
        <v>311</v>
      </c>
      <c r="C1895" s="17" t="s">
        <v>204</v>
      </c>
      <c r="D1895" s="18" t="s">
        <v>6791</v>
      </c>
      <c r="E1895" s="17" t="s">
        <v>312</v>
      </c>
      <c r="F1895" s="21" t="s">
        <v>313</v>
      </c>
      <c r="G1895" s="19" t="s">
        <v>6850</v>
      </c>
      <c r="H1895" s="24" t="s">
        <v>6851</v>
      </c>
      <c r="I1895" s="17" t="s">
        <v>65</v>
      </c>
      <c r="J1895" s="21">
        <v>1</v>
      </c>
      <c r="K1895" s="21" t="s">
        <v>6692</v>
      </c>
      <c r="L1895" s="21" t="s">
        <v>6852</v>
      </c>
      <c r="M1895" s="19" t="s">
        <v>6794</v>
      </c>
      <c r="N1895" s="19" t="s">
        <v>316</v>
      </c>
      <c r="O1895" s="19" t="s">
        <v>6853</v>
      </c>
      <c r="P1895" s="19" t="s">
        <v>6850</v>
      </c>
      <c r="Q1895" s="19" t="s">
        <v>211</v>
      </c>
      <c r="R1895" s="16" t="s">
        <v>54</v>
      </c>
      <c r="S1895" s="18" t="s">
        <v>2818</v>
      </c>
      <c r="T1895" s="21" t="s">
        <v>55</v>
      </c>
    </row>
    <row r="1896" spans="1:20" ht="16.5">
      <c r="A1896" s="11" t="s">
        <v>5409</v>
      </c>
      <c r="B1896" s="11" t="s">
        <v>311</v>
      </c>
      <c r="C1896" s="11" t="s">
        <v>204</v>
      </c>
      <c r="D1896" s="12" t="s">
        <v>6791</v>
      </c>
      <c r="E1896" s="11" t="s">
        <v>312</v>
      </c>
      <c r="F1896" s="14" t="s">
        <v>313</v>
      </c>
      <c r="G1896" s="15" t="s">
        <v>6854</v>
      </c>
      <c r="H1896" s="23" t="s">
        <v>6855</v>
      </c>
      <c r="I1896" s="11" t="s">
        <v>65</v>
      </c>
      <c r="J1896" s="14">
        <v>1</v>
      </c>
      <c r="K1896" s="14" t="s">
        <v>6692</v>
      </c>
      <c r="L1896" s="14" t="s">
        <v>6856</v>
      </c>
      <c r="M1896" s="15" t="s">
        <v>6794</v>
      </c>
      <c r="N1896" s="15" t="s">
        <v>316</v>
      </c>
      <c r="O1896" s="15" t="s">
        <v>6857</v>
      </c>
      <c r="P1896" s="15" t="s">
        <v>6854</v>
      </c>
      <c r="Q1896" s="15" t="s">
        <v>211</v>
      </c>
      <c r="R1896" s="16" t="s">
        <v>54</v>
      </c>
      <c r="S1896" s="12" t="s">
        <v>2818</v>
      </c>
      <c r="T1896" s="14" t="s">
        <v>55</v>
      </c>
    </row>
    <row r="1897" spans="1:20" ht="16.5">
      <c r="A1897" s="17" t="s">
        <v>5409</v>
      </c>
      <c r="B1897" s="17" t="s">
        <v>311</v>
      </c>
      <c r="C1897" s="17" t="s">
        <v>204</v>
      </c>
      <c r="D1897" s="18" t="s">
        <v>6791</v>
      </c>
      <c r="E1897" s="17" t="s">
        <v>312</v>
      </c>
      <c r="F1897" s="21" t="s">
        <v>313</v>
      </c>
      <c r="G1897" s="19" t="s">
        <v>6858</v>
      </c>
      <c r="H1897" s="24" t="s">
        <v>6859</v>
      </c>
      <c r="I1897" s="17" t="s">
        <v>65</v>
      </c>
      <c r="J1897" s="21">
        <v>1</v>
      </c>
      <c r="K1897" s="21" t="s">
        <v>6692</v>
      </c>
      <c r="L1897" s="21" t="s">
        <v>6860</v>
      </c>
      <c r="M1897" s="19" t="s">
        <v>6794</v>
      </c>
      <c r="N1897" s="19" t="s">
        <v>316</v>
      </c>
      <c r="O1897" s="19" t="s">
        <v>6861</v>
      </c>
      <c r="P1897" s="19" t="s">
        <v>6858</v>
      </c>
      <c r="Q1897" s="19" t="s">
        <v>211</v>
      </c>
      <c r="R1897" s="16" t="s">
        <v>54</v>
      </c>
      <c r="S1897" s="18" t="s">
        <v>2818</v>
      </c>
      <c r="T1897" s="21" t="s">
        <v>55</v>
      </c>
    </row>
    <row r="1898" spans="1:20" ht="16.5">
      <c r="A1898" s="11" t="s">
        <v>5409</v>
      </c>
      <c r="B1898" s="11" t="s">
        <v>311</v>
      </c>
      <c r="C1898" s="11" t="s">
        <v>204</v>
      </c>
      <c r="D1898" s="12" t="s">
        <v>6796</v>
      </c>
      <c r="E1898" s="11" t="s">
        <v>312</v>
      </c>
      <c r="F1898" s="14" t="s">
        <v>313</v>
      </c>
      <c r="G1898" s="15" t="s">
        <v>6862</v>
      </c>
      <c r="H1898" s="23" t="s">
        <v>6863</v>
      </c>
      <c r="I1898" s="11" t="s">
        <v>65</v>
      </c>
      <c r="J1898" s="14">
        <v>1</v>
      </c>
      <c r="K1898" s="14" t="s">
        <v>6692</v>
      </c>
      <c r="L1898" s="14" t="s">
        <v>6864</v>
      </c>
      <c r="M1898" s="15" t="s">
        <v>6799</v>
      </c>
      <c r="N1898" s="15" t="s">
        <v>316</v>
      </c>
      <c r="O1898" s="15" t="s">
        <v>6865</v>
      </c>
      <c r="P1898" s="15" t="s">
        <v>6862</v>
      </c>
      <c r="Q1898" s="15" t="s">
        <v>211</v>
      </c>
      <c r="R1898" s="16" t="s">
        <v>54</v>
      </c>
      <c r="S1898" s="12" t="s">
        <v>2818</v>
      </c>
      <c r="T1898" s="14" t="s">
        <v>55</v>
      </c>
    </row>
    <row r="1899" spans="1:20" ht="16.5">
      <c r="A1899" s="17" t="s">
        <v>5409</v>
      </c>
      <c r="B1899" s="17" t="s">
        <v>311</v>
      </c>
      <c r="C1899" s="17" t="s">
        <v>204</v>
      </c>
      <c r="D1899" s="18" t="s">
        <v>6796</v>
      </c>
      <c r="E1899" s="17" t="s">
        <v>312</v>
      </c>
      <c r="F1899" s="21" t="s">
        <v>313</v>
      </c>
      <c r="G1899" s="19" t="s">
        <v>6866</v>
      </c>
      <c r="H1899" s="24" t="s">
        <v>6867</v>
      </c>
      <c r="I1899" s="17" t="s">
        <v>65</v>
      </c>
      <c r="J1899" s="21">
        <v>1</v>
      </c>
      <c r="K1899" s="21" t="s">
        <v>6692</v>
      </c>
      <c r="L1899" s="21" t="s">
        <v>6868</v>
      </c>
      <c r="M1899" s="19" t="s">
        <v>6799</v>
      </c>
      <c r="N1899" s="19" t="s">
        <v>316</v>
      </c>
      <c r="O1899" s="19" t="s">
        <v>6869</v>
      </c>
      <c r="P1899" s="19" t="s">
        <v>6866</v>
      </c>
      <c r="Q1899" s="19" t="s">
        <v>211</v>
      </c>
      <c r="R1899" s="16" t="s">
        <v>54</v>
      </c>
      <c r="S1899" s="18" t="s">
        <v>2818</v>
      </c>
      <c r="T1899" s="21" t="s">
        <v>55</v>
      </c>
    </row>
    <row r="1900" spans="1:20" ht="16.5">
      <c r="A1900" s="11" t="s">
        <v>5409</v>
      </c>
      <c r="B1900" s="11" t="s">
        <v>311</v>
      </c>
      <c r="C1900" s="11" t="s">
        <v>204</v>
      </c>
      <c r="D1900" s="12" t="s">
        <v>6796</v>
      </c>
      <c r="E1900" s="11" t="s">
        <v>312</v>
      </c>
      <c r="F1900" s="14" t="s">
        <v>313</v>
      </c>
      <c r="G1900" s="15" t="s">
        <v>6870</v>
      </c>
      <c r="H1900" s="23" t="s">
        <v>6871</v>
      </c>
      <c r="I1900" s="11" t="s">
        <v>65</v>
      </c>
      <c r="J1900" s="14">
        <v>1</v>
      </c>
      <c r="K1900" s="14" t="s">
        <v>6692</v>
      </c>
      <c r="L1900" s="14" t="s">
        <v>6872</v>
      </c>
      <c r="M1900" s="15" t="s">
        <v>6799</v>
      </c>
      <c r="N1900" s="15" t="s">
        <v>316</v>
      </c>
      <c r="O1900" s="15" t="s">
        <v>6873</v>
      </c>
      <c r="P1900" s="15" t="s">
        <v>6870</v>
      </c>
      <c r="Q1900" s="15" t="s">
        <v>211</v>
      </c>
      <c r="R1900" s="16" t="s">
        <v>54</v>
      </c>
      <c r="S1900" s="12" t="s">
        <v>2818</v>
      </c>
      <c r="T1900" s="14" t="s">
        <v>55</v>
      </c>
    </row>
    <row r="1901" spans="1:20" ht="16.5">
      <c r="A1901" s="17" t="s">
        <v>5409</v>
      </c>
      <c r="B1901" s="17" t="s">
        <v>311</v>
      </c>
      <c r="C1901" s="17" t="s">
        <v>204</v>
      </c>
      <c r="D1901" s="18" t="s">
        <v>6801</v>
      </c>
      <c r="E1901" s="17" t="s">
        <v>312</v>
      </c>
      <c r="F1901" s="21" t="s">
        <v>313</v>
      </c>
      <c r="G1901" s="19" t="s">
        <v>6874</v>
      </c>
      <c r="H1901" s="24" t="s">
        <v>6875</v>
      </c>
      <c r="I1901" s="17" t="s">
        <v>65</v>
      </c>
      <c r="J1901" s="21">
        <v>1</v>
      </c>
      <c r="K1901" s="21" t="s">
        <v>6692</v>
      </c>
      <c r="L1901" s="21" t="s">
        <v>6876</v>
      </c>
      <c r="M1901" s="19" t="s">
        <v>6804</v>
      </c>
      <c r="N1901" s="19" t="s">
        <v>316</v>
      </c>
      <c r="O1901" s="19" t="s">
        <v>6877</v>
      </c>
      <c r="P1901" s="19" t="s">
        <v>6874</v>
      </c>
      <c r="Q1901" s="19" t="s">
        <v>211</v>
      </c>
      <c r="R1901" s="16" t="s">
        <v>54</v>
      </c>
      <c r="S1901" s="18" t="s">
        <v>2818</v>
      </c>
      <c r="T1901" s="21" t="s">
        <v>55</v>
      </c>
    </row>
    <row r="1902" spans="1:20" ht="16.5">
      <c r="A1902" s="11" t="s">
        <v>5409</v>
      </c>
      <c r="B1902" s="11" t="s">
        <v>311</v>
      </c>
      <c r="C1902" s="11" t="s">
        <v>204</v>
      </c>
      <c r="D1902" s="12" t="s">
        <v>6801</v>
      </c>
      <c r="E1902" s="11" t="s">
        <v>312</v>
      </c>
      <c r="F1902" s="14" t="s">
        <v>313</v>
      </c>
      <c r="G1902" s="15" t="s">
        <v>6878</v>
      </c>
      <c r="H1902" s="23" t="s">
        <v>6879</v>
      </c>
      <c r="I1902" s="11" t="s">
        <v>65</v>
      </c>
      <c r="J1902" s="14">
        <v>1</v>
      </c>
      <c r="K1902" s="14" t="s">
        <v>6692</v>
      </c>
      <c r="L1902" s="14" t="s">
        <v>6880</v>
      </c>
      <c r="M1902" s="15" t="s">
        <v>6804</v>
      </c>
      <c r="N1902" s="15" t="s">
        <v>316</v>
      </c>
      <c r="O1902" s="15" t="s">
        <v>6881</v>
      </c>
      <c r="P1902" s="15" t="s">
        <v>6878</v>
      </c>
      <c r="Q1902" s="15" t="s">
        <v>211</v>
      </c>
      <c r="R1902" s="16" t="s">
        <v>54</v>
      </c>
      <c r="S1902" s="12" t="s">
        <v>2818</v>
      </c>
      <c r="T1902" s="14" t="s">
        <v>55</v>
      </c>
    </row>
    <row r="1903" spans="1:20" ht="16.5">
      <c r="A1903" s="17" t="s">
        <v>5409</v>
      </c>
      <c r="B1903" s="17" t="s">
        <v>311</v>
      </c>
      <c r="C1903" s="17" t="s">
        <v>204</v>
      </c>
      <c r="D1903" s="18" t="s">
        <v>6801</v>
      </c>
      <c r="E1903" s="17" t="s">
        <v>312</v>
      </c>
      <c r="F1903" s="21" t="s">
        <v>313</v>
      </c>
      <c r="G1903" s="19" t="s">
        <v>6882</v>
      </c>
      <c r="H1903" s="24" t="s">
        <v>6883</v>
      </c>
      <c r="I1903" s="17" t="s">
        <v>65</v>
      </c>
      <c r="J1903" s="21">
        <v>1</v>
      </c>
      <c r="K1903" s="21" t="s">
        <v>6692</v>
      </c>
      <c r="L1903" s="21" t="s">
        <v>6884</v>
      </c>
      <c r="M1903" s="19" t="s">
        <v>6804</v>
      </c>
      <c r="N1903" s="19" t="s">
        <v>316</v>
      </c>
      <c r="O1903" s="19" t="s">
        <v>6885</v>
      </c>
      <c r="P1903" s="19" t="s">
        <v>6882</v>
      </c>
      <c r="Q1903" s="19" t="s">
        <v>211</v>
      </c>
      <c r="R1903" s="16" t="s">
        <v>54</v>
      </c>
      <c r="S1903" s="18" t="s">
        <v>2818</v>
      </c>
      <c r="T1903" s="21" t="s">
        <v>55</v>
      </c>
    </row>
    <row r="1904" spans="1:20" ht="16.5">
      <c r="A1904" s="11" t="s">
        <v>5409</v>
      </c>
      <c r="B1904" s="11" t="s">
        <v>311</v>
      </c>
      <c r="C1904" s="11" t="s">
        <v>204</v>
      </c>
      <c r="D1904" s="12" t="s">
        <v>6806</v>
      </c>
      <c r="E1904" s="11" t="s">
        <v>312</v>
      </c>
      <c r="F1904" s="14" t="s">
        <v>313</v>
      </c>
      <c r="G1904" s="15" t="s">
        <v>6810</v>
      </c>
      <c r="H1904" s="23" t="s">
        <v>6886</v>
      </c>
      <c r="I1904" s="11" t="s">
        <v>65</v>
      </c>
      <c r="J1904" s="14">
        <v>1</v>
      </c>
      <c r="K1904" s="14" t="s">
        <v>6692</v>
      </c>
      <c r="L1904" s="14" t="s">
        <v>6887</v>
      </c>
      <c r="M1904" s="15" t="s">
        <v>6809</v>
      </c>
      <c r="N1904" s="15" t="s">
        <v>316</v>
      </c>
      <c r="O1904" s="15" t="s">
        <v>6888</v>
      </c>
      <c r="P1904" s="15" t="s">
        <v>6810</v>
      </c>
      <c r="Q1904" s="15" t="s">
        <v>211</v>
      </c>
      <c r="R1904" s="16" t="s">
        <v>54</v>
      </c>
      <c r="S1904" s="12" t="s">
        <v>2818</v>
      </c>
      <c r="T1904" s="14" t="s">
        <v>55</v>
      </c>
    </row>
    <row r="1905" spans="1:20" ht="16.5">
      <c r="A1905" s="17" t="s">
        <v>5409</v>
      </c>
      <c r="B1905" s="17" t="s">
        <v>311</v>
      </c>
      <c r="C1905" s="17" t="s">
        <v>204</v>
      </c>
      <c r="D1905" s="18" t="s">
        <v>6811</v>
      </c>
      <c r="E1905" s="17" t="s">
        <v>312</v>
      </c>
      <c r="F1905" s="21" t="s">
        <v>313</v>
      </c>
      <c r="G1905" s="19" t="s">
        <v>6889</v>
      </c>
      <c r="H1905" s="24" t="s">
        <v>6890</v>
      </c>
      <c r="I1905" s="17" t="s">
        <v>65</v>
      </c>
      <c r="J1905" s="21">
        <v>1</v>
      </c>
      <c r="K1905" s="21" t="s">
        <v>6692</v>
      </c>
      <c r="L1905" s="21" t="s">
        <v>6891</v>
      </c>
      <c r="M1905" s="19" t="s">
        <v>6814</v>
      </c>
      <c r="N1905" s="19" t="s">
        <v>316</v>
      </c>
      <c r="O1905" s="19" t="s">
        <v>6892</v>
      </c>
      <c r="P1905" s="19" t="s">
        <v>6889</v>
      </c>
      <c r="Q1905" s="19" t="s">
        <v>211</v>
      </c>
      <c r="R1905" s="16" t="s">
        <v>54</v>
      </c>
      <c r="S1905" s="18" t="s">
        <v>2818</v>
      </c>
      <c r="T1905" s="21" t="s">
        <v>55</v>
      </c>
    </row>
    <row r="1906" spans="1:20" ht="16.5">
      <c r="A1906" s="11" t="s">
        <v>5409</v>
      </c>
      <c r="B1906" s="11" t="s">
        <v>311</v>
      </c>
      <c r="C1906" s="11" t="s">
        <v>204</v>
      </c>
      <c r="D1906" s="12" t="s">
        <v>6811</v>
      </c>
      <c r="E1906" s="11" t="s">
        <v>312</v>
      </c>
      <c r="F1906" s="14" t="s">
        <v>313</v>
      </c>
      <c r="G1906" s="15" t="s">
        <v>6893</v>
      </c>
      <c r="H1906" s="23" t="s">
        <v>6894</v>
      </c>
      <c r="I1906" s="11" t="s">
        <v>65</v>
      </c>
      <c r="J1906" s="14">
        <v>1</v>
      </c>
      <c r="K1906" s="14" t="s">
        <v>6692</v>
      </c>
      <c r="L1906" s="14" t="s">
        <v>6895</v>
      </c>
      <c r="M1906" s="15" t="s">
        <v>6814</v>
      </c>
      <c r="N1906" s="15" t="s">
        <v>316</v>
      </c>
      <c r="O1906" s="15" t="s">
        <v>6896</v>
      </c>
      <c r="P1906" s="15" t="s">
        <v>6893</v>
      </c>
      <c r="Q1906" s="15" t="s">
        <v>211</v>
      </c>
      <c r="R1906" s="16" t="s">
        <v>54</v>
      </c>
      <c r="S1906" s="12" t="s">
        <v>2818</v>
      </c>
      <c r="T1906" s="14" t="s">
        <v>55</v>
      </c>
    </row>
    <row r="1907" spans="1:20" ht="16.5">
      <c r="A1907" s="17" t="s">
        <v>5409</v>
      </c>
      <c r="B1907" s="17" t="s">
        <v>311</v>
      </c>
      <c r="C1907" s="17" t="s">
        <v>204</v>
      </c>
      <c r="D1907" s="18" t="s">
        <v>6816</v>
      </c>
      <c r="E1907" s="17" t="s">
        <v>312</v>
      </c>
      <c r="F1907" s="21" t="s">
        <v>313</v>
      </c>
      <c r="G1907" s="19" t="s">
        <v>6897</v>
      </c>
      <c r="H1907" s="24" t="s">
        <v>6898</v>
      </c>
      <c r="I1907" s="17" t="s">
        <v>65</v>
      </c>
      <c r="J1907" s="21">
        <v>1</v>
      </c>
      <c r="K1907" s="21" t="s">
        <v>6692</v>
      </c>
      <c r="L1907" s="21" t="s">
        <v>6899</v>
      </c>
      <c r="M1907" s="19" t="s">
        <v>6819</v>
      </c>
      <c r="N1907" s="19" t="s">
        <v>316</v>
      </c>
      <c r="O1907" s="19" t="s">
        <v>6900</v>
      </c>
      <c r="P1907" s="19" t="s">
        <v>6897</v>
      </c>
      <c r="Q1907" s="19" t="s">
        <v>211</v>
      </c>
      <c r="R1907" s="16" t="s">
        <v>54</v>
      </c>
      <c r="S1907" s="18" t="s">
        <v>2818</v>
      </c>
      <c r="T1907" s="21" t="s">
        <v>55</v>
      </c>
    </row>
    <row r="1908" spans="1:20" ht="16.5">
      <c r="A1908" s="11" t="s">
        <v>5409</v>
      </c>
      <c r="B1908" s="11" t="s">
        <v>311</v>
      </c>
      <c r="C1908" s="11" t="s">
        <v>204</v>
      </c>
      <c r="D1908" s="12" t="s">
        <v>6816</v>
      </c>
      <c r="E1908" s="11" t="s">
        <v>312</v>
      </c>
      <c r="F1908" s="14" t="s">
        <v>313</v>
      </c>
      <c r="G1908" s="15" t="s">
        <v>6901</v>
      </c>
      <c r="H1908" s="23" t="s">
        <v>6902</v>
      </c>
      <c r="I1908" s="11" t="s">
        <v>65</v>
      </c>
      <c r="J1908" s="14">
        <v>1</v>
      </c>
      <c r="K1908" s="14" t="s">
        <v>6692</v>
      </c>
      <c r="L1908" s="14" t="s">
        <v>6903</v>
      </c>
      <c r="M1908" s="15" t="s">
        <v>6819</v>
      </c>
      <c r="N1908" s="15" t="s">
        <v>316</v>
      </c>
      <c r="O1908" s="15" t="s">
        <v>6904</v>
      </c>
      <c r="P1908" s="15" t="s">
        <v>6901</v>
      </c>
      <c r="Q1908" s="15" t="s">
        <v>211</v>
      </c>
      <c r="R1908" s="16" t="s">
        <v>54</v>
      </c>
      <c r="S1908" s="12" t="s">
        <v>2818</v>
      </c>
      <c r="T1908" s="14" t="s">
        <v>55</v>
      </c>
    </row>
    <row r="1909" spans="1:20" ht="16.5">
      <c r="A1909" s="17" t="s">
        <v>5409</v>
      </c>
      <c r="B1909" s="17" t="s">
        <v>311</v>
      </c>
      <c r="C1909" s="17" t="s">
        <v>204</v>
      </c>
      <c r="D1909" s="18" t="s">
        <v>6821</v>
      </c>
      <c r="E1909" s="17" t="s">
        <v>312</v>
      </c>
      <c r="F1909" s="21" t="s">
        <v>313</v>
      </c>
      <c r="G1909" s="19" t="s">
        <v>6905</v>
      </c>
      <c r="H1909" s="24" t="s">
        <v>6906</v>
      </c>
      <c r="I1909" s="17" t="s">
        <v>65</v>
      </c>
      <c r="J1909" s="21">
        <v>1</v>
      </c>
      <c r="K1909" s="21" t="s">
        <v>6692</v>
      </c>
      <c r="L1909" s="21" t="s">
        <v>6907</v>
      </c>
      <c r="M1909" s="19" t="s">
        <v>6824</v>
      </c>
      <c r="N1909" s="19" t="s">
        <v>316</v>
      </c>
      <c r="O1909" s="19" t="s">
        <v>6908</v>
      </c>
      <c r="P1909" s="19" t="s">
        <v>6905</v>
      </c>
      <c r="Q1909" s="19" t="s">
        <v>211</v>
      </c>
      <c r="R1909" s="16" t="s">
        <v>54</v>
      </c>
      <c r="S1909" s="18" t="s">
        <v>2818</v>
      </c>
      <c r="T1909" s="21" t="s">
        <v>55</v>
      </c>
    </row>
    <row r="1910" spans="1:20" ht="16.5">
      <c r="A1910" s="11" t="s">
        <v>5409</v>
      </c>
      <c r="B1910" s="11" t="s">
        <v>311</v>
      </c>
      <c r="C1910" s="11" t="s">
        <v>204</v>
      </c>
      <c r="D1910" s="12" t="s">
        <v>6821</v>
      </c>
      <c r="E1910" s="11" t="s">
        <v>312</v>
      </c>
      <c r="F1910" s="14" t="s">
        <v>313</v>
      </c>
      <c r="G1910" s="15" t="s">
        <v>6909</v>
      </c>
      <c r="H1910" s="23" t="s">
        <v>6910</v>
      </c>
      <c r="I1910" s="11" t="s">
        <v>65</v>
      </c>
      <c r="J1910" s="14">
        <v>1</v>
      </c>
      <c r="K1910" s="14" t="s">
        <v>6692</v>
      </c>
      <c r="L1910" s="14" t="s">
        <v>6911</v>
      </c>
      <c r="M1910" s="15" t="s">
        <v>6824</v>
      </c>
      <c r="N1910" s="15" t="s">
        <v>316</v>
      </c>
      <c r="O1910" s="15" t="s">
        <v>6912</v>
      </c>
      <c r="P1910" s="15" t="s">
        <v>6909</v>
      </c>
      <c r="Q1910" s="15" t="s">
        <v>211</v>
      </c>
      <c r="R1910" s="16" t="s">
        <v>54</v>
      </c>
      <c r="S1910" s="12" t="s">
        <v>2818</v>
      </c>
      <c r="T1910" s="14" t="s">
        <v>55</v>
      </c>
    </row>
    <row r="1911" spans="1:20" ht="16.5">
      <c r="A1911" s="17" t="s">
        <v>5409</v>
      </c>
      <c r="B1911" s="17" t="s">
        <v>311</v>
      </c>
      <c r="C1911" s="17" t="s">
        <v>204</v>
      </c>
      <c r="D1911" s="18" t="s">
        <v>6826</v>
      </c>
      <c r="E1911" s="17" t="s">
        <v>312</v>
      </c>
      <c r="F1911" s="21" t="s">
        <v>313</v>
      </c>
      <c r="G1911" s="19" t="s">
        <v>6913</v>
      </c>
      <c r="H1911" s="24" t="s">
        <v>6914</v>
      </c>
      <c r="I1911" s="17" t="s">
        <v>65</v>
      </c>
      <c r="J1911" s="21">
        <v>1</v>
      </c>
      <c r="K1911" s="21" t="s">
        <v>6692</v>
      </c>
      <c r="L1911" s="21" t="s">
        <v>6915</v>
      </c>
      <c r="M1911" s="19" t="s">
        <v>6829</v>
      </c>
      <c r="N1911" s="19" t="s">
        <v>316</v>
      </c>
      <c r="O1911" s="19" t="s">
        <v>6916</v>
      </c>
      <c r="P1911" s="19" t="s">
        <v>6913</v>
      </c>
      <c r="Q1911" s="19" t="s">
        <v>211</v>
      </c>
      <c r="R1911" s="16" t="s">
        <v>54</v>
      </c>
      <c r="S1911" s="18" t="s">
        <v>2818</v>
      </c>
      <c r="T1911" s="21" t="s">
        <v>55</v>
      </c>
    </row>
    <row r="1912" spans="1:20" ht="16.5">
      <c r="A1912" s="11" t="s">
        <v>5409</v>
      </c>
      <c r="B1912" s="11" t="s">
        <v>311</v>
      </c>
      <c r="C1912" s="11" t="s">
        <v>204</v>
      </c>
      <c r="D1912" s="12" t="s">
        <v>6826</v>
      </c>
      <c r="E1912" s="11" t="s">
        <v>312</v>
      </c>
      <c r="F1912" s="14" t="s">
        <v>313</v>
      </c>
      <c r="G1912" s="15" t="s">
        <v>6917</v>
      </c>
      <c r="H1912" s="23" t="s">
        <v>6918</v>
      </c>
      <c r="I1912" s="11" t="s">
        <v>65</v>
      </c>
      <c r="J1912" s="14">
        <v>1</v>
      </c>
      <c r="K1912" s="14" t="s">
        <v>6692</v>
      </c>
      <c r="L1912" s="14" t="s">
        <v>6919</v>
      </c>
      <c r="M1912" s="15" t="s">
        <v>6829</v>
      </c>
      <c r="N1912" s="15" t="s">
        <v>316</v>
      </c>
      <c r="O1912" s="15" t="s">
        <v>6920</v>
      </c>
      <c r="P1912" s="15" t="s">
        <v>6917</v>
      </c>
      <c r="Q1912" s="15" t="s">
        <v>211</v>
      </c>
      <c r="R1912" s="16" t="s">
        <v>54</v>
      </c>
      <c r="S1912" s="12" t="s">
        <v>2818</v>
      </c>
      <c r="T1912" s="14" t="s">
        <v>55</v>
      </c>
    </row>
    <row r="1913" spans="1:20" ht="16.5">
      <c r="A1913" s="17" t="s">
        <v>5409</v>
      </c>
      <c r="B1913" s="17" t="s">
        <v>311</v>
      </c>
      <c r="C1913" s="17" t="s">
        <v>204</v>
      </c>
      <c r="D1913" s="18" t="s">
        <v>6831</v>
      </c>
      <c r="E1913" s="17" t="s">
        <v>312</v>
      </c>
      <c r="F1913" s="21" t="s">
        <v>313</v>
      </c>
      <c r="G1913" s="19" t="s">
        <v>6921</v>
      </c>
      <c r="H1913" s="24" t="s">
        <v>6922</v>
      </c>
      <c r="I1913" s="17" t="s">
        <v>65</v>
      </c>
      <c r="J1913" s="21">
        <v>1</v>
      </c>
      <c r="K1913" s="21" t="s">
        <v>6692</v>
      </c>
      <c r="L1913" s="21" t="s">
        <v>6923</v>
      </c>
      <c r="M1913" s="19" t="s">
        <v>6834</v>
      </c>
      <c r="N1913" s="19" t="s">
        <v>316</v>
      </c>
      <c r="O1913" s="19" t="s">
        <v>6924</v>
      </c>
      <c r="P1913" s="19" t="s">
        <v>6921</v>
      </c>
      <c r="Q1913" s="19" t="s">
        <v>211</v>
      </c>
      <c r="R1913" s="16" t="s">
        <v>54</v>
      </c>
      <c r="S1913" s="18" t="s">
        <v>2818</v>
      </c>
      <c r="T1913" s="21" t="s">
        <v>55</v>
      </c>
    </row>
    <row r="1914" spans="1:20" ht="16.5">
      <c r="A1914" s="11" t="s">
        <v>5409</v>
      </c>
      <c r="B1914" s="11" t="s">
        <v>311</v>
      </c>
      <c r="C1914" s="11" t="s">
        <v>204</v>
      </c>
      <c r="D1914" s="12" t="s">
        <v>6831</v>
      </c>
      <c r="E1914" s="11" t="s">
        <v>312</v>
      </c>
      <c r="F1914" s="14" t="s">
        <v>313</v>
      </c>
      <c r="G1914" s="15" t="s">
        <v>6925</v>
      </c>
      <c r="H1914" s="23" t="s">
        <v>6926</v>
      </c>
      <c r="I1914" s="11" t="s">
        <v>65</v>
      </c>
      <c r="J1914" s="14">
        <v>1</v>
      </c>
      <c r="K1914" s="14" t="s">
        <v>6692</v>
      </c>
      <c r="L1914" s="14" t="s">
        <v>6927</v>
      </c>
      <c r="M1914" s="15" t="s">
        <v>6834</v>
      </c>
      <c r="N1914" s="15" t="s">
        <v>316</v>
      </c>
      <c r="O1914" s="15" t="s">
        <v>6928</v>
      </c>
      <c r="P1914" s="15" t="s">
        <v>6925</v>
      </c>
      <c r="Q1914" s="15" t="s">
        <v>211</v>
      </c>
      <c r="R1914" s="16" t="s">
        <v>54</v>
      </c>
      <c r="S1914" s="12" t="s">
        <v>2818</v>
      </c>
      <c r="T1914" s="14" t="s">
        <v>55</v>
      </c>
    </row>
    <row r="1915" spans="1:20" ht="16.5">
      <c r="A1915" s="17" t="s">
        <v>5409</v>
      </c>
      <c r="B1915" s="17" t="s">
        <v>487</v>
      </c>
      <c r="C1915" s="17" t="s">
        <v>488</v>
      </c>
      <c r="D1915" s="18" t="s">
        <v>6929</v>
      </c>
      <c r="E1915" s="17" t="s">
        <v>490</v>
      </c>
      <c r="F1915" s="17" t="s">
        <v>491</v>
      </c>
      <c r="G1915" s="18" t="s">
        <v>6930</v>
      </c>
      <c r="H1915" s="24" t="s">
        <v>584</v>
      </c>
      <c r="I1915" s="17" t="s">
        <v>494</v>
      </c>
      <c r="J1915" s="21">
        <v>1</v>
      </c>
      <c r="K1915" s="21" t="s">
        <v>6692</v>
      </c>
      <c r="L1915" s="21" t="s">
        <v>6931</v>
      </c>
      <c r="M1915" s="19" t="s">
        <v>6932</v>
      </c>
      <c r="N1915" s="19" t="s">
        <v>497</v>
      </c>
      <c r="O1915" s="19" t="s">
        <v>6933</v>
      </c>
      <c r="P1915" s="19" t="s">
        <v>6934</v>
      </c>
      <c r="Q1915" s="19" t="s">
        <v>500</v>
      </c>
      <c r="R1915" s="16" t="s">
        <v>54</v>
      </c>
      <c r="S1915" s="18" t="s">
        <v>2818</v>
      </c>
      <c r="T1915" s="21" t="s">
        <v>55</v>
      </c>
    </row>
    <row r="1916" spans="1:20" ht="16.5">
      <c r="A1916" s="11" t="s">
        <v>5409</v>
      </c>
      <c r="B1916" s="11" t="s">
        <v>487</v>
      </c>
      <c r="C1916" s="11" t="s">
        <v>204</v>
      </c>
      <c r="D1916" s="12" t="s">
        <v>6796</v>
      </c>
      <c r="E1916" s="11" t="s">
        <v>501</v>
      </c>
      <c r="F1916" s="11" t="s">
        <v>488</v>
      </c>
      <c r="G1916" s="12" t="s">
        <v>6929</v>
      </c>
      <c r="H1916" s="13" t="s">
        <v>6935</v>
      </c>
      <c r="I1916" s="11" t="s">
        <v>494</v>
      </c>
      <c r="J1916" s="14">
        <v>1</v>
      </c>
      <c r="K1916" s="14" t="s">
        <v>6692</v>
      </c>
      <c r="L1916" s="14" t="s">
        <v>6936</v>
      </c>
      <c r="M1916" s="15" t="s">
        <v>6799</v>
      </c>
      <c r="N1916" s="15" t="s">
        <v>504</v>
      </c>
      <c r="O1916" s="15" t="s">
        <v>6932</v>
      </c>
      <c r="P1916" s="15"/>
      <c r="Q1916" s="15" t="s">
        <v>211</v>
      </c>
      <c r="R1916" s="16" t="s">
        <v>54</v>
      </c>
      <c r="S1916" s="12" t="s">
        <v>2818</v>
      </c>
      <c r="T1916" s="14" t="s">
        <v>55</v>
      </c>
    </row>
    <row r="1917" spans="1:20" ht="16.5">
      <c r="A1917" s="17" t="s">
        <v>5409</v>
      </c>
      <c r="B1917" s="17" t="s">
        <v>487</v>
      </c>
      <c r="C1917" s="17" t="s">
        <v>491</v>
      </c>
      <c r="D1917" s="18" t="s">
        <v>6930</v>
      </c>
      <c r="E1917" s="17" t="s">
        <v>505</v>
      </c>
      <c r="F1917" s="17" t="s">
        <v>204</v>
      </c>
      <c r="G1917" s="18" t="s">
        <v>6796</v>
      </c>
      <c r="H1917" s="20" t="s">
        <v>6937</v>
      </c>
      <c r="I1917" s="17" t="s">
        <v>507</v>
      </c>
      <c r="J1917" s="21">
        <v>1</v>
      </c>
      <c r="K1917" s="21" t="s">
        <v>6692</v>
      </c>
      <c r="L1917" s="21" t="s">
        <v>6938</v>
      </c>
      <c r="M1917" s="19" t="s">
        <v>6933</v>
      </c>
      <c r="N1917" s="19" t="s">
        <v>509</v>
      </c>
      <c r="O1917" s="19" t="s">
        <v>6799</v>
      </c>
      <c r="P1917" s="19" t="s">
        <v>6934</v>
      </c>
      <c r="Q1917" s="18" t="s">
        <v>286</v>
      </c>
      <c r="R1917" s="22" t="s">
        <v>88</v>
      </c>
      <c r="S1917" s="18" t="s">
        <v>2818</v>
      </c>
      <c r="T1917" s="21" t="s">
        <v>55</v>
      </c>
    </row>
    <row r="1918" spans="1:20" ht="16.5">
      <c r="A1918" s="11" t="s">
        <v>5409</v>
      </c>
      <c r="B1918" s="11" t="s">
        <v>487</v>
      </c>
      <c r="C1918" s="11" t="s">
        <v>488</v>
      </c>
      <c r="D1918" s="12" t="s">
        <v>6939</v>
      </c>
      <c r="E1918" s="11" t="s">
        <v>490</v>
      </c>
      <c r="F1918" s="11" t="s">
        <v>491</v>
      </c>
      <c r="G1918" s="12" t="s">
        <v>6940</v>
      </c>
      <c r="H1918" s="23" t="s">
        <v>584</v>
      </c>
      <c r="I1918" s="11" t="s">
        <v>494</v>
      </c>
      <c r="J1918" s="14">
        <v>1</v>
      </c>
      <c r="K1918" s="14" t="s">
        <v>6692</v>
      </c>
      <c r="L1918" s="14" t="s">
        <v>6941</v>
      </c>
      <c r="M1918" s="15" t="s">
        <v>6942</v>
      </c>
      <c r="N1918" s="15" t="s">
        <v>497</v>
      </c>
      <c r="O1918" s="15" t="s">
        <v>6943</v>
      </c>
      <c r="P1918" s="15" t="s">
        <v>6944</v>
      </c>
      <c r="Q1918" s="15" t="s">
        <v>500</v>
      </c>
      <c r="R1918" s="16" t="s">
        <v>54</v>
      </c>
      <c r="S1918" s="12" t="s">
        <v>2818</v>
      </c>
      <c r="T1918" s="14" t="s">
        <v>55</v>
      </c>
    </row>
    <row r="1919" spans="1:20" ht="16.5">
      <c r="A1919" s="17" t="s">
        <v>5409</v>
      </c>
      <c r="B1919" s="17" t="s">
        <v>487</v>
      </c>
      <c r="C1919" s="17" t="s">
        <v>204</v>
      </c>
      <c r="D1919" s="18" t="s">
        <v>6811</v>
      </c>
      <c r="E1919" s="17" t="s">
        <v>501</v>
      </c>
      <c r="F1919" s="17" t="s">
        <v>488</v>
      </c>
      <c r="G1919" s="18" t="s">
        <v>6939</v>
      </c>
      <c r="H1919" s="20" t="s">
        <v>6945</v>
      </c>
      <c r="I1919" s="17" t="s">
        <v>494</v>
      </c>
      <c r="J1919" s="21">
        <v>1</v>
      </c>
      <c r="K1919" s="21" t="s">
        <v>6692</v>
      </c>
      <c r="L1919" s="21" t="s">
        <v>6946</v>
      </c>
      <c r="M1919" s="19" t="s">
        <v>6814</v>
      </c>
      <c r="N1919" s="19" t="s">
        <v>504</v>
      </c>
      <c r="O1919" s="19" t="s">
        <v>6942</v>
      </c>
      <c r="P1919" s="19"/>
      <c r="Q1919" s="19" t="s">
        <v>211</v>
      </c>
      <c r="R1919" s="16" t="s">
        <v>54</v>
      </c>
      <c r="S1919" s="18" t="s">
        <v>2818</v>
      </c>
      <c r="T1919" s="21" t="s">
        <v>55</v>
      </c>
    </row>
    <row r="1920" spans="1:20" ht="29.25">
      <c r="A1920" s="11" t="s">
        <v>5409</v>
      </c>
      <c r="B1920" s="11" t="s">
        <v>487</v>
      </c>
      <c r="C1920" s="11" t="s">
        <v>491</v>
      </c>
      <c r="D1920" s="12" t="s">
        <v>6940</v>
      </c>
      <c r="E1920" s="11" t="s">
        <v>505</v>
      </c>
      <c r="F1920" s="11" t="s">
        <v>204</v>
      </c>
      <c r="G1920" s="12" t="s">
        <v>6811</v>
      </c>
      <c r="H1920" s="13" t="s">
        <v>6947</v>
      </c>
      <c r="I1920" s="11" t="s">
        <v>507</v>
      </c>
      <c r="J1920" s="14">
        <v>1</v>
      </c>
      <c r="K1920" s="14" t="s">
        <v>6692</v>
      </c>
      <c r="L1920" s="14" t="s">
        <v>6948</v>
      </c>
      <c r="M1920" s="15" t="s">
        <v>6943</v>
      </c>
      <c r="N1920" s="15" t="s">
        <v>509</v>
      </c>
      <c r="O1920" s="15" t="s">
        <v>6814</v>
      </c>
      <c r="P1920" s="15" t="s">
        <v>6944</v>
      </c>
      <c r="Q1920" s="12" t="s">
        <v>286</v>
      </c>
      <c r="R1920" s="22" t="s">
        <v>88</v>
      </c>
      <c r="S1920" s="12" t="s">
        <v>2818</v>
      </c>
      <c r="T1920" s="14" t="s">
        <v>55</v>
      </c>
    </row>
    <row r="1921" spans="1:20" ht="16.5">
      <c r="A1921" s="17" t="s">
        <v>5409</v>
      </c>
      <c r="B1921" s="17" t="s">
        <v>487</v>
      </c>
      <c r="C1921" s="17" t="s">
        <v>488</v>
      </c>
      <c r="D1921" s="18" t="s">
        <v>6949</v>
      </c>
      <c r="E1921" s="17" t="s">
        <v>490</v>
      </c>
      <c r="F1921" s="17" t="s">
        <v>491</v>
      </c>
      <c r="G1921" s="18" t="s">
        <v>6950</v>
      </c>
      <c r="H1921" s="24" t="s">
        <v>584</v>
      </c>
      <c r="I1921" s="17" t="s">
        <v>494</v>
      </c>
      <c r="J1921" s="21">
        <v>1</v>
      </c>
      <c r="K1921" s="21" t="s">
        <v>6692</v>
      </c>
      <c r="L1921" s="21" t="s">
        <v>6951</v>
      </c>
      <c r="M1921" s="19" t="s">
        <v>6952</v>
      </c>
      <c r="N1921" s="19" t="s">
        <v>497</v>
      </c>
      <c r="O1921" s="19" t="s">
        <v>6953</v>
      </c>
      <c r="P1921" s="19" t="s">
        <v>6954</v>
      </c>
      <c r="Q1921" s="19" t="s">
        <v>500</v>
      </c>
      <c r="R1921" s="16" t="s">
        <v>54</v>
      </c>
      <c r="S1921" s="18" t="s">
        <v>2818</v>
      </c>
      <c r="T1921" s="21" t="s">
        <v>55</v>
      </c>
    </row>
    <row r="1922" spans="1:20" ht="16.5">
      <c r="A1922" s="11" t="s">
        <v>5409</v>
      </c>
      <c r="B1922" s="11" t="s">
        <v>487</v>
      </c>
      <c r="C1922" s="11" t="s">
        <v>204</v>
      </c>
      <c r="D1922" s="12" t="s">
        <v>6806</v>
      </c>
      <c r="E1922" s="11" t="s">
        <v>501</v>
      </c>
      <c r="F1922" s="11" t="s">
        <v>488</v>
      </c>
      <c r="G1922" s="12" t="s">
        <v>6949</v>
      </c>
      <c r="H1922" s="13" t="s">
        <v>6955</v>
      </c>
      <c r="I1922" s="11" t="s">
        <v>494</v>
      </c>
      <c r="J1922" s="14">
        <v>1</v>
      </c>
      <c r="K1922" s="14" t="s">
        <v>6692</v>
      </c>
      <c r="L1922" s="14" t="s">
        <v>6956</v>
      </c>
      <c r="M1922" s="15" t="s">
        <v>6809</v>
      </c>
      <c r="N1922" s="15" t="s">
        <v>504</v>
      </c>
      <c r="O1922" s="15" t="s">
        <v>6952</v>
      </c>
      <c r="P1922" s="15"/>
      <c r="Q1922" s="15" t="s">
        <v>211</v>
      </c>
      <c r="R1922" s="16" t="s">
        <v>54</v>
      </c>
      <c r="S1922" s="12" t="s">
        <v>2818</v>
      </c>
      <c r="T1922" s="14" t="s">
        <v>55</v>
      </c>
    </row>
    <row r="1923" spans="1:20" ht="16.5">
      <c r="A1923" s="17" t="s">
        <v>5409</v>
      </c>
      <c r="B1923" s="17" t="s">
        <v>487</v>
      </c>
      <c r="C1923" s="17" t="s">
        <v>491</v>
      </c>
      <c r="D1923" s="18" t="s">
        <v>6950</v>
      </c>
      <c r="E1923" s="17" t="s">
        <v>505</v>
      </c>
      <c r="F1923" s="17" t="s">
        <v>204</v>
      </c>
      <c r="G1923" s="18" t="s">
        <v>6806</v>
      </c>
      <c r="H1923" s="20" t="s">
        <v>6957</v>
      </c>
      <c r="I1923" s="17" t="s">
        <v>507</v>
      </c>
      <c r="J1923" s="21">
        <v>1</v>
      </c>
      <c r="K1923" s="21" t="s">
        <v>6692</v>
      </c>
      <c r="L1923" s="21" t="s">
        <v>6958</v>
      </c>
      <c r="M1923" s="19" t="s">
        <v>6953</v>
      </c>
      <c r="N1923" s="19" t="s">
        <v>509</v>
      </c>
      <c r="O1923" s="19" t="s">
        <v>6809</v>
      </c>
      <c r="P1923" s="19" t="s">
        <v>6954</v>
      </c>
      <c r="Q1923" s="18" t="s">
        <v>286</v>
      </c>
      <c r="R1923" s="22" t="s">
        <v>88</v>
      </c>
      <c r="S1923" s="18" t="s">
        <v>2818</v>
      </c>
      <c r="T1923" s="21" t="s">
        <v>55</v>
      </c>
    </row>
    <row r="1924" spans="1:20" ht="16.5">
      <c r="A1924" s="11" t="s">
        <v>5409</v>
      </c>
      <c r="B1924" s="11" t="s">
        <v>578</v>
      </c>
      <c r="C1924" s="11" t="s">
        <v>62</v>
      </c>
      <c r="D1924" s="12" t="s">
        <v>5574</v>
      </c>
      <c r="E1924" s="11" t="s">
        <v>45</v>
      </c>
      <c r="F1924" s="11" t="s">
        <v>62</v>
      </c>
      <c r="G1924" s="12" t="s">
        <v>6694</v>
      </c>
      <c r="H1924" s="13" t="s">
        <v>6959</v>
      </c>
      <c r="I1924" s="11" t="s">
        <v>645</v>
      </c>
      <c r="J1924" s="14">
        <v>1</v>
      </c>
      <c r="K1924" s="14" t="s">
        <v>6692</v>
      </c>
      <c r="L1924" s="14" t="s">
        <v>6960</v>
      </c>
      <c r="M1924" s="15" t="s">
        <v>5577</v>
      </c>
      <c r="N1924" s="15" t="s">
        <v>51</v>
      </c>
      <c r="O1924" s="15" t="s">
        <v>6697</v>
      </c>
      <c r="P1924" s="15"/>
      <c r="Q1924" s="12" t="s">
        <v>53</v>
      </c>
      <c r="R1924" s="16" t="s">
        <v>54</v>
      </c>
      <c r="S1924" s="12" t="s">
        <v>2818</v>
      </c>
      <c r="T1924" s="14" t="s">
        <v>55</v>
      </c>
    </row>
    <row r="1925" spans="1:20" ht="16.5">
      <c r="A1925" s="17" t="s">
        <v>5409</v>
      </c>
      <c r="B1925" s="17" t="s">
        <v>578</v>
      </c>
      <c r="C1925" s="17" t="s">
        <v>62</v>
      </c>
      <c r="D1925" s="18" t="s">
        <v>6694</v>
      </c>
      <c r="E1925" s="17" t="s">
        <v>45</v>
      </c>
      <c r="F1925" s="17" t="s">
        <v>62</v>
      </c>
      <c r="G1925" s="18" t="s">
        <v>6714</v>
      </c>
      <c r="H1925" s="24" t="s">
        <v>584</v>
      </c>
      <c r="I1925" s="17" t="s">
        <v>645</v>
      </c>
      <c r="J1925" s="21">
        <v>1</v>
      </c>
      <c r="K1925" s="21" t="s">
        <v>6692</v>
      </c>
      <c r="L1925" s="21" t="s">
        <v>6961</v>
      </c>
      <c r="M1925" s="19" t="s">
        <v>6697</v>
      </c>
      <c r="N1925" s="19" t="s">
        <v>51</v>
      </c>
      <c r="O1925" s="19" t="s">
        <v>6717</v>
      </c>
      <c r="P1925" s="19"/>
      <c r="Q1925" s="18" t="s">
        <v>649</v>
      </c>
      <c r="R1925" s="22" t="s">
        <v>88</v>
      </c>
      <c r="S1925" s="18" t="s">
        <v>2818</v>
      </c>
      <c r="T1925" s="21" t="s">
        <v>55</v>
      </c>
    </row>
    <row r="1926" spans="1:20" ht="16.5">
      <c r="A1926" s="11" t="s">
        <v>5409</v>
      </c>
      <c r="B1926" s="11" t="s">
        <v>578</v>
      </c>
      <c r="C1926" s="11" t="s">
        <v>62</v>
      </c>
      <c r="D1926" s="12" t="s">
        <v>6714</v>
      </c>
      <c r="E1926" s="11" t="s">
        <v>45</v>
      </c>
      <c r="F1926" s="11" t="s">
        <v>62</v>
      </c>
      <c r="G1926" s="12" t="s">
        <v>6722</v>
      </c>
      <c r="H1926" s="13" t="s">
        <v>6962</v>
      </c>
      <c r="I1926" s="11" t="s">
        <v>645</v>
      </c>
      <c r="J1926" s="14">
        <v>1</v>
      </c>
      <c r="K1926" s="14" t="s">
        <v>6692</v>
      </c>
      <c r="L1926" s="14" t="s">
        <v>6963</v>
      </c>
      <c r="M1926" s="15" t="s">
        <v>6717</v>
      </c>
      <c r="N1926" s="15" t="s">
        <v>51</v>
      </c>
      <c r="O1926" s="15" t="s">
        <v>6725</v>
      </c>
      <c r="P1926" s="15"/>
      <c r="Q1926" s="12" t="s">
        <v>53</v>
      </c>
      <c r="R1926" s="16" t="s">
        <v>54</v>
      </c>
      <c r="S1926" s="12" t="s">
        <v>2818</v>
      </c>
      <c r="T1926" s="14" t="s">
        <v>55</v>
      </c>
    </row>
    <row r="1927" spans="1:20" ht="16.5">
      <c r="A1927" s="17" t="s">
        <v>5409</v>
      </c>
      <c r="B1927" s="17" t="s">
        <v>578</v>
      </c>
      <c r="C1927" s="17" t="s">
        <v>62</v>
      </c>
      <c r="D1927" s="18" t="s">
        <v>6722</v>
      </c>
      <c r="E1927" s="17" t="s">
        <v>635</v>
      </c>
      <c r="F1927" s="17" t="s">
        <v>300</v>
      </c>
      <c r="G1927" s="18" t="s">
        <v>4543</v>
      </c>
      <c r="H1927" s="24" t="s">
        <v>6964</v>
      </c>
      <c r="I1927" s="17" t="s">
        <v>645</v>
      </c>
      <c r="J1927" s="21">
        <v>1</v>
      </c>
      <c r="K1927" s="21" t="s">
        <v>6692</v>
      </c>
      <c r="L1927" s="21" t="s">
        <v>6965</v>
      </c>
      <c r="M1927" s="19" t="s">
        <v>6725</v>
      </c>
      <c r="N1927" s="19" t="s">
        <v>640</v>
      </c>
      <c r="O1927" s="19" t="s">
        <v>4546</v>
      </c>
      <c r="P1927" s="19"/>
      <c r="Q1927" s="18" t="s">
        <v>53</v>
      </c>
      <c r="R1927" s="16" t="s">
        <v>54</v>
      </c>
      <c r="S1927" s="18" t="s">
        <v>2818</v>
      </c>
      <c r="T1927" s="21" t="s">
        <v>55</v>
      </c>
    </row>
    <row r="1928" spans="1:20" ht="16.5">
      <c r="A1928" s="11" t="s">
        <v>5409</v>
      </c>
      <c r="B1928" s="11" t="s">
        <v>578</v>
      </c>
      <c r="C1928" s="11" t="s">
        <v>300</v>
      </c>
      <c r="D1928" s="12" t="s">
        <v>4543</v>
      </c>
      <c r="E1928" s="11" t="s">
        <v>643</v>
      </c>
      <c r="F1928" s="11" t="s">
        <v>62</v>
      </c>
      <c r="G1928" s="12" t="s">
        <v>3928</v>
      </c>
      <c r="H1928" s="13" t="s">
        <v>6966</v>
      </c>
      <c r="I1928" s="11" t="s">
        <v>645</v>
      </c>
      <c r="J1928" s="14">
        <v>1</v>
      </c>
      <c r="K1928" s="14" t="s">
        <v>6692</v>
      </c>
      <c r="L1928" s="14" t="s">
        <v>6967</v>
      </c>
      <c r="M1928" s="15" t="s">
        <v>4546</v>
      </c>
      <c r="N1928" s="15" t="s">
        <v>648</v>
      </c>
      <c r="O1928" s="15" t="s">
        <v>3931</v>
      </c>
      <c r="P1928" s="15"/>
      <c r="Q1928" s="12" t="s">
        <v>53</v>
      </c>
      <c r="R1928" s="16" t="s">
        <v>54</v>
      </c>
      <c r="S1928" s="12" t="s">
        <v>2818</v>
      </c>
      <c r="T1928" s="14" t="s">
        <v>55</v>
      </c>
    </row>
    <row r="1929" spans="1:20" ht="16.5">
      <c r="A1929" s="17" t="s">
        <v>5409</v>
      </c>
      <c r="B1929" s="17" t="s">
        <v>578</v>
      </c>
      <c r="C1929" s="17" t="s">
        <v>62</v>
      </c>
      <c r="D1929" s="18" t="s">
        <v>6694</v>
      </c>
      <c r="E1929" s="17" t="s">
        <v>45</v>
      </c>
      <c r="F1929" s="17" t="s">
        <v>62</v>
      </c>
      <c r="G1929" s="18" t="s">
        <v>6747</v>
      </c>
      <c r="H1929" s="20" t="s">
        <v>6968</v>
      </c>
      <c r="I1929" s="17" t="s">
        <v>645</v>
      </c>
      <c r="J1929" s="21">
        <v>1</v>
      </c>
      <c r="K1929" s="21" t="s">
        <v>6692</v>
      </c>
      <c r="L1929" s="21" t="s">
        <v>6969</v>
      </c>
      <c r="M1929" s="19" t="s">
        <v>6697</v>
      </c>
      <c r="N1929" s="19" t="s">
        <v>51</v>
      </c>
      <c r="O1929" s="19" t="s">
        <v>6750</v>
      </c>
      <c r="P1929" s="19"/>
      <c r="Q1929" s="18" t="s">
        <v>649</v>
      </c>
      <c r="R1929" s="22" t="s">
        <v>88</v>
      </c>
      <c r="S1929" s="18" t="s">
        <v>2818</v>
      </c>
      <c r="T1929" s="21" t="s">
        <v>55</v>
      </c>
    </row>
    <row r="1930" spans="1:20" ht="16.5">
      <c r="A1930" s="11" t="s">
        <v>5409</v>
      </c>
      <c r="B1930" s="11" t="s">
        <v>578</v>
      </c>
      <c r="C1930" s="11" t="s">
        <v>62</v>
      </c>
      <c r="D1930" s="12" t="s">
        <v>6747</v>
      </c>
      <c r="E1930" s="11" t="s">
        <v>635</v>
      </c>
      <c r="F1930" s="11" t="s">
        <v>300</v>
      </c>
      <c r="G1930" s="12" t="s">
        <v>1018</v>
      </c>
      <c r="H1930" s="13" t="s">
        <v>6970</v>
      </c>
      <c r="I1930" s="11" t="s">
        <v>645</v>
      </c>
      <c r="J1930" s="14">
        <v>1</v>
      </c>
      <c r="K1930" s="14" t="s">
        <v>6692</v>
      </c>
      <c r="L1930" s="14" t="s">
        <v>6971</v>
      </c>
      <c r="M1930" s="15" t="s">
        <v>6750</v>
      </c>
      <c r="N1930" s="15" t="s">
        <v>640</v>
      </c>
      <c r="O1930" s="15" t="s">
        <v>1021</v>
      </c>
      <c r="P1930" s="15"/>
      <c r="Q1930" s="12" t="s">
        <v>53</v>
      </c>
      <c r="R1930" s="16" t="s">
        <v>54</v>
      </c>
      <c r="S1930" s="12" t="s">
        <v>2818</v>
      </c>
      <c r="T1930" s="14" t="s">
        <v>55</v>
      </c>
    </row>
    <row r="1931" spans="1:20" ht="16.5">
      <c r="A1931" s="17" t="s">
        <v>5409</v>
      </c>
      <c r="B1931" s="17" t="s">
        <v>578</v>
      </c>
      <c r="C1931" s="17" t="s">
        <v>62</v>
      </c>
      <c r="D1931" s="18" t="s">
        <v>6694</v>
      </c>
      <c r="E1931" s="17" t="s">
        <v>45</v>
      </c>
      <c r="F1931" s="17" t="s">
        <v>62</v>
      </c>
      <c r="G1931" s="18" t="s">
        <v>6770</v>
      </c>
      <c r="H1931" s="20" t="s">
        <v>6972</v>
      </c>
      <c r="I1931" s="17" t="s">
        <v>645</v>
      </c>
      <c r="J1931" s="21">
        <v>1</v>
      </c>
      <c r="K1931" s="21" t="s">
        <v>6692</v>
      </c>
      <c r="L1931" s="21" t="s">
        <v>6973</v>
      </c>
      <c r="M1931" s="19" t="s">
        <v>6697</v>
      </c>
      <c r="N1931" s="19" t="s">
        <v>51</v>
      </c>
      <c r="O1931" s="19" t="s">
        <v>6773</v>
      </c>
      <c r="P1931" s="19"/>
      <c r="Q1931" s="18" t="s">
        <v>649</v>
      </c>
      <c r="R1931" s="22" t="s">
        <v>88</v>
      </c>
      <c r="S1931" s="18" t="s">
        <v>2818</v>
      </c>
      <c r="T1931" s="21" t="s">
        <v>55</v>
      </c>
    </row>
    <row r="1932" spans="1:20" ht="16.5">
      <c r="A1932" s="11" t="s">
        <v>5409</v>
      </c>
      <c r="B1932" s="11" t="s">
        <v>578</v>
      </c>
      <c r="C1932" s="11" t="s">
        <v>62</v>
      </c>
      <c r="D1932" s="12" t="s">
        <v>6770</v>
      </c>
      <c r="E1932" s="11" t="s">
        <v>635</v>
      </c>
      <c r="F1932" s="11" t="s">
        <v>300</v>
      </c>
      <c r="G1932" s="12" t="s">
        <v>1018</v>
      </c>
      <c r="H1932" s="13" t="s">
        <v>6974</v>
      </c>
      <c r="I1932" s="11" t="s">
        <v>645</v>
      </c>
      <c r="J1932" s="14">
        <v>1</v>
      </c>
      <c r="K1932" s="14" t="s">
        <v>6692</v>
      </c>
      <c r="L1932" s="14" t="s">
        <v>6975</v>
      </c>
      <c r="M1932" s="15" t="s">
        <v>6773</v>
      </c>
      <c r="N1932" s="15" t="s">
        <v>640</v>
      </c>
      <c r="O1932" s="15" t="s">
        <v>1021</v>
      </c>
      <c r="P1932" s="15"/>
      <c r="Q1932" s="12" t="s">
        <v>649</v>
      </c>
      <c r="R1932" s="22" t="s">
        <v>88</v>
      </c>
      <c r="S1932" s="12" t="s">
        <v>2818</v>
      </c>
      <c r="T1932" s="14" t="s">
        <v>55</v>
      </c>
    </row>
    <row r="1933" spans="1:20" ht="16.5">
      <c r="A1933" s="17" t="s">
        <v>5409</v>
      </c>
      <c r="B1933" s="17" t="s">
        <v>650</v>
      </c>
      <c r="C1933" s="17" t="s">
        <v>204</v>
      </c>
      <c r="D1933" s="18" t="s">
        <v>6801</v>
      </c>
      <c r="E1933" s="17" t="s">
        <v>505</v>
      </c>
      <c r="F1933" s="17" t="s">
        <v>295</v>
      </c>
      <c r="G1933" s="18" t="s">
        <v>6836</v>
      </c>
      <c r="H1933" s="24" t="s">
        <v>584</v>
      </c>
      <c r="I1933" s="17" t="s">
        <v>652</v>
      </c>
      <c r="J1933" s="21">
        <v>1</v>
      </c>
      <c r="K1933" s="21" t="s">
        <v>6692</v>
      </c>
      <c r="L1933" s="21" t="s">
        <v>6976</v>
      </c>
      <c r="M1933" s="19" t="s">
        <v>6804</v>
      </c>
      <c r="N1933" s="19" t="s">
        <v>509</v>
      </c>
      <c r="O1933" s="19" t="s">
        <v>6839</v>
      </c>
      <c r="P1933" s="19" t="s">
        <v>6805</v>
      </c>
      <c r="Q1933" s="18" t="s">
        <v>286</v>
      </c>
      <c r="R1933" s="22" t="s">
        <v>88</v>
      </c>
      <c r="S1933" s="18" t="s">
        <v>2818</v>
      </c>
      <c r="T1933" s="21" t="s">
        <v>55</v>
      </c>
    </row>
    <row r="1934" spans="1:20" ht="16.5">
      <c r="A1934" s="11" t="s">
        <v>5409</v>
      </c>
      <c r="B1934" s="11" t="s">
        <v>650</v>
      </c>
      <c r="C1934" s="11" t="s">
        <v>204</v>
      </c>
      <c r="D1934" s="12" t="s">
        <v>6796</v>
      </c>
      <c r="E1934" s="11" t="s">
        <v>654</v>
      </c>
      <c r="F1934" s="11" t="s">
        <v>295</v>
      </c>
      <c r="G1934" s="12" t="s">
        <v>6836</v>
      </c>
      <c r="H1934" s="23" t="s">
        <v>584</v>
      </c>
      <c r="I1934" s="11" t="s">
        <v>652</v>
      </c>
      <c r="J1934" s="14">
        <v>1</v>
      </c>
      <c r="K1934" s="14" t="s">
        <v>6692</v>
      </c>
      <c r="L1934" s="14" t="s">
        <v>6977</v>
      </c>
      <c r="M1934" s="15" t="s">
        <v>6799</v>
      </c>
      <c r="N1934" s="15" t="s">
        <v>657</v>
      </c>
      <c r="O1934" s="15" t="s">
        <v>6839</v>
      </c>
      <c r="P1934" s="15" t="s">
        <v>6800</v>
      </c>
      <c r="Q1934" s="12" t="s">
        <v>286</v>
      </c>
      <c r="R1934" s="22" t="s">
        <v>88</v>
      </c>
      <c r="S1934" s="12" t="s">
        <v>2818</v>
      </c>
      <c r="T1934" s="14" t="s">
        <v>55</v>
      </c>
    </row>
    <row r="1935" spans="1:20" ht="16.5">
      <c r="A1935" s="17" t="s">
        <v>5409</v>
      </c>
      <c r="B1935" s="17" t="s">
        <v>695</v>
      </c>
      <c r="C1935" s="17" t="s">
        <v>295</v>
      </c>
      <c r="D1935" s="18" t="s">
        <v>6836</v>
      </c>
      <c r="E1935" s="17" t="s">
        <v>667</v>
      </c>
      <c r="F1935" s="17" t="s">
        <v>698</v>
      </c>
      <c r="G1935" s="18" t="s">
        <v>6686</v>
      </c>
      <c r="H1935" s="20" t="s">
        <v>6978</v>
      </c>
      <c r="I1935" s="17" t="s">
        <v>6688</v>
      </c>
      <c r="J1935" s="21">
        <v>1</v>
      </c>
      <c r="K1935" s="21" t="s">
        <v>6692</v>
      </c>
      <c r="L1935" s="21" t="s">
        <v>6979</v>
      </c>
      <c r="M1935" s="19" t="s">
        <v>6839</v>
      </c>
      <c r="N1935" s="19" t="s">
        <v>670</v>
      </c>
      <c r="O1935" s="19" t="s">
        <v>6690</v>
      </c>
      <c r="P1935" s="19"/>
      <c r="Q1935" s="18" t="s">
        <v>286</v>
      </c>
      <c r="R1935" s="22" t="s">
        <v>88</v>
      </c>
      <c r="S1935" s="18" t="s">
        <v>2818</v>
      </c>
      <c r="T1935" s="21" t="s">
        <v>55</v>
      </c>
    </row>
    <row r="1936" spans="1:20" ht="16.5">
      <c r="A1936" s="11" t="s">
        <v>3136</v>
      </c>
      <c r="B1936" s="11" t="s">
        <v>43</v>
      </c>
      <c r="C1936" s="11" t="s">
        <v>44</v>
      </c>
      <c r="D1936" s="12" t="s">
        <v>3136</v>
      </c>
      <c r="E1936" s="11" t="s">
        <v>45</v>
      </c>
      <c r="F1936" s="11" t="s">
        <v>44</v>
      </c>
      <c r="G1936" s="12" t="s">
        <v>3658</v>
      </c>
      <c r="H1936" s="13" t="s">
        <v>6980</v>
      </c>
      <c r="I1936" s="11" t="s">
        <v>43</v>
      </c>
      <c r="J1936" s="14">
        <v>1</v>
      </c>
      <c r="K1936" s="14" t="s">
        <v>6981</v>
      </c>
      <c r="L1936" s="14" t="s">
        <v>6982</v>
      </c>
      <c r="M1936" s="15" t="s">
        <v>3139</v>
      </c>
      <c r="N1936" s="15" t="s">
        <v>51</v>
      </c>
      <c r="O1936" s="15" t="s">
        <v>3661</v>
      </c>
      <c r="P1936" s="15"/>
      <c r="Q1936" s="12" t="s">
        <v>53</v>
      </c>
      <c r="R1936" s="16" t="s">
        <v>54</v>
      </c>
      <c r="S1936" s="15"/>
      <c r="T1936" s="14" t="s">
        <v>55</v>
      </c>
    </row>
    <row r="1937" spans="1:20" ht="16.5">
      <c r="A1937" s="17" t="s">
        <v>3136</v>
      </c>
      <c r="B1937" s="17" t="s">
        <v>43</v>
      </c>
      <c r="C1937" s="17" t="s">
        <v>44</v>
      </c>
      <c r="D1937" s="18" t="s">
        <v>3136</v>
      </c>
      <c r="E1937" s="17" t="s">
        <v>45</v>
      </c>
      <c r="F1937" s="17" t="s">
        <v>44</v>
      </c>
      <c r="G1937" s="18" t="s">
        <v>46</v>
      </c>
      <c r="H1937" s="20" t="s">
        <v>6983</v>
      </c>
      <c r="I1937" s="17" t="s">
        <v>43</v>
      </c>
      <c r="J1937" s="21">
        <v>1</v>
      </c>
      <c r="K1937" s="21" t="s">
        <v>6981</v>
      </c>
      <c r="L1937" s="21" t="s">
        <v>6984</v>
      </c>
      <c r="M1937" s="19" t="s">
        <v>3139</v>
      </c>
      <c r="N1937" s="19" t="s">
        <v>51</v>
      </c>
      <c r="O1937" s="19" t="s">
        <v>52</v>
      </c>
      <c r="P1937" s="19"/>
      <c r="Q1937" s="18" t="s">
        <v>53</v>
      </c>
      <c r="R1937" s="22" t="s">
        <v>88</v>
      </c>
      <c r="S1937" s="19"/>
      <c r="T1937" s="21" t="s">
        <v>55</v>
      </c>
    </row>
    <row r="1938" spans="1:20" ht="16.5">
      <c r="A1938" s="11" t="s">
        <v>3136</v>
      </c>
      <c r="B1938" s="11" t="s">
        <v>60</v>
      </c>
      <c r="C1938" s="11" t="s">
        <v>44</v>
      </c>
      <c r="D1938" s="12" t="s">
        <v>3136</v>
      </c>
      <c r="E1938" s="11" t="s">
        <v>61</v>
      </c>
      <c r="F1938" s="11" t="s">
        <v>62</v>
      </c>
      <c r="G1938" s="12" t="s">
        <v>6985</v>
      </c>
      <c r="H1938" s="13" t="s">
        <v>6986</v>
      </c>
      <c r="I1938" s="11" t="s">
        <v>65</v>
      </c>
      <c r="J1938" s="14">
        <v>1</v>
      </c>
      <c r="K1938" s="14" t="s">
        <v>6981</v>
      </c>
      <c r="L1938" s="14" t="s">
        <v>6987</v>
      </c>
      <c r="M1938" s="15" t="s">
        <v>3139</v>
      </c>
      <c r="N1938" s="15" t="s">
        <v>67</v>
      </c>
      <c r="O1938" s="15" t="s">
        <v>6988</v>
      </c>
      <c r="P1938" s="15"/>
      <c r="Q1938" s="12" t="s">
        <v>69</v>
      </c>
      <c r="R1938" s="16" t="s">
        <v>54</v>
      </c>
      <c r="S1938" s="12" t="s">
        <v>2818</v>
      </c>
      <c r="T1938" s="14" t="s">
        <v>55</v>
      </c>
    </row>
    <row r="1939" spans="1:20" ht="16.5">
      <c r="A1939" s="17" t="s">
        <v>3136</v>
      </c>
      <c r="B1939" s="17" t="s">
        <v>60</v>
      </c>
      <c r="C1939" s="17" t="s">
        <v>62</v>
      </c>
      <c r="D1939" s="18" t="s">
        <v>6985</v>
      </c>
      <c r="E1939" s="17" t="s">
        <v>71</v>
      </c>
      <c r="F1939" s="17" t="s">
        <v>72</v>
      </c>
      <c r="G1939" s="18" t="s">
        <v>6989</v>
      </c>
      <c r="H1939" s="20" t="s">
        <v>6990</v>
      </c>
      <c r="I1939" s="17" t="s">
        <v>65</v>
      </c>
      <c r="J1939" s="21">
        <v>1</v>
      </c>
      <c r="K1939" s="21" t="s">
        <v>6981</v>
      </c>
      <c r="L1939" s="21" t="s">
        <v>6991</v>
      </c>
      <c r="M1939" s="19" t="s">
        <v>6988</v>
      </c>
      <c r="N1939" s="19" t="s">
        <v>76</v>
      </c>
      <c r="O1939" s="19" t="s">
        <v>6992</v>
      </c>
      <c r="P1939" s="19"/>
      <c r="Q1939" s="18" t="s">
        <v>69</v>
      </c>
      <c r="R1939" s="16" t="s">
        <v>54</v>
      </c>
      <c r="S1939" s="18" t="s">
        <v>2818</v>
      </c>
      <c r="T1939" s="21" t="s">
        <v>55</v>
      </c>
    </row>
    <row r="1940" spans="1:20" ht="16.5">
      <c r="A1940" s="11" t="s">
        <v>3136</v>
      </c>
      <c r="B1940" s="11" t="s">
        <v>60</v>
      </c>
      <c r="C1940" s="11" t="s">
        <v>62</v>
      </c>
      <c r="D1940" s="12" t="s">
        <v>6985</v>
      </c>
      <c r="E1940" s="11" t="s">
        <v>71</v>
      </c>
      <c r="F1940" s="11" t="s">
        <v>72</v>
      </c>
      <c r="G1940" s="12" t="s">
        <v>6993</v>
      </c>
      <c r="H1940" s="13" t="s">
        <v>6990</v>
      </c>
      <c r="I1940" s="11" t="s">
        <v>65</v>
      </c>
      <c r="J1940" s="14">
        <v>1</v>
      </c>
      <c r="K1940" s="14" t="s">
        <v>6981</v>
      </c>
      <c r="L1940" s="14" t="s">
        <v>6994</v>
      </c>
      <c r="M1940" s="15" t="s">
        <v>6988</v>
      </c>
      <c r="N1940" s="15" t="s">
        <v>76</v>
      </c>
      <c r="O1940" s="15" t="s">
        <v>6995</v>
      </c>
      <c r="P1940" s="15"/>
      <c r="Q1940" s="12" t="s">
        <v>69</v>
      </c>
      <c r="R1940" s="16" t="s">
        <v>54</v>
      </c>
      <c r="S1940" s="12" t="s">
        <v>2818</v>
      </c>
      <c r="T1940" s="14" t="s">
        <v>55</v>
      </c>
    </row>
    <row r="1941" spans="1:20" ht="16.5">
      <c r="A1941" s="17" t="s">
        <v>3136</v>
      </c>
      <c r="B1941" s="17" t="s">
        <v>60</v>
      </c>
      <c r="C1941" s="17" t="s">
        <v>62</v>
      </c>
      <c r="D1941" s="18" t="s">
        <v>6985</v>
      </c>
      <c r="E1941" s="17" t="s">
        <v>71</v>
      </c>
      <c r="F1941" s="17" t="s">
        <v>72</v>
      </c>
      <c r="G1941" s="18" t="s">
        <v>6996</v>
      </c>
      <c r="H1941" s="20" t="s">
        <v>6990</v>
      </c>
      <c r="I1941" s="17" t="s">
        <v>65</v>
      </c>
      <c r="J1941" s="21">
        <v>1</v>
      </c>
      <c r="K1941" s="21" t="s">
        <v>6981</v>
      </c>
      <c r="L1941" s="21" t="s">
        <v>6997</v>
      </c>
      <c r="M1941" s="19" t="s">
        <v>6988</v>
      </c>
      <c r="N1941" s="19" t="s">
        <v>76</v>
      </c>
      <c r="O1941" s="19" t="s">
        <v>6998</v>
      </c>
      <c r="P1941" s="19"/>
      <c r="Q1941" s="18" t="s">
        <v>69</v>
      </c>
      <c r="R1941" s="16" t="s">
        <v>54</v>
      </c>
      <c r="S1941" s="18" t="s">
        <v>2818</v>
      </c>
      <c r="T1941" s="21" t="s">
        <v>55</v>
      </c>
    </row>
    <row r="1942" spans="1:20" ht="16.5">
      <c r="A1942" s="11" t="s">
        <v>3136</v>
      </c>
      <c r="B1942" s="11" t="s">
        <v>60</v>
      </c>
      <c r="C1942" s="11" t="s">
        <v>62</v>
      </c>
      <c r="D1942" s="12" t="s">
        <v>6985</v>
      </c>
      <c r="E1942" s="11" t="s">
        <v>81</v>
      </c>
      <c r="F1942" s="11" t="s">
        <v>82</v>
      </c>
      <c r="G1942" s="12" t="s">
        <v>6999</v>
      </c>
      <c r="H1942" s="13" t="s">
        <v>7000</v>
      </c>
      <c r="I1942" s="11" t="s">
        <v>65</v>
      </c>
      <c r="J1942" s="14">
        <v>1</v>
      </c>
      <c r="K1942" s="14" t="s">
        <v>6981</v>
      </c>
      <c r="L1942" s="14" t="s">
        <v>7001</v>
      </c>
      <c r="M1942" s="15" t="s">
        <v>6988</v>
      </c>
      <c r="N1942" s="15" t="s">
        <v>86</v>
      </c>
      <c r="O1942" s="15" t="s">
        <v>7002</v>
      </c>
      <c r="P1942" s="15"/>
      <c r="Q1942" s="12" t="s">
        <v>53</v>
      </c>
      <c r="R1942" s="22" t="s">
        <v>88</v>
      </c>
      <c r="S1942" s="12" t="s">
        <v>2818</v>
      </c>
      <c r="T1942" s="14" t="s">
        <v>55</v>
      </c>
    </row>
    <row r="1943" spans="1:20" ht="16.5">
      <c r="A1943" s="17" t="s">
        <v>3136</v>
      </c>
      <c r="B1943" s="17" t="s">
        <v>60</v>
      </c>
      <c r="C1943" s="17" t="s">
        <v>62</v>
      </c>
      <c r="D1943" s="18" t="s">
        <v>6985</v>
      </c>
      <c r="E1943" s="17" t="s">
        <v>81</v>
      </c>
      <c r="F1943" s="17" t="s">
        <v>82</v>
      </c>
      <c r="G1943" s="18" t="s">
        <v>7003</v>
      </c>
      <c r="H1943" s="20" t="s">
        <v>7004</v>
      </c>
      <c r="I1943" s="17" t="s">
        <v>65</v>
      </c>
      <c r="J1943" s="21">
        <v>1</v>
      </c>
      <c r="K1943" s="21" t="s">
        <v>6981</v>
      </c>
      <c r="L1943" s="21" t="s">
        <v>7005</v>
      </c>
      <c r="M1943" s="19" t="s">
        <v>6988</v>
      </c>
      <c r="N1943" s="19" t="s">
        <v>86</v>
      </c>
      <c r="O1943" s="19" t="s">
        <v>7006</v>
      </c>
      <c r="P1943" s="19"/>
      <c r="Q1943" s="18" t="s">
        <v>53</v>
      </c>
      <c r="R1943" s="22" t="s">
        <v>88</v>
      </c>
      <c r="S1943" s="18" t="s">
        <v>2818</v>
      </c>
      <c r="T1943" s="21" t="s">
        <v>55</v>
      </c>
    </row>
    <row r="1944" spans="1:20" ht="16.5">
      <c r="A1944" s="11" t="s">
        <v>3136</v>
      </c>
      <c r="B1944" s="11" t="s">
        <v>60</v>
      </c>
      <c r="C1944" s="11" t="s">
        <v>62</v>
      </c>
      <c r="D1944" s="12" t="s">
        <v>6985</v>
      </c>
      <c r="E1944" s="11" t="s">
        <v>81</v>
      </c>
      <c r="F1944" s="11" t="s">
        <v>82</v>
      </c>
      <c r="G1944" s="12" t="s">
        <v>7007</v>
      </c>
      <c r="H1944" s="13" t="s">
        <v>7008</v>
      </c>
      <c r="I1944" s="11" t="s">
        <v>65</v>
      </c>
      <c r="J1944" s="14">
        <v>1</v>
      </c>
      <c r="K1944" s="14" t="s">
        <v>6981</v>
      </c>
      <c r="L1944" s="14" t="s">
        <v>7009</v>
      </c>
      <c r="M1944" s="15" t="s">
        <v>6988</v>
      </c>
      <c r="N1944" s="15" t="s">
        <v>86</v>
      </c>
      <c r="O1944" s="15" t="s">
        <v>7010</v>
      </c>
      <c r="P1944" s="15"/>
      <c r="Q1944" s="12" t="s">
        <v>53</v>
      </c>
      <c r="R1944" s="22" t="s">
        <v>88</v>
      </c>
      <c r="S1944" s="12" t="s">
        <v>2818</v>
      </c>
      <c r="T1944" s="14" t="s">
        <v>55</v>
      </c>
    </row>
    <row r="1945" spans="1:20" ht="16.5">
      <c r="A1945" s="17" t="s">
        <v>3136</v>
      </c>
      <c r="B1945" s="17" t="s">
        <v>60</v>
      </c>
      <c r="C1945" s="17" t="s">
        <v>44</v>
      </c>
      <c r="D1945" s="18" t="s">
        <v>3136</v>
      </c>
      <c r="E1945" s="17" t="s">
        <v>61</v>
      </c>
      <c r="F1945" s="17" t="s">
        <v>62</v>
      </c>
      <c r="G1945" s="18" t="s">
        <v>7011</v>
      </c>
      <c r="H1945" s="20" t="s">
        <v>7012</v>
      </c>
      <c r="I1945" s="17" t="s">
        <v>65</v>
      </c>
      <c r="J1945" s="21">
        <v>1</v>
      </c>
      <c r="K1945" s="21" t="s">
        <v>6981</v>
      </c>
      <c r="L1945" s="21" t="s">
        <v>7013</v>
      </c>
      <c r="M1945" s="19" t="s">
        <v>3139</v>
      </c>
      <c r="N1945" s="19" t="s">
        <v>67</v>
      </c>
      <c r="O1945" s="19" t="s">
        <v>7014</v>
      </c>
      <c r="P1945" s="19"/>
      <c r="Q1945" s="18" t="s">
        <v>69</v>
      </c>
      <c r="R1945" s="16" t="s">
        <v>54</v>
      </c>
      <c r="S1945" s="18" t="s">
        <v>2818</v>
      </c>
      <c r="T1945" s="21" t="s">
        <v>55</v>
      </c>
    </row>
    <row r="1946" spans="1:20" ht="16.5">
      <c r="A1946" s="11" t="s">
        <v>3136</v>
      </c>
      <c r="B1946" s="11" t="s">
        <v>60</v>
      </c>
      <c r="C1946" s="11" t="s">
        <v>62</v>
      </c>
      <c r="D1946" s="12" t="s">
        <v>7011</v>
      </c>
      <c r="E1946" s="11" t="s">
        <v>71</v>
      </c>
      <c r="F1946" s="11" t="s">
        <v>72</v>
      </c>
      <c r="G1946" s="12" t="s">
        <v>7015</v>
      </c>
      <c r="H1946" s="13" t="s">
        <v>7016</v>
      </c>
      <c r="I1946" s="11" t="s">
        <v>65</v>
      </c>
      <c r="J1946" s="14">
        <v>1</v>
      </c>
      <c r="K1946" s="14" t="s">
        <v>6981</v>
      </c>
      <c r="L1946" s="14" t="s">
        <v>7017</v>
      </c>
      <c r="M1946" s="15" t="s">
        <v>7014</v>
      </c>
      <c r="N1946" s="15" t="s">
        <v>76</v>
      </c>
      <c r="O1946" s="15" t="s">
        <v>7018</v>
      </c>
      <c r="P1946" s="15"/>
      <c r="Q1946" s="12" t="s">
        <v>69</v>
      </c>
      <c r="R1946" s="16" t="s">
        <v>54</v>
      </c>
      <c r="S1946" s="12" t="s">
        <v>2818</v>
      </c>
      <c r="T1946" s="14" t="s">
        <v>55</v>
      </c>
    </row>
    <row r="1947" spans="1:20" ht="16.5">
      <c r="A1947" s="17" t="s">
        <v>3136</v>
      </c>
      <c r="B1947" s="17" t="s">
        <v>60</v>
      </c>
      <c r="C1947" s="17" t="s">
        <v>62</v>
      </c>
      <c r="D1947" s="18" t="s">
        <v>7011</v>
      </c>
      <c r="E1947" s="17" t="s">
        <v>71</v>
      </c>
      <c r="F1947" s="17" t="s">
        <v>72</v>
      </c>
      <c r="G1947" s="18" t="s">
        <v>7019</v>
      </c>
      <c r="H1947" s="20" t="s">
        <v>7016</v>
      </c>
      <c r="I1947" s="17" t="s">
        <v>65</v>
      </c>
      <c r="J1947" s="21">
        <v>1</v>
      </c>
      <c r="K1947" s="21" t="s">
        <v>6981</v>
      </c>
      <c r="L1947" s="21" t="s">
        <v>7020</v>
      </c>
      <c r="M1947" s="19" t="s">
        <v>7014</v>
      </c>
      <c r="N1947" s="19" t="s">
        <v>76</v>
      </c>
      <c r="O1947" s="19" t="s">
        <v>7021</v>
      </c>
      <c r="P1947" s="19"/>
      <c r="Q1947" s="18" t="s">
        <v>69</v>
      </c>
      <c r="R1947" s="16" t="s">
        <v>54</v>
      </c>
      <c r="S1947" s="18" t="s">
        <v>2818</v>
      </c>
      <c r="T1947" s="21" t="s">
        <v>55</v>
      </c>
    </row>
    <row r="1948" spans="1:20" ht="16.5">
      <c r="A1948" s="11" t="s">
        <v>3136</v>
      </c>
      <c r="B1948" s="11" t="s">
        <v>60</v>
      </c>
      <c r="C1948" s="11" t="s">
        <v>62</v>
      </c>
      <c r="D1948" s="12" t="s">
        <v>7011</v>
      </c>
      <c r="E1948" s="11" t="s">
        <v>81</v>
      </c>
      <c r="F1948" s="11" t="s">
        <v>82</v>
      </c>
      <c r="G1948" s="12" t="s">
        <v>7022</v>
      </c>
      <c r="H1948" s="13" t="s">
        <v>7023</v>
      </c>
      <c r="I1948" s="11" t="s">
        <v>65</v>
      </c>
      <c r="J1948" s="14">
        <v>1</v>
      </c>
      <c r="K1948" s="14" t="s">
        <v>6981</v>
      </c>
      <c r="L1948" s="14" t="s">
        <v>7024</v>
      </c>
      <c r="M1948" s="15" t="s">
        <v>7014</v>
      </c>
      <c r="N1948" s="15" t="s">
        <v>86</v>
      </c>
      <c r="O1948" s="15" t="s">
        <v>7025</v>
      </c>
      <c r="P1948" s="15"/>
      <c r="Q1948" s="12" t="s">
        <v>53</v>
      </c>
      <c r="R1948" s="22" t="s">
        <v>88</v>
      </c>
      <c r="S1948" s="12" t="s">
        <v>2818</v>
      </c>
      <c r="T1948" s="14" t="s">
        <v>55</v>
      </c>
    </row>
    <row r="1949" spans="1:20" ht="16.5">
      <c r="A1949" s="17" t="s">
        <v>3136</v>
      </c>
      <c r="B1949" s="17" t="s">
        <v>60</v>
      </c>
      <c r="C1949" s="17" t="s">
        <v>44</v>
      </c>
      <c r="D1949" s="18" t="s">
        <v>3136</v>
      </c>
      <c r="E1949" s="17" t="s">
        <v>61</v>
      </c>
      <c r="F1949" s="17" t="s">
        <v>62</v>
      </c>
      <c r="G1949" s="18" t="s">
        <v>7026</v>
      </c>
      <c r="H1949" s="20" t="s">
        <v>7027</v>
      </c>
      <c r="I1949" s="17" t="s">
        <v>65</v>
      </c>
      <c r="J1949" s="21">
        <v>1</v>
      </c>
      <c r="K1949" s="21" t="s">
        <v>6981</v>
      </c>
      <c r="L1949" s="21" t="s">
        <v>7028</v>
      </c>
      <c r="M1949" s="19" t="s">
        <v>3139</v>
      </c>
      <c r="N1949" s="19" t="s">
        <v>67</v>
      </c>
      <c r="O1949" s="19" t="s">
        <v>7029</v>
      </c>
      <c r="P1949" s="19"/>
      <c r="Q1949" s="18" t="s">
        <v>69</v>
      </c>
      <c r="R1949" s="16" t="s">
        <v>54</v>
      </c>
      <c r="S1949" s="18" t="s">
        <v>2818</v>
      </c>
      <c r="T1949" s="21" t="s">
        <v>55</v>
      </c>
    </row>
    <row r="1950" spans="1:20" ht="16.5">
      <c r="A1950" s="11" t="s">
        <v>3136</v>
      </c>
      <c r="B1950" s="11" t="s">
        <v>60</v>
      </c>
      <c r="C1950" s="11" t="s">
        <v>62</v>
      </c>
      <c r="D1950" s="12" t="s">
        <v>7026</v>
      </c>
      <c r="E1950" s="11" t="s">
        <v>71</v>
      </c>
      <c r="F1950" s="11" t="s">
        <v>72</v>
      </c>
      <c r="G1950" s="12" t="s">
        <v>7030</v>
      </c>
      <c r="H1950" s="13" t="s">
        <v>7031</v>
      </c>
      <c r="I1950" s="11" t="s">
        <v>65</v>
      </c>
      <c r="J1950" s="14">
        <v>1</v>
      </c>
      <c r="K1950" s="14" t="s">
        <v>6981</v>
      </c>
      <c r="L1950" s="14" t="s">
        <v>7032</v>
      </c>
      <c r="M1950" s="15" t="s">
        <v>7029</v>
      </c>
      <c r="N1950" s="15" t="s">
        <v>76</v>
      </c>
      <c r="O1950" s="15" t="s">
        <v>7033</v>
      </c>
      <c r="P1950" s="15"/>
      <c r="Q1950" s="12" t="s">
        <v>69</v>
      </c>
      <c r="R1950" s="16" t="s">
        <v>54</v>
      </c>
      <c r="S1950" s="12" t="s">
        <v>2818</v>
      </c>
      <c r="T1950" s="14" t="s">
        <v>55</v>
      </c>
    </row>
    <row r="1951" spans="1:20" ht="16.5">
      <c r="A1951" s="17" t="s">
        <v>3136</v>
      </c>
      <c r="B1951" s="17" t="s">
        <v>60</v>
      </c>
      <c r="C1951" s="17" t="s">
        <v>62</v>
      </c>
      <c r="D1951" s="18" t="s">
        <v>7026</v>
      </c>
      <c r="E1951" s="17" t="s">
        <v>71</v>
      </c>
      <c r="F1951" s="17" t="s">
        <v>72</v>
      </c>
      <c r="G1951" s="18" t="s">
        <v>7034</v>
      </c>
      <c r="H1951" s="20" t="s">
        <v>7031</v>
      </c>
      <c r="I1951" s="17" t="s">
        <v>65</v>
      </c>
      <c r="J1951" s="21">
        <v>1</v>
      </c>
      <c r="K1951" s="21" t="s">
        <v>6981</v>
      </c>
      <c r="L1951" s="21" t="s">
        <v>7035</v>
      </c>
      <c r="M1951" s="19" t="s">
        <v>7029</v>
      </c>
      <c r="N1951" s="19" t="s">
        <v>76</v>
      </c>
      <c r="O1951" s="19" t="s">
        <v>7036</v>
      </c>
      <c r="P1951" s="19"/>
      <c r="Q1951" s="18" t="s">
        <v>69</v>
      </c>
      <c r="R1951" s="16" t="s">
        <v>54</v>
      </c>
      <c r="S1951" s="18" t="s">
        <v>2818</v>
      </c>
      <c r="T1951" s="21" t="s">
        <v>55</v>
      </c>
    </row>
    <row r="1952" spans="1:20" ht="16.5">
      <c r="A1952" s="11" t="s">
        <v>3136</v>
      </c>
      <c r="B1952" s="11" t="s">
        <v>60</v>
      </c>
      <c r="C1952" s="11" t="s">
        <v>62</v>
      </c>
      <c r="D1952" s="12" t="s">
        <v>7026</v>
      </c>
      <c r="E1952" s="11" t="s">
        <v>81</v>
      </c>
      <c r="F1952" s="11" t="s">
        <v>82</v>
      </c>
      <c r="G1952" s="12" t="s">
        <v>7037</v>
      </c>
      <c r="H1952" s="13" t="s">
        <v>7038</v>
      </c>
      <c r="I1952" s="11" t="s">
        <v>65</v>
      </c>
      <c r="J1952" s="14">
        <v>1</v>
      </c>
      <c r="K1952" s="14" t="s">
        <v>6981</v>
      </c>
      <c r="L1952" s="14" t="s">
        <v>7039</v>
      </c>
      <c r="M1952" s="15" t="s">
        <v>7029</v>
      </c>
      <c r="N1952" s="15" t="s">
        <v>86</v>
      </c>
      <c r="O1952" s="15" t="s">
        <v>7040</v>
      </c>
      <c r="P1952" s="15"/>
      <c r="Q1952" s="12" t="s">
        <v>53</v>
      </c>
      <c r="R1952" s="22" t="s">
        <v>88</v>
      </c>
      <c r="S1952" s="12" t="s">
        <v>2818</v>
      </c>
      <c r="T1952" s="14" t="s">
        <v>55</v>
      </c>
    </row>
    <row r="1953" spans="1:20" ht="16.5">
      <c r="A1953" s="17" t="s">
        <v>3136</v>
      </c>
      <c r="B1953" s="17" t="s">
        <v>60</v>
      </c>
      <c r="C1953" s="17" t="s">
        <v>62</v>
      </c>
      <c r="D1953" s="18" t="s">
        <v>7026</v>
      </c>
      <c r="E1953" s="17" t="s">
        <v>81</v>
      </c>
      <c r="F1953" s="17" t="s">
        <v>82</v>
      </c>
      <c r="G1953" s="18" t="s">
        <v>7041</v>
      </c>
      <c r="H1953" s="20" t="s">
        <v>7042</v>
      </c>
      <c r="I1953" s="17" t="s">
        <v>65</v>
      </c>
      <c r="J1953" s="21">
        <v>1</v>
      </c>
      <c r="K1953" s="21" t="s">
        <v>6981</v>
      </c>
      <c r="L1953" s="21" t="s">
        <v>7043</v>
      </c>
      <c r="M1953" s="19" t="s">
        <v>7029</v>
      </c>
      <c r="N1953" s="19" t="s">
        <v>86</v>
      </c>
      <c r="O1953" s="19" t="s">
        <v>7044</v>
      </c>
      <c r="P1953" s="19"/>
      <c r="Q1953" s="18" t="s">
        <v>53</v>
      </c>
      <c r="R1953" s="22" t="s">
        <v>88</v>
      </c>
      <c r="S1953" s="18" t="s">
        <v>2818</v>
      </c>
      <c r="T1953" s="21" t="s">
        <v>55</v>
      </c>
    </row>
    <row r="1954" spans="1:20" ht="16.5">
      <c r="A1954" s="11" t="s">
        <v>3136</v>
      </c>
      <c r="B1954" s="11" t="s">
        <v>60</v>
      </c>
      <c r="C1954" s="11" t="s">
        <v>44</v>
      </c>
      <c r="D1954" s="12" t="s">
        <v>3136</v>
      </c>
      <c r="E1954" s="11" t="s">
        <v>61</v>
      </c>
      <c r="F1954" s="11" t="s">
        <v>62</v>
      </c>
      <c r="G1954" s="12" t="s">
        <v>7045</v>
      </c>
      <c r="H1954" s="13" t="s">
        <v>7046</v>
      </c>
      <c r="I1954" s="11" t="s">
        <v>65</v>
      </c>
      <c r="J1954" s="14">
        <v>1</v>
      </c>
      <c r="K1954" s="14" t="s">
        <v>6981</v>
      </c>
      <c r="L1954" s="14" t="s">
        <v>7047</v>
      </c>
      <c r="M1954" s="15" t="s">
        <v>3139</v>
      </c>
      <c r="N1954" s="15" t="s">
        <v>67</v>
      </c>
      <c r="O1954" s="15" t="s">
        <v>7048</v>
      </c>
      <c r="P1954" s="15"/>
      <c r="Q1954" s="12" t="s">
        <v>69</v>
      </c>
      <c r="R1954" s="16" t="s">
        <v>54</v>
      </c>
      <c r="S1954" s="12" t="s">
        <v>2818</v>
      </c>
      <c r="T1954" s="14" t="s">
        <v>55</v>
      </c>
    </row>
    <row r="1955" spans="1:20" ht="16.5">
      <c r="A1955" s="17" t="s">
        <v>3136</v>
      </c>
      <c r="B1955" s="17" t="s">
        <v>60</v>
      </c>
      <c r="C1955" s="17" t="s">
        <v>62</v>
      </c>
      <c r="D1955" s="18" t="s">
        <v>7045</v>
      </c>
      <c r="E1955" s="17" t="s">
        <v>71</v>
      </c>
      <c r="F1955" s="17" t="s">
        <v>72</v>
      </c>
      <c r="G1955" s="18" t="s">
        <v>7049</v>
      </c>
      <c r="H1955" s="20" t="s">
        <v>7050</v>
      </c>
      <c r="I1955" s="17" t="s">
        <v>65</v>
      </c>
      <c r="J1955" s="21">
        <v>1</v>
      </c>
      <c r="K1955" s="21" t="s">
        <v>6981</v>
      </c>
      <c r="L1955" s="21" t="s">
        <v>7051</v>
      </c>
      <c r="M1955" s="19" t="s">
        <v>7048</v>
      </c>
      <c r="N1955" s="19" t="s">
        <v>76</v>
      </c>
      <c r="O1955" s="19" t="s">
        <v>7052</v>
      </c>
      <c r="P1955" s="19"/>
      <c r="Q1955" s="18" t="s">
        <v>69</v>
      </c>
      <c r="R1955" s="16" t="s">
        <v>54</v>
      </c>
      <c r="S1955" s="18" t="s">
        <v>2818</v>
      </c>
      <c r="T1955" s="21" t="s">
        <v>55</v>
      </c>
    </row>
    <row r="1956" spans="1:20" ht="16.5">
      <c r="A1956" s="11" t="s">
        <v>3136</v>
      </c>
      <c r="B1956" s="11" t="s">
        <v>60</v>
      </c>
      <c r="C1956" s="11" t="s">
        <v>62</v>
      </c>
      <c r="D1956" s="12" t="s">
        <v>7045</v>
      </c>
      <c r="E1956" s="11" t="s">
        <v>71</v>
      </c>
      <c r="F1956" s="11" t="s">
        <v>72</v>
      </c>
      <c r="G1956" s="12" t="s">
        <v>7053</v>
      </c>
      <c r="H1956" s="13" t="s">
        <v>7050</v>
      </c>
      <c r="I1956" s="11" t="s">
        <v>65</v>
      </c>
      <c r="J1956" s="14">
        <v>1</v>
      </c>
      <c r="K1956" s="14" t="s">
        <v>6981</v>
      </c>
      <c r="L1956" s="14" t="s">
        <v>7054</v>
      </c>
      <c r="M1956" s="15" t="s">
        <v>7048</v>
      </c>
      <c r="N1956" s="15" t="s">
        <v>76</v>
      </c>
      <c r="O1956" s="15" t="s">
        <v>7055</v>
      </c>
      <c r="P1956" s="15"/>
      <c r="Q1956" s="12" t="s">
        <v>69</v>
      </c>
      <c r="R1956" s="16" t="s">
        <v>54</v>
      </c>
      <c r="S1956" s="12" t="s">
        <v>2818</v>
      </c>
      <c r="T1956" s="14" t="s">
        <v>55</v>
      </c>
    </row>
    <row r="1957" spans="1:20" ht="16.5">
      <c r="A1957" s="17" t="s">
        <v>3136</v>
      </c>
      <c r="B1957" s="17" t="s">
        <v>60</v>
      </c>
      <c r="C1957" s="17" t="s">
        <v>62</v>
      </c>
      <c r="D1957" s="18" t="s">
        <v>7045</v>
      </c>
      <c r="E1957" s="17" t="s">
        <v>71</v>
      </c>
      <c r="F1957" s="17" t="s">
        <v>72</v>
      </c>
      <c r="G1957" s="18" t="s">
        <v>7056</v>
      </c>
      <c r="H1957" s="20" t="s">
        <v>7050</v>
      </c>
      <c r="I1957" s="17" t="s">
        <v>65</v>
      </c>
      <c r="J1957" s="21">
        <v>1</v>
      </c>
      <c r="K1957" s="21" t="s">
        <v>6981</v>
      </c>
      <c r="L1957" s="21" t="s">
        <v>7057</v>
      </c>
      <c r="M1957" s="19" t="s">
        <v>7048</v>
      </c>
      <c r="N1957" s="19" t="s">
        <v>76</v>
      </c>
      <c r="O1957" s="19" t="s">
        <v>7058</v>
      </c>
      <c r="P1957" s="19"/>
      <c r="Q1957" s="18" t="s">
        <v>69</v>
      </c>
      <c r="R1957" s="16" t="s">
        <v>54</v>
      </c>
      <c r="S1957" s="18" t="s">
        <v>2818</v>
      </c>
      <c r="T1957" s="21" t="s">
        <v>55</v>
      </c>
    </row>
    <row r="1958" spans="1:20" ht="16.5">
      <c r="A1958" s="11" t="s">
        <v>3136</v>
      </c>
      <c r="B1958" s="11" t="s">
        <v>60</v>
      </c>
      <c r="C1958" s="11" t="s">
        <v>62</v>
      </c>
      <c r="D1958" s="12" t="s">
        <v>7045</v>
      </c>
      <c r="E1958" s="11" t="s">
        <v>71</v>
      </c>
      <c r="F1958" s="11" t="s">
        <v>72</v>
      </c>
      <c r="G1958" s="12" t="s">
        <v>7059</v>
      </c>
      <c r="H1958" s="13" t="s">
        <v>7050</v>
      </c>
      <c r="I1958" s="11" t="s">
        <v>65</v>
      </c>
      <c r="J1958" s="14">
        <v>1</v>
      </c>
      <c r="K1958" s="14" t="s">
        <v>6981</v>
      </c>
      <c r="L1958" s="14" t="s">
        <v>7060</v>
      </c>
      <c r="M1958" s="15" t="s">
        <v>7048</v>
      </c>
      <c r="N1958" s="15" t="s">
        <v>76</v>
      </c>
      <c r="O1958" s="15" t="s">
        <v>7061</v>
      </c>
      <c r="P1958" s="15"/>
      <c r="Q1958" s="12" t="s">
        <v>69</v>
      </c>
      <c r="R1958" s="16" t="s">
        <v>54</v>
      </c>
      <c r="S1958" s="12" t="s">
        <v>2818</v>
      </c>
      <c r="T1958" s="14" t="s">
        <v>55</v>
      </c>
    </row>
    <row r="1959" spans="1:20" ht="16.5">
      <c r="A1959" s="17" t="s">
        <v>3136</v>
      </c>
      <c r="B1959" s="17" t="s">
        <v>60</v>
      </c>
      <c r="C1959" s="17" t="s">
        <v>62</v>
      </c>
      <c r="D1959" s="18" t="s">
        <v>7045</v>
      </c>
      <c r="E1959" s="17" t="s">
        <v>81</v>
      </c>
      <c r="F1959" s="17" t="s">
        <v>82</v>
      </c>
      <c r="G1959" s="18" t="s">
        <v>7062</v>
      </c>
      <c r="H1959" s="20" t="s">
        <v>7063</v>
      </c>
      <c r="I1959" s="17" t="s">
        <v>65</v>
      </c>
      <c r="J1959" s="21">
        <v>1</v>
      </c>
      <c r="K1959" s="21" t="s">
        <v>6981</v>
      </c>
      <c r="L1959" s="21" t="s">
        <v>7064</v>
      </c>
      <c r="M1959" s="19" t="s">
        <v>7048</v>
      </c>
      <c r="N1959" s="19" t="s">
        <v>86</v>
      </c>
      <c r="O1959" s="19" t="s">
        <v>7065</v>
      </c>
      <c r="P1959" s="19"/>
      <c r="Q1959" s="18" t="s">
        <v>53</v>
      </c>
      <c r="R1959" s="22" t="s">
        <v>88</v>
      </c>
      <c r="S1959" s="18" t="s">
        <v>2818</v>
      </c>
      <c r="T1959" s="21" t="s">
        <v>55</v>
      </c>
    </row>
    <row r="1960" spans="1:20" ht="16.5">
      <c r="A1960" s="11" t="s">
        <v>3136</v>
      </c>
      <c r="B1960" s="11" t="s">
        <v>60</v>
      </c>
      <c r="C1960" s="11" t="s">
        <v>62</v>
      </c>
      <c r="D1960" s="12" t="s">
        <v>6985</v>
      </c>
      <c r="E1960" s="11" t="s">
        <v>203</v>
      </c>
      <c r="F1960" s="11" t="s">
        <v>204</v>
      </c>
      <c r="G1960" s="12" t="s">
        <v>7066</v>
      </c>
      <c r="H1960" s="13" t="s">
        <v>7067</v>
      </c>
      <c r="I1960" s="11" t="s">
        <v>65</v>
      </c>
      <c r="J1960" s="14">
        <v>1</v>
      </c>
      <c r="K1960" s="14" t="s">
        <v>6981</v>
      </c>
      <c r="L1960" s="14" t="s">
        <v>7068</v>
      </c>
      <c r="M1960" s="15" t="s">
        <v>6988</v>
      </c>
      <c r="N1960" s="15" t="s">
        <v>208</v>
      </c>
      <c r="O1960" s="15" t="s">
        <v>7069</v>
      </c>
      <c r="P1960" s="15" t="s">
        <v>7070</v>
      </c>
      <c r="Q1960" s="15" t="s">
        <v>211</v>
      </c>
      <c r="R1960" s="16" t="s">
        <v>54</v>
      </c>
      <c r="S1960" s="12" t="s">
        <v>2818</v>
      </c>
      <c r="T1960" s="14" t="s">
        <v>55</v>
      </c>
    </row>
    <row r="1961" spans="1:20" ht="16.5">
      <c r="A1961" s="17" t="s">
        <v>3136</v>
      </c>
      <c r="B1961" s="17" t="s">
        <v>60</v>
      </c>
      <c r="C1961" s="17" t="s">
        <v>62</v>
      </c>
      <c r="D1961" s="18" t="s">
        <v>6985</v>
      </c>
      <c r="E1961" s="17" t="s">
        <v>203</v>
      </c>
      <c r="F1961" s="17" t="s">
        <v>204</v>
      </c>
      <c r="G1961" s="18" t="s">
        <v>7071</v>
      </c>
      <c r="H1961" s="20" t="s">
        <v>7072</v>
      </c>
      <c r="I1961" s="17" t="s">
        <v>65</v>
      </c>
      <c r="J1961" s="21">
        <v>1</v>
      </c>
      <c r="K1961" s="21" t="s">
        <v>6981</v>
      </c>
      <c r="L1961" s="21" t="s">
        <v>7073</v>
      </c>
      <c r="M1961" s="19" t="s">
        <v>6988</v>
      </c>
      <c r="N1961" s="19" t="s">
        <v>208</v>
      </c>
      <c r="O1961" s="19" t="s">
        <v>7074</v>
      </c>
      <c r="P1961" s="19" t="s">
        <v>7075</v>
      </c>
      <c r="Q1961" s="19" t="s">
        <v>211</v>
      </c>
      <c r="R1961" s="16" t="s">
        <v>54</v>
      </c>
      <c r="S1961" s="18" t="s">
        <v>2818</v>
      </c>
      <c r="T1961" s="21" t="s">
        <v>55</v>
      </c>
    </row>
    <row r="1962" spans="1:20" ht="16.5">
      <c r="A1962" s="11" t="s">
        <v>3136</v>
      </c>
      <c r="B1962" s="11" t="s">
        <v>60</v>
      </c>
      <c r="C1962" s="11" t="s">
        <v>62</v>
      </c>
      <c r="D1962" s="12" t="s">
        <v>6985</v>
      </c>
      <c r="E1962" s="11" t="s">
        <v>203</v>
      </c>
      <c r="F1962" s="11" t="s">
        <v>204</v>
      </c>
      <c r="G1962" s="12" t="s">
        <v>7076</v>
      </c>
      <c r="H1962" s="13" t="s">
        <v>7077</v>
      </c>
      <c r="I1962" s="11" t="s">
        <v>65</v>
      </c>
      <c r="J1962" s="14">
        <v>1</v>
      </c>
      <c r="K1962" s="14" t="s">
        <v>6981</v>
      </c>
      <c r="L1962" s="14" t="s">
        <v>7078</v>
      </c>
      <c r="M1962" s="15" t="s">
        <v>6988</v>
      </c>
      <c r="N1962" s="15" t="s">
        <v>208</v>
      </c>
      <c r="O1962" s="15" t="s">
        <v>7079</v>
      </c>
      <c r="P1962" s="15" t="s">
        <v>7080</v>
      </c>
      <c r="Q1962" s="15" t="s">
        <v>211</v>
      </c>
      <c r="R1962" s="16" t="s">
        <v>54</v>
      </c>
      <c r="S1962" s="12" t="s">
        <v>2818</v>
      </c>
      <c r="T1962" s="14" t="s">
        <v>55</v>
      </c>
    </row>
    <row r="1963" spans="1:20" ht="16.5">
      <c r="A1963" s="17" t="s">
        <v>3136</v>
      </c>
      <c r="B1963" s="17" t="s">
        <v>60</v>
      </c>
      <c r="C1963" s="17" t="s">
        <v>62</v>
      </c>
      <c r="D1963" s="18" t="s">
        <v>7011</v>
      </c>
      <c r="E1963" s="17" t="s">
        <v>203</v>
      </c>
      <c r="F1963" s="17" t="s">
        <v>204</v>
      </c>
      <c r="G1963" s="18" t="s">
        <v>7081</v>
      </c>
      <c r="H1963" s="20" t="s">
        <v>7082</v>
      </c>
      <c r="I1963" s="17" t="s">
        <v>65</v>
      </c>
      <c r="J1963" s="21">
        <v>1</v>
      </c>
      <c r="K1963" s="21" t="s">
        <v>6981</v>
      </c>
      <c r="L1963" s="21" t="s">
        <v>7083</v>
      </c>
      <c r="M1963" s="19" t="s">
        <v>7014</v>
      </c>
      <c r="N1963" s="19" t="s">
        <v>208</v>
      </c>
      <c r="O1963" s="19" t="s">
        <v>7084</v>
      </c>
      <c r="P1963" s="19" t="s">
        <v>7085</v>
      </c>
      <c r="Q1963" s="19" t="s">
        <v>211</v>
      </c>
      <c r="R1963" s="16" t="s">
        <v>54</v>
      </c>
      <c r="S1963" s="18" t="s">
        <v>2818</v>
      </c>
      <c r="T1963" s="21" t="s">
        <v>55</v>
      </c>
    </row>
    <row r="1964" spans="1:20" ht="16.5">
      <c r="A1964" s="11" t="s">
        <v>3136</v>
      </c>
      <c r="B1964" s="11" t="s">
        <v>60</v>
      </c>
      <c r="C1964" s="11" t="s">
        <v>62</v>
      </c>
      <c r="D1964" s="12" t="s">
        <v>7011</v>
      </c>
      <c r="E1964" s="11" t="s">
        <v>203</v>
      </c>
      <c r="F1964" s="11" t="s">
        <v>204</v>
      </c>
      <c r="G1964" s="12" t="s">
        <v>7086</v>
      </c>
      <c r="H1964" s="13" t="s">
        <v>7087</v>
      </c>
      <c r="I1964" s="11" t="s">
        <v>65</v>
      </c>
      <c r="J1964" s="14">
        <v>1</v>
      </c>
      <c r="K1964" s="14" t="s">
        <v>6981</v>
      </c>
      <c r="L1964" s="14" t="s">
        <v>7088</v>
      </c>
      <c r="M1964" s="15" t="s">
        <v>7014</v>
      </c>
      <c r="N1964" s="15" t="s">
        <v>208</v>
      </c>
      <c r="O1964" s="15" t="s">
        <v>7089</v>
      </c>
      <c r="P1964" s="15" t="s">
        <v>7090</v>
      </c>
      <c r="Q1964" s="15" t="s">
        <v>211</v>
      </c>
      <c r="R1964" s="16" t="s">
        <v>54</v>
      </c>
      <c r="S1964" s="12" t="s">
        <v>2818</v>
      </c>
      <c r="T1964" s="14" t="s">
        <v>55</v>
      </c>
    </row>
    <row r="1965" spans="1:20" ht="16.5">
      <c r="A1965" s="17" t="s">
        <v>3136</v>
      </c>
      <c r="B1965" s="17" t="s">
        <v>60</v>
      </c>
      <c r="C1965" s="17" t="s">
        <v>62</v>
      </c>
      <c r="D1965" s="18" t="s">
        <v>7026</v>
      </c>
      <c r="E1965" s="17" t="s">
        <v>203</v>
      </c>
      <c r="F1965" s="17" t="s">
        <v>204</v>
      </c>
      <c r="G1965" s="18" t="s">
        <v>7091</v>
      </c>
      <c r="H1965" s="20" t="s">
        <v>7092</v>
      </c>
      <c r="I1965" s="17" t="s">
        <v>65</v>
      </c>
      <c r="J1965" s="21">
        <v>1</v>
      </c>
      <c r="K1965" s="21" t="s">
        <v>6981</v>
      </c>
      <c r="L1965" s="21" t="s">
        <v>7093</v>
      </c>
      <c r="M1965" s="19" t="s">
        <v>7029</v>
      </c>
      <c r="N1965" s="19" t="s">
        <v>208</v>
      </c>
      <c r="O1965" s="19" t="s">
        <v>7094</v>
      </c>
      <c r="P1965" s="19" t="s">
        <v>7095</v>
      </c>
      <c r="Q1965" s="19" t="s">
        <v>211</v>
      </c>
      <c r="R1965" s="16" t="s">
        <v>54</v>
      </c>
      <c r="S1965" s="18" t="s">
        <v>2818</v>
      </c>
      <c r="T1965" s="21" t="s">
        <v>55</v>
      </c>
    </row>
    <row r="1966" spans="1:20" ht="16.5">
      <c r="A1966" s="11" t="s">
        <v>3136</v>
      </c>
      <c r="B1966" s="11" t="s">
        <v>60</v>
      </c>
      <c r="C1966" s="11" t="s">
        <v>62</v>
      </c>
      <c r="D1966" s="12" t="s">
        <v>7026</v>
      </c>
      <c r="E1966" s="11" t="s">
        <v>203</v>
      </c>
      <c r="F1966" s="11" t="s">
        <v>204</v>
      </c>
      <c r="G1966" s="12" t="s">
        <v>7096</v>
      </c>
      <c r="H1966" s="13" t="s">
        <v>7097</v>
      </c>
      <c r="I1966" s="11" t="s">
        <v>65</v>
      </c>
      <c r="J1966" s="14">
        <v>1</v>
      </c>
      <c r="K1966" s="14" t="s">
        <v>6981</v>
      </c>
      <c r="L1966" s="14" t="s">
        <v>7098</v>
      </c>
      <c r="M1966" s="15" t="s">
        <v>7029</v>
      </c>
      <c r="N1966" s="15" t="s">
        <v>208</v>
      </c>
      <c r="O1966" s="15" t="s">
        <v>7099</v>
      </c>
      <c r="P1966" s="15" t="s">
        <v>7100</v>
      </c>
      <c r="Q1966" s="15" t="s">
        <v>211</v>
      </c>
      <c r="R1966" s="16" t="s">
        <v>54</v>
      </c>
      <c r="S1966" s="12" t="s">
        <v>2818</v>
      </c>
      <c r="T1966" s="14" t="s">
        <v>55</v>
      </c>
    </row>
    <row r="1967" spans="1:20" ht="16.5">
      <c r="A1967" s="17" t="s">
        <v>3136</v>
      </c>
      <c r="B1967" s="17" t="s">
        <v>60</v>
      </c>
      <c r="C1967" s="17" t="s">
        <v>62</v>
      </c>
      <c r="D1967" s="18" t="s">
        <v>7026</v>
      </c>
      <c r="E1967" s="17" t="s">
        <v>203</v>
      </c>
      <c r="F1967" s="17" t="s">
        <v>204</v>
      </c>
      <c r="G1967" s="18" t="s">
        <v>7101</v>
      </c>
      <c r="H1967" s="20" t="s">
        <v>7102</v>
      </c>
      <c r="I1967" s="17" t="s">
        <v>65</v>
      </c>
      <c r="J1967" s="21">
        <v>1</v>
      </c>
      <c r="K1967" s="21" t="s">
        <v>6981</v>
      </c>
      <c r="L1967" s="21" t="s">
        <v>7103</v>
      </c>
      <c r="M1967" s="19" t="s">
        <v>7029</v>
      </c>
      <c r="N1967" s="19" t="s">
        <v>208</v>
      </c>
      <c r="O1967" s="19" t="s">
        <v>7104</v>
      </c>
      <c r="P1967" s="19" t="s">
        <v>7105</v>
      </c>
      <c r="Q1967" s="19" t="s">
        <v>211</v>
      </c>
      <c r="R1967" s="16" t="s">
        <v>54</v>
      </c>
      <c r="S1967" s="18" t="s">
        <v>2818</v>
      </c>
      <c r="T1967" s="21" t="s">
        <v>55</v>
      </c>
    </row>
    <row r="1968" spans="1:20" ht="16.5">
      <c r="A1968" s="11" t="s">
        <v>3136</v>
      </c>
      <c r="B1968" s="11" t="s">
        <v>60</v>
      </c>
      <c r="C1968" s="11" t="s">
        <v>62</v>
      </c>
      <c r="D1968" s="12" t="s">
        <v>7045</v>
      </c>
      <c r="E1968" s="11" t="s">
        <v>203</v>
      </c>
      <c r="F1968" s="11" t="s">
        <v>204</v>
      </c>
      <c r="G1968" s="12" t="s">
        <v>7106</v>
      </c>
      <c r="H1968" s="13" t="s">
        <v>7107</v>
      </c>
      <c r="I1968" s="11" t="s">
        <v>65</v>
      </c>
      <c r="J1968" s="14">
        <v>1</v>
      </c>
      <c r="K1968" s="14" t="s">
        <v>6981</v>
      </c>
      <c r="L1968" s="14" t="s">
        <v>7108</v>
      </c>
      <c r="M1968" s="15" t="s">
        <v>7048</v>
      </c>
      <c r="N1968" s="15" t="s">
        <v>208</v>
      </c>
      <c r="O1968" s="15" t="s">
        <v>7109</v>
      </c>
      <c r="P1968" s="15" t="s">
        <v>7110</v>
      </c>
      <c r="Q1968" s="15" t="s">
        <v>211</v>
      </c>
      <c r="R1968" s="16" t="s">
        <v>54</v>
      </c>
      <c r="S1968" s="12" t="s">
        <v>2818</v>
      </c>
      <c r="T1968" s="14" t="s">
        <v>55</v>
      </c>
    </row>
    <row r="1969" spans="1:20" ht="16.5">
      <c r="A1969" s="17" t="s">
        <v>3136</v>
      </c>
      <c r="B1969" s="17" t="s">
        <v>60</v>
      </c>
      <c r="C1969" s="17" t="s">
        <v>62</v>
      </c>
      <c r="D1969" s="18" t="s">
        <v>7045</v>
      </c>
      <c r="E1969" s="17" t="s">
        <v>203</v>
      </c>
      <c r="F1969" s="17" t="s">
        <v>204</v>
      </c>
      <c r="G1969" s="18" t="s">
        <v>7111</v>
      </c>
      <c r="H1969" s="20" t="s">
        <v>7112</v>
      </c>
      <c r="I1969" s="17" t="s">
        <v>65</v>
      </c>
      <c r="J1969" s="21">
        <v>1</v>
      </c>
      <c r="K1969" s="21" t="s">
        <v>6981</v>
      </c>
      <c r="L1969" s="21" t="s">
        <v>7113</v>
      </c>
      <c r="M1969" s="19" t="s">
        <v>7048</v>
      </c>
      <c r="N1969" s="19" t="s">
        <v>208</v>
      </c>
      <c r="O1969" s="19" t="s">
        <v>7114</v>
      </c>
      <c r="P1969" s="19" t="s">
        <v>7115</v>
      </c>
      <c r="Q1969" s="19" t="s">
        <v>211</v>
      </c>
      <c r="R1969" s="16" t="s">
        <v>54</v>
      </c>
      <c r="S1969" s="18" t="s">
        <v>2818</v>
      </c>
      <c r="T1969" s="21" t="s">
        <v>55</v>
      </c>
    </row>
    <row r="1970" spans="1:20" ht="16.5">
      <c r="A1970" s="11" t="s">
        <v>3136</v>
      </c>
      <c r="B1970" s="11" t="s">
        <v>60</v>
      </c>
      <c r="C1970" s="11" t="s">
        <v>62</v>
      </c>
      <c r="D1970" s="12" t="s">
        <v>7045</v>
      </c>
      <c r="E1970" s="11" t="s">
        <v>203</v>
      </c>
      <c r="F1970" s="11" t="s">
        <v>295</v>
      </c>
      <c r="G1970" s="12" t="s">
        <v>7116</v>
      </c>
      <c r="H1970" s="13" t="s">
        <v>7117</v>
      </c>
      <c r="I1970" s="11" t="s">
        <v>65</v>
      </c>
      <c r="J1970" s="14">
        <v>1</v>
      </c>
      <c r="K1970" s="14" t="s">
        <v>6981</v>
      </c>
      <c r="L1970" s="14" t="s">
        <v>7118</v>
      </c>
      <c r="M1970" s="15" t="s">
        <v>7048</v>
      </c>
      <c r="N1970" s="15" t="s">
        <v>208</v>
      </c>
      <c r="O1970" s="15" t="s">
        <v>7119</v>
      </c>
      <c r="P1970" s="15"/>
      <c r="Q1970" s="12" t="s">
        <v>286</v>
      </c>
      <c r="R1970" s="22" t="s">
        <v>88</v>
      </c>
      <c r="S1970" s="12" t="s">
        <v>2818</v>
      </c>
      <c r="T1970" s="14" t="s">
        <v>55</v>
      </c>
    </row>
    <row r="1971" spans="1:20" ht="16.5">
      <c r="A1971" s="17" t="s">
        <v>3136</v>
      </c>
      <c r="B1971" s="17" t="s">
        <v>311</v>
      </c>
      <c r="C1971" s="17" t="s">
        <v>204</v>
      </c>
      <c r="D1971" s="18" t="s">
        <v>7066</v>
      </c>
      <c r="E1971" s="17" t="s">
        <v>312</v>
      </c>
      <c r="F1971" s="21" t="s">
        <v>313</v>
      </c>
      <c r="G1971" s="19" t="s">
        <v>7120</v>
      </c>
      <c r="H1971" s="24" t="s">
        <v>7121</v>
      </c>
      <c r="I1971" s="17" t="s">
        <v>65</v>
      </c>
      <c r="J1971" s="21">
        <v>1</v>
      </c>
      <c r="K1971" s="21" t="s">
        <v>6981</v>
      </c>
      <c r="L1971" s="21" t="s">
        <v>7122</v>
      </c>
      <c r="M1971" s="19" t="s">
        <v>7069</v>
      </c>
      <c r="N1971" s="19" t="s">
        <v>316</v>
      </c>
      <c r="O1971" s="19" t="s">
        <v>7123</v>
      </c>
      <c r="P1971" s="19" t="s">
        <v>7120</v>
      </c>
      <c r="Q1971" s="19" t="s">
        <v>211</v>
      </c>
      <c r="R1971" s="16" t="s">
        <v>54</v>
      </c>
      <c r="S1971" s="18" t="s">
        <v>2818</v>
      </c>
      <c r="T1971" s="21" t="s">
        <v>55</v>
      </c>
    </row>
    <row r="1972" spans="1:20" ht="16.5">
      <c r="A1972" s="11" t="s">
        <v>3136</v>
      </c>
      <c r="B1972" s="11" t="s">
        <v>311</v>
      </c>
      <c r="C1972" s="11" t="s">
        <v>204</v>
      </c>
      <c r="D1972" s="12" t="s">
        <v>7066</v>
      </c>
      <c r="E1972" s="11" t="s">
        <v>312</v>
      </c>
      <c r="F1972" s="14" t="s">
        <v>313</v>
      </c>
      <c r="G1972" s="15" t="s">
        <v>7124</v>
      </c>
      <c r="H1972" s="23" t="s">
        <v>7125</v>
      </c>
      <c r="I1972" s="11" t="s">
        <v>65</v>
      </c>
      <c r="J1972" s="14">
        <v>1</v>
      </c>
      <c r="K1972" s="14" t="s">
        <v>6981</v>
      </c>
      <c r="L1972" s="14" t="s">
        <v>7126</v>
      </c>
      <c r="M1972" s="15" t="s">
        <v>7069</v>
      </c>
      <c r="N1972" s="15" t="s">
        <v>316</v>
      </c>
      <c r="O1972" s="15" t="s">
        <v>7127</v>
      </c>
      <c r="P1972" s="15" t="s">
        <v>7124</v>
      </c>
      <c r="Q1972" s="15" t="s">
        <v>211</v>
      </c>
      <c r="R1972" s="16" t="s">
        <v>54</v>
      </c>
      <c r="S1972" s="12" t="s">
        <v>2818</v>
      </c>
      <c r="T1972" s="14" t="s">
        <v>55</v>
      </c>
    </row>
    <row r="1973" spans="1:20" ht="16.5">
      <c r="A1973" s="17" t="s">
        <v>3136</v>
      </c>
      <c r="B1973" s="17" t="s">
        <v>311</v>
      </c>
      <c r="C1973" s="17" t="s">
        <v>204</v>
      </c>
      <c r="D1973" s="18" t="s">
        <v>7066</v>
      </c>
      <c r="E1973" s="17" t="s">
        <v>312</v>
      </c>
      <c r="F1973" s="21" t="s">
        <v>313</v>
      </c>
      <c r="G1973" s="19" t="s">
        <v>7128</v>
      </c>
      <c r="H1973" s="24" t="s">
        <v>7129</v>
      </c>
      <c r="I1973" s="17" t="s">
        <v>65</v>
      </c>
      <c r="J1973" s="21">
        <v>1</v>
      </c>
      <c r="K1973" s="21" t="s">
        <v>6981</v>
      </c>
      <c r="L1973" s="21" t="s">
        <v>7130</v>
      </c>
      <c r="M1973" s="19" t="s">
        <v>7069</v>
      </c>
      <c r="N1973" s="19" t="s">
        <v>316</v>
      </c>
      <c r="O1973" s="19" t="s">
        <v>7131</v>
      </c>
      <c r="P1973" s="19" t="s">
        <v>7128</v>
      </c>
      <c r="Q1973" s="19" t="s">
        <v>211</v>
      </c>
      <c r="R1973" s="16" t="s">
        <v>54</v>
      </c>
      <c r="S1973" s="18" t="s">
        <v>2818</v>
      </c>
      <c r="T1973" s="21" t="s">
        <v>55</v>
      </c>
    </row>
    <row r="1974" spans="1:20" ht="16.5">
      <c r="A1974" s="11" t="s">
        <v>3136</v>
      </c>
      <c r="B1974" s="11" t="s">
        <v>311</v>
      </c>
      <c r="C1974" s="11" t="s">
        <v>204</v>
      </c>
      <c r="D1974" s="12" t="s">
        <v>7071</v>
      </c>
      <c r="E1974" s="11" t="s">
        <v>312</v>
      </c>
      <c r="F1974" s="14" t="s">
        <v>313</v>
      </c>
      <c r="G1974" s="15" t="s">
        <v>7132</v>
      </c>
      <c r="H1974" s="23" t="s">
        <v>7133</v>
      </c>
      <c r="I1974" s="11" t="s">
        <v>65</v>
      </c>
      <c r="J1974" s="14">
        <v>1</v>
      </c>
      <c r="K1974" s="14" t="s">
        <v>6981</v>
      </c>
      <c r="L1974" s="14" t="s">
        <v>7134</v>
      </c>
      <c r="M1974" s="15" t="s">
        <v>7074</v>
      </c>
      <c r="N1974" s="15" t="s">
        <v>316</v>
      </c>
      <c r="O1974" s="15" t="s">
        <v>7135</v>
      </c>
      <c r="P1974" s="15" t="s">
        <v>7132</v>
      </c>
      <c r="Q1974" s="15" t="s">
        <v>211</v>
      </c>
      <c r="R1974" s="16" t="s">
        <v>54</v>
      </c>
      <c r="S1974" s="12" t="s">
        <v>2818</v>
      </c>
      <c r="T1974" s="14" t="s">
        <v>55</v>
      </c>
    </row>
    <row r="1975" spans="1:20" ht="16.5">
      <c r="A1975" s="17" t="s">
        <v>3136</v>
      </c>
      <c r="B1975" s="17" t="s">
        <v>311</v>
      </c>
      <c r="C1975" s="17" t="s">
        <v>204</v>
      </c>
      <c r="D1975" s="18" t="s">
        <v>7071</v>
      </c>
      <c r="E1975" s="17" t="s">
        <v>312</v>
      </c>
      <c r="F1975" s="21" t="s">
        <v>313</v>
      </c>
      <c r="G1975" s="19" t="s">
        <v>7136</v>
      </c>
      <c r="H1975" s="24" t="s">
        <v>7137</v>
      </c>
      <c r="I1975" s="17" t="s">
        <v>65</v>
      </c>
      <c r="J1975" s="21">
        <v>1</v>
      </c>
      <c r="K1975" s="21" t="s">
        <v>6981</v>
      </c>
      <c r="L1975" s="21" t="s">
        <v>7138</v>
      </c>
      <c r="M1975" s="19" t="s">
        <v>7074</v>
      </c>
      <c r="N1975" s="19" t="s">
        <v>316</v>
      </c>
      <c r="O1975" s="19" t="s">
        <v>7139</v>
      </c>
      <c r="P1975" s="19" t="s">
        <v>7136</v>
      </c>
      <c r="Q1975" s="19" t="s">
        <v>211</v>
      </c>
      <c r="R1975" s="16" t="s">
        <v>54</v>
      </c>
      <c r="S1975" s="18" t="s">
        <v>2818</v>
      </c>
      <c r="T1975" s="21" t="s">
        <v>55</v>
      </c>
    </row>
    <row r="1976" spans="1:20" ht="16.5">
      <c r="A1976" s="11" t="s">
        <v>3136</v>
      </c>
      <c r="B1976" s="11" t="s">
        <v>311</v>
      </c>
      <c r="C1976" s="11" t="s">
        <v>204</v>
      </c>
      <c r="D1976" s="12" t="s">
        <v>7071</v>
      </c>
      <c r="E1976" s="11" t="s">
        <v>312</v>
      </c>
      <c r="F1976" s="14" t="s">
        <v>313</v>
      </c>
      <c r="G1976" s="15" t="s">
        <v>7140</v>
      </c>
      <c r="H1976" s="23" t="s">
        <v>7141</v>
      </c>
      <c r="I1976" s="11" t="s">
        <v>65</v>
      </c>
      <c r="J1976" s="14">
        <v>1</v>
      </c>
      <c r="K1976" s="14" t="s">
        <v>6981</v>
      </c>
      <c r="L1976" s="14" t="s">
        <v>7142</v>
      </c>
      <c r="M1976" s="15" t="s">
        <v>7074</v>
      </c>
      <c r="N1976" s="15" t="s">
        <v>316</v>
      </c>
      <c r="O1976" s="15" t="s">
        <v>7143</v>
      </c>
      <c r="P1976" s="15" t="s">
        <v>7140</v>
      </c>
      <c r="Q1976" s="15" t="s">
        <v>211</v>
      </c>
      <c r="R1976" s="16" t="s">
        <v>54</v>
      </c>
      <c r="S1976" s="12" t="s">
        <v>2818</v>
      </c>
      <c r="T1976" s="14" t="s">
        <v>55</v>
      </c>
    </row>
    <row r="1977" spans="1:20" ht="16.5">
      <c r="A1977" s="17" t="s">
        <v>3136</v>
      </c>
      <c r="B1977" s="17" t="s">
        <v>311</v>
      </c>
      <c r="C1977" s="17" t="s">
        <v>204</v>
      </c>
      <c r="D1977" s="18" t="s">
        <v>7076</v>
      </c>
      <c r="E1977" s="17" t="s">
        <v>312</v>
      </c>
      <c r="F1977" s="21" t="s">
        <v>313</v>
      </c>
      <c r="G1977" s="19" t="s">
        <v>7144</v>
      </c>
      <c r="H1977" s="24" t="s">
        <v>7145</v>
      </c>
      <c r="I1977" s="17" t="s">
        <v>65</v>
      </c>
      <c r="J1977" s="21">
        <v>1</v>
      </c>
      <c r="K1977" s="21" t="s">
        <v>6981</v>
      </c>
      <c r="L1977" s="21" t="s">
        <v>7146</v>
      </c>
      <c r="M1977" s="19" t="s">
        <v>7079</v>
      </c>
      <c r="N1977" s="19" t="s">
        <v>316</v>
      </c>
      <c r="O1977" s="19" t="s">
        <v>7147</v>
      </c>
      <c r="P1977" s="19" t="s">
        <v>7144</v>
      </c>
      <c r="Q1977" s="19" t="s">
        <v>211</v>
      </c>
      <c r="R1977" s="16" t="s">
        <v>54</v>
      </c>
      <c r="S1977" s="18" t="s">
        <v>2818</v>
      </c>
      <c r="T1977" s="21" t="s">
        <v>55</v>
      </c>
    </row>
    <row r="1978" spans="1:20" ht="16.5">
      <c r="A1978" s="11" t="s">
        <v>3136</v>
      </c>
      <c r="B1978" s="11" t="s">
        <v>311</v>
      </c>
      <c r="C1978" s="11" t="s">
        <v>204</v>
      </c>
      <c r="D1978" s="12" t="s">
        <v>7076</v>
      </c>
      <c r="E1978" s="11" t="s">
        <v>312</v>
      </c>
      <c r="F1978" s="14" t="s">
        <v>313</v>
      </c>
      <c r="G1978" s="15" t="s">
        <v>7148</v>
      </c>
      <c r="H1978" s="23" t="s">
        <v>7149</v>
      </c>
      <c r="I1978" s="11" t="s">
        <v>65</v>
      </c>
      <c r="J1978" s="14">
        <v>1</v>
      </c>
      <c r="K1978" s="14" t="s">
        <v>6981</v>
      </c>
      <c r="L1978" s="14" t="s">
        <v>7150</v>
      </c>
      <c r="M1978" s="15" t="s">
        <v>7079</v>
      </c>
      <c r="N1978" s="15" t="s">
        <v>316</v>
      </c>
      <c r="O1978" s="15" t="s">
        <v>7151</v>
      </c>
      <c r="P1978" s="15" t="s">
        <v>7148</v>
      </c>
      <c r="Q1978" s="15" t="s">
        <v>211</v>
      </c>
      <c r="R1978" s="16" t="s">
        <v>54</v>
      </c>
      <c r="S1978" s="12" t="s">
        <v>2818</v>
      </c>
      <c r="T1978" s="14" t="s">
        <v>55</v>
      </c>
    </row>
    <row r="1979" spans="1:20" ht="16.5">
      <c r="A1979" s="17" t="s">
        <v>3136</v>
      </c>
      <c r="B1979" s="17" t="s">
        <v>311</v>
      </c>
      <c r="C1979" s="17" t="s">
        <v>204</v>
      </c>
      <c r="D1979" s="18" t="s">
        <v>7076</v>
      </c>
      <c r="E1979" s="17" t="s">
        <v>312</v>
      </c>
      <c r="F1979" s="21" t="s">
        <v>313</v>
      </c>
      <c r="G1979" s="19" t="s">
        <v>7152</v>
      </c>
      <c r="H1979" s="24" t="s">
        <v>7153</v>
      </c>
      <c r="I1979" s="17" t="s">
        <v>65</v>
      </c>
      <c r="J1979" s="21">
        <v>1</v>
      </c>
      <c r="K1979" s="21" t="s">
        <v>6981</v>
      </c>
      <c r="L1979" s="21" t="s">
        <v>7154</v>
      </c>
      <c r="M1979" s="19" t="s">
        <v>7079</v>
      </c>
      <c r="N1979" s="19" t="s">
        <v>316</v>
      </c>
      <c r="O1979" s="19" t="s">
        <v>7155</v>
      </c>
      <c r="P1979" s="19" t="s">
        <v>7152</v>
      </c>
      <c r="Q1979" s="19" t="s">
        <v>211</v>
      </c>
      <c r="R1979" s="16" t="s">
        <v>54</v>
      </c>
      <c r="S1979" s="18" t="s">
        <v>2818</v>
      </c>
      <c r="T1979" s="21" t="s">
        <v>55</v>
      </c>
    </row>
    <row r="1980" spans="1:20" ht="16.5">
      <c r="A1980" s="11" t="s">
        <v>3136</v>
      </c>
      <c r="B1980" s="11" t="s">
        <v>311</v>
      </c>
      <c r="C1980" s="11" t="s">
        <v>204</v>
      </c>
      <c r="D1980" s="12" t="s">
        <v>7081</v>
      </c>
      <c r="E1980" s="11" t="s">
        <v>312</v>
      </c>
      <c r="F1980" s="14" t="s">
        <v>313</v>
      </c>
      <c r="G1980" s="15" t="s">
        <v>7156</v>
      </c>
      <c r="H1980" s="23" t="s">
        <v>7157</v>
      </c>
      <c r="I1980" s="11" t="s">
        <v>65</v>
      </c>
      <c r="J1980" s="14">
        <v>1</v>
      </c>
      <c r="K1980" s="14" t="s">
        <v>6981</v>
      </c>
      <c r="L1980" s="14" t="s">
        <v>7158</v>
      </c>
      <c r="M1980" s="15" t="s">
        <v>7084</v>
      </c>
      <c r="N1980" s="15" t="s">
        <v>316</v>
      </c>
      <c r="O1980" s="15" t="s">
        <v>7159</v>
      </c>
      <c r="P1980" s="15" t="s">
        <v>7156</v>
      </c>
      <c r="Q1980" s="15" t="s">
        <v>211</v>
      </c>
      <c r="R1980" s="16" t="s">
        <v>54</v>
      </c>
      <c r="S1980" s="12" t="s">
        <v>2818</v>
      </c>
      <c r="T1980" s="14" t="s">
        <v>55</v>
      </c>
    </row>
    <row r="1981" spans="1:20" ht="16.5">
      <c r="A1981" s="17" t="s">
        <v>3136</v>
      </c>
      <c r="B1981" s="17" t="s">
        <v>311</v>
      </c>
      <c r="C1981" s="17" t="s">
        <v>204</v>
      </c>
      <c r="D1981" s="18" t="s">
        <v>7081</v>
      </c>
      <c r="E1981" s="17" t="s">
        <v>312</v>
      </c>
      <c r="F1981" s="21" t="s">
        <v>313</v>
      </c>
      <c r="G1981" s="19" t="s">
        <v>7160</v>
      </c>
      <c r="H1981" s="24" t="s">
        <v>7161</v>
      </c>
      <c r="I1981" s="17" t="s">
        <v>65</v>
      </c>
      <c r="J1981" s="21">
        <v>1</v>
      </c>
      <c r="K1981" s="21" t="s">
        <v>6981</v>
      </c>
      <c r="L1981" s="21" t="s">
        <v>7162</v>
      </c>
      <c r="M1981" s="19" t="s">
        <v>7084</v>
      </c>
      <c r="N1981" s="19" t="s">
        <v>316</v>
      </c>
      <c r="O1981" s="19" t="s">
        <v>7163</v>
      </c>
      <c r="P1981" s="19" t="s">
        <v>7160</v>
      </c>
      <c r="Q1981" s="19" t="s">
        <v>211</v>
      </c>
      <c r="R1981" s="16" t="s">
        <v>54</v>
      </c>
      <c r="S1981" s="18" t="s">
        <v>2818</v>
      </c>
      <c r="T1981" s="21" t="s">
        <v>55</v>
      </c>
    </row>
    <row r="1982" spans="1:20" ht="16.5">
      <c r="A1982" s="11" t="s">
        <v>3136</v>
      </c>
      <c r="B1982" s="11" t="s">
        <v>311</v>
      </c>
      <c r="C1982" s="11" t="s">
        <v>204</v>
      </c>
      <c r="D1982" s="12" t="s">
        <v>7086</v>
      </c>
      <c r="E1982" s="11" t="s">
        <v>312</v>
      </c>
      <c r="F1982" s="14" t="s">
        <v>313</v>
      </c>
      <c r="G1982" s="15" t="s">
        <v>7164</v>
      </c>
      <c r="H1982" s="23" t="s">
        <v>7165</v>
      </c>
      <c r="I1982" s="11" t="s">
        <v>65</v>
      </c>
      <c r="J1982" s="14">
        <v>1</v>
      </c>
      <c r="K1982" s="14" t="s">
        <v>6981</v>
      </c>
      <c r="L1982" s="14" t="s">
        <v>7166</v>
      </c>
      <c r="M1982" s="15" t="s">
        <v>7089</v>
      </c>
      <c r="N1982" s="15" t="s">
        <v>316</v>
      </c>
      <c r="O1982" s="15" t="s">
        <v>7167</v>
      </c>
      <c r="P1982" s="15" t="s">
        <v>7164</v>
      </c>
      <c r="Q1982" s="15" t="s">
        <v>211</v>
      </c>
      <c r="R1982" s="16" t="s">
        <v>54</v>
      </c>
      <c r="S1982" s="12" t="s">
        <v>2818</v>
      </c>
      <c r="T1982" s="14" t="s">
        <v>55</v>
      </c>
    </row>
    <row r="1983" spans="1:20" ht="16.5">
      <c r="A1983" s="17" t="s">
        <v>3136</v>
      </c>
      <c r="B1983" s="17" t="s">
        <v>311</v>
      </c>
      <c r="C1983" s="17" t="s">
        <v>204</v>
      </c>
      <c r="D1983" s="18" t="s">
        <v>7086</v>
      </c>
      <c r="E1983" s="17" t="s">
        <v>312</v>
      </c>
      <c r="F1983" s="21" t="s">
        <v>313</v>
      </c>
      <c r="G1983" s="19" t="s">
        <v>7168</v>
      </c>
      <c r="H1983" s="24" t="s">
        <v>7169</v>
      </c>
      <c r="I1983" s="17" t="s">
        <v>65</v>
      </c>
      <c r="J1983" s="21">
        <v>1</v>
      </c>
      <c r="K1983" s="21" t="s">
        <v>6981</v>
      </c>
      <c r="L1983" s="21" t="s">
        <v>7170</v>
      </c>
      <c r="M1983" s="19" t="s">
        <v>7089</v>
      </c>
      <c r="N1983" s="19" t="s">
        <v>316</v>
      </c>
      <c r="O1983" s="19" t="s">
        <v>7171</v>
      </c>
      <c r="P1983" s="19" t="s">
        <v>7168</v>
      </c>
      <c r="Q1983" s="19" t="s">
        <v>211</v>
      </c>
      <c r="R1983" s="16" t="s">
        <v>54</v>
      </c>
      <c r="S1983" s="18" t="s">
        <v>2818</v>
      </c>
      <c r="T1983" s="21" t="s">
        <v>55</v>
      </c>
    </row>
    <row r="1984" spans="1:20" ht="16.5">
      <c r="A1984" s="11" t="s">
        <v>3136</v>
      </c>
      <c r="B1984" s="11" t="s">
        <v>311</v>
      </c>
      <c r="C1984" s="11" t="s">
        <v>204</v>
      </c>
      <c r="D1984" s="12" t="s">
        <v>7091</v>
      </c>
      <c r="E1984" s="11" t="s">
        <v>312</v>
      </c>
      <c r="F1984" s="14" t="s">
        <v>313</v>
      </c>
      <c r="G1984" s="15" t="s">
        <v>7095</v>
      </c>
      <c r="H1984" s="23" t="s">
        <v>7172</v>
      </c>
      <c r="I1984" s="11" t="s">
        <v>65</v>
      </c>
      <c r="J1984" s="14">
        <v>1</v>
      </c>
      <c r="K1984" s="14" t="s">
        <v>6981</v>
      </c>
      <c r="L1984" s="14" t="s">
        <v>7173</v>
      </c>
      <c r="M1984" s="15" t="s">
        <v>7094</v>
      </c>
      <c r="N1984" s="15" t="s">
        <v>316</v>
      </c>
      <c r="O1984" s="15" t="s">
        <v>7174</v>
      </c>
      <c r="P1984" s="15" t="s">
        <v>7095</v>
      </c>
      <c r="Q1984" s="15" t="s">
        <v>211</v>
      </c>
      <c r="R1984" s="16" t="s">
        <v>54</v>
      </c>
      <c r="S1984" s="12" t="s">
        <v>2818</v>
      </c>
      <c r="T1984" s="14" t="s">
        <v>55</v>
      </c>
    </row>
    <row r="1985" spans="1:20" ht="16.5">
      <c r="A1985" s="17" t="s">
        <v>3136</v>
      </c>
      <c r="B1985" s="17" t="s">
        <v>311</v>
      </c>
      <c r="C1985" s="17" t="s">
        <v>204</v>
      </c>
      <c r="D1985" s="18" t="s">
        <v>7096</v>
      </c>
      <c r="E1985" s="17" t="s">
        <v>312</v>
      </c>
      <c r="F1985" s="21" t="s">
        <v>313</v>
      </c>
      <c r="G1985" s="19" t="s">
        <v>7100</v>
      </c>
      <c r="H1985" s="24" t="s">
        <v>7175</v>
      </c>
      <c r="I1985" s="17" t="s">
        <v>65</v>
      </c>
      <c r="J1985" s="21">
        <v>1</v>
      </c>
      <c r="K1985" s="21" t="s">
        <v>6981</v>
      </c>
      <c r="L1985" s="21" t="s">
        <v>7176</v>
      </c>
      <c r="M1985" s="19" t="s">
        <v>7099</v>
      </c>
      <c r="N1985" s="19" t="s">
        <v>316</v>
      </c>
      <c r="O1985" s="19" t="s">
        <v>7177</v>
      </c>
      <c r="P1985" s="19" t="s">
        <v>7100</v>
      </c>
      <c r="Q1985" s="19" t="s">
        <v>211</v>
      </c>
      <c r="R1985" s="16" t="s">
        <v>54</v>
      </c>
      <c r="S1985" s="18" t="s">
        <v>2818</v>
      </c>
      <c r="T1985" s="21" t="s">
        <v>55</v>
      </c>
    </row>
    <row r="1986" spans="1:20" ht="16.5">
      <c r="A1986" s="11" t="s">
        <v>3136</v>
      </c>
      <c r="B1986" s="11" t="s">
        <v>311</v>
      </c>
      <c r="C1986" s="11" t="s">
        <v>204</v>
      </c>
      <c r="D1986" s="12" t="s">
        <v>7101</v>
      </c>
      <c r="E1986" s="11" t="s">
        <v>312</v>
      </c>
      <c r="F1986" s="14" t="s">
        <v>313</v>
      </c>
      <c r="G1986" s="15" t="s">
        <v>7105</v>
      </c>
      <c r="H1986" s="23" t="s">
        <v>7178</v>
      </c>
      <c r="I1986" s="11" t="s">
        <v>65</v>
      </c>
      <c r="J1986" s="14">
        <v>1</v>
      </c>
      <c r="K1986" s="14" t="s">
        <v>6981</v>
      </c>
      <c r="L1986" s="14" t="s">
        <v>7179</v>
      </c>
      <c r="M1986" s="15" t="s">
        <v>7104</v>
      </c>
      <c r="N1986" s="15" t="s">
        <v>316</v>
      </c>
      <c r="O1986" s="15" t="s">
        <v>7180</v>
      </c>
      <c r="P1986" s="15" t="s">
        <v>7105</v>
      </c>
      <c r="Q1986" s="15" t="s">
        <v>211</v>
      </c>
      <c r="R1986" s="16" t="s">
        <v>54</v>
      </c>
      <c r="S1986" s="12" t="s">
        <v>2818</v>
      </c>
      <c r="T1986" s="14" t="s">
        <v>55</v>
      </c>
    </row>
    <row r="1987" spans="1:20" ht="16.5">
      <c r="A1987" s="17" t="s">
        <v>3136</v>
      </c>
      <c r="B1987" s="17" t="s">
        <v>311</v>
      </c>
      <c r="C1987" s="17" t="s">
        <v>204</v>
      </c>
      <c r="D1987" s="18" t="s">
        <v>7106</v>
      </c>
      <c r="E1987" s="17" t="s">
        <v>312</v>
      </c>
      <c r="F1987" s="21" t="s">
        <v>313</v>
      </c>
      <c r="G1987" s="19" t="s">
        <v>7110</v>
      </c>
      <c r="H1987" s="24" t="s">
        <v>7181</v>
      </c>
      <c r="I1987" s="17" t="s">
        <v>65</v>
      </c>
      <c r="J1987" s="21">
        <v>1</v>
      </c>
      <c r="K1987" s="21" t="s">
        <v>6981</v>
      </c>
      <c r="L1987" s="21" t="s">
        <v>7182</v>
      </c>
      <c r="M1987" s="19" t="s">
        <v>7109</v>
      </c>
      <c r="N1987" s="19" t="s">
        <v>316</v>
      </c>
      <c r="O1987" s="19" t="s">
        <v>7183</v>
      </c>
      <c r="P1987" s="19" t="s">
        <v>7110</v>
      </c>
      <c r="Q1987" s="19" t="s">
        <v>211</v>
      </c>
      <c r="R1987" s="16" t="s">
        <v>54</v>
      </c>
      <c r="S1987" s="18" t="s">
        <v>2818</v>
      </c>
      <c r="T1987" s="21" t="s">
        <v>55</v>
      </c>
    </row>
    <row r="1988" spans="1:20" ht="16.5">
      <c r="A1988" s="11" t="s">
        <v>3136</v>
      </c>
      <c r="B1988" s="11" t="s">
        <v>311</v>
      </c>
      <c r="C1988" s="11" t="s">
        <v>204</v>
      </c>
      <c r="D1988" s="12" t="s">
        <v>7111</v>
      </c>
      <c r="E1988" s="11" t="s">
        <v>312</v>
      </c>
      <c r="F1988" s="14" t="s">
        <v>313</v>
      </c>
      <c r="G1988" s="15" t="s">
        <v>7115</v>
      </c>
      <c r="H1988" s="23" t="s">
        <v>7184</v>
      </c>
      <c r="I1988" s="11" t="s">
        <v>65</v>
      </c>
      <c r="J1988" s="14">
        <v>1</v>
      </c>
      <c r="K1988" s="14" t="s">
        <v>6981</v>
      </c>
      <c r="L1988" s="14" t="s">
        <v>7185</v>
      </c>
      <c r="M1988" s="15" t="s">
        <v>7114</v>
      </c>
      <c r="N1988" s="15" t="s">
        <v>316</v>
      </c>
      <c r="O1988" s="15" t="s">
        <v>7186</v>
      </c>
      <c r="P1988" s="15" t="s">
        <v>7115</v>
      </c>
      <c r="Q1988" s="15" t="s">
        <v>211</v>
      </c>
      <c r="R1988" s="16" t="s">
        <v>54</v>
      </c>
      <c r="S1988" s="12" t="s">
        <v>2818</v>
      </c>
      <c r="T1988" s="14" t="s">
        <v>55</v>
      </c>
    </row>
    <row r="1989" spans="1:20" ht="16.5">
      <c r="A1989" s="17" t="s">
        <v>3136</v>
      </c>
      <c r="B1989" s="17" t="s">
        <v>487</v>
      </c>
      <c r="C1989" s="17" t="s">
        <v>488</v>
      </c>
      <c r="D1989" s="18" t="s">
        <v>7187</v>
      </c>
      <c r="E1989" s="17" t="s">
        <v>490</v>
      </c>
      <c r="F1989" s="17" t="s">
        <v>491</v>
      </c>
      <c r="G1989" s="18" t="s">
        <v>7188</v>
      </c>
      <c r="H1989" s="24" t="s">
        <v>584</v>
      </c>
      <c r="I1989" s="17" t="s">
        <v>494</v>
      </c>
      <c r="J1989" s="21">
        <v>1</v>
      </c>
      <c r="K1989" s="21" t="s">
        <v>6981</v>
      </c>
      <c r="L1989" s="21" t="s">
        <v>7189</v>
      </c>
      <c r="M1989" s="19" t="s">
        <v>7190</v>
      </c>
      <c r="N1989" s="19" t="s">
        <v>497</v>
      </c>
      <c r="O1989" s="19" t="s">
        <v>7191</v>
      </c>
      <c r="P1989" s="19" t="s">
        <v>7192</v>
      </c>
      <c r="Q1989" s="19" t="s">
        <v>500</v>
      </c>
      <c r="R1989" s="16" t="s">
        <v>54</v>
      </c>
      <c r="S1989" s="18" t="s">
        <v>2818</v>
      </c>
      <c r="T1989" s="21" t="s">
        <v>55</v>
      </c>
    </row>
    <row r="1990" spans="1:20" ht="16.5">
      <c r="A1990" s="11" t="s">
        <v>3136</v>
      </c>
      <c r="B1990" s="11" t="s">
        <v>487</v>
      </c>
      <c r="C1990" s="11" t="s">
        <v>204</v>
      </c>
      <c r="D1990" s="12" t="s">
        <v>7066</v>
      </c>
      <c r="E1990" s="11" t="s">
        <v>501</v>
      </c>
      <c r="F1990" s="11" t="s">
        <v>488</v>
      </c>
      <c r="G1990" s="12" t="s">
        <v>7187</v>
      </c>
      <c r="H1990" s="13" t="s">
        <v>7193</v>
      </c>
      <c r="I1990" s="11" t="s">
        <v>494</v>
      </c>
      <c r="J1990" s="14">
        <v>1</v>
      </c>
      <c r="K1990" s="14" t="s">
        <v>6981</v>
      </c>
      <c r="L1990" s="14" t="s">
        <v>7194</v>
      </c>
      <c r="M1990" s="15" t="s">
        <v>7069</v>
      </c>
      <c r="N1990" s="15" t="s">
        <v>504</v>
      </c>
      <c r="O1990" s="15" t="s">
        <v>7190</v>
      </c>
      <c r="P1990" s="15"/>
      <c r="Q1990" s="15" t="s">
        <v>211</v>
      </c>
      <c r="R1990" s="16" t="s">
        <v>54</v>
      </c>
      <c r="S1990" s="12" t="s">
        <v>2818</v>
      </c>
      <c r="T1990" s="14" t="s">
        <v>55</v>
      </c>
    </row>
    <row r="1991" spans="1:20" ht="16.5">
      <c r="A1991" s="17" t="s">
        <v>3136</v>
      </c>
      <c r="B1991" s="17" t="s">
        <v>487</v>
      </c>
      <c r="C1991" s="17" t="s">
        <v>491</v>
      </c>
      <c r="D1991" s="18" t="s">
        <v>7188</v>
      </c>
      <c r="E1991" s="17" t="s">
        <v>505</v>
      </c>
      <c r="F1991" s="17" t="s">
        <v>204</v>
      </c>
      <c r="G1991" s="18" t="s">
        <v>7066</v>
      </c>
      <c r="H1991" s="20" t="s">
        <v>7195</v>
      </c>
      <c r="I1991" s="17" t="s">
        <v>507</v>
      </c>
      <c r="J1991" s="21">
        <v>1</v>
      </c>
      <c r="K1991" s="21" t="s">
        <v>6981</v>
      </c>
      <c r="L1991" s="21" t="s">
        <v>7196</v>
      </c>
      <c r="M1991" s="19" t="s">
        <v>7191</v>
      </c>
      <c r="N1991" s="19" t="s">
        <v>509</v>
      </c>
      <c r="O1991" s="19" t="s">
        <v>7069</v>
      </c>
      <c r="P1991" s="19" t="s">
        <v>7192</v>
      </c>
      <c r="Q1991" s="18" t="s">
        <v>286</v>
      </c>
      <c r="R1991" s="22" t="s">
        <v>88</v>
      </c>
      <c r="S1991" s="18" t="s">
        <v>2818</v>
      </c>
      <c r="T1991" s="21" t="s">
        <v>55</v>
      </c>
    </row>
    <row r="1992" spans="1:20" ht="16.5">
      <c r="A1992" s="11" t="s">
        <v>3136</v>
      </c>
      <c r="B1992" s="11" t="s">
        <v>487</v>
      </c>
      <c r="C1992" s="11" t="s">
        <v>488</v>
      </c>
      <c r="D1992" s="12" t="s">
        <v>7197</v>
      </c>
      <c r="E1992" s="11" t="s">
        <v>490</v>
      </c>
      <c r="F1992" s="11" t="s">
        <v>491</v>
      </c>
      <c r="G1992" s="12" t="s">
        <v>7198</v>
      </c>
      <c r="H1992" s="23" t="s">
        <v>584</v>
      </c>
      <c r="I1992" s="11" t="s">
        <v>494</v>
      </c>
      <c r="J1992" s="14">
        <v>1</v>
      </c>
      <c r="K1992" s="14" t="s">
        <v>6981</v>
      </c>
      <c r="L1992" s="14" t="s">
        <v>7199</v>
      </c>
      <c r="M1992" s="15" t="s">
        <v>7200</v>
      </c>
      <c r="N1992" s="15" t="s">
        <v>497</v>
      </c>
      <c r="O1992" s="15" t="s">
        <v>7201</v>
      </c>
      <c r="P1992" s="15" t="s">
        <v>7202</v>
      </c>
      <c r="Q1992" s="15" t="s">
        <v>500</v>
      </c>
      <c r="R1992" s="16" t="s">
        <v>54</v>
      </c>
      <c r="S1992" s="12" t="s">
        <v>2818</v>
      </c>
      <c r="T1992" s="14" t="s">
        <v>55</v>
      </c>
    </row>
    <row r="1993" spans="1:20" ht="16.5">
      <c r="A1993" s="17" t="s">
        <v>3136</v>
      </c>
      <c r="B1993" s="17" t="s">
        <v>487</v>
      </c>
      <c r="C1993" s="17" t="s">
        <v>204</v>
      </c>
      <c r="D1993" s="18" t="s">
        <v>7076</v>
      </c>
      <c r="E1993" s="17" t="s">
        <v>501</v>
      </c>
      <c r="F1993" s="17" t="s">
        <v>488</v>
      </c>
      <c r="G1993" s="18" t="s">
        <v>7197</v>
      </c>
      <c r="H1993" s="20" t="s">
        <v>7203</v>
      </c>
      <c r="I1993" s="17" t="s">
        <v>494</v>
      </c>
      <c r="J1993" s="21">
        <v>1</v>
      </c>
      <c r="K1993" s="21" t="s">
        <v>6981</v>
      </c>
      <c r="L1993" s="21" t="s">
        <v>7204</v>
      </c>
      <c r="M1993" s="19" t="s">
        <v>7079</v>
      </c>
      <c r="N1993" s="19" t="s">
        <v>504</v>
      </c>
      <c r="O1993" s="19" t="s">
        <v>7200</v>
      </c>
      <c r="P1993" s="19"/>
      <c r="Q1993" s="19" t="s">
        <v>211</v>
      </c>
      <c r="R1993" s="16" t="s">
        <v>54</v>
      </c>
      <c r="S1993" s="18" t="s">
        <v>2818</v>
      </c>
      <c r="T1993" s="21" t="s">
        <v>55</v>
      </c>
    </row>
    <row r="1994" spans="1:20" ht="29.25">
      <c r="A1994" s="11" t="s">
        <v>3136</v>
      </c>
      <c r="B1994" s="11" t="s">
        <v>487</v>
      </c>
      <c r="C1994" s="11" t="s">
        <v>491</v>
      </c>
      <c r="D1994" s="12" t="s">
        <v>7198</v>
      </c>
      <c r="E1994" s="11" t="s">
        <v>505</v>
      </c>
      <c r="F1994" s="11" t="s">
        <v>204</v>
      </c>
      <c r="G1994" s="12" t="s">
        <v>7076</v>
      </c>
      <c r="H1994" s="13" t="s">
        <v>7205</v>
      </c>
      <c r="I1994" s="11" t="s">
        <v>507</v>
      </c>
      <c r="J1994" s="14">
        <v>1</v>
      </c>
      <c r="K1994" s="14" t="s">
        <v>6981</v>
      </c>
      <c r="L1994" s="14" t="s">
        <v>7206</v>
      </c>
      <c r="M1994" s="15" t="s">
        <v>7201</v>
      </c>
      <c r="N1994" s="15" t="s">
        <v>509</v>
      </c>
      <c r="O1994" s="15" t="s">
        <v>7079</v>
      </c>
      <c r="P1994" s="15" t="s">
        <v>7202</v>
      </c>
      <c r="Q1994" s="12" t="s">
        <v>286</v>
      </c>
      <c r="R1994" s="22" t="s">
        <v>88</v>
      </c>
      <c r="S1994" s="12" t="s">
        <v>2818</v>
      </c>
      <c r="T1994" s="14" t="s">
        <v>55</v>
      </c>
    </row>
    <row r="1995" spans="1:20" ht="16.5">
      <c r="A1995" s="17" t="s">
        <v>3136</v>
      </c>
      <c r="B1995" s="17" t="s">
        <v>578</v>
      </c>
      <c r="C1995" s="17" t="s">
        <v>300</v>
      </c>
      <c r="D1995" s="18" t="s">
        <v>5343</v>
      </c>
      <c r="E1995" s="17" t="s">
        <v>579</v>
      </c>
      <c r="F1995" s="17" t="s">
        <v>62</v>
      </c>
      <c r="G1995" s="18" t="s">
        <v>6985</v>
      </c>
      <c r="H1995" s="20" t="s">
        <v>7207</v>
      </c>
      <c r="I1995" s="17" t="s">
        <v>645</v>
      </c>
      <c r="J1995" s="21">
        <v>1</v>
      </c>
      <c r="K1995" s="21" t="s">
        <v>6981</v>
      </c>
      <c r="L1995" s="21" t="s">
        <v>7208</v>
      </c>
      <c r="M1995" s="19" t="s">
        <v>5345</v>
      </c>
      <c r="N1995" s="19" t="s">
        <v>583</v>
      </c>
      <c r="O1995" s="19" t="s">
        <v>6988</v>
      </c>
      <c r="P1995" s="19"/>
      <c r="Q1995" s="18" t="s">
        <v>649</v>
      </c>
      <c r="R1995" s="22" t="s">
        <v>88</v>
      </c>
      <c r="S1995" s="18" t="s">
        <v>2818</v>
      </c>
      <c r="T1995" s="21" t="s">
        <v>55</v>
      </c>
    </row>
    <row r="1996" spans="1:20" ht="16.5">
      <c r="A1996" s="11" t="s">
        <v>3136</v>
      </c>
      <c r="B1996" s="11" t="s">
        <v>578</v>
      </c>
      <c r="C1996" s="11" t="s">
        <v>300</v>
      </c>
      <c r="D1996" s="12" t="s">
        <v>3600</v>
      </c>
      <c r="E1996" s="11" t="s">
        <v>579</v>
      </c>
      <c r="F1996" s="11" t="s">
        <v>62</v>
      </c>
      <c r="G1996" s="12" t="s">
        <v>7026</v>
      </c>
      <c r="H1996" s="13" t="s">
        <v>7209</v>
      </c>
      <c r="I1996" s="11" t="s">
        <v>645</v>
      </c>
      <c r="J1996" s="14">
        <v>1</v>
      </c>
      <c r="K1996" s="14" t="s">
        <v>6981</v>
      </c>
      <c r="L1996" s="14" t="s">
        <v>7210</v>
      </c>
      <c r="M1996" s="15" t="s">
        <v>3603</v>
      </c>
      <c r="N1996" s="15" t="s">
        <v>583</v>
      </c>
      <c r="O1996" s="15" t="s">
        <v>7029</v>
      </c>
      <c r="P1996" s="15"/>
      <c r="Q1996" s="12" t="s">
        <v>649</v>
      </c>
      <c r="R1996" s="22" t="s">
        <v>88</v>
      </c>
      <c r="S1996" s="12" t="s">
        <v>2818</v>
      </c>
      <c r="T1996" s="14" t="s">
        <v>55</v>
      </c>
    </row>
    <row r="1997" spans="1:20" ht="16.5">
      <c r="A1997" s="17" t="s">
        <v>3136</v>
      </c>
      <c r="B1997" s="17" t="s">
        <v>578</v>
      </c>
      <c r="C1997" s="17" t="s">
        <v>62</v>
      </c>
      <c r="D1997" s="18" t="s">
        <v>6985</v>
      </c>
      <c r="E1997" s="17" t="s">
        <v>45</v>
      </c>
      <c r="F1997" s="17" t="s">
        <v>62</v>
      </c>
      <c r="G1997" s="18" t="s">
        <v>7011</v>
      </c>
      <c r="H1997" s="24" t="s">
        <v>584</v>
      </c>
      <c r="I1997" s="17" t="s">
        <v>7211</v>
      </c>
      <c r="J1997" s="21">
        <v>1</v>
      </c>
      <c r="K1997" s="21" t="s">
        <v>6981</v>
      </c>
      <c r="L1997" s="21" t="s">
        <v>7212</v>
      </c>
      <c r="M1997" s="19" t="s">
        <v>6988</v>
      </c>
      <c r="N1997" s="19" t="s">
        <v>51</v>
      </c>
      <c r="O1997" s="19" t="s">
        <v>7014</v>
      </c>
      <c r="P1997" s="19"/>
      <c r="Q1997" s="18" t="s">
        <v>53</v>
      </c>
      <c r="R1997" s="16" t="s">
        <v>54</v>
      </c>
      <c r="S1997" s="18" t="s">
        <v>2818</v>
      </c>
      <c r="T1997" s="21" t="s">
        <v>55</v>
      </c>
    </row>
    <row r="1998" spans="1:20" ht="16.5">
      <c r="A1998" s="11" t="s">
        <v>3136</v>
      </c>
      <c r="B1998" s="11" t="s">
        <v>578</v>
      </c>
      <c r="C1998" s="11" t="s">
        <v>62</v>
      </c>
      <c r="D1998" s="12" t="s">
        <v>7011</v>
      </c>
      <c r="E1998" s="11" t="s">
        <v>45</v>
      </c>
      <c r="F1998" s="11" t="s">
        <v>62</v>
      </c>
      <c r="G1998" s="12" t="s">
        <v>7045</v>
      </c>
      <c r="H1998" s="23" t="s">
        <v>584</v>
      </c>
      <c r="I1998" s="11" t="s">
        <v>7211</v>
      </c>
      <c r="J1998" s="14">
        <v>1</v>
      </c>
      <c r="K1998" s="14" t="s">
        <v>6981</v>
      </c>
      <c r="L1998" s="14" t="s">
        <v>7213</v>
      </c>
      <c r="M1998" s="15" t="s">
        <v>7014</v>
      </c>
      <c r="N1998" s="15" t="s">
        <v>51</v>
      </c>
      <c r="O1998" s="15" t="s">
        <v>7048</v>
      </c>
      <c r="P1998" s="15"/>
      <c r="Q1998" s="12" t="s">
        <v>53</v>
      </c>
      <c r="R1998" s="16" t="s">
        <v>54</v>
      </c>
      <c r="S1998" s="12" t="s">
        <v>2818</v>
      </c>
      <c r="T1998" s="14" t="s">
        <v>55</v>
      </c>
    </row>
    <row r="1999" spans="1:20" ht="16.5">
      <c r="A1999" s="17" t="s">
        <v>3136</v>
      </c>
      <c r="B1999" s="17" t="s">
        <v>578</v>
      </c>
      <c r="C1999" s="17" t="s">
        <v>62</v>
      </c>
      <c r="D1999" s="18" t="s">
        <v>7026</v>
      </c>
      <c r="E1999" s="17" t="s">
        <v>45</v>
      </c>
      <c r="F1999" s="17" t="s">
        <v>62</v>
      </c>
      <c r="G1999" s="18" t="s">
        <v>7045</v>
      </c>
      <c r="H1999" s="24" t="s">
        <v>584</v>
      </c>
      <c r="I1999" s="17" t="s">
        <v>7211</v>
      </c>
      <c r="J1999" s="21">
        <v>1</v>
      </c>
      <c r="K1999" s="21" t="s">
        <v>6981</v>
      </c>
      <c r="L1999" s="21" t="s">
        <v>7214</v>
      </c>
      <c r="M1999" s="19" t="s">
        <v>7029</v>
      </c>
      <c r="N1999" s="19" t="s">
        <v>51</v>
      </c>
      <c r="O1999" s="19" t="s">
        <v>7048</v>
      </c>
      <c r="P1999" s="19"/>
      <c r="Q1999" s="18" t="s">
        <v>53</v>
      </c>
      <c r="R1999" s="16" t="s">
        <v>54</v>
      </c>
      <c r="S1999" s="18" t="s">
        <v>2818</v>
      </c>
      <c r="T1999" s="21" t="s">
        <v>55</v>
      </c>
    </row>
    <row r="2000" spans="1:20" ht="16.5">
      <c r="A2000" s="11" t="s">
        <v>3136</v>
      </c>
      <c r="B2000" s="11" t="s">
        <v>578</v>
      </c>
      <c r="C2000" s="11" t="s">
        <v>62</v>
      </c>
      <c r="D2000" s="12" t="s">
        <v>7045</v>
      </c>
      <c r="E2000" s="11" t="s">
        <v>635</v>
      </c>
      <c r="F2000" s="11" t="s">
        <v>300</v>
      </c>
      <c r="G2000" s="12" t="s">
        <v>1018</v>
      </c>
      <c r="H2000" s="13" t="s">
        <v>7215</v>
      </c>
      <c r="I2000" s="11" t="s">
        <v>7211</v>
      </c>
      <c r="J2000" s="14">
        <v>1</v>
      </c>
      <c r="K2000" s="14" t="s">
        <v>6981</v>
      </c>
      <c r="L2000" s="14" t="s">
        <v>7216</v>
      </c>
      <c r="M2000" s="15" t="s">
        <v>7048</v>
      </c>
      <c r="N2000" s="15" t="s">
        <v>640</v>
      </c>
      <c r="O2000" s="15" t="s">
        <v>1021</v>
      </c>
      <c r="P2000" s="15"/>
      <c r="Q2000" s="12" t="s">
        <v>53</v>
      </c>
      <c r="R2000" s="16" t="s">
        <v>54</v>
      </c>
      <c r="S2000" s="12" t="s">
        <v>2818</v>
      </c>
      <c r="T2000" s="14" t="s">
        <v>55</v>
      </c>
    </row>
    <row r="2001" spans="1:20" ht="16.5">
      <c r="A2001" s="17" t="s">
        <v>3136</v>
      </c>
      <c r="B2001" s="17" t="s">
        <v>578</v>
      </c>
      <c r="C2001" s="17" t="s">
        <v>1250</v>
      </c>
      <c r="D2001" s="18" t="s">
        <v>1385</v>
      </c>
      <c r="E2001" s="17" t="s">
        <v>1386</v>
      </c>
      <c r="F2001" s="17" t="s">
        <v>62</v>
      </c>
      <c r="G2001" s="18" t="s">
        <v>6985</v>
      </c>
      <c r="H2001" s="24" t="s">
        <v>584</v>
      </c>
      <c r="I2001" s="17" t="s">
        <v>7211</v>
      </c>
      <c r="J2001" s="21">
        <v>1</v>
      </c>
      <c r="K2001" s="21" t="s">
        <v>6981</v>
      </c>
      <c r="L2001" s="21" t="s">
        <v>7217</v>
      </c>
      <c r="M2001" s="19" t="s">
        <v>1389</v>
      </c>
      <c r="N2001" s="19" t="s">
        <v>1390</v>
      </c>
      <c r="O2001" s="19" t="s">
        <v>6988</v>
      </c>
      <c r="P2001" s="19"/>
      <c r="Q2001" s="18" t="s">
        <v>53</v>
      </c>
      <c r="R2001" s="16" t="s">
        <v>54</v>
      </c>
      <c r="S2001" s="18" t="s">
        <v>2818</v>
      </c>
      <c r="T2001" s="21" t="s">
        <v>55</v>
      </c>
    </row>
    <row r="2002" spans="1:20" ht="16.5">
      <c r="A2002" s="11" t="s">
        <v>3136</v>
      </c>
      <c r="B2002" s="11" t="s">
        <v>578</v>
      </c>
      <c r="C2002" s="11" t="s">
        <v>1250</v>
      </c>
      <c r="D2002" s="12" t="s">
        <v>1385</v>
      </c>
      <c r="E2002" s="11" t="s">
        <v>1386</v>
      </c>
      <c r="F2002" s="11" t="s">
        <v>62</v>
      </c>
      <c r="G2002" s="12" t="s">
        <v>7026</v>
      </c>
      <c r="H2002" s="23" t="s">
        <v>584</v>
      </c>
      <c r="I2002" s="11" t="s">
        <v>7211</v>
      </c>
      <c r="J2002" s="14">
        <v>1</v>
      </c>
      <c r="K2002" s="14" t="s">
        <v>6981</v>
      </c>
      <c r="L2002" s="14" t="s">
        <v>7218</v>
      </c>
      <c r="M2002" s="15" t="s">
        <v>1389</v>
      </c>
      <c r="N2002" s="15" t="s">
        <v>1390</v>
      </c>
      <c r="O2002" s="15" t="s">
        <v>7029</v>
      </c>
      <c r="P2002" s="15"/>
      <c r="Q2002" s="12" t="s">
        <v>53</v>
      </c>
      <c r="R2002" s="16" t="s">
        <v>54</v>
      </c>
      <c r="S2002" s="12" t="s">
        <v>2818</v>
      </c>
      <c r="T2002" s="14" t="s">
        <v>55</v>
      </c>
    </row>
    <row r="2003" spans="1:20" ht="16.5">
      <c r="A2003" s="17" t="s">
        <v>3136</v>
      </c>
      <c r="B2003" s="17" t="s">
        <v>650</v>
      </c>
      <c r="C2003" s="17" t="s">
        <v>204</v>
      </c>
      <c r="D2003" s="18" t="s">
        <v>7066</v>
      </c>
      <c r="E2003" s="17" t="s">
        <v>505</v>
      </c>
      <c r="F2003" s="17" t="s">
        <v>295</v>
      </c>
      <c r="G2003" s="18" t="s">
        <v>7116</v>
      </c>
      <c r="H2003" s="24" t="s">
        <v>584</v>
      </c>
      <c r="I2003" s="17" t="s">
        <v>652</v>
      </c>
      <c r="J2003" s="21">
        <v>1</v>
      </c>
      <c r="K2003" s="21" t="s">
        <v>6981</v>
      </c>
      <c r="L2003" s="21" t="s">
        <v>7219</v>
      </c>
      <c r="M2003" s="19" t="s">
        <v>7069</v>
      </c>
      <c r="N2003" s="19" t="s">
        <v>509</v>
      </c>
      <c r="O2003" s="19" t="s">
        <v>7119</v>
      </c>
      <c r="P2003" s="19" t="s">
        <v>7070</v>
      </c>
      <c r="Q2003" s="18" t="s">
        <v>286</v>
      </c>
      <c r="R2003" s="22" t="s">
        <v>88</v>
      </c>
      <c r="S2003" s="18" t="s">
        <v>2818</v>
      </c>
      <c r="T2003" s="21" t="s">
        <v>55</v>
      </c>
    </row>
    <row r="2004" spans="1:20" ht="16.5">
      <c r="A2004" s="11" t="s">
        <v>3136</v>
      </c>
      <c r="B2004" s="11" t="s">
        <v>650</v>
      </c>
      <c r="C2004" s="11" t="s">
        <v>204</v>
      </c>
      <c r="D2004" s="12" t="s">
        <v>7096</v>
      </c>
      <c r="E2004" s="11" t="s">
        <v>505</v>
      </c>
      <c r="F2004" s="11" t="s">
        <v>295</v>
      </c>
      <c r="G2004" s="12" t="s">
        <v>7116</v>
      </c>
      <c r="H2004" s="13" t="s">
        <v>7220</v>
      </c>
      <c r="I2004" s="11" t="s">
        <v>652</v>
      </c>
      <c r="J2004" s="14">
        <v>1</v>
      </c>
      <c r="K2004" s="14" t="s">
        <v>6981</v>
      </c>
      <c r="L2004" s="14" t="s">
        <v>7221</v>
      </c>
      <c r="M2004" s="15" t="s">
        <v>7099</v>
      </c>
      <c r="N2004" s="15" t="s">
        <v>509</v>
      </c>
      <c r="O2004" s="15" t="s">
        <v>7119</v>
      </c>
      <c r="P2004" s="15" t="s">
        <v>7100</v>
      </c>
      <c r="Q2004" s="12" t="s">
        <v>286</v>
      </c>
      <c r="R2004" s="22" t="s">
        <v>88</v>
      </c>
      <c r="S2004" s="12" t="s">
        <v>2818</v>
      </c>
      <c r="T2004" s="14" t="s">
        <v>55</v>
      </c>
    </row>
    <row r="2005" spans="1:20" ht="16.5">
      <c r="A2005" s="17" t="s">
        <v>3136</v>
      </c>
      <c r="B2005" s="17" t="s">
        <v>650</v>
      </c>
      <c r="C2005" s="17" t="s">
        <v>295</v>
      </c>
      <c r="D2005" s="18" t="s">
        <v>7116</v>
      </c>
      <c r="E2005" s="17" t="s">
        <v>505</v>
      </c>
      <c r="F2005" s="17" t="s">
        <v>204</v>
      </c>
      <c r="G2005" s="18" t="s">
        <v>4944</v>
      </c>
      <c r="H2005" s="20" t="s">
        <v>7222</v>
      </c>
      <c r="I2005" s="17" t="s">
        <v>3644</v>
      </c>
      <c r="J2005" s="21">
        <v>2</v>
      </c>
      <c r="K2005" s="21" t="s">
        <v>6981</v>
      </c>
      <c r="L2005" s="21" t="s">
        <v>7223</v>
      </c>
      <c r="M2005" s="19" t="s">
        <v>7119</v>
      </c>
      <c r="N2005" s="19" t="s">
        <v>509</v>
      </c>
      <c r="O2005" s="19" t="s">
        <v>4947</v>
      </c>
      <c r="P2005" s="19"/>
      <c r="Q2005" s="18" t="s">
        <v>286</v>
      </c>
      <c r="R2005" s="22" t="s">
        <v>88</v>
      </c>
      <c r="S2005" s="18" t="s">
        <v>2818</v>
      </c>
      <c r="T2005" s="21" t="s">
        <v>55</v>
      </c>
    </row>
    <row r="2006" spans="1:20" ht="16.5">
      <c r="A2006" s="11" t="s">
        <v>3136</v>
      </c>
      <c r="B2006" s="11" t="s">
        <v>695</v>
      </c>
      <c r="C2006" s="11" t="s">
        <v>295</v>
      </c>
      <c r="D2006" s="12" t="s">
        <v>7116</v>
      </c>
      <c r="E2006" s="11" t="s">
        <v>654</v>
      </c>
      <c r="F2006" s="11" t="s">
        <v>698</v>
      </c>
      <c r="G2006" s="12" t="s">
        <v>3638</v>
      </c>
      <c r="H2006" s="23" t="s">
        <v>584</v>
      </c>
      <c r="I2006" s="11" t="s">
        <v>4592</v>
      </c>
      <c r="J2006" s="14">
        <v>2</v>
      </c>
      <c r="K2006" s="14" t="s">
        <v>6981</v>
      </c>
      <c r="L2006" s="14" t="s">
        <v>7224</v>
      </c>
      <c r="M2006" s="15" t="s">
        <v>7119</v>
      </c>
      <c r="N2006" s="15" t="s">
        <v>657</v>
      </c>
      <c r="O2006" s="15" t="s">
        <v>3641</v>
      </c>
      <c r="P2006" s="15"/>
      <c r="Q2006" s="12" t="s">
        <v>286</v>
      </c>
      <c r="R2006" s="22" t="s">
        <v>88</v>
      </c>
      <c r="S2006" s="12" t="s">
        <v>2818</v>
      </c>
      <c r="T2006" s="14" t="s">
        <v>55</v>
      </c>
    </row>
    <row r="2007" spans="1:20" ht="16.5">
      <c r="A2007" s="17" t="s">
        <v>4607</v>
      </c>
      <c r="B2007" s="17" t="s">
        <v>43</v>
      </c>
      <c r="C2007" s="17" t="s">
        <v>44</v>
      </c>
      <c r="D2007" s="18" t="s">
        <v>4607</v>
      </c>
      <c r="E2007" s="17" t="s">
        <v>45</v>
      </c>
      <c r="F2007" s="17" t="s">
        <v>44</v>
      </c>
      <c r="G2007" s="18" t="s">
        <v>3658</v>
      </c>
      <c r="H2007" s="20" t="s">
        <v>7225</v>
      </c>
      <c r="I2007" s="17" t="s">
        <v>43</v>
      </c>
      <c r="J2007" s="21">
        <v>1</v>
      </c>
      <c r="K2007" s="21" t="s">
        <v>7226</v>
      </c>
      <c r="L2007" s="21" t="s">
        <v>7227</v>
      </c>
      <c r="M2007" s="19" t="s">
        <v>4610</v>
      </c>
      <c r="N2007" s="19" t="s">
        <v>51</v>
      </c>
      <c r="O2007" s="19" t="s">
        <v>3661</v>
      </c>
      <c r="P2007" s="19"/>
      <c r="Q2007" s="18" t="s">
        <v>53</v>
      </c>
      <c r="R2007" s="22" t="s">
        <v>88</v>
      </c>
      <c r="S2007" s="19"/>
      <c r="T2007" s="21" t="s">
        <v>55</v>
      </c>
    </row>
    <row r="2008" spans="1:20" ht="16.5">
      <c r="A2008" s="11" t="s">
        <v>4607</v>
      </c>
      <c r="B2008" s="11" t="s">
        <v>60</v>
      </c>
      <c r="C2008" s="11" t="s">
        <v>44</v>
      </c>
      <c r="D2008" s="12" t="s">
        <v>4607</v>
      </c>
      <c r="E2008" s="11" t="s">
        <v>61</v>
      </c>
      <c r="F2008" s="11" t="s">
        <v>62</v>
      </c>
      <c r="G2008" s="12" t="s">
        <v>7228</v>
      </c>
      <c r="H2008" s="13" t="s">
        <v>7229</v>
      </c>
      <c r="I2008" s="11" t="s">
        <v>65</v>
      </c>
      <c r="J2008" s="14">
        <v>1</v>
      </c>
      <c r="K2008" s="14" t="s">
        <v>7226</v>
      </c>
      <c r="L2008" s="14" t="s">
        <v>7230</v>
      </c>
      <c r="M2008" s="15" t="s">
        <v>4610</v>
      </c>
      <c r="N2008" s="15" t="s">
        <v>67</v>
      </c>
      <c r="O2008" s="15" t="s">
        <v>7231</v>
      </c>
      <c r="P2008" s="15"/>
      <c r="Q2008" s="12" t="s">
        <v>69</v>
      </c>
      <c r="R2008" s="16" t="s">
        <v>54</v>
      </c>
      <c r="S2008" s="12" t="s">
        <v>2818</v>
      </c>
      <c r="T2008" s="14" t="s">
        <v>55</v>
      </c>
    </row>
    <row r="2009" spans="1:20" ht="16.5">
      <c r="A2009" s="17" t="s">
        <v>4607</v>
      </c>
      <c r="B2009" s="17" t="s">
        <v>60</v>
      </c>
      <c r="C2009" s="17" t="s">
        <v>62</v>
      </c>
      <c r="D2009" s="18" t="s">
        <v>7228</v>
      </c>
      <c r="E2009" s="17" t="s">
        <v>81</v>
      </c>
      <c r="F2009" s="17" t="s">
        <v>82</v>
      </c>
      <c r="G2009" s="18" t="s">
        <v>7232</v>
      </c>
      <c r="H2009" s="20" t="s">
        <v>7233</v>
      </c>
      <c r="I2009" s="17" t="s">
        <v>65</v>
      </c>
      <c r="J2009" s="21">
        <v>1</v>
      </c>
      <c r="K2009" s="21" t="s">
        <v>7226</v>
      </c>
      <c r="L2009" s="21" t="s">
        <v>7234</v>
      </c>
      <c r="M2009" s="19" t="s">
        <v>7231</v>
      </c>
      <c r="N2009" s="19" t="s">
        <v>86</v>
      </c>
      <c r="O2009" s="19" t="s">
        <v>7235</v>
      </c>
      <c r="P2009" s="19"/>
      <c r="Q2009" s="18" t="s">
        <v>53</v>
      </c>
      <c r="R2009" s="22" t="s">
        <v>88</v>
      </c>
      <c r="S2009" s="18" t="s">
        <v>2818</v>
      </c>
      <c r="T2009" s="21" t="s">
        <v>55</v>
      </c>
    </row>
    <row r="2010" spans="1:20" ht="16.5">
      <c r="A2010" s="11" t="s">
        <v>4607</v>
      </c>
      <c r="B2010" s="11" t="s">
        <v>60</v>
      </c>
      <c r="C2010" s="11" t="s">
        <v>62</v>
      </c>
      <c r="D2010" s="12" t="s">
        <v>7228</v>
      </c>
      <c r="E2010" s="11" t="s">
        <v>81</v>
      </c>
      <c r="F2010" s="11" t="s">
        <v>82</v>
      </c>
      <c r="G2010" s="12" t="s">
        <v>7236</v>
      </c>
      <c r="H2010" s="13" t="s">
        <v>7237</v>
      </c>
      <c r="I2010" s="11" t="s">
        <v>65</v>
      </c>
      <c r="J2010" s="14">
        <v>1</v>
      </c>
      <c r="K2010" s="14" t="s">
        <v>7226</v>
      </c>
      <c r="L2010" s="14" t="s">
        <v>7238</v>
      </c>
      <c r="M2010" s="15" t="s">
        <v>7231</v>
      </c>
      <c r="N2010" s="15" t="s">
        <v>86</v>
      </c>
      <c r="O2010" s="15" t="s">
        <v>7239</v>
      </c>
      <c r="P2010" s="15"/>
      <c r="Q2010" s="12" t="s">
        <v>53</v>
      </c>
      <c r="R2010" s="22" t="s">
        <v>88</v>
      </c>
      <c r="S2010" s="12" t="s">
        <v>2818</v>
      </c>
      <c r="T2010" s="14" t="s">
        <v>55</v>
      </c>
    </row>
    <row r="2011" spans="1:20" ht="16.5">
      <c r="A2011" s="17" t="s">
        <v>4607</v>
      </c>
      <c r="B2011" s="17" t="s">
        <v>60</v>
      </c>
      <c r="C2011" s="17" t="s">
        <v>44</v>
      </c>
      <c r="D2011" s="18" t="s">
        <v>4607</v>
      </c>
      <c r="E2011" s="17" t="s">
        <v>61</v>
      </c>
      <c r="F2011" s="17" t="s">
        <v>62</v>
      </c>
      <c r="G2011" s="18" t="s">
        <v>7240</v>
      </c>
      <c r="H2011" s="20" t="s">
        <v>7241</v>
      </c>
      <c r="I2011" s="17" t="s">
        <v>65</v>
      </c>
      <c r="J2011" s="21">
        <v>1</v>
      </c>
      <c r="K2011" s="21" t="s">
        <v>7226</v>
      </c>
      <c r="L2011" s="21" t="s">
        <v>7242</v>
      </c>
      <c r="M2011" s="19" t="s">
        <v>4610</v>
      </c>
      <c r="N2011" s="19" t="s">
        <v>67</v>
      </c>
      <c r="O2011" s="19" t="s">
        <v>7243</v>
      </c>
      <c r="P2011" s="19"/>
      <c r="Q2011" s="18" t="s">
        <v>69</v>
      </c>
      <c r="R2011" s="16" t="s">
        <v>54</v>
      </c>
      <c r="S2011" s="18" t="s">
        <v>2818</v>
      </c>
      <c r="T2011" s="21" t="s">
        <v>55</v>
      </c>
    </row>
    <row r="2012" spans="1:20" ht="16.5">
      <c r="A2012" s="11" t="s">
        <v>4607</v>
      </c>
      <c r="B2012" s="11" t="s">
        <v>60</v>
      </c>
      <c r="C2012" s="11" t="s">
        <v>62</v>
      </c>
      <c r="D2012" s="12" t="s">
        <v>7240</v>
      </c>
      <c r="E2012" s="11" t="s">
        <v>71</v>
      </c>
      <c r="F2012" s="11" t="s">
        <v>72</v>
      </c>
      <c r="G2012" s="12" t="s">
        <v>7244</v>
      </c>
      <c r="H2012" s="13" t="s">
        <v>7245</v>
      </c>
      <c r="I2012" s="11" t="s">
        <v>65</v>
      </c>
      <c r="J2012" s="14">
        <v>1</v>
      </c>
      <c r="K2012" s="14" t="s">
        <v>7226</v>
      </c>
      <c r="L2012" s="14" t="s">
        <v>7246</v>
      </c>
      <c r="M2012" s="15" t="s">
        <v>7243</v>
      </c>
      <c r="N2012" s="15" t="s">
        <v>76</v>
      </c>
      <c r="O2012" s="15" t="s">
        <v>7247</v>
      </c>
      <c r="P2012" s="15"/>
      <c r="Q2012" s="12" t="s">
        <v>69</v>
      </c>
      <c r="R2012" s="16" t="s">
        <v>54</v>
      </c>
      <c r="S2012" s="12" t="s">
        <v>2818</v>
      </c>
      <c r="T2012" s="14" t="s">
        <v>55</v>
      </c>
    </row>
    <row r="2013" spans="1:20" ht="16.5">
      <c r="A2013" s="17" t="s">
        <v>4607</v>
      </c>
      <c r="B2013" s="17" t="s">
        <v>60</v>
      </c>
      <c r="C2013" s="17" t="s">
        <v>62</v>
      </c>
      <c r="D2013" s="18" t="s">
        <v>7240</v>
      </c>
      <c r="E2013" s="17" t="s">
        <v>71</v>
      </c>
      <c r="F2013" s="17" t="s">
        <v>72</v>
      </c>
      <c r="G2013" s="18" t="s">
        <v>7248</v>
      </c>
      <c r="H2013" s="20" t="s">
        <v>7245</v>
      </c>
      <c r="I2013" s="17" t="s">
        <v>65</v>
      </c>
      <c r="J2013" s="21">
        <v>1</v>
      </c>
      <c r="K2013" s="21" t="s">
        <v>7226</v>
      </c>
      <c r="L2013" s="21" t="s">
        <v>7249</v>
      </c>
      <c r="M2013" s="19" t="s">
        <v>7243</v>
      </c>
      <c r="N2013" s="19" t="s">
        <v>76</v>
      </c>
      <c r="O2013" s="19" t="s">
        <v>7250</v>
      </c>
      <c r="P2013" s="19"/>
      <c r="Q2013" s="18" t="s">
        <v>69</v>
      </c>
      <c r="R2013" s="16" t="s">
        <v>54</v>
      </c>
      <c r="S2013" s="18" t="s">
        <v>2818</v>
      </c>
      <c r="T2013" s="21" t="s">
        <v>55</v>
      </c>
    </row>
    <row r="2014" spans="1:20" ht="16.5">
      <c r="A2014" s="11" t="s">
        <v>4607</v>
      </c>
      <c r="B2014" s="11" t="s">
        <v>60</v>
      </c>
      <c r="C2014" s="11" t="s">
        <v>62</v>
      </c>
      <c r="D2014" s="12" t="s">
        <v>7240</v>
      </c>
      <c r="E2014" s="11" t="s">
        <v>71</v>
      </c>
      <c r="F2014" s="11" t="s">
        <v>72</v>
      </c>
      <c r="G2014" s="12" t="s">
        <v>7251</v>
      </c>
      <c r="H2014" s="13" t="s">
        <v>7245</v>
      </c>
      <c r="I2014" s="11" t="s">
        <v>65</v>
      </c>
      <c r="J2014" s="14">
        <v>1</v>
      </c>
      <c r="K2014" s="14" t="s">
        <v>7226</v>
      </c>
      <c r="L2014" s="14" t="s">
        <v>7252</v>
      </c>
      <c r="M2014" s="15" t="s">
        <v>7243</v>
      </c>
      <c r="N2014" s="15" t="s">
        <v>76</v>
      </c>
      <c r="O2014" s="15" t="s">
        <v>7253</v>
      </c>
      <c r="P2014" s="15"/>
      <c r="Q2014" s="12" t="s">
        <v>69</v>
      </c>
      <c r="R2014" s="16" t="s">
        <v>54</v>
      </c>
      <c r="S2014" s="12" t="s">
        <v>2818</v>
      </c>
      <c r="T2014" s="14" t="s">
        <v>55</v>
      </c>
    </row>
    <row r="2015" spans="1:20" ht="16.5">
      <c r="A2015" s="17" t="s">
        <v>4607</v>
      </c>
      <c r="B2015" s="17" t="s">
        <v>60</v>
      </c>
      <c r="C2015" s="17" t="s">
        <v>62</v>
      </c>
      <c r="D2015" s="18" t="s">
        <v>7240</v>
      </c>
      <c r="E2015" s="17" t="s">
        <v>71</v>
      </c>
      <c r="F2015" s="17" t="s">
        <v>72</v>
      </c>
      <c r="G2015" s="18" t="s">
        <v>7254</v>
      </c>
      <c r="H2015" s="20" t="s">
        <v>7245</v>
      </c>
      <c r="I2015" s="17" t="s">
        <v>65</v>
      </c>
      <c r="J2015" s="21">
        <v>1</v>
      </c>
      <c r="K2015" s="21" t="s">
        <v>7226</v>
      </c>
      <c r="L2015" s="21" t="s">
        <v>7255</v>
      </c>
      <c r="M2015" s="19" t="s">
        <v>7243</v>
      </c>
      <c r="N2015" s="19" t="s">
        <v>76</v>
      </c>
      <c r="O2015" s="19" t="s">
        <v>7256</v>
      </c>
      <c r="P2015" s="19"/>
      <c r="Q2015" s="18" t="s">
        <v>69</v>
      </c>
      <c r="R2015" s="16" t="s">
        <v>54</v>
      </c>
      <c r="S2015" s="18" t="s">
        <v>2818</v>
      </c>
      <c r="T2015" s="21" t="s">
        <v>55</v>
      </c>
    </row>
    <row r="2016" spans="1:20" ht="16.5">
      <c r="A2016" s="11" t="s">
        <v>4607</v>
      </c>
      <c r="B2016" s="11" t="s">
        <v>60</v>
      </c>
      <c r="C2016" s="11" t="s">
        <v>62</v>
      </c>
      <c r="D2016" s="12" t="s">
        <v>7240</v>
      </c>
      <c r="E2016" s="11" t="s">
        <v>71</v>
      </c>
      <c r="F2016" s="11" t="s">
        <v>72</v>
      </c>
      <c r="G2016" s="12" t="s">
        <v>7257</v>
      </c>
      <c r="H2016" s="13" t="s">
        <v>7245</v>
      </c>
      <c r="I2016" s="11" t="s">
        <v>65</v>
      </c>
      <c r="J2016" s="14">
        <v>1</v>
      </c>
      <c r="K2016" s="14" t="s">
        <v>7226</v>
      </c>
      <c r="L2016" s="14" t="s">
        <v>7258</v>
      </c>
      <c r="M2016" s="15" t="s">
        <v>7243</v>
      </c>
      <c r="N2016" s="15" t="s">
        <v>76</v>
      </c>
      <c r="O2016" s="15" t="s">
        <v>7259</v>
      </c>
      <c r="P2016" s="15"/>
      <c r="Q2016" s="12" t="s">
        <v>69</v>
      </c>
      <c r="R2016" s="16" t="s">
        <v>54</v>
      </c>
      <c r="S2016" s="12" t="s">
        <v>2818</v>
      </c>
      <c r="T2016" s="14" t="s">
        <v>55</v>
      </c>
    </row>
    <row r="2017" spans="1:20" ht="16.5">
      <c r="A2017" s="17" t="s">
        <v>4607</v>
      </c>
      <c r="B2017" s="17" t="s">
        <v>60</v>
      </c>
      <c r="C2017" s="17" t="s">
        <v>44</v>
      </c>
      <c r="D2017" s="18" t="s">
        <v>4607</v>
      </c>
      <c r="E2017" s="17" t="s">
        <v>61</v>
      </c>
      <c r="F2017" s="17" t="s">
        <v>62</v>
      </c>
      <c r="G2017" s="18" t="s">
        <v>7260</v>
      </c>
      <c r="H2017" s="20" t="s">
        <v>7261</v>
      </c>
      <c r="I2017" s="17" t="s">
        <v>65</v>
      </c>
      <c r="J2017" s="21">
        <v>1</v>
      </c>
      <c r="K2017" s="21" t="s">
        <v>7226</v>
      </c>
      <c r="L2017" s="21" t="s">
        <v>7262</v>
      </c>
      <c r="M2017" s="19" t="s">
        <v>4610</v>
      </c>
      <c r="N2017" s="19" t="s">
        <v>67</v>
      </c>
      <c r="O2017" s="19" t="s">
        <v>7263</v>
      </c>
      <c r="P2017" s="19"/>
      <c r="Q2017" s="18" t="s">
        <v>69</v>
      </c>
      <c r="R2017" s="16" t="s">
        <v>54</v>
      </c>
      <c r="S2017" s="18" t="s">
        <v>2818</v>
      </c>
      <c r="T2017" s="21" t="s">
        <v>55</v>
      </c>
    </row>
    <row r="2018" spans="1:20" ht="16.5">
      <c r="A2018" s="11" t="s">
        <v>4607</v>
      </c>
      <c r="B2018" s="11" t="s">
        <v>60</v>
      </c>
      <c r="C2018" s="11" t="s">
        <v>62</v>
      </c>
      <c r="D2018" s="12" t="s">
        <v>7260</v>
      </c>
      <c r="E2018" s="11" t="s">
        <v>71</v>
      </c>
      <c r="F2018" s="11" t="s">
        <v>72</v>
      </c>
      <c r="G2018" s="12" t="s">
        <v>7264</v>
      </c>
      <c r="H2018" s="13" t="s">
        <v>7265</v>
      </c>
      <c r="I2018" s="11" t="s">
        <v>65</v>
      </c>
      <c r="J2018" s="14">
        <v>1</v>
      </c>
      <c r="K2018" s="14" t="s">
        <v>7226</v>
      </c>
      <c r="L2018" s="14" t="s">
        <v>7266</v>
      </c>
      <c r="M2018" s="15" t="s">
        <v>7263</v>
      </c>
      <c r="N2018" s="15" t="s">
        <v>76</v>
      </c>
      <c r="O2018" s="15" t="s">
        <v>7267</v>
      </c>
      <c r="P2018" s="15"/>
      <c r="Q2018" s="12" t="s">
        <v>69</v>
      </c>
      <c r="R2018" s="16" t="s">
        <v>54</v>
      </c>
      <c r="S2018" s="12" t="s">
        <v>2818</v>
      </c>
      <c r="T2018" s="14" t="s">
        <v>55</v>
      </c>
    </row>
    <row r="2019" spans="1:20" ht="16.5">
      <c r="A2019" s="17" t="s">
        <v>4607</v>
      </c>
      <c r="B2019" s="17" t="s">
        <v>60</v>
      </c>
      <c r="C2019" s="17" t="s">
        <v>62</v>
      </c>
      <c r="D2019" s="18" t="s">
        <v>7260</v>
      </c>
      <c r="E2019" s="17" t="s">
        <v>71</v>
      </c>
      <c r="F2019" s="17" t="s">
        <v>72</v>
      </c>
      <c r="G2019" s="18" t="s">
        <v>7268</v>
      </c>
      <c r="H2019" s="20" t="s">
        <v>7265</v>
      </c>
      <c r="I2019" s="17" t="s">
        <v>65</v>
      </c>
      <c r="J2019" s="21">
        <v>1</v>
      </c>
      <c r="K2019" s="21" t="s">
        <v>7226</v>
      </c>
      <c r="L2019" s="21" t="s">
        <v>7269</v>
      </c>
      <c r="M2019" s="19" t="s">
        <v>7263</v>
      </c>
      <c r="N2019" s="19" t="s">
        <v>76</v>
      </c>
      <c r="O2019" s="19" t="s">
        <v>7270</v>
      </c>
      <c r="P2019" s="19"/>
      <c r="Q2019" s="18" t="s">
        <v>69</v>
      </c>
      <c r="R2019" s="16" t="s">
        <v>54</v>
      </c>
      <c r="S2019" s="18" t="s">
        <v>2818</v>
      </c>
      <c r="T2019" s="21" t="s">
        <v>55</v>
      </c>
    </row>
    <row r="2020" spans="1:20" ht="16.5">
      <c r="A2020" s="11" t="s">
        <v>4607</v>
      </c>
      <c r="B2020" s="11" t="s">
        <v>60</v>
      </c>
      <c r="C2020" s="11" t="s">
        <v>62</v>
      </c>
      <c r="D2020" s="12" t="s">
        <v>7260</v>
      </c>
      <c r="E2020" s="11" t="s">
        <v>71</v>
      </c>
      <c r="F2020" s="11" t="s">
        <v>72</v>
      </c>
      <c r="G2020" s="12" t="s">
        <v>7271</v>
      </c>
      <c r="H2020" s="13" t="s">
        <v>7265</v>
      </c>
      <c r="I2020" s="11" t="s">
        <v>65</v>
      </c>
      <c r="J2020" s="14">
        <v>1</v>
      </c>
      <c r="K2020" s="14" t="s">
        <v>7226</v>
      </c>
      <c r="L2020" s="14" t="s">
        <v>7272</v>
      </c>
      <c r="M2020" s="15" t="s">
        <v>7263</v>
      </c>
      <c r="N2020" s="15" t="s">
        <v>76</v>
      </c>
      <c r="O2020" s="15" t="s">
        <v>7273</v>
      </c>
      <c r="P2020" s="15"/>
      <c r="Q2020" s="12" t="s">
        <v>69</v>
      </c>
      <c r="R2020" s="16" t="s">
        <v>54</v>
      </c>
      <c r="S2020" s="12" t="s">
        <v>2818</v>
      </c>
      <c r="T2020" s="14" t="s">
        <v>55</v>
      </c>
    </row>
    <row r="2021" spans="1:20" ht="16.5">
      <c r="A2021" s="17" t="s">
        <v>4607</v>
      </c>
      <c r="B2021" s="17" t="s">
        <v>60</v>
      </c>
      <c r="C2021" s="17" t="s">
        <v>62</v>
      </c>
      <c r="D2021" s="18" t="s">
        <v>7260</v>
      </c>
      <c r="E2021" s="17" t="s">
        <v>71</v>
      </c>
      <c r="F2021" s="17" t="s">
        <v>72</v>
      </c>
      <c r="G2021" s="18" t="s">
        <v>7274</v>
      </c>
      <c r="H2021" s="20" t="s">
        <v>7265</v>
      </c>
      <c r="I2021" s="17" t="s">
        <v>65</v>
      </c>
      <c r="J2021" s="21">
        <v>1</v>
      </c>
      <c r="K2021" s="21" t="s">
        <v>7226</v>
      </c>
      <c r="L2021" s="21" t="s">
        <v>7275</v>
      </c>
      <c r="M2021" s="19" t="s">
        <v>7263</v>
      </c>
      <c r="N2021" s="19" t="s">
        <v>76</v>
      </c>
      <c r="O2021" s="19" t="s">
        <v>7276</v>
      </c>
      <c r="P2021" s="19"/>
      <c r="Q2021" s="18" t="s">
        <v>69</v>
      </c>
      <c r="R2021" s="16" t="s">
        <v>54</v>
      </c>
      <c r="S2021" s="18" t="s">
        <v>2818</v>
      </c>
      <c r="T2021" s="21" t="s">
        <v>55</v>
      </c>
    </row>
    <row r="2022" spans="1:20" ht="16.5">
      <c r="A2022" s="11" t="s">
        <v>4607</v>
      </c>
      <c r="B2022" s="11" t="s">
        <v>60</v>
      </c>
      <c r="C2022" s="11" t="s">
        <v>62</v>
      </c>
      <c r="D2022" s="12" t="s">
        <v>7260</v>
      </c>
      <c r="E2022" s="11" t="s">
        <v>81</v>
      </c>
      <c r="F2022" s="11" t="s">
        <v>82</v>
      </c>
      <c r="G2022" s="12" t="s">
        <v>7277</v>
      </c>
      <c r="H2022" s="13" t="s">
        <v>7278</v>
      </c>
      <c r="I2022" s="11" t="s">
        <v>65</v>
      </c>
      <c r="J2022" s="14">
        <v>1</v>
      </c>
      <c r="K2022" s="14" t="s">
        <v>7226</v>
      </c>
      <c r="L2022" s="14" t="s">
        <v>7279</v>
      </c>
      <c r="M2022" s="15" t="s">
        <v>7263</v>
      </c>
      <c r="N2022" s="15" t="s">
        <v>86</v>
      </c>
      <c r="O2022" s="15" t="s">
        <v>7280</v>
      </c>
      <c r="P2022" s="15"/>
      <c r="Q2022" s="12" t="s">
        <v>53</v>
      </c>
      <c r="R2022" s="22" t="s">
        <v>88</v>
      </c>
      <c r="S2022" s="12" t="s">
        <v>2818</v>
      </c>
      <c r="T2022" s="14" t="s">
        <v>55</v>
      </c>
    </row>
    <row r="2023" spans="1:20" ht="16.5">
      <c r="A2023" s="17" t="s">
        <v>4607</v>
      </c>
      <c r="B2023" s="17" t="s">
        <v>60</v>
      </c>
      <c r="C2023" s="17" t="s">
        <v>44</v>
      </c>
      <c r="D2023" s="18" t="s">
        <v>4607</v>
      </c>
      <c r="E2023" s="17" t="s">
        <v>61</v>
      </c>
      <c r="F2023" s="17" t="s">
        <v>62</v>
      </c>
      <c r="G2023" s="18" t="s">
        <v>7281</v>
      </c>
      <c r="H2023" s="20" t="s">
        <v>7282</v>
      </c>
      <c r="I2023" s="17" t="s">
        <v>65</v>
      </c>
      <c r="J2023" s="21">
        <v>1</v>
      </c>
      <c r="K2023" s="21" t="s">
        <v>7226</v>
      </c>
      <c r="L2023" s="21" t="s">
        <v>7283</v>
      </c>
      <c r="M2023" s="19" t="s">
        <v>4610</v>
      </c>
      <c r="N2023" s="19" t="s">
        <v>67</v>
      </c>
      <c r="O2023" s="19" t="s">
        <v>7284</v>
      </c>
      <c r="P2023" s="19"/>
      <c r="Q2023" s="18" t="s">
        <v>69</v>
      </c>
      <c r="R2023" s="16" t="s">
        <v>54</v>
      </c>
      <c r="S2023" s="18" t="s">
        <v>2818</v>
      </c>
      <c r="T2023" s="21" t="s">
        <v>55</v>
      </c>
    </row>
    <row r="2024" spans="1:20" ht="16.5">
      <c r="A2024" s="11" t="s">
        <v>4607</v>
      </c>
      <c r="B2024" s="11" t="s">
        <v>60</v>
      </c>
      <c r="C2024" s="11" t="s">
        <v>62</v>
      </c>
      <c r="D2024" s="12" t="s">
        <v>7281</v>
      </c>
      <c r="E2024" s="11" t="s">
        <v>71</v>
      </c>
      <c r="F2024" s="11" t="s">
        <v>72</v>
      </c>
      <c r="G2024" s="12" t="s">
        <v>7285</v>
      </c>
      <c r="H2024" s="13" t="s">
        <v>7286</v>
      </c>
      <c r="I2024" s="11" t="s">
        <v>65</v>
      </c>
      <c r="J2024" s="14">
        <v>1</v>
      </c>
      <c r="K2024" s="14" t="s">
        <v>7226</v>
      </c>
      <c r="L2024" s="14" t="s">
        <v>7287</v>
      </c>
      <c r="M2024" s="15" t="s">
        <v>7284</v>
      </c>
      <c r="N2024" s="15" t="s">
        <v>76</v>
      </c>
      <c r="O2024" s="15" t="s">
        <v>7288</v>
      </c>
      <c r="P2024" s="15"/>
      <c r="Q2024" s="12" t="s">
        <v>69</v>
      </c>
      <c r="R2024" s="16" t="s">
        <v>54</v>
      </c>
      <c r="S2024" s="12" t="s">
        <v>2818</v>
      </c>
      <c r="T2024" s="14" t="s">
        <v>55</v>
      </c>
    </row>
    <row r="2025" spans="1:20" ht="16.5">
      <c r="A2025" s="17" t="s">
        <v>4607</v>
      </c>
      <c r="B2025" s="17" t="s">
        <v>60</v>
      </c>
      <c r="C2025" s="17" t="s">
        <v>62</v>
      </c>
      <c r="D2025" s="18" t="s">
        <v>7281</v>
      </c>
      <c r="E2025" s="17" t="s">
        <v>71</v>
      </c>
      <c r="F2025" s="17" t="s">
        <v>72</v>
      </c>
      <c r="G2025" s="18" t="s">
        <v>7289</v>
      </c>
      <c r="H2025" s="20" t="s">
        <v>7286</v>
      </c>
      <c r="I2025" s="17" t="s">
        <v>65</v>
      </c>
      <c r="J2025" s="21">
        <v>1</v>
      </c>
      <c r="K2025" s="21" t="s">
        <v>7226</v>
      </c>
      <c r="L2025" s="21" t="s">
        <v>7290</v>
      </c>
      <c r="M2025" s="19" t="s">
        <v>7284</v>
      </c>
      <c r="N2025" s="19" t="s">
        <v>76</v>
      </c>
      <c r="O2025" s="19" t="s">
        <v>7291</v>
      </c>
      <c r="P2025" s="19"/>
      <c r="Q2025" s="18" t="s">
        <v>69</v>
      </c>
      <c r="R2025" s="16" t="s">
        <v>54</v>
      </c>
      <c r="S2025" s="18" t="s">
        <v>2818</v>
      </c>
      <c r="T2025" s="21" t="s">
        <v>55</v>
      </c>
    </row>
    <row r="2026" spans="1:20" ht="16.5">
      <c r="A2026" s="11" t="s">
        <v>4607</v>
      </c>
      <c r="B2026" s="11" t="s">
        <v>60</v>
      </c>
      <c r="C2026" s="11" t="s">
        <v>62</v>
      </c>
      <c r="D2026" s="12" t="s">
        <v>7281</v>
      </c>
      <c r="E2026" s="11" t="s">
        <v>81</v>
      </c>
      <c r="F2026" s="11" t="s">
        <v>82</v>
      </c>
      <c r="G2026" s="12" t="s">
        <v>7292</v>
      </c>
      <c r="H2026" s="13" t="s">
        <v>7293</v>
      </c>
      <c r="I2026" s="11" t="s">
        <v>65</v>
      </c>
      <c r="J2026" s="14">
        <v>1</v>
      </c>
      <c r="K2026" s="14" t="s">
        <v>7226</v>
      </c>
      <c r="L2026" s="14" t="s">
        <v>7294</v>
      </c>
      <c r="M2026" s="15" t="s">
        <v>7284</v>
      </c>
      <c r="N2026" s="15" t="s">
        <v>86</v>
      </c>
      <c r="O2026" s="15" t="s">
        <v>7295</v>
      </c>
      <c r="P2026" s="15"/>
      <c r="Q2026" s="12" t="s">
        <v>53</v>
      </c>
      <c r="R2026" s="22" t="s">
        <v>88</v>
      </c>
      <c r="S2026" s="12" t="s">
        <v>2818</v>
      </c>
      <c r="T2026" s="14" t="s">
        <v>55</v>
      </c>
    </row>
    <row r="2027" spans="1:20" ht="16.5">
      <c r="A2027" s="17" t="s">
        <v>4607</v>
      </c>
      <c r="B2027" s="17" t="s">
        <v>60</v>
      </c>
      <c r="C2027" s="17" t="s">
        <v>62</v>
      </c>
      <c r="D2027" s="18" t="s">
        <v>7228</v>
      </c>
      <c r="E2027" s="17" t="s">
        <v>203</v>
      </c>
      <c r="F2027" s="17" t="s">
        <v>204</v>
      </c>
      <c r="G2027" s="18" t="s">
        <v>7296</v>
      </c>
      <c r="H2027" s="20" t="s">
        <v>7297</v>
      </c>
      <c r="I2027" s="17" t="s">
        <v>65</v>
      </c>
      <c r="J2027" s="21">
        <v>1</v>
      </c>
      <c r="K2027" s="21" t="s">
        <v>7226</v>
      </c>
      <c r="L2027" s="21" t="s">
        <v>7298</v>
      </c>
      <c r="M2027" s="19" t="s">
        <v>7231</v>
      </c>
      <c r="N2027" s="19" t="s">
        <v>208</v>
      </c>
      <c r="O2027" s="19" t="s">
        <v>7299</v>
      </c>
      <c r="P2027" s="19" t="s">
        <v>7300</v>
      </c>
      <c r="Q2027" s="19" t="s">
        <v>211</v>
      </c>
      <c r="R2027" s="16" t="s">
        <v>54</v>
      </c>
      <c r="S2027" s="18" t="s">
        <v>2818</v>
      </c>
      <c r="T2027" s="21" t="s">
        <v>55</v>
      </c>
    </row>
    <row r="2028" spans="1:20" ht="16.5">
      <c r="A2028" s="11" t="s">
        <v>4607</v>
      </c>
      <c r="B2028" s="11" t="s">
        <v>60</v>
      </c>
      <c r="C2028" s="11" t="s">
        <v>62</v>
      </c>
      <c r="D2028" s="12" t="s">
        <v>7228</v>
      </c>
      <c r="E2028" s="11" t="s">
        <v>203</v>
      </c>
      <c r="F2028" s="11" t="s">
        <v>204</v>
      </c>
      <c r="G2028" s="12" t="s">
        <v>7301</v>
      </c>
      <c r="H2028" s="13" t="s">
        <v>7302</v>
      </c>
      <c r="I2028" s="11" t="s">
        <v>65</v>
      </c>
      <c r="J2028" s="14">
        <v>1</v>
      </c>
      <c r="K2028" s="14" t="s">
        <v>7226</v>
      </c>
      <c r="L2028" s="14" t="s">
        <v>7303</v>
      </c>
      <c r="M2028" s="15" t="s">
        <v>7231</v>
      </c>
      <c r="N2028" s="15" t="s">
        <v>208</v>
      </c>
      <c r="O2028" s="15" t="s">
        <v>7304</v>
      </c>
      <c r="P2028" s="15" t="s">
        <v>7305</v>
      </c>
      <c r="Q2028" s="15" t="s">
        <v>211</v>
      </c>
      <c r="R2028" s="16" t="s">
        <v>54</v>
      </c>
      <c r="S2028" s="12" t="s">
        <v>2818</v>
      </c>
      <c r="T2028" s="14" t="s">
        <v>55</v>
      </c>
    </row>
    <row r="2029" spans="1:20" ht="16.5">
      <c r="A2029" s="17" t="s">
        <v>4607</v>
      </c>
      <c r="B2029" s="17" t="s">
        <v>60</v>
      </c>
      <c r="C2029" s="17" t="s">
        <v>62</v>
      </c>
      <c r="D2029" s="18" t="s">
        <v>7228</v>
      </c>
      <c r="E2029" s="17" t="s">
        <v>203</v>
      </c>
      <c r="F2029" s="17" t="s">
        <v>204</v>
      </c>
      <c r="G2029" s="18" t="s">
        <v>7306</v>
      </c>
      <c r="H2029" s="20" t="s">
        <v>7307</v>
      </c>
      <c r="I2029" s="17" t="s">
        <v>65</v>
      </c>
      <c r="J2029" s="21">
        <v>1</v>
      </c>
      <c r="K2029" s="21" t="s">
        <v>7226</v>
      </c>
      <c r="L2029" s="21" t="s">
        <v>7308</v>
      </c>
      <c r="M2029" s="19" t="s">
        <v>7231</v>
      </c>
      <c r="N2029" s="19" t="s">
        <v>208</v>
      </c>
      <c r="O2029" s="19" t="s">
        <v>7309</v>
      </c>
      <c r="P2029" s="19" t="s">
        <v>7310</v>
      </c>
      <c r="Q2029" s="19" t="s">
        <v>211</v>
      </c>
      <c r="R2029" s="16" t="s">
        <v>54</v>
      </c>
      <c r="S2029" s="18" t="s">
        <v>2818</v>
      </c>
      <c r="T2029" s="21" t="s">
        <v>55</v>
      </c>
    </row>
    <row r="2030" spans="1:20" ht="16.5">
      <c r="A2030" s="11" t="s">
        <v>4607</v>
      </c>
      <c r="B2030" s="11" t="s">
        <v>60</v>
      </c>
      <c r="C2030" s="11" t="s">
        <v>62</v>
      </c>
      <c r="D2030" s="12" t="s">
        <v>7228</v>
      </c>
      <c r="E2030" s="11" t="s">
        <v>203</v>
      </c>
      <c r="F2030" s="11" t="s">
        <v>204</v>
      </c>
      <c r="G2030" s="12" t="s">
        <v>7311</v>
      </c>
      <c r="H2030" s="13" t="s">
        <v>7312</v>
      </c>
      <c r="I2030" s="11" t="s">
        <v>65</v>
      </c>
      <c r="J2030" s="14">
        <v>1</v>
      </c>
      <c r="K2030" s="14" t="s">
        <v>7226</v>
      </c>
      <c r="L2030" s="14" t="s">
        <v>7313</v>
      </c>
      <c r="M2030" s="15" t="s">
        <v>7231</v>
      </c>
      <c r="N2030" s="15" t="s">
        <v>208</v>
      </c>
      <c r="O2030" s="15" t="s">
        <v>7314</v>
      </c>
      <c r="P2030" s="15" t="s">
        <v>7315</v>
      </c>
      <c r="Q2030" s="15" t="s">
        <v>211</v>
      </c>
      <c r="R2030" s="16" t="s">
        <v>54</v>
      </c>
      <c r="S2030" s="12" t="s">
        <v>2818</v>
      </c>
      <c r="T2030" s="14" t="s">
        <v>55</v>
      </c>
    </row>
    <row r="2031" spans="1:20" ht="16.5">
      <c r="A2031" s="17" t="s">
        <v>4607</v>
      </c>
      <c r="B2031" s="17" t="s">
        <v>60</v>
      </c>
      <c r="C2031" s="17" t="s">
        <v>62</v>
      </c>
      <c r="D2031" s="18" t="s">
        <v>7228</v>
      </c>
      <c r="E2031" s="17" t="s">
        <v>203</v>
      </c>
      <c r="F2031" s="17" t="s">
        <v>204</v>
      </c>
      <c r="G2031" s="18" t="s">
        <v>7316</v>
      </c>
      <c r="H2031" s="20" t="s">
        <v>7317</v>
      </c>
      <c r="I2031" s="17" t="s">
        <v>65</v>
      </c>
      <c r="J2031" s="21">
        <v>1</v>
      </c>
      <c r="K2031" s="21" t="s">
        <v>7226</v>
      </c>
      <c r="L2031" s="21" t="s">
        <v>7318</v>
      </c>
      <c r="M2031" s="19" t="s">
        <v>7231</v>
      </c>
      <c r="N2031" s="19" t="s">
        <v>208</v>
      </c>
      <c r="O2031" s="19" t="s">
        <v>7319</v>
      </c>
      <c r="P2031" s="19" t="s">
        <v>7320</v>
      </c>
      <c r="Q2031" s="19" t="s">
        <v>211</v>
      </c>
      <c r="R2031" s="16" t="s">
        <v>54</v>
      </c>
      <c r="S2031" s="18" t="s">
        <v>2818</v>
      </c>
      <c r="T2031" s="21" t="s">
        <v>55</v>
      </c>
    </row>
    <row r="2032" spans="1:20" ht="29.25">
      <c r="A2032" s="11" t="s">
        <v>4607</v>
      </c>
      <c r="B2032" s="11" t="s">
        <v>60</v>
      </c>
      <c r="C2032" s="11" t="s">
        <v>62</v>
      </c>
      <c r="D2032" s="12" t="s">
        <v>7240</v>
      </c>
      <c r="E2032" s="11" t="s">
        <v>203</v>
      </c>
      <c r="F2032" s="11" t="s">
        <v>204</v>
      </c>
      <c r="G2032" s="12" t="s">
        <v>7321</v>
      </c>
      <c r="H2032" s="13" t="s">
        <v>7322</v>
      </c>
      <c r="I2032" s="11" t="s">
        <v>65</v>
      </c>
      <c r="J2032" s="14">
        <v>1</v>
      </c>
      <c r="K2032" s="14" t="s">
        <v>7226</v>
      </c>
      <c r="L2032" s="14" t="s">
        <v>7323</v>
      </c>
      <c r="M2032" s="15" t="s">
        <v>7243</v>
      </c>
      <c r="N2032" s="15" t="s">
        <v>208</v>
      </c>
      <c r="O2032" s="15" t="s">
        <v>7324</v>
      </c>
      <c r="P2032" s="15" t="s">
        <v>7325</v>
      </c>
      <c r="Q2032" s="15" t="s">
        <v>211</v>
      </c>
      <c r="R2032" s="16" t="s">
        <v>54</v>
      </c>
      <c r="S2032" s="12" t="s">
        <v>2818</v>
      </c>
      <c r="T2032" s="14" t="s">
        <v>55</v>
      </c>
    </row>
    <row r="2033" spans="1:20" ht="16.5">
      <c r="A2033" s="17" t="s">
        <v>4607</v>
      </c>
      <c r="B2033" s="17" t="s">
        <v>60</v>
      </c>
      <c r="C2033" s="17" t="s">
        <v>62</v>
      </c>
      <c r="D2033" s="18" t="s">
        <v>7260</v>
      </c>
      <c r="E2033" s="17" t="s">
        <v>203</v>
      </c>
      <c r="F2033" s="17" t="s">
        <v>204</v>
      </c>
      <c r="G2033" s="18" t="s">
        <v>7326</v>
      </c>
      <c r="H2033" s="20" t="s">
        <v>7327</v>
      </c>
      <c r="I2033" s="17" t="s">
        <v>65</v>
      </c>
      <c r="J2033" s="21">
        <v>1</v>
      </c>
      <c r="K2033" s="21" t="s">
        <v>7226</v>
      </c>
      <c r="L2033" s="21" t="s">
        <v>7328</v>
      </c>
      <c r="M2033" s="19" t="s">
        <v>7263</v>
      </c>
      <c r="N2033" s="19" t="s">
        <v>208</v>
      </c>
      <c r="O2033" s="19" t="s">
        <v>7329</v>
      </c>
      <c r="P2033" s="19" t="s">
        <v>7330</v>
      </c>
      <c r="Q2033" s="19" t="s">
        <v>211</v>
      </c>
      <c r="R2033" s="16" t="s">
        <v>54</v>
      </c>
      <c r="S2033" s="18" t="s">
        <v>2818</v>
      </c>
      <c r="T2033" s="21" t="s">
        <v>55</v>
      </c>
    </row>
    <row r="2034" spans="1:20" ht="16.5">
      <c r="A2034" s="11" t="s">
        <v>4607</v>
      </c>
      <c r="B2034" s="11" t="s">
        <v>60</v>
      </c>
      <c r="C2034" s="11" t="s">
        <v>62</v>
      </c>
      <c r="D2034" s="12" t="s">
        <v>7260</v>
      </c>
      <c r="E2034" s="11" t="s">
        <v>203</v>
      </c>
      <c r="F2034" s="11" t="s">
        <v>204</v>
      </c>
      <c r="G2034" s="12" t="s">
        <v>7331</v>
      </c>
      <c r="H2034" s="13" t="s">
        <v>7332</v>
      </c>
      <c r="I2034" s="11" t="s">
        <v>65</v>
      </c>
      <c r="J2034" s="14">
        <v>1</v>
      </c>
      <c r="K2034" s="14" t="s">
        <v>7226</v>
      </c>
      <c r="L2034" s="14" t="s">
        <v>7333</v>
      </c>
      <c r="M2034" s="15" t="s">
        <v>7263</v>
      </c>
      <c r="N2034" s="15" t="s">
        <v>208</v>
      </c>
      <c r="O2034" s="15" t="s">
        <v>7334</v>
      </c>
      <c r="P2034" s="15" t="s">
        <v>7335</v>
      </c>
      <c r="Q2034" s="15" t="s">
        <v>211</v>
      </c>
      <c r="R2034" s="16" t="s">
        <v>54</v>
      </c>
      <c r="S2034" s="12" t="s">
        <v>2818</v>
      </c>
      <c r="T2034" s="14" t="s">
        <v>55</v>
      </c>
    </row>
    <row r="2035" spans="1:20" ht="16.5">
      <c r="A2035" s="17" t="s">
        <v>4607</v>
      </c>
      <c r="B2035" s="17" t="s">
        <v>60</v>
      </c>
      <c r="C2035" s="17" t="s">
        <v>62</v>
      </c>
      <c r="D2035" s="18" t="s">
        <v>7260</v>
      </c>
      <c r="E2035" s="17" t="s">
        <v>203</v>
      </c>
      <c r="F2035" s="17" t="s">
        <v>204</v>
      </c>
      <c r="G2035" s="18" t="s">
        <v>7336</v>
      </c>
      <c r="H2035" s="20" t="s">
        <v>7337</v>
      </c>
      <c r="I2035" s="17" t="s">
        <v>65</v>
      </c>
      <c r="J2035" s="21">
        <v>1</v>
      </c>
      <c r="K2035" s="21" t="s">
        <v>7226</v>
      </c>
      <c r="L2035" s="21" t="s">
        <v>7338</v>
      </c>
      <c r="M2035" s="19" t="s">
        <v>7263</v>
      </c>
      <c r="N2035" s="19" t="s">
        <v>208</v>
      </c>
      <c r="O2035" s="19" t="s">
        <v>7339</v>
      </c>
      <c r="P2035" s="19" t="s">
        <v>7340</v>
      </c>
      <c r="Q2035" s="19" t="s">
        <v>211</v>
      </c>
      <c r="R2035" s="16" t="s">
        <v>54</v>
      </c>
      <c r="S2035" s="18" t="s">
        <v>2818</v>
      </c>
      <c r="T2035" s="21" t="s">
        <v>55</v>
      </c>
    </row>
    <row r="2036" spans="1:20" ht="16.5">
      <c r="A2036" s="11" t="s">
        <v>4607</v>
      </c>
      <c r="B2036" s="11" t="s">
        <v>60</v>
      </c>
      <c r="C2036" s="11" t="s">
        <v>62</v>
      </c>
      <c r="D2036" s="12" t="s">
        <v>7281</v>
      </c>
      <c r="E2036" s="11" t="s">
        <v>203</v>
      </c>
      <c r="F2036" s="11" t="s">
        <v>204</v>
      </c>
      <c r="G2036" s="12" t="s">
        <v>7341</v>
      </c>
      <c r="H2036" s="13" t="s">
        <v>7342</v>
      </c>
      <c r="I2036" s="11" t="s">
        <v>65</v>
      </c>
      <c r="J2036" s="14">
        <v>1</v>
      </c>
      <c r="K2036" s="14" t="s">
        <v>7226</v>
      </c>
      <c r="L2036" s="14" t="s">
        <v>7343</v>
      </c>
      <c r="M2036" s="15" t="s">
        <v>7284</v>
      </c>
      <c r="N2036" s="15" t="s">
        <v>208</v>
      </c>
      <c r="O2036" s="15" t="s">
        <v>7344</v>
      </c>
      <c r="P2036" s="15" t="s">
        <v>7345</v>
      </c>
      <c r="Q2036" s="15" t="s">
        <v>211</v>
      </c>
      <c r="R2036" s="16" t="s">
        <v>54</v>
      </c>
      <c r="S2036" s="12" t="s">
        <v>2818</v>
      </c>
      <c r="T2036" s="14" t="s">
        <v>55</v>
      </c>
    </row>
    <row r="2037" spans="1:20" ht="16.5">
      <c r="A2037" s="17" t="s">
        <v>4607</v>
      </c>
      <c r="B2037" s="17" t="s">
        <v>60</v>
      </c>
      <c r="C2037" s="17" t="s">
        <v>62</v>
      </c>
      <c r="D2037" s="18" t="s">
        <v>7228</v>
      </c>
      <c r="E2037" s="17" t="s">
        <v>203</v>
      </c>
      <c r="F2037" s="17" t="s">
        <v>295</v>
      </c>
      <c r="G2037" s="18" t="s">
        <v>5401</v>
      </c>
      <c r="H2037" s="20" t="s">
        <v>7346</v>
      </c>
      <c r="I2037" s="17" t="s">
        <v>65</v>
      </c>
      <c r="J2037" s="21">
        <v>1</v>
      </c>
      <c r="K2037" s="21" t="s">
        <v>7226</v>
      </c>
      <c r="L2037" s="21" t="s">
        <v>7347</v>
      </c>
      <c r="M2037" s="19" t="s">
        <v>7231</v>
      </c>
      <c r="N2037" s="19" t="s">
        <v>208</v>
      </c>
      <c r="O2037" s="19" t="s">
        <v>5403</v>
      </c>
      <c r="P2037" s="19"/>
      <c r="Q2037" s="18" t="s">
        <v>286</v>
      </c>
      <c r="R2037" s="22" t="s">
        <v>88</v>
      </c>
      <c r="S2037" s="18" t="s">
        <v>2818</v>
      </c>
      <c r="T2037" s="21" t="s">
        <v>55</v>
      </c>
    </row>
    <row r="2038" spans="1:20" ht="16.5">
      <c r="A2038" s="11" t="s">
        <v>4607</v>
      </c>
      <c r="B2038" s="11" t="s">
        <v>311</v>
      </c>
      <c r="C2038" s="11" t="s">
        <v>204</v>
      </c>
      <c r="D2038" s="12" t="s">
        <v>7296</v>
      </c>
      <c r="E2038" s="11" t="s">
        <v>312</v>
      </c>
      <c r="F2038" s="14" t="s">
        <v>313</v>
      </c>
      <c r="G2038" s="15" t="s">
        <v>7348</v>
      </c>
      <c r="H2038" s="23" t="s">
        <v>7349</v>
      </c>
      <c r="I2038" s="11" t="s">
        <v>65</v>
      </c>
      <c r="J2038" s="14">
        <v>1</v>
      </c>
      <c r="K2038" s="14" t="s">
        <v>7226</v>
      </c>
      <c r="L2038" s="14" t="s">
        <v>7350</v>
      </c>
      <c r="M2038" s="15" t="s">
        <v>7299</v>
      </c>
      <c r="N2038" s="15" t="s">
        <v>316</v>
      </c>
      <c r="O2038" s="15" t="s">
        <v>7351</v>
      </c>
      <c r="P2038" s="15" t="s">
        <v>7348</v>
      </c>
      <c r="Q2038" s="15" t="s">
        <v>211</v>
      </c>
      <c r="R2038" s="16" t="s">
        <v>54</v>
      </c>
      <c r="S2038" s="12" t="s">
        <v>2818</v>
      </c>
      <c r="T2038" s="14" t="s">
        <v>55</v>
      </c>
    </row>
    <row r="2039" spans="1:20" ht="16.5">
      <c r="A2039" s="17" t="s">
        <v>4607</v>
      </c>
      <c r="B2039" s="17" t="s">
        <v>311</v>
      </c>
      <c r="C2039" s="17" t="s">
        <v>204</v>
      </c>
      <c r="D2039" s="18" t="s">
        <v>7296</v>
      </c>
      <c r="E2039" s="17" t="s">
        <v>312</v>
      </c>
      <c r="F2039" s="21" t="s">
        <v>313</v>
      </c>
      <c r="G2039" s="19" t="s">
        <v>7352</v>
      </c>
      <c r="H2039" s="24" t="s">
        <v>7353</v>
      </c>
      <c r="I2039" s="17" t="s">
        <v>65</v>
      </c>
      <c r="J2039" s="21">
        <v>1</v>
      </c>
      <c r="K2039" s="21" t="s">
        <v>7226</v>
      </c>
      <c r="L2039" s="21" t="s">
        <v>7354</v>
      </c>
      <c r="M2039" s="19" t="s">
        <v>7299</v>
      </c>
      <c r="N2039" s="19" t="s">
        <v>316</v>
      </c>
      <c r="O2039" s="19" t="s">
        <v>7355</v>
      </c>
      <c r="P2039" s="19" t="s">
        <v>7352</v>
      </c>
      <c r="Q2039" s="19" t="s">
        <v>211</v>
      </c>
      <c r="R2039" s="16" t="s">
        <v>54</v>
      </c>
      <c r="S2039" s="18" t="s">
        <v>2818</v>
      </c>
      <c r="T2039" s="21" t="s">
        <v>55</v>
      </c>
    </row>
    <row r="2040" spans="1:20" ht="16.5">
      <c r="A2040" s="11" t="s">
        <v>4607</v>
      </c>
      <c r="B2040" s="11" t="s">
        <v>311</v>
      </c>
      <c r="C2040" s="11" t="s">
        <v>204</v>
      </c>
      <c r="D2040" s="12" t="s">
        <v>7301</v>
      </c>
      <c r="E2040" s="11" t="s">
        <v>312</v>
      </c>
      <c r="F2040" s="14" t="s">
        <v>313</v>
      </c>
      <c r="G2040" s="15" t="s">
        <v>7356</v>
      </c>
      <c r="H2040" s="23" t="s">
        <v>7357</v>
      </c>
      <c r="I2040" s="11" t="s">
        <v>65</v>
      </c>
      <c r="J2040" s="14">
        <v>1</v>
      </c>
      <c r="K2040" s="14" t="s">
        <v>7226</v>
      </c>
      <c r="L2040" s="14" t="s">
        <v>7358</v>
      </c>
      <c r="M2040" s="15" t="s">
        <v>7304</v>
      </c>
      <c r="N2040" s="15" t="s">
        <v>316</v>
      </c>
      <c r="O2040" s="15" t="s">
        <v>7359</v>
      </c>
      <c r="P2040" s="15" t="s">
        <v>7356</v>
      </c>
      <c r="Q2040" s="15" t="s">
        <v>211</v>
      </c>
      <c r="R2040" s="16" t="s">
        <v>54</v>
      </c>
      <c r="S2040" s="12" t="s">
        <v>2818</v>
      </c>
      <c r="T2040" s="14" t="s">
        <v>55</v>
      </c>
    </row>
    <row r="2041" spans="1:20" ht="16.5">
      <c r="A2041" s="17" t="s">
        <v>4607</v>
      </c>
      <c r="B2041" s="17" t="s">
        <v>311</v>
      </c>
      <c r="C2041" s="17" t="s">
        <v>204</v>
      </c>
      <c r="D2041" s="18" t="s">
        <v>7301</v>
      </c>
      <c r="E2041" s="17" t="s">
        <v>312</v>
      </c>
      <c r="F2041" s="21" t="s">
        <v>313</v>
      </c>
      <c r="G2041" s="19" t="s">
        <v>7360</v>
      </c>
      <c r="H2041" s="24" t="s">
        <v>7361</v>
      </c>
      <c r="I2041" s="17" t="s">
        <v>65</v>
      </c>
      <c r="J2041" s="21">
        <v>1</v>
      </c>
      <c r="K2041" s="21" t="s">
        <v>7226</v>
      </c>
      <c r="L2041" s="21" t="s">
        <v>7362</v>
      </c>
      <c r="M2041" s="19" t="s">
        <v>7304</v>
      </c>
      <c r="N2041" s="19" t="s">
        <v>316</v>
      </c>
      <c r="O2041" s="19" t="s">
        <v>7363</v>
      </c>
      <c r="P2041" s="19" t="s">
        <v>7360</v>
      </c>
      <c r="Q2041" s="19" t="s">
        <v>211</v>
      </c>
      <c r="R2041" s="16" t="s">
        <v>54</v>
      </c>
      <c r="S2041" s="18" t="s">
        <v>2818</v>
      </c>
      <c r="T2041" s="21" t="s">
        <v>55</v>
      </c>
    </row>
    <row r="2042" spans="1:20" ht="16.5">
      <c r="A2042" s="11" t="s">
        <v>4607</v>
      </c>
      <c r="B2042" s="11" t="s">
        <v>311</v>
      </c>
      <c r="C2042" s="11" t="s">
        <v>204</v>
      </c>
      <c r="D2042" s="12" t="s">
        <v>7306</v>
      </c>
      <c r="E2042" s="11" t="s">
        <v>312</v>
      </c>
      <c r="F2042" s="14" t="s">
        <v>313</v>
      </c>
      <c r="G2042" s="15" t="s">
        <v>7364</v>
      </c>
      <c r="H2042" s="23" t="s">
        <v>7365</v>
      </c>
      <c r="I2042" s="11" t="s">
        <v>65</v>
      </c>
      <c r="J2042" s="14">
        <v>1</v>
      </c>
      <c r="K2042" s="14" t="s">
        <v>7226</v>
      </c>
      <c r="L2042" s="14" t="s">
        <v>7366</v>
      </c>
      <c r="M2042" s="15" t="s">
        <v>7309</v>
      </c>
      <c r="N2042" s="15" t="s">
        <v>316</v>
      </c>
      <c r="O2042" s="15" t="s">
        <v>7367</v>
      </c>
      <c r="P2042" s="15" t="s">
        <v>7364</v>
      </c>
      <c r="Q2042" s="15" t="s">
        <v>211</v>
      </c>
      <c r="R2042" s="16" t="s">
        <v>54</v>
      </c>
      <c r="S2042" s="12" t="s">
        <v>2818</v>
      </c>
      <c r="T2042" s="14" t="s">
        <v>55</v>
      </c>
    </row>
    <row r="2043" spans="1:20" ht="16.5">
      <c r="A2043" s="17" t="s">
        <v>4607</v>
      </c>
      <c r="B2043" s="17" t="s">
        <v>311</v>
      </c>
      <c r="C2043" s="17" t="s">
        <v>204</v>
      </c>
      <c r="D2043" s="18" t="s">
        <v>7306</v>
      </c>
      <c r="E2043" s="17" t="s">
        <v>312</v>
      </c>
      <c r="F2043" s="21" t="s">
        <v>313</v>
      </c>
      <c r="G2043" s="19" t="s">
        <v>7368</v>
      </c>
      <c r="H2043" s="24" t="s">
        <v>7369</v>
      </c>
      <c r="I2043" s="17" t="s">
        <v>65</v>
      </c>
      <c r="J2043" s="21">
        <v>1</v>
      </c>
      <c r="K2043" s="21" t="s">
        <v>7226</v>
      </c>
      <c r="L2043" s="21" t="s">
        <v>7370</v>
      </c>
      <c r="M2043" s="19" t="s">
        <v>7309</v>
      </c>
      <c r="N2043" s="19" t="s">
        <v>316</v>
      </c>
      <c r="O2043" s="19" t="s">
        <v>7371</v>
      </c>
      <c r="P2043" s="19" t="s">
        <v>7368</v>
      </c>
      <c r="Q2043" s="19" t="s">
        <v>211</v>
      </c>
      <c r="R2043" s="16" t="s">
        <v>54</v>
      </c>
      <c r="S2043" s="18" t="s">
        <v>2818</v>
      </c>
      <c r="T2043" s="21" t="s">
        <v>55</v>
      </c>
    </row>
    <row r="2044" spans="1:20" ht="16.5">
      <c r="A2044" s="11" t="s">
        <v>4607</v>
      </c>
      <c r="B2044" s="11" t="s">
        <v>311</v>
      </c>
      <c r="C2044" s="11" t="s">
        <v>204</v>
      </c>
      <c r="D2044" s="12" t="s">
        <v>7311</v>
      </c>
      <c r="E2044" s="11" t="s">
        <v>312</v>
      </c>
      <c r="F2044" s="14" t="s">
        <v>313</v>
      </c>
      <c r="G2044" s="15" t="s">
        <v>7372</v>
      </c>
      <c r="H2044" s="23" t="s">
        <v>7373</v>
      </c>
      <c r="I2044" s="11" t="s">
        <v>65</v>
      </c>
      <c r="J2044" s="14">
        <v>1</v>
      </c>
      <c r="K2044" s="14" t="s">
        <v>7226</v>
      </c>
      <c r="L2044" s="14" t="s">
        <v>7374</v>
      </c>
      <c r="M2044" s="15" t="s">
        <v>7314</v>
      </c>
      <c r="N2044" s="15" t="s">
        <v>316</v>
      </c>
      <c r="O2044" s="15" t="s">
        <v>7375</v>
      </c>
      <c r="P2044" s="15" t="s">
        <v>7372</v>
      </c>
      <c r="Q2044" s="15" t="s">
        <v>211</v>
      </c>
      <c r="R2044" s="16" t="s">
        <v>54</v>
      </c>
      <c r="S2044" s="12" t="s">
        <v>2818</v>
      </c>
      <c r="T2044" s="14" t="s">
        <v>55</v>
      </c>
    </row>
    <row r="2045" spans="1:20" ht="16.5">
      <c r="A2045" s="17" t="s">
        <v>4607</v>
      </c>
      <c r="B2045" s="17" t="s">
        <v>311</v>
      </c>
      <c r="C2045" s="17" t="s">
        <v>204</v>
      </c>
      <c r="D2045" s="18" t="s">
        <v>7311</v>
      </c>
      <c r="E2045" s="17" t="s">
        <v>312</v>
      </c>
      <c r="F2045" s="21" t="s">
        <v>313</v>
      </c>
      <c r="G2045" s="19" t="s">
        <v>7376</v>
      </c>
      <c r="H2045" s="24" t="s">
        <v>7377</v>
      </c>
      <c r="I2045" s="17" t="s">
        <v>65</v>
      </c>
      <c r="J2045" s="21">
        <v>1</v>
      </c>
      <c r="K2045" s="21" t="s">
        <v>7226</v>
      </c>
      <c r="L2045" s="21" t="s">
        <v>7378</v>
      </c>
      <c r="M2045" s="19" t="s">
        <v>7314</v>
      </c>
      <c r="N2045" s="19" t="s">
        <v>316</v>
      </c>
      <c r="O2045" s="19" t="s">
        <v>7379</v>
      </c>
      <c r="P2045" s="19" t="s">
        <v>7376</v>
      </c>
      <c r="Q2045" s="19" t="s">
        <v>211</v>
      </c>
      <c r="R2045" s="16" t="s">
        <v>54</v>
      </c>
      <c r="S2045" s="18" t="s">
        <v>2818</v>
      </c>
      <c r="T2045" s="21" t="s">
        <v>55</v>
      </c>
    </row>
    <row r="2046" spans="1:20" ht="16.5">
      <c r="A2046" s="11" t="s">
        <v>4607</v>
      </c>
      <c r="B2046" s="11" t="s">
        <v>311</v>
      </c>
      <c r="C2046" s="11" t="s">
        <v>204</v>
      </c>
      <c r="D2046" s="12" t="s">
        <v>7316</v>
      </c>
      <c r="E2046" s="11" t="s">
        <v>312</v>
      </c>
      <c r="F2046" s="14" t="s">
        <v>313</v>
      </c>
      <c r="G2046" s="15" t="s">
        <v>7380</v>
      </c>
      <c r="H2046" s="23" t="s">
        <v>7381</v>
      </c>
      <c r="I2046" s="11" t="s">
        <v>65</v>
      </c>
      <c r="J2046" s="14">
        <v>1</v>
      </c>
      <c r="K2046" s="14" t="s">
        <v>7226</v>
      </c>
      <c r="L2046" s="14" t="s">
        <v>7382</v>
      </c>
      <c r="M2046" s="15" t="s">
        <v>7319</v>
      </c>
      <c r="N2046" s="15" t="s">
        <v>316</v>
      </c>
      <c r="O2046" s="15" t="s">
        <v>7383</v>
      </c>
      <c r="P2046" s="15" t="s">
        <v>7380</v>
      </c>
      <c r="Q2046" s="15" t="s">
        <v>211</v>
      </c>
      <c r="R2046" s="16" t="s">
        <v>54</v>
      </c>
      <c r="S2046" s="12" t="s">
        <v>2818</v>
      </c>
      <c r="T2046" s="14" t="s">
        <v>55</v>
      </c>
    </row>
    <row r="2047" spans="1:20" ht="16.5">
      <c r="A2047" s="17" t="s">
        <v>4607</v>
      </c>
      <c r="B2047" s="17" t="s">
        <v>311</v>
      </c>
      <c r="C2047" s="17" t="s">
        <v>204</v>
      </c>
      <c r="D2047" s="18" t="s">
        <v>7316</v>
      </c>
      <c r="E2047" s="17" t="s">
        <v>312</v>
      </c>
      <c r="F2047" s="21" t="s">
        <v>313</v>
      </c>
      <c r="G2047" s="19" t="s">
        <v>7384</v>
      </c>
      <c r="H2047" s="24" t="s">
        <v>7385</v>
      </c>
      <c r="I2047" s="17" t="s">
        <v>65</v>
      </c>
      <c r="J2047" s="21">
        <v>1</v>
      </c>
      <c r="K2047" s="21" t="s">
        <v>7226</v>
      </c>
      <c r="L2047" s="21" t="s">
        <v>7386</v>
      </c>
      <c r="M2047" s="19" t="s">
        <v>7319</v>
      </c>
      <c r="N2047" s="19" t="s">
        <v>316</v>
      </c>
      <c r="O2047" s="19" t="s">
        <v>7387</v>
      </c>
      <c r="P2047" s="19" t="s">
        <v>7384</v>
      </c>
      <c r="Q2047" s="19" t="s">
        <v>211</v>
      </c>
      <c r="R2047" s="16" t="s">
        <v>54</v>
      </c>
      <c r="S2047" s="18" t="s">
        <v>2818</v>
      </c>
      <c r="T2047" s="21" t="s">
        <v>55</v>
      </c>
    </row>
    <row r="2048" spans="1:20" ht="16.5">
      <c r="A2048" s="11" t="s">
        <v>4607</v>
      </c>
      <c r="B2048" s="11" t="s">
        <v>311</v>
      </c>
      <c r="C2048" s="11" t="s">
        <v>204</v>
      </c>
      <c r="D2048" s="12" t="s">
        <v>7321</v>
      </c>
      <c r="E2048" s="11" t="s">
        <v>312</v>
      </c>
      <c r="F2048" s="14" t="s">
        <v>313</v>
      </c>
      <c r="G2048" s="15" t="s">
        <v>7325</v>
      </c>
      <c r="H2048" s="23" t="s">
        <v>7388</v>
      </c>
      <c r="I2048" s="11" t="s">
        <v>65</v>
      </c>
      <c r="J2048" s="14">
        <v>1</v>
      </c>
      <c r="K2048" s="14" t="s">
        <v>7226</v>
      </c>
      <c r="L2048" s="14" t="s">
        <v>7389</v>
      </c>
      <c r="M2048" s="15" t="s">
        <v>7324</v>
      </c>
      <c r="N2048" s="15" t="s">
        <v>316</v>
      </c>
      <c r="O2048" s="15" t="s">
        <v>7390</v>
      </c>
      <c r="P2048" s="15" t="s">
        <v>7325</v>
      </c>
      <c r="Q2048" s="15" t="s">
        <v>211</v>
      </c>
      <c r="R2048" s="16" t="s">
        <v>54</v>
      </c>
      <c r="S2048" s="12" t="s">
        <v>2818</v>
      </c>
      <c r="T2048" s="14" t="s">
        <v>55</v>
      </c>
    </row>
    <row r="2049" spans="1:20" ht="16.5">
      <c r="A2049" s="17" t="s">
        <v>4607</v>
      </c>
      <c r="B2049" s="17" t="s">
        <v>311</v>
      </c>
      <c r="C2049" s="17" t="s">
        <v>204</v>
      </c>
      <c r="D2049" s="18" t="s">
        <v>7326</v>
      </c>
      <c r="E2049" s="17" t="s">
        <v>312</v>
      </c>
      <c r="F2049" s="21" t="s">
        <v>313</v>
      </c>
      <c r="G2049" s="19" t="s">
        <v>7330</v>
      </c>
      <c r="H2049" s="24" t="s">
        <v>7391</v>
      </c>
      <c r="I2049" s="17" t="s">
        <v>65</v>
      </c>
      <c r="J2049" s="21">
        <v>1</v>
      </c>
      <c r="K2049" s="21" t="s">
        <v>7226</v>
      </c>
      <c r="L2049" s="21" t="s">
        <v>7392</v>
      </c>
      <c r="M2049" s="19" t="s">
        <v>7329</v>
      </c>
      <c r="N2049" s="19" t="s">
        <v>316</v>
      </c>
      <c r="O2049" s="19" t="s">
        <v>7393</v>
      </c>
      <c r="P2049" s="19" t="s">
        <v>7330</v>
      </c>
      <c r="Q2049" s="19" t="s">
        <v>211</v>
      </c>
      <c r="R2049" s="16" t="s">
        <v>54</v>
      </c>
      <c r="S2049" s="18" t="s">
        <v>2818</v>
      </c>
      <c r="T2049" s="21" t="s">
        <v>55</v>
      </c>
    </row>
    <row r="2050" spans="1:20" ht="16.5">
      <c r="A2050" s="11" t="s">
        <v>4607</v>
      </c>
      <c r="B2050" s="11" t="s">
        <v>311</v>
      </c>
      <c r="C2050" s="11" t="s">
        <v>204</v>
      </c>
      <c r="D2050" s="12" t="s">
        <v>7331</v>
      </c>
      <c r="E2050" s="11" t="s">
        <v>312</v>
      </c>
      <c r="F2050" s="14" t="s">
        <v>313</v>
      </c>
      <c r="G2050" s="15" t="s">
        <v>7335</v>
      </c>
      <c r="H2050" s="23" t="s">
        <v>7394</v>
      </c>
      <c r="I2050" s="11" t="s">
        <v>65</v>
      </c>
      <c r="J2050" s="14">
        <v>1</v>
      </c>
      <c r="K2050" s="14" t="s">
        <v>7226</v>
      </c>
      <c r="L2050" s="14" t="s">
        <v>7395</v>
      </c>
      <c r="M2050" s="15" t="s">
        <v>7334</v>
      </c>
      <c r="N2050" s="15" t="s">
        <v>316</v>
      </c>
      <c r="O2050" s="15" t="s">
        <v>7396</v>
      </c>
      <c r="P2050" s="15" t="s">
        <v>7335</v>
      </c>
      <c r="Q2050" s="15" t="s">
        <v>211</v>
      </c>
      <c r="R2050" s="16" t="s">
        <v>54</v>
      </c>
      <c r="S2050" s="12" t="s">
        <v>2818</v>
      </c>
      <c r="T2050" s="14" t="s">
        <v>55</v>
      </c>
    </row>
    <row r="2051" spans="1:20" ht="16.5">
      <c r="A2051" s="17" t="s">
        <v>4607</v>
      </c>
      <c r="B2051" s="17" t="s">
        <v>311</v>
      </c>
      <c r="C2051" s="17" t="s">
        <v>204</v>
      </c>
      <c r="D2051" s="18" t="s">
        <v>7336</v>
      </c>
      <c r="E2051" s="17" t="s">
        <v>312</v>
      </c>
      <c r="F2051" s="21" t="s">
        <v>313</v>
      </c>
      <c r="G2051" s="19" t="s">
        <v>7340</v>
      </c>
      <c r="H2051" s="24" t="s">
        <v>7397</v>
      </c>
      <c r="I2051" s="17" t="s">
        <v>65</v>
      </c>
      <c r="J2051" s="21">
        <v>1</v>
      </c>
      <c r="K2051" s="21" t="s">
        <v>7226</v>
      </c>
      <c r="L2051" s="21" t="s">
        <v>7398</v>
      </c>
      <c r="M2051" s="19" t="s">
        <v>7339</v>
      </c>
      <c r="N2051" s="19" t="s">
        <v>316</v>
      </c>
      <c r="O2051" s="19" t="s">
        <v>7399</v>
      </c>
      <c r="P2051" s="19" t="s">
        <v>7340</v>
      </c>
      <c r="Q2051" s="19" t="s">
        <v>211</v>
      </c>
      <c r="R2051" s="16" t="s">
        <v>54</v>
      </c>
      <c r="S2051" s="18" t="s">
        <v>2818</v>
      </c>
      <c r="T2051" s="21" t="s">
        <v>55</v>
      </c>
    </row>
    <row r="2052" spans="1:20" ht="16.5">
      <c r="A2052" s="11" t="s">
        <v>4607</v>
      </c>
      <c r="B2052" s="11" t="s">
        <v>311</v>
      </c>
      <c r="C2052" s="11" t="s">
        <v>204</v>
      </c>
      <c r="D2052" s="12" t="s">
        <v>7341</v>
      </c>
      <c r="E2052" s="11" t="s">
        <v>312</v>
      </c>
      <c r="F2052" s="14" t="s">
        <v>313</v>
      </c>
      <c r="G2052" s="15" t="s">
        <v>7400</v>
      </c>
      <c r="H2052" s="23" t="s">
        <v>7401</v>
      </c>
      <c r="I2052" s="11" t="s">
        <v>65</v>
      </c>
      <c r="J2052" s="14">
        <v>1</v>
      </c>
      <c r="K2052" s="14" t="s">
        <v>7226</v>
      </c>
      <c r="L2052" s="14" t="s">
        <v>7402</v>
      </c>
      <c r="M2052" s="15" t="s">
        <v>7344</v>
      </c>
      <c r="N2052" s="15" t="s">
        <v>316</v>
      </c>
      <c r="O2052" s="15" t="s">
        <v>7403</v>
      </c>
      <c r="P2052" s="15" t="s">
        <v>7400</v>
      </c>
      <c r="Q2052" s="15" t="s">
        <v>211</v>
      </c>
      <c r="R2052" s="16" t="s">
        <v>54</v>
      </c>
      <c r="S2052" s="12" t="s">
        <v>2818</v>
      </c>
      <c r="T2052" s="14" t="s">
        <v>55</v>
      </c>
    </row>
    <row r="2053" spans="1:20" ht="16.5">
      <c r="A2053" s="17" t="s">
        <v>4607</v>
      </c>
      <c r="B2053" s="17" t="s">
        <v>311</v>
      </c>
      <c r="C2053" s="17" t="s">
        <v>204</v>
      </c>
      <c r="D2053" s="18" t="s">
        <v>7341</v>
      </c>
      <c r="E2053" s="17" t="s">
        <v>312</v>
      </c>
      <c r="F2053" s="21" t="s">
        <v>313</v>
      </c>
      <c r="G2053" s="19" t="s">
        <v>7404</v>
      </c>
      <c r="H2053" s="24" t="s">
        <v>7405</v>
      </c>
      <c r="I2053" s="17" t="s">
        <v>65</v>
      </c>
      <c r="J2053" s="21">
        <v>1</v>
      </c>
      <c r="K2053" s="21" t="s">
        <v>7226</v>
      </c>
      <c r="L2053" s="21" t="s">
        <v>7406</v>
      </c>
      <c r="M2053" s="19" t="s">
        <v>7344</v>
      </c>
      <c r="N2053" s="19" t="s">
        <v>316</v>
      </c>
      <c r="O2053" s="19" t="s">
        <v>7407</v>
      </c>
      <c r="P2053" s="19" t="s">
        <v>7404</v>
      </c>
      <c r="Q2053" s="19" t="s">
        <v>211</v>
      </c>
      <c r="R2053" s="16" t="s">
        <v>54</v>
      </c>
      <c r="S2053" s="18" t="s">
        <v>2818</v>
      </c>
      <c r="T2053" s="21" t="s">
        <v>55</v>
      </c>
    </row>
    <row r="2054" spans="1:20" ht="16.5">
      <c r="A2054" s="11" t="s">
        <v>4607</v>
      </c>
      <c r="B2054" s="11" t="s">
        <v>578</v>
      </c>
      <c r="C2054" s="11" t="s">
        <v>300</v>
      </c>
      <c r="D2054" s="12" t="s">
        <v>5340</v>
      </c>
      <c r="E2054" s="11" t="s">
        <v>579</v>
      </c>
      <c r="F2054" s="11" t="s">
        <v>62</v>
      </c>
      <c r="G2054" s="12" t="s">
        <v>7228</v>
      </c>
      <c r="H2054" s="13" t="s">
        <v>7408</v>
      </c>
      <c r="I2054" s="11" t="s">
        <v>645</v>
      </c>
      <c r="J2054" s="14">
        <v>1</v>
      </c>
      <c r="K2054" s="14" t="s">
        <v>7226</v>
      </c>
      <c r="L2054" s="14" t="s">
        <v>7409</v>
      </c>
      <c r="M2054" s="15" t="s">
        <v>5342</v>
      </c>
      <c r="N2054" s="15" t="s">
        <v>583</v>
      </c>
      <c r="O2054" s="15" t="s">
        <v>7231</v>
      </c>
      <c r="P2054" s="15"/>
      <c r="Q2054" s="12" t="s">
        <v>606</v>
      </c>
      <c r="R2054" s="25" t="s">
        <v>607</v>
      </c>
      <c r="S2054" s="12" t="s">
        <v>2818</v>
      </c>
      <c r="T2054" s="14" t="s">
        <v>55</v>
      </c>
    </row>
    <row r="2055" spans="1:20" ht="16.5">
      <c r="A2055" s="17" t="s">
        <v>4607</v>
      </c>
      <c r="B2055" s="17" t="s">
        <v>578</v>
      </c>
      <c r="C2055" s="17" t="s">
        <v>62</v>
      </c>
      <c r="D2055" s="18" t="s">
        <v>7228</v>
      </c>
      <c r="E2055" s="17" t="s">
        <v>635</v>
      </c>
      <c r="F2055" s="17" t="s">
        <v>300</v>
      </c>
      <c r="G2055" s="18" t="s">
        <v>7410</v>
      </c>
      <c r="H2055" s="24" t="s">
        <v>584</v>
      </c>
      <c r="I2055" s="17" t="s">
        <v>7211</v>
      </c>
      <c r="J2055" s="21">
        <v>1</v>
      </c>
      <c r="K2055" s="21" t="s">
        <v>7226</v>
      </c>
      <c r="L2055" s="21" t="s">
        <v>7411</v>
      </c>
      <c r="M2055" s="19" t="s">
        <v>7231</v>
      </c>
      <c r="N2055" s="19" t="s">
        <v>640</v>
      </c>
      <c r="O2055" s="19" t="s">
        <v>7412</v>
      </c>
      <c r="P2055" s="19"/>
      <c r="Q2055" s="18" t="s">
        <v>53</v>
      </c>
      <c r="R2055" s="16" t="s">
        <v>54</v>
      </c>
      <c r="S2055" s="18" t="s">
        <v>2818</v>
      </c>
      <c r="T2055" s="21" t="s">
        <v>55</v>
      </c>
    </row>
    <row r="2056" spans="1:20" ht="16.5">
      <c r="A2056" s="11" t="s">
        <v>4607</v>
      </c>
      <c r="B2056" s="11" t="s">
        <v>578</v>
      </c>
      <c r="C2056" s="11" t="s">
        <v>300</v>
      </c>
      <c r="D2056" s="12" t="s">
        <v>7410</v>
      </c>
      <c r="E2056" s="11" t="s">
        <v>579</v>
      </c>
      <c r="F2056" s="11" t="s">
        <v>62</v>
      </c>
      <c r="G2056" s="12" t="s">
        <v>7240</v>
      </c>
      <c r="H2056" s="13" t="s">
        <v>7413</v>
      </c>
      <c r="I2056" s="11" t="s">
        <v>2141</v>
      </c>
      <c r="J2056" s="14">
        <v>1</v>
      </c>
      <c r="K2056" s="14" t="s">
        <v>7226</v>
      </c>
      <c r="L2056" s="14" t="s">
        <v>7414</v>
      </c>
      <c r="M2056" s="15" t="s">
        <v>7412</v>
      </c>
      <c r="N2056" s="15" t="s">
        <v>583</v>
      </c>
      <c r="O2056" s="15" t="s">
        <v>7243</v>
      </c>
      <c r="P2056" s="15"/>
      <c r="Q2056" s="12" t="s">
        <v>53</v>
      </c>
      <c r="R2056" s="16" t="s">
        <v>54</v>
      </c>
      <c r="S2056" s="12" t="s">
        <v>2818</v>
      </c>
      <c r="T2056" s="14" t="s">
        <v>55</v>
      </c>
    </row>
    <row r="2057" spans="1:20" ht="16.5">
      <c r="A2057" s="17" t="s">
        <v>4607</v>
      </c>
      <c r="B2057" s="17" t="s">
        <v>578</v>
      </c>
      <c r="C2057" s="17" t="s">
        <v>300</v>
      </c>
      <c r="D2057" s="18" t="s">
        <v>1018</v>
      </c>
      <c r="E2057" s="17" t="s">
        <v>579</v>
      </c>
      <c r="F2057" s="17" t="s">
        <v>62</v>
      </c>
      <c r="G2057" s="18" t="s">
        <v>7260</v>
      </c>
      <c r="H2057" s="24" t="s">
        <v>584</v>
      </c>
      <c r="I2057" s="17" t="s">
        <v>1246</v>
      </c>
      <c r="J2057" s="21">
        <v>1</v>
      </c>
      <c r="K2057" s="21" t="s">
        <v>7226</v>
      </c>
      <c r="L2057" s="21" t="s">
        <v>7415</v>
      </c>
      <c r="M2057" s="19" t="s">
        <v>1021</v>
      </c>
      <c r="N2057" s="19" t="s">
        <v>583</v>
      </c>
      <c r="O2057" s="19" t="s">
        <v>7263</v>
      </c>
      <c r="P2057" s="19"/>
      <c r="Q2057" s="18" t="s">
        <v>53</v>
      </c>
      <c r="R2057" s="16" t="s">
        <v>54</v>
      </c>
      <c r="S2057" s="18" t="s">
        <v>2818</v>
      </c>
      <c r="T2057" s="21" t="s">
        <v>55</v>
      </c>
    </row>
    <row r="2058" spans="1:20" ht="16.5">
      <c r="A2058" s="11" t="s">
        <v>4607</v>
      </c>
      <c r="B2058" s="11" t="s">
        <v>578</v>
      </c>
      <c r="C2058" s="11" t="s">
        <v>62</v>
      </c>
      <c r="D2058" s="12" t="s">
        <v>7260</v>
      </c>
      <c r="E2058" s="11" t="s">
        <v>635</v>
      </c>
      <c r="F2058" s="11" t="s">
        <v>300</v>
      </c>
      <c r="G2058" s="12" t="s">
        <v>4990</v>
      </c>
      <c r="H2058" s="23" t="s">
        <v>584</v>
      </c>
      <c r="I2058" s="11" t="s">
        <v>1246</v>
      </c>
      <c r="J2058" s="14">
        <v>1</v>
      </c>
      <c r="K2058" s="14" t="s">
        <v>7226</v>
      </c>
      <c r="L2058" s="14" t="s">
        <v>7416</v>
      </c>
      <c r="M2058" s="15" t="s">
        <v>7263</v>
      </c>
      <c r="N2058" s="15" t="s">
        <v>640</v>
      </c>
      <c r="O2058" s="15" t="s">
        <v>4993</v>
      </c>
      <c r="P2058" s="15"/>
      <c r="Q2058" s="12" t="s">
        <v>53</v>
      </c>
      <c r="R2058" s="16" t="s">
        <v>54</v>
      </c>
      <c r="S2058" s="12" t="s">
        <v>2818</v>
      </c>
      <c r="T2058" s="14" t="s">
        <v>55</v>
      </c>
    </row>
    <row r="2059" spans="1:20" ht="16.5">
      <c r="A2059" s="17" t="s">
        <v>4607</v>
      </c>
      <c r="B2059" s="17" t="s">
        <v>578</v>
      </c>
      <c r="C2059" s="17" t="s">
        <v>300</v>
      </c>
      <c r="D2059" s="18" t="s">
        <v>4990</v>
      </c>
      <c r="E2059" s="17" t="s">
        <v>579</v>
      </c>
      <c r="F2059" s="17" t="s">
        <v>62</v>
      </c>
      <c r="G2059" s="18" t="s">
        <v>4654</v>
      </c>
      <c r="H2059" s="20" t="s">
        <v>7417</v>
      </c>
      <c r="I2059" s="17" t="s">
        <v>1015</v>
      </c>
      <c r="J2059" s="21">
        <v>1</v>
      </c>
      <c r="K2059" s="21" t="s">
        <v>7226</v>
      </c>
      <c r="L2059" s="21" t="s">
        <v>7418</v>
      </c>
      <c r="M2059" s="19" t="s">
        <v>4993</v>
      </c>
      <c r="N2059" s="19" t="s">
        <v>583</v>
      </c>
      <c r="O2059" s="19" t="s">
        <v>4657</v>
      </c>
      <c r="P2059" s="19"/>
      <c r="Q2059" s="18" t="s">
        <v>649</v>
      </c>
      <c r="R2059" s="22" t="s">
        <v>88</v>
      </c>
      <c r="S2059" s="18" t="s">
        <v>2818</v>
      </c>
      <c r="T2059" s="21" t="s">
        <v>55</v>
      </c>
    </row>
    <row r="2060" spans="1:20" ht="16.5">
      <c r="A2060" s="11" t="s">
        <v>4607</v>
      </c>
      <c r="B2060" s="11" t="s">
        <v>578</v>
      </c>
      <c r="C2060" s="11" t="s">
        <v>62</v>
      </c>
      <c r="D2060" s="12" t="s">
        <v>7281</v>
      </c>
      <c r="E2060" s="11" t="s">
        <v>45</v>
      </c>
      <c r="F2060" s="11" t="s">
        <v>62</v>
      </c>
      <c r="G2060" s="12" t="s">
        <v>6985</v>
      </c>
      <c r="H2060" s="13" t="s">
        <v>7419</v>
      </c>
      <c r="I2060" s="11" t="s">
        <v>645</v>
      </c>
      <c r="J2060" s="14">
        <v>1</v>
      </c>
      <c r="K2060" s="14" t="s">
        <v>7226</v>
      </c>
      <c r="L2060" s="14" t="s">
        <v>7420</v>
      </c>
      <c r="M2060" s="15" t="s">
        <v>7284</v>
      </c>
      <c r="N2060" s="15" t="s">
        <v>51</v>
      </c>
      <c r="O2060" s="15" t="s">
        <v>6988</v>
      </c>
      <c r="P2060" s="15"/>
      <c r="Q2060" s="12" t="s">
        <v>649</v>
      </c>
      <c r="R2060" s="22" t="s">
        <v>88</v>
      </c>
      <c r="S2060" s="12" t="s">
        <v>2818</v>
      </c>
      <c r="T2060" s="14" t="s">
        <v>55</v>
      </c>
    </row>
    <row r="2061" spans="1:20" ht="16.5">
      <c r="A2061" s="17" t="s">
        <v>4607</v>
      </c>
      <c r="B2061" s="17" t="s">
        <v>650</v>
      </c>
      <c r="C2061" s="17" t="s">
        <v>204</v>
      </c>
      <c r="D2061" s="18" t="s">
        <v>7336</v>
      </c>
      <c r="E2061" s="17" t="s">
        <v>505</v>
      </c>
      <c r="F2061" s="17" t="s">
        <v>204</v>
      </c>
      <c r="G2061" s="18" t="s">
        <v>4938</v>
      </c>
      <c r="H2061" s="20" t="s">
        <v>7421</v>
      </c>
      <c r="I2061" s="17" t="s">
        <v>3644</v>
      </c>
      <c r="J2061" s="21">
        <v>1</v>
      </c>
      <c r="K2061" s="21" t="s">
        <v>7226</v>
      </c>
      <c r="L2061" s="21" t="s">
        <v>7422</v>
      </c>
      <c r="M2061" s="19" t="s">
        <v>7339</v>
      </c>
      <c r="N2061" s="19" t="s">
        <v>509</v>
      </c>
      <c r="O2061" s="19" t="s">
        <v>4941</v>
      </c>
      <c r="P2061" s="19" t="s">
        <v>7340</v>
      </c>
      <c r="Q2061" s="18" t="s">
        <v>286</v>
      </c>
      <c r="R2061" s="22" t="s">
        <v>88</v>
      </c>
      <c r="S2061" s="18" t="s">
        <v>2818</v>
      </c>
      <c r="T2061" s="21" t="s">
        <v>55</v>
      </c>
    </row>
    <row r="2062" spans="1:20" ht="16.5">
      <c r="A2062" s="11" t="s">
        <v>4607</v>
      </c>
      <c r="B2062" s="11" t="s">
        <v>650</v>
      </c>
      <c r="C2062" s="11" t="s">
        <v>204</v>
      </c>
      <c r="D2062" s="12" t="s">
        <v>7331</v>
      </c>
      <c r="E2062" s="11" t="s">
        <v>654</v>
      </c>
      <c r="F2062" s="11" t="s">
        <v>204</v>
      </c>
      <c r="G2062" s="12" t="s">
        <v>4944</v>
      </c>
      <c r="H2062" s="23" t="s">
        <v>584</v>
      </c>
      <c r="I2062" s="11" t="s">
        <v>652</v>
      </c>
      <c r="J2062" s="14">
        <v>2</v>
      </c>
      <c r="K2062" s="14" t="s">
        <v>7226</v>
      </c>
      <c r="L2062" s="14" t="s">
        <v>7423</v>
      </c>
      <c r="M2062" s="15" t="s">
        <v>7334</v>
      </c>
      <c r="N2062" s="15" t="s">
        <v>657</v>
      </c>
      <c r="O2062" s="15" t="s">
        <v>4947</v>
      </c>
      <c r="P2062" s="15" t="s">
        <v>7335</v>
      </c>
      <c r="Q2062" s="12" t="s">
        <v>286</v>
      </c>
      <c r="R2062" s="22" t="s">
        <v>88</v>
      </c>
      <c r="S2062" s="12" t="s">
        <v>2818</v>
      </c>
      <c r="T2062" s="14" t="s">
        <v>55</v>
      </c>
    </row>
    <row r="2063" spans="1:20" ht="16.5">
      <c r="A2063" s="17" t="s">
        <v>4607</v>
      </c>
      <c r="B2063" s="17" t="s">
        <v>650</v>
      </c>
      <c r="C2063" s="17" t="s">
        <v>204</v>
      </c>
      <c r="D2063" s="18" t="s">
        <v>7296</v>
      </c>
      <c r="E2063" s="17" t="s">
        <v>505</v>
      </c>
      <c r="F2063" s="17" t="s">
        <v>295</v>
      </c>
      <c r="G2063" s="18" t="s">
        <v>5401</v>
      </c>
      <c r="H2063" s="24" t="s">
        <v>584</v>
      </c>
      <c r="I2063" s="17" t="s">
        <v>652</v>
      </c>
      <c r="J2063" s="21">
        <v>1</v>
      </c>
      <c r="K2063" s="21" t="s">
        <v>7226</v>
      </c>
      <c r="L2063" s="21" t="s">
        <v>7424</v>
      </c>
      <c r="M2063" s="19" t="s">
        <v>7299</v>
      </c>
      <c r="N2063" s="19" t="s">
        <v>509</v>
      </c>
      <c r="O2063" s="19" t="s">
        <v>5403</v>
      </c>
      <c r="P2063" s="19" t="s">
        <v>7300</v>
      </c>
      <c r="Q2063" s="18" t="s">
        <v>286</v>
      </c>
      <c r="R2063" s="22" t="s">
        <v>88</v>
      </c>
      <c r="S2063" s="18" t="s">
        <v>2818</v>
      </c>
      <c r="T2063" s="21" t="s">
        <v>55</v>
      </c>
    </row>
    <row r="2064" spans="1:20" ht="16.5">
      <c r="A2064" s="11" t="s">
        <v>708</v>
      </c>
      <c r="B2064" s="11" t="s">
        <v>43</v>
      </c>
      <c r="C2064" s="11" t="s">
        <v>44</v>
      </c>
      <c r="D2064" s="12" t="s">
        <v>708</v>
      </c>
      <c r="E2064" s="11" t="s">
        <v>45</v>
      </c>
      <c r="F2064" s="11" t="s">
        <v>44</v>
      </c>
      <c r="G2064" s="12" t="s">
        <v>3136</v>
      </c>
      <c r="H2064" s="13" t="s">
        <v>7425</v>
      </c>
      <c r="I2064" s="11" t="s">
        <v>43</v>
      </c>
      <c r="J2064" s="14">
        <v>1</v>
      </c>
      <c r="K2064" s="14" t="s">
        <v>7426</v>
      </c>
      <c r="L2064" s="14" t="s">
        <v>7427</v>
      </c>
      <c r="M2064" s="15" t="s">
        <v>711</v>
      </c>
      <c r="N2064" s="15" t="s">
        <v>51</v>
      </c>
      <c r="O2064" s="15" t="s">
        <v>3139</v>
      </c>
      <c r="P2064" s="15"/>
      <c r="Q2064" s="12" t="s">
        <v>53</v>
      </c>
      <c r="R2064" s="22" t="s">
        <v>88</v>
      </c>
      <c r="S2064" s="15"/>
      <c r="T2064" s="14" t="s">
        <v>55</v>
      </c>
    </row>
    <row r="2065" spans="1:20" ht="16.5">
      <c r="A2065" s="17" t="s">
        <v>708</v>
      </c>
      <c r="B2065" s="17" t="s">
        <v>60</v>
      </c>
      <c r="C2065" s="17" t="s">
        <v>44</v>
      </c>
      <c r="D2065" s="18" t="s">
        <v>708</v>
      </c>
      <c r="E2065" s="17" t="s">
        <v>61</v>
      </c>
      <c r="F2065" s="17" t="s">
        <v>62</v>
      </c>
      <c r="G2065" s="18" t="s">
        <v>7428</v>
      </c>
      <c r="H2065" s="20" t="s">
        <v>7429</v>
      </c>
      <c r="I2065" s="17" t="s">
        <v>65</v>
      </c>
      <c r="J2065" s="21">
        <v>1</v>
      </c>
      <c r="K2065" s="21" t="s">
        <v>7426</v>
      </c>
      <c r="L2065" s="21" t="s">
        <v>7430</v>
      </c>
      <c r="M2065" s="19" t="s">
        <v>711</v>
      </c>
      <c r="N2065" s="19" t="s">
        <v>67</v>
      </c>
      <c r="O2065" s="19" t="s">
        <v>7431</v>
      </c>
      <c r="P2065" s="19"/>
      <c r="Q2065" s="18" t="s">
        <v>69</v>
      </c>
      <c r="R2065" s="16" t="s">
        <v>54</v>
      </c>
      <c r="S2065" s="18" t="s">
        <v>2818</v>
      </c>
      <c r="T2065" s="21" t="s">
        <v>55</v>
      </c>
    </row>
    <row r="2066" spans="1:20" ht="16.5">
      <c r="A2066" s="11" t="s">
        <v>708</v>
      </c>
      <c r="B2066" s="11" t="s">
        <v>60</v>
      </c>
      <c r="C2066" s="11" t="s">
        <v>62</v>
      </c>
      <c r="D2066" s="12" t="s">
        <v>7428</v>
      </c>
      <c r="E2066" s="11" t="s">
        <v>71</v>
      </c>
      <c r="F2066" s="11" t="s">
        <v>72</v>
      </c>
      <c r="G2066" s="12" t="s">
        <v>7432</v>
      </c>
      <c r="H2066" s="13" t="s">
        <v>7433</v>
      </c>
      <c r="I2066" s="11" t="s">
        <v>65</v>
      </c>
      <c r="J2066" s="14">
        <v>1</v>
      </c>
      <c r="K2066" s="14" t="s">
        <v>7426</v>
      </c>
      <c r="L2066" s="14" t="s">
        <v>7434</v>
      </c>
      <c r="M2066" s="15" t="s">
        <v>7431</v>
      </c>
      <c r="N2066" s="15" t="s">
        <v>76</v>
      </c>
      <c r="O2066" s="15" t="s">
        <v>7435</v>
      </c>
      <c r="P2066" s="15"/>
      <c r="Q2066" s="12" t="s">
        <v>69</v>
      </c>
      <c r="R2066" s="16" t="s">
        <v>54</v>
      </c>
      <c r="S2066" s="12" t="s">
        <v>2818</v>
      </c>
      <c r="T2066" s="14" t="s">
        <v>55</v>
      </c>
    </row>
    <row r="2067" spans="1:20" ht="16.5">
      <c r="A2067" s="17" t="s">
        <v>708</v>
      </c>
      <c r="B2067" s="17" t="s">
        <v>60</v>
      </c>
      <c r="C2067" s="17" t="s">
        <v>62</v>
      </c>
      <c r="D2067" s="18" t="s">
        <v>7428</v>
      </c>
      <c r="E2067" s="17" t="s">
        <v>71</v>
      </c>
      <c r="F2067" s="17" t="s">
        <v>72</v>
      </c>
      <c r="G2067" s="18" t="s">
        <v>7436</v>
      </c>
      <c r="H2067" s="20" t="s">
        <v>7433</v>
      </c>
      <c r="I2067" s="17" t="s">
        <v>65</v>
      </c>
      <c r="J2067" s="21">
        <v>1</v>
      </c>
      <c r="K2067" s="21" t="s">
        <v>7426</v>
      </c>
      <c r="L2067" s="21" t="s">
        <v>7437</v>
      </c>
      <c r="M2067" s="19" t="s">
        <v>7431</v>
      </c>
      <c r="N2067" s="19" t="s">
        <v>76</v>
      </c>
      <c r="O2067" s="19" t="s">
        <v>7438</v>
      </c>
      <c r="P2067" s="19"/>
      <c r="Q2067" s="18" t="s">
        <v>69</v>
      </c>
      <c r="R2067" s="16" t="s">
        <v>54</v>
      </c>
      <c r="S2067" s="18" t="s">
        <v>2818</v>
      </c>
      <c r="T2067" s="21" t="s">
        <v>55</v>
      </c>
    </row>
    <row r="2068" spans="1:20" ht="16.5">
      <c r="A2068" s="11" t="s">
        <v>708</v>
      </c>
      <c r="B2068" s="11" t="s">
        <v>60</v>
      </c>
      <c r="C2068" s="11" t="s">
        <v>62</v>
      </c>
      <c r="D2068" s="12" t="s">
        <v>7428</v>
      </c>
      <c r="E2068" s="11" t="s">
        <v>71</v>
      </c>
      <c r="F2068" s="11" t="s">
        <v>72</v>
      </c>
      <c r="G2068" s="12" t="s">
        <v>7439</v>
      </c>
      <c r="H2068" s="13" t="s">
        <v>7433</v>
      </c>
      <c r="I2068" s="11" t="s">
        <v>65</v>
      </c>
      <c r="J2068" s="14">
        <v>1</v>
      </c>
      <c r="K2068" s="14" t="s">
        <v>7426</v>
      </c>
      <c r="L2068" s="14" t="s">
        <v>7440</v>
      </c>
      <c r="M2068" s="15" t="s">
        <v>7431</v>
      </c>
      <c r="N2068" s="15" t="s">
        <v>76</v>
      </c>
      <c r="O2068" s="15" t="s">
        <v>7441</v>
      </c>
      <c r="P2068" s="15"/>
      <c r="Q2068" s="12" t="s">
        <v>69</v>
      </c>
      <c r="R2068" s="16" t="s">
        <v>54</v>
      </c>
      <c r="S2068" s="12" t="s">
        <v>2818</v>
      </c>
      <c r="T2068" s="14" t="s">
        <v>55</v>
      </c>
    </row>
    <row r="2069" spans="1:20" ht="16.5">
      <c r="A2069" s="17" t="s">
        <v>708</v>
      </c>
      <c r="B2069" s="17" t="s">
        <v>60</v>
      </c>
      <c r="C2069" s="17" t="s">
        <v>62</v>
      </c>
      <c r="D2069" s="18" t="s">
        <v>7428</v>
      </c>
      <c r="E2069" s="17" t="s">
        <v>81</v>
      </c>
      <c r="F2069" s="17" t="s">
        <v>82</v>
      </c>
      <c r="G2069" s="18" t="s">
        <v>7442</v>
      </c>
      <c r="H2069" s="20" t="s">
        <v>7443</v>
      </c>
      <c r="I2069" s="17" t="s">
        <v>65</v>
      </c>
      <c r="J2069" s="21">
        <v>1</v>
      </c>
      <c r="K2069" s="21" t="s">
        <v>7426</v>
      </c>
      <c r="L2069" s="21" t="s">
        <v>7444</v>
      </c>
      <c r="M2069" s="19" t="s">
        <v>7431</v>
      </c>
      <c r="N2069" s="19" t="s">
        <v>86</v>
      </c>
      <c r="O2069" s="19" t="s">
        <v>7445</v>
      </c>
      <c r="P2069" s="19"/>
      <c r="Q2069" s="18" t="s">
        <v>53</v>
      </c>
      <c r="R2069" s="22" t="s">
        <v>88</v>
      </c>
      <c r="S2069" s="18" t="s">
        <v>2818</v>
      </c>
      <c r="T2069" s="21" t="s">
        <v>55</v>
      </c>
    </row>
    <row r="2070" spans="1:20" ht="16.5">
      <c r="A2070" s="11" t="s">
        <v>708</v>
      </c>
      <c r="B2070" s="11" t="s">
        <v>60</v>
      </c>
      <c r="C2070" s="11" t="s">
        <v>62</v>
      </c>
      <c r="D2070" s="12" t="s">
        <v>7428</v>
      </c>
      <c r="E2070" s="11" t="s">
        <v>81</v>
      </c>
      <c r="F2070" s="11" t="s">
        <v>82</v>
      </c>
      <c r="G2070" s="12" t="s">
        <v>7446</v>
      </c>
      <c r="H2070" s="13" t="s">
        <v>7447</v>
      </c>
      <c r="I2070" s="11" t="s">
        <v>65</v>
      </c>
      <c r="J2070" s="14">
        <v>1</v>
      </c>
      <c r="K2070" s="14" t="s">
        <v>7426</v>
      </c>
      <c r="L2070" s="14" t="s">
        <v>7448</v>
      </c>
      <c r="M2070" s="15" t="s">
        <v>7431</v>
      </c>
      <c r="N2070" s="15" t="s">
        <v>86</v>
      </c>
      <c r="O2070" s="15" t="s">
        <v>7449</v>
      </c>
      <c r="P2070" s="15"/>
      <c r="Q2070" s="12" t="s">
        <v>53</v>
      </c>
      <c r="R2070" s="22" t="s">
        <v>88</v>
      </c>
      <c r="S2070" s="12" t="s">
        <v>2818</v>
      </c>
      <c r="T2070" s="14" t="s">
        <v>55</v>
      </c>
    </row>
    <row r="2071" spans="1:20" ht="16.5">
      <c r="A2071" s="17" t="s">
        <v>708</v>
      </c>
      <c r="B2071" s="17" t="s">
        <v>60</v>
      </c>
      <c r="C2071" s="17" t="s">
        <v>62</v>
      </c>
      <c r="D2071" s="18" t="s">
        <v>7428</v>
      </c>
      <c r="E2071" s="17" t="s">
        <v>81</v>
      </c>
      <c r="F2071" s="17" t="s">
        <v>82</v>
      </c>
      <c r="G2071" s="18" t="s">
        <v>7450</v>
      </c>
      <c r="H2071" s="20" t="s">
        <v>7451</v>
      </c>
      <c r="I2071" s="17" t="s">
        <v>65</v>
      </c>
      <c r="J2071" s="21">
        <v>1</v>
      </c>
      <c r="K2071" s="21" t="s">
        <v>7426</v>
      </c>
      <c r="L2071" s="21" t="s">
        <v>7452</v>
      </c>
      <c r="M2071" s="19" t="s">
        <v>7431</v>
      </c>
      <c r="N2071" s="19" t="s">
        <v>86</v>
      </c>
      <c r="O2071" s="19" t="s">
        <v>7453</v>
      </c>
      <c r="P2071" s="19"/>
      <c r="Q2071" s="18" t="s">
        <v>53</v>
      </c>
      <c r="R2071" s="22" t="s">
        <v>88</v>
      </c>
      <c r="S2071" s="18" t="s">
        <v>2818</v>
      </c>
      <c r="T2071" s="21" t="s">
        <v>55</v>
      </c>
    </row>
    <row r="2072" spans="1:20" ht="16.5">
      <c r="A2072" s="11" t="s">
        <v>708</v>
      </c>
      <c r="B2072" s="11" t="s">
        <v>60</v>
      </c>
      <c r="C2072" s="11" t="s">
        <v>44</v>
      </c>
      <c r="D2072" s="12" t="s">
        <v>708</v>
      </c>
      <c r="E2072" s="11" t="s">
        <v>61</v>
      </c>
      <c r="F2072" s="11" t="s">
        <v>62</v>
      </c>
      <c r="G2072" s="12" t="s">
        <v>7454</v>
      </c>
      <c r="H2072" s="13" t="s">
        <v>7455</v>
      </c>
      <c r="I2072" s="11" t="s">
        <v>65</v>
      </c>
      <c r="J2072" s="14">
        <v>1</v>
      </c>
      <c r="K2072" s="14" t="s">
        <v>7426</v>
      </c>
      <c r="L2072" s="14" t="s">
        <v>7456</v>
      </c>
      <c r="M2072" s="15" t="s">
        <v>711</v>
      </c>
      <c r="N2072" s="15" t="s">
        <v>67</v>
      </c>
      <c r="O2072" s="15" t="s">
        <v>7457</v>
      </c>
      <c r="P2072" s="15"/>
      <c r="Q2072" s="12" t="s">
        <v>69</v>
      </c>
      <c r="R2072" s="16" t="s">
        <v>54</v>
      </c>
      <c r="S2072" s="12" t="s">
        <v>2818</v>
      </c>
      <c r="T2072" s="14" t="s">
        <v>55</v>
      </c>
    </row>
    <row r="2073" spans="1:20" ht="16.5">
      <c r="A2073" s="17" t="s">
        <v>708</v>
      </c>
      <c r="B2073" s="17" t="s">
        <v>60</v>
      </c>
      <c r="C2073" s="17" t="s">
        <v>62</v>
      </c>
      <c r="D2073" s="18" t="s">
        <v>7454</v>
      </c>
      <c r="E2073" s="17" t="s">
        <v>71</v>
      </c>
      <c r="F2073" s="17" t="s">
        <v>72</v>
      </c>
      <c r="G2073" s="18" t="s">
        <v>7458</v>
      </c>
      <c r="H2073" s="20" t="s">
        <v>7459</v>
      </c>
      <c r="I2073" s="17" t="s">
        <v>65</v>
      </c>
      <c r="J2073" s="21">
        <v>1</v>
      </c>
      <c r="K2073" s="21" t="s">
        <v>7426</v>
      </c>
      <c r="L2073" s="21" t="s">
        <v>7460</v>
      </c>
      <c r="M2073" s="19" t="s">
        <v>7457</v>
      </c>
      <c r="N2073" s="19" t="s">
        <v>76</v>
      </c>
      <c r="O2073" s="19" t="s">
        <v>7461</v>
      </c>
      <c r="P2073" s="19"/>
      <c r="Q2073" s="18" t="s">
        <v>69</v>
      </c>
      <c r="R2073" s="16" t="s">
        <v>54</v>
      </c>
      <c r="S2073" s="18" t="s">
        <v>2818</v>
      </c>
      <c r="T2073" s="21" t="s">
        <v>55</v>
      </c>
    </row>
    <row r="2074" spans="1:20" ht="16.5">
      <c r="A2074" s="11" t="s">
        <v>708</v>
      </c>
      <c r="B2074" s="11" t="s">
        <v>60</v>
      </c>
      <c r="C2074" s="11" t="s">
        <v>62</v>
      </c>
      <c r="D2074" s="12" t="s">
        <v>7454</v>
      </c>
      <c r="E2074" s="11" t="s">
        <v>71</v>
      </c>
      <c r="F2074" s="11" t="s">
        <v>72</v>
      </c>
      <c r="G2074" s="12" t="s">
        <v>7462</v>
      </c>
      <c r="H2074" s="13" t="s">
        <v>7459</v>
      </c>
      <c r="I2074" s="11" t="s">
        <v>65</v>
      </c>
      <c r="J2074" s="14">
        <v>1</v>
      </c>
      <c r="K2074" s="14" t="s">
        <v>7426</v>
      </c>
      <c r="L2074" s="14" t="s">
        <v>7463</v>
      </c>
      <c r="M2074" s="15" t="s">
        <v>7457</v>
      </c>
      <c r="N2074" s="15" t="s">
        <v>76</v>
      </c>
      <c r="O2074" s="15" t="s">
        <v>7464</v>
      </c>
      <c r="P2074" s="15"/>
      <c r="Q2074" s="12" t="s">
        <v>69</v>
      </c>
      <c r="R2074" s="16" t="s">
        <v>54</v>
      </c>
      <c r="S2074" s="12" t="s">
        <v>2818</v>
      </c>
      <c r="T2074" s="14" t="s">
        <v>55</v>
      </c>
    </row>
    <row r="2075" spans="1:20" ht="16.5">
      <c r="A2075" s="17" t="s">
        <v>708</v>
      </c>
      <c r="B2075" s="17" t="s">
        <v>60</v>
      </c>
      <c r="C2075" s="17" t="s">
        <v>62</v>
      </c>
      <c r="D2075" s="18" t="s">
        <v>7454</v>
      </c>
      <c r="E2075" s="17" t="s">
        <v>81</v>
      </c>
      <c r="F2075" s="17" t="s">
        <v>82</v>
      </c>
      <c r="G2075" s="18" t="s">
        <v>7465</v>
      </c>
      <c r="H2075" s="20" t="s">
        <v>7466</v>
      </c>
      <c r="I2075" s="17" t="s">
        <v>65</v>
      </c>
      <c r="J2075" s="21">
        <v>1</v>
      </c>
      <c r="K2075" s="21" t="s">
        <v>7426</v>
      </c>
      <c r="L2075" s="21" t="s">
        <v>7467</v>
      </c>
      <c r="M2075" s="19" t="s">
        <v>7457</v>
      </c>
      <c r="N2075" s="19" t="s">
        <v>86</v>
      </c>
      <c r="O2075" s="19" t="s">
        <v>7468</v>
      </c>
      <c r="P2075" s="19"/>
      <c r="Q2075" s="18" t="s">
        <v>53</v>
      </c>
      <c r="R2075" s="22" t="s">
        <v>88</v>
      </c>
      <c r="S2075" s="18" t="s">
        <v>2818</v>
      </c>
      <c r="T2075" s="21" t="s">
        <v>55</v>
      </c>
    </row>
    <row r="2076" spans="1:20" ht="16.5">
      <c r="A2076" s="11" t="s">
        <v>708</v>
      </c>
      <c r="B2076" s="11" t="s">
        <v>60</v>
      </c>
      <c r="C2076" s="11" t="s">
        <v>62</v>
      </c>
      <c r="D2076" s="12" t="s">
        <v>7454</v>
      </c>
      <c r="E2076" s="11" t="s">
        <v>81</v>
      </c>
      <c r="F2076" s="11" t="s">
        <v>82</v>
      </c>
      <c r="G2076" s="12" t="s">
        <v>7469</v>
      </c>
      <c r="H2076" s="13" t="s">
        <v>7470</v>
      </c>
      <c r="I2076" s="11" t="s">
        <v>65</v>
      </c>
      <c r="J2076" s="14">
        <v>1</v>
      </c>
      <c r="K2076" s="14" t="s">
        <v>7426</v>
      </c>
      <c r="L2076" s="14" t="s">
        <v>7471</v>
      </c>
      <c r="M2076" s="15" t="s">
        <v>7457</v>
      </c>
      <c r="N2076" s="15" t="s">
        <v>86</v>
      </c>
      <c r="O2076" s="15" t="s">
        <v>7472</v>
      </c>
      <c r="P2076" s="15"/>
      <c r="Q2076" s="12" t="s">
        <v>53</v>
      </c>
      <c r="R2076" s="22" t="s">
        <v>88</v>
      </c>
      <c r="S2076" s="12" t="s">
        <v>2818</v>
      </c>
      <c r="T2076" s="14" t="s">
        <v>55</v>
      </c>
    </row>
    <row r="2077" spans="1:20" ht="16.5">
      <c r="A2077" s="17" t="s">
        <v>708</v>
      </c>
      <c r="B2077" s="17" t="s">
        <v>60</v>
      </c>
      <c r="C2077" s="17" t="s">
        <v>44</v>
      </c>
      <c r="D2077" s="18" t="s">
        <v>708</v>
      </c>
      <c r="E2077" s="17" t="s">
        <v>61</v>
      </c>
      <c r="F2077" s="17" t="s">
        <v>62</v>
      </c>
      <c r="G2077" s="18" t="s">
        <v>7473</v>
      </c>
      <c r="H2077" s="20" t="s">
        <v>7474</v>
      </c>
      <c r="I2077" s="17" t="s">
        <v>65</v>
      </c>
      <c r="J2077" s="21">
        <v>1</v>
      </c>
      <c r="K2077" s="21" t="s">
        <v>7426</v>
      </c>
      <c r="L2077" s="21" t="s">
        <v>7475</v>
      </c>
      <c r="M2077" s="19" t="s">
        <v>711</v>
      </c>
      <c r="N2077" s="19" t="s">
        <v>67</v>
      </c>
      <c r="O2077" s="19" t="s">
        <v>7476</v>
      </c>
      <c r="P2077" s="19"/>
      <c r="Q2077" s="18" t="s">
        <v>69</v>
      </c>
      <c r="R2077" s="16" t="s">
        <v>54</v>
      </c>
      <c r="S2077" s="18" t="s">
        <v>2818</v>
      </c>
      <c r="T2077" s="21" t="s">
        <v>55</v>
      </c>
    </row>
    <row r="2078" spans="1:20" ht="16.5">
      <c r="A2078" s="11" t="s">
        <v>708</v>
      </c>
      <c r="B2078" s="11" t="s">
        <v>60</v>
      </c>
      <c r="C2078" s="11" t="s">
        <v>44</v>
      </c>
      <c r="D2078" s="12" t="s">
        <v>708</v>
      </c>
      <c r="E2078" s="11" t="s">
        <v>61</v>
      </c>
      <c r="F2078" s="11" t="s">
        <v>62</v>
      </c>
      <c r="G2078" s="12" t="s">
        <v>7477</v>
      </c>
      <c r="H2078" s="13" t="s">
        <v>7478</v>
      </c>
      <c r="I2078" s="11" t="s">
        <v>65</v>
      </c>
      <c r="J2078" s="14">
        <v>1</v>
      </c>
      <c r="K2078" s="14" t="s">
        <v>7426</v>
      </c>
      <c r="L2078" s="14" t="s">
        <v>7479</v>
      </c>
      <c r="M2078" s="15" t="s">
        <v>711</v>
      </c>
      <c r="N2078" s="15" t="s">
        <v>67</v>
      </c>
      <c r="O2078" s="15" t="s">
        <v>7480</v>
      </c>
      <c r="P2078" s="15"/>
      <c r="Q2078" s="12" t="s">
        <v>69</v>
      </c>
      <c r="R2078" s="16" t="s">
        <v>54</v>
      </c>
      <c r="S2078" s="12" t="s">
        <v>2818</v>
      </c>
      <c r="T2078" s="14" t="s">
        <v>55</v>
      </c>
    </row>
    <row r="2079" spans="1:20" ht="16.5">
      <c r="A2079" s="17" t="s">
        <v>708</v>
      </c>
      <c r="B2079" s="17" t="s">
        <v>60</v>
      </c>
      <c r="C2079" s="17" t="s">
        <v>62</v>
      </c>
      <c r="D2079" s="18" t="s">
        <v>7477</v>
      </c>
      <c r="E2079" s="17" t="s">
        <v>71</v>
      </c>
      <c r="F2079" s="17" t="s">
        <v>72</v>
      </c>
      <c r="G2079" s="18" t="s">
        <v>7481</v>
      </c>
      <c r="H2079" s="20" t="s">
        <v>7482</v>
      </c>
      <c r="I2079" s="17" t="s">
        <v>65</v>
      </c>
      <c r="J2079" s="21">
        <v>1</v>
      </c>
      <c r="K2079" s="21" t="s">
        <v>7426</v>
      </c>
      <c r="L2079" s="21" t="s">
        <v>7483</v>
      </c>
      <c r="M2079" s="19" t="s">
        <v>7480</v>
      </c>
      <c r="N2079" s="19" t="s">
        <v>76</v>
      </c>
      <c r="O2079" s="19" t="s">
        <v>7484</v>
      </c>
      <c r="P2079" s="19"/>
      <c r="Q2079" s="18" t="s">
        <v>69</v>
      </c>
      <c r="R2079" s="16" t="s">
        <v>54</v>
      </c>
      <c r="S2079" s="18" t="s">
        <v>2818</v>
      </c>
      <c r="T2079" s="21" t="s">
        <v>55</v>
      </c>
    </row>
    <row r="2080" spans="1:20" ht="16.5">
      <c r="A2080" s="11" t="s">
        <v>708</v>
      </c>
      <c r="B2080" s="11" t="s">
        <v>60</v>
      </c>
      <c r="C2080" s="11" t="s">
        <v>62</v>
      </c>
      <c r="D2080" s="12" t="s">
        <v>7477</v>
      </c>
      <c r="E2080" s="11" t="s">
        <v>71</v>
      </c>
      <c r="F2080" s="11" t="s">
        <v>72</v>
      </c>
      <c r="G2080" s="12" t="s">
        <v>7485</v>
      </c>
      <c r="H2080" s="13" t="s">
        <v>7482</v>
      </c>
      <c r="I2080" s="11" t="s">
        <v>65</v>
      </c>
      <c r="J2080" s="14">
        <v>1</v>
      </c>
      <c r="K2080" s="14" t="s">
        <v>7426</v>
      </c>
      <c r="L2080" s="14" t="s">
        <v>7486</v>
      </c>
      <c r="M2080" s="15" t="s">
        <v>7480</v>
      </c>
      <c r="N2080" s="15" t="s">
        <v>76</v>
      </c>
      <c r="O2080" s="15" t="s">
        <v>7487</v>
      </c>
      <c r="P2080" s="15"/>
      <c r="Q2080" s="12" t="s">
        <v>69</v>
      </c>
      <c r="R2080" s="16" t="s">
        <v>54</v>
      </c>
      <c r="S2080" s="12" t="s">
        <v>2818</v>
      </c>
      <c r="T2080" s="14" t="s">
        <v>55</v>
      </c>
    </row>
    <row r="2081" spans="1:20" ht="16.5">
      <c r="A2081" s="17" t="s">
        <v>708</v>
      </c>
      <c r="B2081" s="17" t="s">
        <v>60</v>
      </c>
      <c r="C2081" s="17" t="s">
        <v>62</v>
      </c>
      <c r="D2081" s="18" t="s">
        <v>7477</v>
      </c>
      <c r="E2081" s="17" t="s">
        <v>71</v>
      </c>
      <c r="F2081" s="17" t="s">
        <v>72</v>
      </c>
      <c r="G2081" s="18" t="s">
        <v>7488</v>
      </c>
      <c r="H2081" s="20" t="s">
        <v>7482</v>
      </c>
      <c r="I2081" s="17" t="s">
        <v>65</v>
      </c>
      <c r="J2081" s="21">
        <v>1</v>
      </c>
      <c r="K2081" s="21" t="s">
        <v>7426</v>
      </c>
      <c r="L2081" s="21" t="s">
        <v>7489</v>
      </c>
      <c r="M2081" s="19" t="s">
        <v>7480</v>
      </c>
      <c r="N2081" s="19" t="s">
        <v>76</v>
      </c>
      <c r="O2081" s="19" t="s">
        <v>7490</v>
      </c>
      <c r="P2081" s="19"/>
      <c r="Q2081" s="18" t="s">
        <v>69</v>
      </c>
      <c r="R2081" s="16" t="s">
        <v>54</v>
      </c>
      <c r="S2081" s="18" t="s">
        <v>2818</v>
      </c>
      <c r="T2081" s="21" t="s">
        <v>55</v>
      </c>
    </row>
    <row r="2082" spans="1:20" ht="16.5">
      <c r="A2082" s="11" t="s">
        <v>708</v>
      </c>
      <c r="B2082" s="11" t="s">
        <v>60</v>
      </c>
      <c r="C2082" s="11" t="s">
        <v>62</v>
      </c>
      <c r="D2082" s="12" t="s">
        <v>7477</v>
      </c>
      <c r="E2082" s="11" t="s">
        <v>81</v>
      </c>
      <c r="F2082" s="11" t="s">
        <v>82</v>
      </c>
      <c r="G2082" s="12" t="s">
        <v>7491</v>
      </c>
      <c r="H2082" s="13" t="s">
        <v>7492</v>
      </c>
      <c r="I2082" s="11" t="s">
        <v>65</v>
      </c>
      <c r="J2082" s="14">
        <v>1</v>
      </c>
      <c r="K2082" s="14" t="s">
        <v>7426</v>
      </c>
      <c r="L2082" s="14" t="s">
        <v>7493</v>
      </c>
      <c r="M2082" s="15" t="s">
        <v>7480</v>
      </c>
      <c r="N2082" s="15" t="s">
        <v>86</v>
      </c>
      <c r="O2082" s="15" t="s">
        <v>7494</v>
      </c>
      <c r="P2082" s="15"/>
      <c r="Q2082" s="12" t="s">
        <v>53</v>
      </c>
      <c r="R2082" s="22" t="s">
        <v>88</v>
      </c>
      <c r="S2082" s="12" t="s">
        <v>2818</v>
      </c>
      <c r="T2082" s="14" t="s">
        <v>55</v>
      </c>
    </row>
    <row r="2083" spans="1:20" ht="16.5">
      <c r="A2083" s="17" t="s">
        <v>708</v>
      </c>
      <c r="B2083" s="17" t="s">
        <v>60</v>
      </c>
      <c r="C2083" s="17" t="s">
        <v>62</v>
      </c>
      <c r="D2083" s="18" t="s">
        <v>7428</v>
      </c>
      <c r="E2083" s="17" t="s">
        <v>203</v>
      </c>
      <c r="F2083" s="17" t="s">
        <v>204</v>
      </c>
      <c r="G2083" s="18" t="s">
        <v>7495</v>
      </c>
      <c r="H2083" s="20" t="s">
        <v>7496</v>
      </c>
      <c r="I2083" s="17" t="s">
        <v>65</v>
      </c>
      <c r="J2083" s="21">
        <v>1</v>
      </c>
      <c r="K2083" s="21" t="s">
        <v>7426</v>
      </c>
      <c r="L2083" s="21" t="s">
        <v>7497</v>
      </c>
      <c r="M2083" s="19" t="s">
        <v>7431</v>
      </c>
      <c r="N2083" s="19" t="s">
        <v>208</v>
      </c>
      <c r="O2083" s="19" t="s">
        <v>7498</v>
      </c>
      <c r="P2083" s="19" t="s">
        <v>7499</v>
      </c>
      <c r="Q2083" s="19" t="s">
        <v>211</v>
      </c>
      <c r="R2083" s="16" t="s">
        <v>54</v>
      </c>
      <c r="S2083" s="18" t="s">
        <v>2818</v>
      </c>
      <c r="T2083" s="21" t="s">
        <v>55</v>
      </c>
    </row>
    <row r="2084" spans="1:20" ht="16.5">
      <c r="A2084" s="11" t="s">
        <v>708</v>
      </c>
      <c r="B2084" s="11" t="s">
        <v>60</v>
      </c>
      <c r="C2084" s="11" t="s">
        <v>62</v>
      </c>
      <c r="D2084" s="12" t="s">
        <v>7428</v>
      </c>
      <c r="E2084" s="11" t="s">
        <v>203</v>
      </c>
      <c r="F2084" s="11" t="s">
        <v>204</v>
      </c>
      <c r="G2084" s="12" t="s">
        <v>7500</v>
      </c>
      <c r="H2084" s="13" t="s">
        <v>7501</v>
      </c>
      <c r="I2084" s="11" t="s">
        <v>65</v>
      </c>
      <c r="J2084" s="14">
        <v>1</v>
      </c>
      <c r="K2084" s="14" t="s">
        <v>7426</v>
      </c>
      <c r="L2084" s="14" t="s">
        <v>7502</v>
      </c>
      <c r="M2084" s="15" t="s">
        <v>7431</v>
      </c>
      <c r="N2084" s="15" t="s">
        <v>208</v>
      </c>
      <c r="O2084" s="15" t="s">
        <v>7503</v>
      </c>
      <c r="P2084" s="15" t="s">
        <v>7504</v>
      </c>
      <c r="Q2084" s="15" t="s">
        <v>211</v>
      </c>
      <c r="R2084" s="16" t="s">
        <v>54</v>
      </c>
      <c r="S2084" s="12" t="s">
        <v>2818</v>
      </c>
      <c r="T2084" s="14" t="s">
        <v>55</v>
      </c>
    </row>
    <row r="2085" spans="1:20" ht="16.5">
      <c r="A2085" s="17" t="s">
        <v>708</v>
      </c>
      <c r="B2085" s="17" t="s">
        <v>60</v>
      </c>
      <c r="C2085" s="17" t="s">
        <v>62</v>
      </c>
      <c r="D2085" s="18" t="s">
        <v>7428</v>
      </c>
      <c r="E2085" s="17" t="s">
        <v>203</v>
      </c>
      <c r="F2085" s="17" t="s">
        <v>204</v>
      </c>
      <c r="G2085" s="18" t="s">
        <v>7505</v>
      </c>
      <c r="H2085" s="20" t="s">
        <v>7506</v>
      </c>
      <c r="I2085" s="17" t="s">
        <v>65</v>
      </c>
      <c r="J2085" s="21">
        <v>1</v>
      </c>
      <c r="K2085" s="21" t="s">
        <v>7426</v>
      </c>
      <c r="L2085" s="21" t="s">
        <v>7507</v>
      </c>
      <c r="M2085" s="19" t="s">
        <v>7431</v>
      </c>
      <c r="N2085" s="19" t="s">
        <v>208</v>
      </c>
      <c r="O2085" s="19" t="s">
        <v>7508</v>
      </c>
      <c r="P2085" s="19" t="s">
        <v>7509</v>
      </c>
      <c r="Q2085" s="19" t="s">
        <v>211</v>
      </c>
      <c r="R2085" s="16" t="s">
        <v>54</v>
      </c>
      <c r="S2085" s="18" t="s">
        <v>2818</v>
      </c>
      <c r="T2085" s="21" t="s">
        <v>55</v>
      </c>
    </row>
    <row r="2086" spans="1:20" ht="16.5">
      <c r="A2086" s="11" t="s">
        <v>708</v>
      </c>
      <c r="B2086" s="11" t="s">
        <v>60</v>
      </c>
      <c r="C2086" s="11" t="s">
        <v>62</v>
      </c>
      <c r="D2086" s="12" t="s">
        <v>7477</v>
      </c>
      <c r="E2086" s="11" t="s">
        <v>203</v>
      </c>
      <c r="F2086" s="11" t="s">
        <v>204</v>
      </c>
      <c r="G2086" s="12" t="s">
        <v>7510</v>
      </c>
      <c r="H2086" s="13" t="s">
        <v>7511</v>
      </c>
      <c r="I2086" s="11" t="s">
        <v>65</v>
      </c>
      <c r="J2086" s="14">
        <v>1</v>
      </c>
      <c r="K2086" s="14" t="s">
        <v>7426</v>
      </c>
      <c r="L2086" s="14" t="s">
        <v>7512</v>
      </c>
      <c r="M2086" s="15" t="s">
        <v>7480</v>
      </c>
      <c r="N2086" s="15" t="s">
        <v>208</v>
      </c>
      <c r="O2086" s="15" t="s">
        <v>7513</v>
      </c>
      <c r="P2086" s="15" t="s">
        <v>7514</v>
      </c>
      <c r="Q2086" s="15" t="s">
        <v>211</v>
      </c>
      <c r="R2086" s="16" t="s">
        <v>54</v>
      </c>
      <c r="S2086" s="12" t="s">
        <v>2818</v>
      </c>
      <c r="T2086" s="14" t="s">
        <v>55</v>
      </c>
    </row>
    <row r="2087" spans="1:20" ht="16.5">
      <c r="A2087" s="17" t="s">
        <v>708</v>
      </c>
      <c r="B2087" s="17" t="s">
        <v>60</v>
      </c>
      <c r="C2087" s="17" t="s">
        <v>62</v>
      </c>
      <c r="D2087" s="18" t="s">
        <v>7454</v>
      </c>
      <c r="E2087" s="17" t="s">
        <v>203</v>
      </c>
      <c r="F2087" s="17" t="s">
        <v>204</v>
      </c>
      <c r="G2087" s="18" t="s">
        <v>7515</v>
      </c>
      <c r="H2087" s="20" t="s">
        <v>7516</v>
      </c>
      <c r="I2087" s="17" t="s">
        <v>65</v>
      </c>
      <c r="J2087" s="21">
        <v>1</v>
      </c>
      <c r="K2087" s="21" t="s">
        <v>7426</v>
      </c>
      <c r="L2087" s="21" t="s">
        <v>7517</v>
      </c>
      <c r="M2087" s="19" t="s">
        <v>7457</v>
      </c>
      <c r="N2087" s="19" t="s">
        <v>208</v>
      </c>
      <c r="O2087" s="19" t="s">
        <v>7518</v>
      </c>
      <c r="P2087" s="19" t="s">
        <v>7519</v>
      </c>
      <c r="Q2087" s="19" t="s">
        <v>211</v>
      </c>
      <c r="R2087" s="16" t="s">
        <v>54</v>
      </c>
      <c r="S2087" s="18" t="s">
        <v>2818</v>
      </c>
      <c r="T2087" s="21" t="s">
        <v>55</v>
      </c>
    </row>
    <row r="2088" spans="1:20" ht="16.5">
      <c r="A2088" s="11" t="s">
        <v>708</v>
      </c>
      <c r="B2088" s="11" t="s">
        <v>60</v>
      </c>
      <c r="C2088" s="11" t="s">
        <v>62</v>
      </c>
      <c r="D2088" s="12" t="s">
        <v>7454</v>
      </c>
      <c r="E2088" s="11" t="s">
        <v>203</v>
      </c>
      <c r="F2088" s="11" t="s">
        <v>204</v>
      </c>
      <c r="G2088" s="12" t="s">
        <v>7520</v>
      </c>
      <c r="H2088" s="13" t="s">
        <v>7521</v>
      </c>
      <c r="I2088" s="11" t="s">
        <v>65</v>
      </c>
      <c r="J2088" s="14">
        <v>1</v>
      </c>
      <c r="K2088" s="14" t="s">
        <v>7426</v>
      </c>
      <c r="L2088" s="14" t="s">
        <v>7522</v>
      </c>
      <c r="M2088" s="15" t="s">
        <v>7457</v>
      </c>
      <c r="N2088" s="15" t="s">
        <v>208</v>
      </c>
      <c r="O2088" s="15" t="s">
        <v>7523</v>
      </c>
      <c r="P2088" s="15" t="s">
        <v>7524</v>
      </c>
      <c r="Q2088" s="15" t="s">
        <v>211</v>
      </c>
      <c r="R2088" s="16" t="s">
        <v>54</v>
      </c>
      <c r="S2088" s="12" t="s">
        <v>2818</v>
      </c>
      <c r="T2088" s="14" t="s">
        <v>55</v>
      </c>
    </row>
    <row r="2089" spans="1:20" ht="16.5">
      <c r="A2089" s="17" t="s">
        <v>708</v>
      </c>
      <c r="B2089" s="17" t="s">
        <v>60</v>
      </c>
      <c r="C2089" s="17" t="s">
        <v>62</v>
      </c>
      <c r="D2089" s="18" t="s">
        <v>7454</v>
      </c>
      <c r="E2089" s="17" t="s">
        <v>203</v>
      </c>
      <c r="F2089" s="17" t="s">
        <v>204</v>
      </c>
      <c r="G2089" s="18" t="s">
        <v>7525</v>
      </c>
      <c r="H2089" s="20" t="s">
        <v>7526</v>
      </c>
      <c r="I2089" s="17" t="s">
        <v>65</v>
      </c>
      <c r="J2089" s="21">
        <v>1</v>
      </c>
      <c r="K2089" s="21" t="s">
        <v>7426</v>
      </c>
      <c r="L2089" s="21" t="s">
        <v>7527</v>
      </c>
      <c r="M2089" s="19" t="s">
        <v>7457</v>
      </c>
      <c r="N2089" s="19" t="s">
        <v>208</v>
      </c>
      <c r="O2089" s="19" t="s">
        <v>7528</v>
      </c>
      <c r="P2089" s="19" t="s">
        <v>7529</v>
      </c>
      <c r="Q2089" s="19" t="s">
        <v>211</v>
      </c>
      <c r="R2089" s="16" t="s">
        <v>54</v>
      </c>
      <c r="S2089" s="18" t="s">
        <v>2818</v>
      </c>
      <c r="T2089" s="21" t="s">
        <v>55</v>
      </c>
    </row>
    <row r="2090" spans="1:20" ht="16.5">
      <c r="A2090" s="11" t="s">
        <v>708</v>
      </c>
      <c r="B2090" s="11" t="s">
        <v>60</v>
      </c>
      <c r="C2090" s="11" t="s">
        <v>62</v>
      </c>
      <c r="D2090" s="12" t="s">
        <v>7454</v>
      </c>
      <c r="E2090" s="11" t="s">
        <v>203</v>
      </c>
      <c r="F2090" s="11" t="s">
        <v>204</v>
      </c>
      <c r="G2090" s="12" t="s">
        <v>7530</v>
      </c>
      <c r="H2090" s="13" t="s">
        <v>7531</v>
      </c>
      <c r="I2090" s="11" t="s">
        <v>65</v>
      </c>
      <c r="J2090" s="14">
        <v>1</v>
      </c>
      <c r="K2090" s="14" t="s">
        <v>7426</v>
      </c>
      <c r="L2090" s="14" t="s">
        <v>7532</v>
      </c>
      <c r="M2090" s="15" t="s">
        <v>7457</v>
      </c>
      <c r="N2090" s="15" t="s">
        <v>208</v>
      </c>
      <c r="O2090" s="15" t="s">
        <v>7533</v>
      </c>
      <c r="P2090" s="15" t="s">
        <v>7534</v>
      </c>
      <c r="Q2090" s="15" t="s">
        <v>211</v>
      </c>
      <c r="R2090" s="16" t="s">
        <v>54</v>
      </c>
      <c r="S2090" s="12" t="s">
        <v>2818</v>
      </c>
      <c r="T2090" s="14" t="s">
        <v>55</v>
      </c>
    </row>
    <row r="2091" spans="1:20" ht="16.5">
      <c r="A2091" s="17" t="s">
        <v>708</v>
      </c>
      <c r="B2091" s="17" t="s">
        <v>60</v>
      </c>
      <c r="C2091" s="17" t="s">
        <v>62</v>
      </c>
      <c r="D2091" s="18" t="s">
        <v>7473</v>
      </c>
      <c r="E2091" s="17" t="s">
        <v>203</v>
      </c>
      <c r="F2091" s="17" t="s">
        <v>204</v>
      </c>
      <c r="G2091" s="18" t="s">
        <v>7535</v>
      </c>
      <c r="H2091" s="20" t="s">
        <v>7536</v>
      </c>
      <c r="I2091" s="17" t="s">
        <v>65</v>
      </c>
      <c r="J2091" s="21">
        <v>1</v>
      </c>
      <c r="K2091" s="21" t="s">
        <v>7426</v>
      </c>
      <c r="L2091" s="21" t="s">
        <v>7537</v>
      </c>
      <c r="M2091" s="19" t="s">
        <v>7476</v>
      </c>
      <c r="N2091" s="19" t="s">
        <v>208</v>
      </c>
      <c r="O2091" s="19" t="s">
        <v>7538</v>
      </c>
      <c r="P2091" s="19" t="s">
        <v>7539</v>
      </c>
      <c r="Q2091" s="19" t="s">
        <v>211</v>
      </c>
      <c r="R2091" s="16" t="s">
        <v>54</v>
      </c>
      <c r="S2091" s="18" t="s">
        <v>2818</v>
      </c>
      <c r="T2091" s="21" t="s">
        <v>55</v>
      </c>
    </row>
    <row r="2092" spans="1:20" ht="29.25">
      <c r="A2092" s="11" t="s">
        <v>708</v>
      </c>
      <c r="B2092" s="11" t="s">
        <v>60</v>
      </c>
      <c r="C2092" s="11" t="s">
        <v>62</v>
      </c>
      <c r="D2092" s="12" t="s">
        <v>7428</v>
      </c>
      <c r="E2092" s="11" t="s">
        <v>203</v>
      </c>
      <c r="F2092" s="11" t="s">
        <v>295</v>
      </c>
      <c r="G2092" s="12" t="s">
        <v>7540</v>
      </c>
      <c r="H2092" s="13" t="s">
        <v>7541</v>
      </c>
      <c r="I2092" s="11" t="s">
        <v>65</v>
      </c>
      <c r="J2092" s="14">
        <v>1</v>
      </c>
      <c r="K2092" s="14" t="s">
        <v>7426</v>
      </c>
      <c r="L2092" s="14" t="s">
        <v>7542</v>
      </c>
      <c r="M2092" s="15" t="s">
        <v>7431</v>
      </c>
      <c r="N2092" s="15" t="s">
        <v>208</v>
      </c>
      <c r="O2092" s="15" t="s">
        <v>7543</v>
      </c>
      <c r="P2092" s="15"/>
      <c r="Q2092" s="12" t="s">
        <v>286</v>
      </c>
      <c r="R2092" s="22" t="s">
        <v>88</v>
      </c>
      <c r="S2092" s="12" t="s">
        <v>2818</v>
      </c>
      <c r="T2092" s="14" t="s">
        <v>55</v>
      </c>
    </row>
    <row r="2093" spans="1:20" ht="16.5">
      <c r="A2093" s="17" t="s">
        <v>708</v>
      </c>
      <c r="B2093" s="17" t="s">
        <v>311</v>
      </c>
      <c r="C2093" s="17" t="s">
        <v>204</v>
      </c>
      <c r="D2093" s="18" t="s">
        <v>7495</v>
      </c>
      <c r="E2093" s="17" t="s">
        <v>312</v>
      </c>
      <c r="F2093" s="21" t="s">
        <v>313</v>
      </c>
      <c r="G2093" s="19" t="s">
        <v>7544</v>
      </c>
      <c r="H2093" s="24" t="s">
        <v>7545</v>
      </c>
      <c r="I2093" s="17" t="s">
        <v>65</v>
      </c>
      <c r="J2093" s="21">
        <v>1</v>
      </c>
      <c r="K2093" s="21" t="s">
        <v>7426</v>
      </c>
      <c r="L2093" s="21" t="s">
        <v>7546</v>
      </c>
      <c r="M2093" s="19" t="s">
        <v>7498</v>
      </c>
      <c r="N2093" s="19" t="s">
        <v>316</v>
      </c>
      <c r="O2093" s="19" t="s">
        <v>7547</v>
      </c>
      <c r="P2093" s="19" t="s">
        <v>7544</v>
      </c>
      <c r="Q2093" s="19" t="s">
        <v>211</v>
      </c>
      <c r="R2093" s="16" t="s">
        <v>54</v>
      </c>
      <c r="S2093" s="18" t="s">
        <v>2818</v>
      </c>
      <c r="T2093" s="21" t="s">
        <v>55</v>
      </c>
    </row>
    <row r="2094" spans="1:20" ht="16.5">
      <c r="A2094" s="11" t="s">
        <v>708</v>
      </c>
      <c r="B2094" s="11" t="s">
        <v>311</v>
      </c>
      <c r="C2094" s="11" t="s">
        <v>204</v>
      </c>
      <c r="D2094" s="12" t="s">
        <v>7495</v>
      </c>
      <c r="E2094" s="11" t="s">
        <v>312</v>
      </c>
      <c r="F2094" s="14" t="s">
        <v>313</v>
      </c>
      <c r="G2094" s="15" t="s">
        <v>7548</v>
      </c>
      <c r="H2094" s="23" t="s">
        <v>7549</v>
      </c>
      <c r="I2094" s="11" t="s">
        <v>65</v>
      </c>
      <c r="J2094" s="14">
        <v>1</v>
      </c>
      <c r="K2094" s="14" t="s">
        <v>7426</v>
      </c>
      <c r="L2094" s="14" t="s">
        <v>7550</v>
      </c>
      <c r="M2094" s="15" t="s">
        <v>7498</v>
      </c>
      <c r="N2094" s="15" t="s">
        <v>316</v>
      </c>
      <c r="O2094" s="15" t="s">
        <v>7551</v>
      </c>
      <c r="P2094" s="15" t="s">
        <v>7548</v>
      </c>
      <c r="Q2094" s="15" t="s">
        <v>211</v>
      </c>
      <c r="R2094" s="16" t="s">
        <v>54</v>
      </c>
      <c r="S2094" s="12" t="s">
        <v>2818</v>
      </c>
      <c r="T2094" s="14" t="s">
        <v>55</v>
      </c>
    </row>
    <row r="2095" spans="1:20" ht="16.5">
      <c r="A2095" s="17" t="s">
        <v>708</v>
      </c>
      <c r="B2095" s="17" t="s">
        <v>311</v>
      </c>
      <c r="C2095" s="17" t="s">
        <v>204</v>
      </c>
      <c r="D2095" s="18" t="s">
        <v>7495</v>
      </c>
      <c r="E2095" s="17" t="s">
        <v>312</v>
      </c>
      <c r="F2095" s="21" t="s">
        <v>313</v>
      </c>
      <c r="G2095" s="19" t="s">
        <v>7552</v>
      </c>
      <c r="H2095" s="24" t="s">
        <v>7553</v>
      </c>
      <c r="I2095" s="17" t="s">
        <v>65</v>
      </c>
      <c r="J2095" s="21">
        <v>1</v>
      </c>
      <c r="K2095" s="21" t="s">
        <v>7426</v>
      </c>
      <c r="L2095" s="21" t="s">
        <v>7554</v>
      </c>
      <c r="M2095" s="19" t="s">
        <v>7498</v>
      </c>
      <c r="N2095" s="19" t="s">
        <v>316</v>
      </c>
      <c r="O2095" s="19" t="s">
        <v>7555</v>
      </c>
      <c r="P2095" s="19" t="s">
        <v>7552</v>
      </c>
      <c r="Q2095" s="19" t="s">
        <v>211</v>
      </c>
      <c r="R2095" s="16" t="s">
        <v>54</v>
      </c>
      <c r="S2095" s="18" t="s">
        <v>2818</v>
      </c>
      <c r="T2095" s="21" t="s">
        <v>55</v>
      </c>
    </row>
    <row r="2096" spans="1:20" ht="16.5">
      <c r="A2096" s="11" t="s">
        <v>708</v>
      </c>
      <c r="B2096" s="11" t="s">
        <v>311</v>
      </c>
      <c r="C2096" s="11" t="s">
        <v>204</v>
      </c>
      <c r="D2096" s="12" t="s">
        <v>7500</v>
      </c>
      <c r="E2096" s="11" t="s">
        <v>312</v>
      </c>
      <c r="F2096" s="14" t="s">
        <v>313</v>
      </c>
      <c r="G2096" s="15" t="s">
        <v>7556</v>
      </c>
      <c r="H2096" s="23" t="s">
        <v>7557</v>
      </c>
      <c r="I2096" s="11" t="s">
        <v>65</v>
      </c>
      <c r="J2096" s="14">
        <v>1</v>
      </c>
      <c r="K2096" s="14" t="s">
        <v>7426</v>
      </c>
      <c r="L2096" s="14" t="s">
        <v>7558</v>
      </c>
      <c r="M2096" s="15" t="s">
        <v>7503</v>
      </c>
      <c r="N2096" s="15" t="s">
        <v>316</v>
      </c>
      <c r="O2096" s="15" t="s">
        <v>7559</v>
      </c>
      <c r="P2096" s="15" t="s">
        <v>7556</v>
      </c>
      <c r="Q2096" s="15" t="s">
        <v>211</v>
      </c>
      <c r="R2096" s="16" t="s">
        <v>54</v>
      </c>
      <c r="S2096" s="12" t="s">
        <v>2818</v>
      </c>
      <c r="T2096" s="14" t="s">
        <v>55</v>
      </c>
    </row>
    <row r="2097" spans="1:20" ht="16.5">
      <c r="A2097" s="17" t="s">
        <v>708</v>
      </c>
      <c r="B2097" s="17" t="s">
        <v>311</v>
      </c>
      <c r="C2097" s="17" t="s">
        <v>204</v>
      </c>
      <c r="D2097" s="18" t="s">
        <v>7500</v>
      </c>
      <c r="E2097" s="17" t="s">
        <v>312</v>
      </c>
      <c r="F2097" s="21" t="s">
        <v>313</v>
      </c>
      <c r="G2097" s="19" t="s">
        <v>7560</v>
      </c>
      <c r="H2097" s="24" t="s">
        <v>7561</v>
      </c>
      <c r="I2097" s="17" t="s">
        <v>65</v>
      </c>
      <c r="J2097" s="21">
        <v>1</v>
      </c>
      <c r="K2097" s="21" t="s">
        <v>7426</v>
      </c>
      <c r="L2097" s="21" t="s">
        <v>7562</v>
      </c>
      <c r="M2097" s="19" t="s">
        <v>7503</v>
      </c>
      <c r="N2097" s="19" t="s">
        <v>316</v>
      </c>
      <c r="O2097" s="19" t="s">
        <v>7563</v>
      </c>
      <c r="P2097" s="19" t="s">
        <v>7560</v>
      </c>
      <c r="Q2097" s="19" t="s">
        <v>211</v>
      </c>
      <c r="R2097" s="16" t="s">
        <v>54</v>
      </c>
      <c r="S2097" s="18" t="s">
        <v>2818</v>
      </c>
      <c r="T2097" s="21" t="s">
        <v>55</v>
      </c>
    </row>
    <row r="2098" spans="1:20" ht="16.5">
      <c r="A2098" s="11" t="s">
        <v>708</v>
      </c>
      <c r="B2098" s="11" t="s">
        <v>311</v>
      </c>
      <c r="C2098" s="11" t="s">
        <v>204</v>
      </c>
      <c r="D2098" s="12" t="s">
        <v>7500</v>
      </c>
      <c r="E2098" s="11" t="s">
        <v>312</v>
      </c>
      <c r="F2098" s="14" t="s">
        <v>313</v>
      </c>
      <c r="G2098" s="15" t="s">
        <v>7564</v>
      </c>
      <c r="H2098" s="23" t="s">
        <v>7565</v>
      </c>
      <c r="I2098" s="11" t="s">
        <v>65</v>
      </c>
      <c r="J2098" s="14">
        <v>1</v>
      </c>
      <c r="K2098" s="14" t="s">
        <v>7426</v>
      </c>
      <c r="L2098" s="14" t="s">
        <v>7566</v>
      </c>
      <c r="M2098" s="15" t="s">
        <v>7503</v>
      </c>
      <c r="N2098" s="15" t="s">
        <v>316</v>
      </c>
      <c r="O2098" s="15" t="s">
        <v>7567</v>
      </c>
      <c r="P2098" s="15" t="s">
        <v>7564</v>
      </c>
      <c r="Q2098" s="15" t="s">
        <v>211</v>
      </c>
      <c r="R2098" s="16" t="s">
        <v>54</v>
      </c>
      <c r="S2098" s="12" t="s">
        <v>2818</v>
      </c>
      <c r="T2098" s="14" t="s">
        <v>55</v>
      </c>
    </row>
    <row r="2099" spans="1:20" ht="16.5">
      <c r="A2099" s="17" t="s">
        <v>708</v>
      </c>
      <c r="B2099" s="17" t="s">
        <v>311</v>
      </c>
      <c r="C2099" s="17" t="s">
        <v>204</v>
      </c>
      <c r="D2099" s="18" t="s">
        <v>7505</v>
      </c>
      <c r="E2099" s="17" t="s">
        <v>312</v>
      </c>
      <c r="F2099" s="21" t="s">
        <v>313</v>
      </c>
      <c r="G2099" s="19" t="s">
        <v>7568</v>
      </c>
      <c r="H2099" s="24" t="s">
        <v>7569</v>
      </c>
      <c r="I2099" s="17" t="s">
        <v>65</v>
      </c>
      <c r="J2099" s="21">
        <v>1</v>
      </c>
      <c r="K2099" s="21" t="s">
        <v>7426</v>
      </c>
      <c r="L2099" s="21" t="s">
        <v>7570</v>
      </c>
      <c r="M2099" s="19" t="s">
        <v>7508</v>
      </c>
      <c r="N2099" s="19" t="s">
        <v>316</v>
      </c>
      <c r="O2099" s="19" t="s">
        <v>7571</v>
      </c>
      <c r="P2099" s="19" t="s">
        <v>7568</v>
      </c>
      <c r="Q2099" s="19" t="s">
        <v>211</v>
      </c>
      <c r="R2099" s="16" t="s">
        <v>54</v>
      </c>
      <c r="S2099" s="18" t="s">
        <v>2818</v>
      </c>
      <c r="T2099" s="21" t="s">
        <v>55</v>
      </c>
    </row>
    <row r="2100" spans="1:20" ht="16.5">
      <c r="A2100" s="11" t="s">
        <v>708</v>
      </c>
      <c r="B2100" s="11" t="s">
        <v>311</v>
      </c>
      <c r="C2100" s="11" t="s">
        <v>204</v>
      </c>
      <c r="D2100" s="12" t="s">
        <v>7505</v>
      </c>
      <c r="E2100" s="11" t="s">
        <v>312</v>
      </c>
      <c r="F2100" s="14" t="s">
        <v>313</v>
      </c>
      <c r="G2100" s="15" t="s">
        <v>7572</v>
      </c>
      <c r="H2100" s="23" t="s">
        <v>7573</v>
      </c>
      <c r="I2100" s="11" t="s">
        <v>65</v>
      </c>
      <c r="J2100" s="14">
        <v>1</v>
      </c>
      <c r="K2100" s="14" t="s">
        <v>7426</v>
      </c>
      <c r="L2100" s="14" t="s">
        <v>7574</v>
      </c>
      <c r="M2100" s="15" t="s">
        <v>7508</v>
      </c>
      <c r="N2100" s="15" t="s">
        <v>316</v>
      </c>
      <c r="O2100" s="15" t="s">
        <v>7575</v>
      </c>
      <c r="P2100" s="15" t="s">
        <v>7572</v>
      </c>
      <c r="Q2100" s="15" t="s">
        <v>211</v>
      </c>
      <c r="R2100" s="16" t="s">
        <v>54</v>
      </c>
      <c r="S2100" s="12" t="s">
        <v>2818</v>
      </c>
      <c r="T2100" s="14" t="s">
        <v>55</v>
      </c>
    </row>
    <row r="2101" spans="1:20" ht="16.5">
      <c r="A2101" s="17" t="s">
        <v>708</v>
      </c>
      <c r="B2101" s="17" t="s">
        <v>311</v>
      </c>
      <c r="C2101" s="17" t="s">
        <v>204</v>
      </c>
      <c r="D2101" s="18" t="s">
        <v>7505</v>
      </c>
      <c r="E2101" s="17" t="s">
        <v>312</v>
      </c>
      <c r="F2101" s="21" t="s">
        <v>313</v>
      </c>
      <c r="G2101" s="19" t="s">
        <v>7576</v>
      </c>
      <c r="H2101" s="24" t="s">
        <v>7577</v>
      </c>
      <c r="I2101" s="17" t="s">
        <v>65</v>
      </c>
      <c r="J2101" s="21">
        <v>1</v>
      </c>
      <c r="K2101" s="21" t="s">
        <v>7426</v>
      </c>
      <c r="L2101" s="21" t="s">
        <v>7578</v>
      </c>
      <c r="M2101" s="19" t="s">
        <v>7508</v>
      </c>
      <c r="N2101" s="19" t="s">
        <v>316</v>
      </c>
      <c r="O2101" s="19" t="s">
        <v>7579</v>
      </c>
      <c r="P2101" s="19" t="s">
        <v>7576</v>
      </c>
      <c r="Q2101" s="19" t="s">
        <v>211</v>
      </c>
      <c r="R2101" s="16" t="s">
        <v>54</v>
      </c>
      <c r="S2101" s="18" t="s">
        <v>2818</v>
      </c>
      <c r="T2101" s="21" t="s">
        <v>55</v>
      </c>
    </row>
    <row r="2102" spans="1:20" ht="16.5">
      <c r="A2102" s="11" t="s">
        <v>708</v>
      </c>
      <c r="B2102" s="11" t="s">
        <v>311</v>
      </c>
      <c r="C2102" s="11" t="s">
        <v>204</v>
      </c>
      <c r="D2102" s="12" t="s">
        <v>7505</v>
      </c>
      <c r="E2102" s="11" t="s">
        <v>312</v>
      </c>
      <c r="F2102" s="14" t="s">
        <v>313</v>
      </c>
      <c r="G2102" s="15" t="s">
        <v>7580</v>
      </c>
      <c r="H2102" s="23" t="s">
        <v>7581</v>
      </c>
      <c r="I2102" s="11" t="s">
        <v>65</v>
      </c>
      <c r="J2102" s="14">
        <v>1</v>
      </c>
      <c r="K2102" s="14" t="s">
        <v>7426</v>
      </c>
      <c r="L2102" s="14" t="s">
        <v>7582</v>
      </c>
      <c r="M2102" s="15" t="s">
        <v>7508</v>
      </c>
      <c r="N2102" s="15" t="s">
        <v>316</v>
      </c>
      <c r="O2102" s="15" t="s">
        <v>7583</v>
      </c>
      <c r="P2102" s="15" t="s">
        <v>7580</v>
      </c>
      <c r="Q2102" s="15" t="s">
        <v>211</v>
      </c>
      <c r="R2102" s="16" t="s">
        <v>54</v>
      </c>
      <c r="S2102" s="12" t="s">
        <v>2818</v>
      </c>
      <c r="T2102" s="14" t="s">
        <v>55</v>
      </c>
    </row>
    <row r="2103" spans="1:20" ht="16.5">
      <c r="A2103" s="17" t="s">
        <v>708</v>
      </c>
      <c r="B2103" s="17" t="s">
        <v>311</v>
      </c>
      <c r="C2103" s="17" t="s">
        <v>204</v>
      </c>
      <c r="D2103" s="18" t="s">
        <v>7510</v>
      </c>
      <c r="E2103" s="17" t="s">
        <v>312</v>
      </c>
      <c r="F2103" s="21" t="s">
        <v>313</v>
      </c>
      <c r="G2103" s="19" t="s">
        <v>7514</v>
      </c>
      <c r="H2103" s="24" t="s">
        <v>7584</v>
      </c>
      <c r="I2103" s="17" t="s">
        <v>65</v>
      </c>
      <c r="J2103" s="21">
        <v>1</v>
      </c>
      <c r="K2103" s="21" t="s">
        <v>7426</v>
      </c>
      <c r="L2103" s="21" t="s">
        <v>7585</v>
      </c>
      <c r="M2103" s="19" t="s">
        <v>7513</v>
      </c>
      <c r="N2103" s="19" t="s">
        <v>316</v>
      </c>
      <c r="O2103" s="19" t="s">
        <v>7586</v>
      </c>
      <c r="P2103" s="19" t="s">
        <v>7514</v>
      </c>
      <c r="Q2103" s="19" t="s">
        <v>211</v>
      </c>
      <c r="R2103" s="16" t="s">
        <v>54</v>
      </c>
      <c r="S2103" s="18" t="s">
        <v>2818</v>
      </c>
      <c r="T2103" s="21" t="s">
        <v>55</v>
      </c>
    </row>
    <row r="2104" spans="1:20" ht="16.5">
      <c r="A2104" s="11" t="s">
        <v>708</v>
      </c>
      <c r="B2104" s="11" t="s">
        <v>311</v>
      </c>
      <c r="C2104" s="11" t="s">
        <v>204</v>
      </c>
      <c r="D2104" s="12" t="s">
        <v>7515</v>
      </c>
      <c r="E2104" s="11" t="s">
        <v>312</v>
      </c>
      <c r="F2104" s="14" t="s">
        <v>313</v>
      </c>
      <c r="G2104" s="15" t="s">
        <v>7587</v>
      </c>
      <c r="H2104" s="23" t="s">
        <v>7588</v>
      </c>
      <c r="I2104" s="11" t="s">
        <v>65</v>
      </c>
      <c r="J2104" s="14">
        <v>1</v>
      </c>
      <c r="K2104" s="14" t="s">
        <v>7426</v>
      </c>
      <c r="L2104" s="14" t="s">
        <v>7589</v>
      </c>
      <c r="M2104" s="15" t="s">
        <v>7518</v>
      </c>
      <c r="N2104" s="15" t="s">
        <v>316</v>
      </c>
      <c r="O2104" s="15" t="s">
        <v>7590</v>
      </c>
      <c r="P2104" s="15" t="s">
        <v>7587</v>
      </c>
      <c r="Q2104" s="15" t="s">
        <v>211</v>
      </c>
      <c r="R2104" s="16" t="s">
        <v>54</v>
      </c>
      <c r="S2104" s="12" t="s">
        <v>2818</v>
      </c>
      <c r="T2104" s="14" t="s">
        <v>55</v>
      </c>
    </row>
    <row r="2105" spans="1:20" ht="16.5">
      <c r="A2105" s="17" t="s">
        <v>708</v>
      </c>
      <c r="B2105" s="17" t="s">
        <v>311</v>
      </c>
      <c r="C2105" s="17" t="s">
        <v>204</v>
      </c>
      <c r="D2105" s="18" t="s">
        <v>7515</v>
      </c>
      <c r="E2105" s="17" t="s">
        <v>312</v>
      </c>
      <c r="F2105" s="21" t="s">
        <v>313</v>
      </c>
      <c r="G2105" s="19" t="s">
        <v>7591</v>
      </c>
      <c r="H2105" s="24" t="s">
        <v>7592</v>
      </c>
      <c r="I2105" s="17" t="s">
        <v>65</v>
      </c>
      <c r="J2105" s="21">
        <v>1</v>
      </c>
      <c r="K2105" s="21" t="s">
        <v>7426</v>
      </c>
      <c r="L2105" s="21" t="s">
        <v>7593</v>
      </c>
      <c r="M2105" s="19" t="s">
        <v>7518</v>
      </c>
      <c r="N2105" s="19" t="s">
        <v>316</v>
      </c>
      <c r="O2105" s="19" t="s">
        <v>7594</v>
      </c>
      <c r="P2105" s="19" t="s">
        <v>7591</v>
      </c>
      <c r="Q2105" s="19" t="s">
        <v>211</v>
      </c>
      <c r="R2105" s="16" t="s">
        <v>54</v>
      </c>
      <c r="S2105" s="18" t="s">
        <v>2818</v>
      </c>
      <c r="T2105" s="21" t="s">
        <v>55</v>
      </c>
    </row>
    <row r="2106" spans="1:20" ht="16.5">
      <c r="A2106" s="11" t="s">
        <v>708</v>
      </c>
      <c r="B2106" s="11" t="s">
        <v>311</v>
      </c>
      <c r="C2106" s="11" t="s">
        <v>204</v>
      </c>
      <c r="D2106" s="12" t="s">
        <v>7520</v>
      </c>
      <c r="E2106" s="11" t="s">
        <v>312</v>
      </c>
      <c r="F2106" s="14" t="s">
        <v>313</v>
      </c>
      <c r="G2106" s="15" t="s">
        <v>7524</v>
      </c>
      <c r="H2106" s="23" t="s">
        <v>7595</v>
      </c>
      <c r="I2106" s="11" t="s">
        <v>65</v>
      </c>
      <c r="J2106" s="14">
        <v>1</v>
      </c>
      <c r="K2106" s="14" t="s">
        <v>7426</v>
      </c>
      <c r="L2106" s="14" t="s">
        <v>7596</v>
      </c>
      <c r="M2106" s="15" t="s">
        <v>7523</v>
      </c>
      <c r="N2106" s="15" t="s">
        <v>316</v>
      </c>
      <c r="O2106" s="15" t="s">
        <v>7597</v>
      </c>
      <c r="P2106" s="15" t="s">
        <v>7524</v>
      </c>
      <c r="Q2106" s="15" t="s">
        <v>211</v>
      </c>
      <c r="R2106" s="16" t="s">
        <v>54</v>
      </c>
      <c r="S2106" s="12" t="s">
        <v>2818</v>
      </c>
      <c r="T2106" s="14" t="s">
        <v>55</v>
      </c>
    </row>
    <row r="2107" spans="1:20" ht="16.5">
      <c r="A2107" s="17" t="s">
        <v>708</v>
      </c>
      <c r="B2107" s="17" t="s">
        <v>311</v>
      </c>
      <c r="C2107" s="17" t="s">
        <v>204</v>
      </c>
      <c r="D2107" s="18" t="s">
        <v>7525</v>
      </c>
      <c r="E2107" s="17" t="s">
        <v>312</v>
      </c>
      <c r="F2107" s="21" t="s">
        <v>313</v>
      </c>
      <c r="G2107" s="19" t="s">
        <v>7598</v>
      </c>
      <c r="H2107" s="24" t="s">
        <v>7599</v>
      </c>
      <c r="I2107" s="17" t="s">
        <v>65</v>
      </c>
      <c r="J2107" s="21">
        <v>1</v>
      </c>
      <c r="K2107" s="21" t="s">
        <v>7426</v>
      </c>
      <c r="L2107" s="21" t="s">
        <v>7600</v>
      </c>
      <c r="M2107" s="19" t="s">
        <v>7528</v>
      </c>
      <c r="N2107" s="19" t="s">
        <v>316</v>
      </c>
      <c r="O2107" s="19" t="s">
        <v>7601</v>
      </c>
      <c r="P2107" s="19" t="s">
        <v>7598</v>
      </c>
      <c r="Q2107" s="19" t="s">
        <v>211</v>
      </c>
      <c r="R2107" s="16" t="s">
        <v>54</v>
      </c>
      <c r="S2107" s="18" t="s">
        <v>2818</v>
      </c>
      <c r="T2107" s="21" t="s">
        <v>55</v>
      </c>
    </row>
    <row r="2108" spans="1:20" ht="16.5">
      <c r="A2108" s="11" t="s">
        <v>708</v>
      </c>
      <c r="B2108" s="11" t="s">
        <v>311</v>
      </c>
      <c r="C2108" s="11" t="s">
        <v>204</v>
      </c>
      <c r="D2108" s="12" t="s">
        <v>7525</v>
      </c>
      <c r="E2108" s="11" t="s">
        <v>312</v>
      </c>
      <c r="F2108" s="14" t="s">
        <v>313</v>
      </c>
      <c r="G2108" s="15" t="s">
        <v>7602</v>
      </c>
      <c r="H2108" s="23" t="s">
        <v>7599</v>
      </c>
      <c r="I2108" s="11" t="s">
        <v>65</v>
      </c>
      <c r="J2108" s="14">
        <v>1</v>
      </c>
      <c r="K2108" s="14" t="s">
        <v>7426</v>
      </c>
      <c r="L2108" s="14" t="s">
        <v>7603</v>
      </c>
      <c r="M2108" s="15" t="s">
        <v>7528</v>
      </c>
      <c r="N2108" s="15" t="s">
        <v>316</v>
      </c>
      <c r="O2108" s="15" t="s">
        <v>7604</v>
      </c>
      <c r="P2108" s="15" t="s">
        <v>7602</v>
      </c>
      <c r="Q2108" s="15" t="s">
        <v>211</v>
      </c>
      <c r="R2108" s="16" t="s">
        <v>54</v>
      </c>
      <c r="S2108" s="12" t="s">
        <v>2818</v>
      </c>
      <c r="T2108" s="14" t="s">
        <v>55</v>
      </c>
    </row>
    <row r="2109" spans="1:20" ht="16.5">
      <c r="A2109" s="17" t="s">
        <v>708</v>
      </c>
      <c r="B2109" s="17" t="s">
        <v>311</v>
      </c>
      <c r="C2109" s="17" t="s">
        <v>204</v>
      </c>
      <c r="D2109" s="18" t="s">
        <v>7525</v>
      </c>
      <c r="E2109" s="17" t="s">
        <v>312</v>
      </c>
      <c r="F2109" s="21" t="s">
        <v>313</v>
      </c>
      <c r="G2109" s="19" t="s">
        <v>7605</v>
      </c>
      <c r="H2109" s="24" t="s">
        <v>7606</v>
      </c>
      <c r="I2109" s="17" t="s">
        <v>65</v>
      </c>
      <c r="J2109" s="21">
        <v>1</v>
      </c>
      <c r="K2109" s="21" t="s">
        <v>7426</v>
      </c>
      <c r="L2109" s="21" t="s">
        <v>7607</v>
      </c>
      <c r="M2109" s="19" t="s">
        <v>7528</v>
      </c>
      <c r="N2109" s="19" t="s">
        <v>316</v>
      </c>
      <c r="O2109" s="19" t="s">
        <v>7608</v>
      </c>
      <c r="P2109" s="19" t="s">
        <v>7605</v>
      </c>
      <c r="Q2109" s="19" t="s">
        <v>211</v>
      </c>
      <c r="R2109" s="16" t="s">
        <v>54</v>
      </c>
      <c r="S2109" s="18" t="s">
        <v>2818</v>
      </c>
      <c r="T2109" s="21" t="s">
        <v>55</v>
      </c>
    </row>
    <row r="2110" spans="1:20" ht="16.5">
      <c r="A2110" s="11" t="s">
        <v>708</v>
      </c>
      <c r="B2110" s="11" t="s">
        <v>311</v>
      </c>
      <c r="C2110" s="11" t="s">
        <v>204</v>
      </c>
      <c r="D2110" s="12" t="s">
        <v>7525</v>
      </c>
      <c r="E2110" s="11" t="s">
        <v>312</v>
      </c>
      <c r="F2110" s="14" t="s">
        <v>313</v>
      </c>
      <c r="G2110" s="15" t="s">
        <v>7609</v>
      </c>
      <c r="H2110" s="23" t="s">
        <v>7610</v>
      </c>
      <c r="I2110" s="11" t="s">
        <v>65</v>
      </c>
      <c r="J2110" s="14">
        <v>1</v>
      </c>
      <c r="K2110" s="14" t="s">
        <v>7426</v>
      </c>
      <c r="L2110" s="14" t="s">
        <v>7611</v>
      </c>
      <c r="M2110" s="15" t="s">
        <v>7528</v>
      </c>
      <c r="N2110" s="15" t="s">
        <v>316</v>
      </c>
      <c r="O2110" s="15" t="s">
        <v>7612</v>
      </c>
      <c r="P2110" s="15" t="s">
        <v>7609</v>
      </c>
      <c r="Q2110" s="15" t="s">
        <v>211</v>
      </c>
      <c r="R2110" s="16" t="s">
        <v>54</v>
      </c>
      <c r="S2110" s="12" t="s">
        <v>2818</v>
      </c>
      <c r="T2110" s="14" t="s">
        <v>55</v>
      </c>
    </row>
    <row r="2111" spans="1:20" ht="16.5">
      <c r="A2111" s="17" t="s">
        <v>708</v>
      </c>
      <c r="B2111" s="17" t="s">
        <v>311</v>
      </c>
      <c r="C2111" s="17" t="s">
        <v>204</v>
      </c>
      <c r="D2111" s="18" t="s">
        <v>7530</v>
      </c>
      <c r="E2111" s="17" t="s">
        <v>312</v>
      </c>
      <c r="F2111" s="21" t="s">
        <v>313</v>
      </c>
      <c r="G2111" s="19" t="s">
        <v>7534</v>
      </c>
      <c r="H2111" s="24" t="s">
        <v>7613</v>
      </c>
      <c r="I2111" s="17" t="s">
        <v>65</v>
      </c>
      <c r="J2111" s="21">
        <v>1</v>
      </c>
      <c r="K2111" s="21" t="s">
        <v>7426</v>
      </c>
      <c r="L2111" s="21" t="s">
        <v>7614</v>
      </c>
      <c r="M2111" s="19" t="s">
        <v>7533</v>
      </c>
      <c r="N2111" s="19" t="s">
        <v>316</v>
      </c>
      <c r="O2111" s="19" t="s">
        <v>7615</v>
      </c>
      <c r="P2111" s="19" t="s">
        <v>7534</v>
      </c>
      <c r="Q2111" s="19" t="s">
        <v>211</v>
      </c>
      <c r="R2111" s="16" t="s">
        <v>54</v>
      </c>
      <c r="S2111" s="18" t="s">
        <v>2818</v>
      </c>
      <c r="T2111" s="21" t="s">
        <v>55</v>
      </c>
    </row>
    <row r="2112" spans="1:20" ht="16.5">
      <c r="A2112" s="11" t="s">
        <v>708</v>
      </c>
      <c r="B2112" s="11" t="s">
        <v>311</v>
      </c>
      <c r="C2112" s="11" t="s">
        <v>204</v>
      </c>
      <c r="D2112" s="12" t="s">
        <v>7535</v>
      </c>
      <c r="E2112" s="11" t="s">
        <v>312</v>
      </c>
      <c r="F2112" s="14" t="s">
        <v>313</v>
      </c>
      <c r="G2112" s="15" t="s">
        <v>7616</v>
      </c>
      <c r="H2112" s="23" t="s">
        <v>7617</v>
      </c>
      <c r="I2112" s="11" t="s">
        <v>65</v>
      </c>
      <c r="J2112" s="14">
        <v>1</v>
      </c>
      <c r="K2112" s="14" t="s">
        <v>7426</v>
      </c>
      <c r="L2112" s="14" t="s">
        <v>7618</v>
      </c>
      <c r="M2112" s="15" t="s">
        <v>7538</v>
      </c>
      <c r="N2112" s="15" t="s">
        <v>316</v>
      </c>
      <c r="O2112" s="15" t="s">
        <v>7619</v>
      </c>
      <c r="P2112" s="15" t="s">
        <v>7616</v>
      </c>
      <c r="Q2112" s="15" t="s">
        <v>211</v>
      </c>
      <c r="R2112" s="16" t="s">
        <v>54</v>
      </c>
      <c r="S2112" s="12" t="s">
        <v>2818</v>
      </c>
      <c r="T2112" s="14" t="s">
        <v>55</v>
      </c>
    </row>
    <row r="2113" spans="1:20" ht="16.5">
      <c r="A2113" s="17" t="s">
        <v>708</v>
      </c>
      <c r="B2113" s="17" t="s">
        <v>311</v>
      </c>
      <c r="C2113" s="17" t="s">
        <v>204</v>
      </c>
      <c r="D2113" s="18" t="s">
        <v>7535</v>
      </c>
      <c r="E2113" s="17" t="s">
        <v>312</v>
      </c>
      <c r="F2113" s="21" t="s">
        <v>313</v>
      </c>
      <c r="G2113" s="19" t="s">
        <v>7620</v>
      </c>
      <c r="H2113" s="24" t="s">
        <v>7621</v>
      </c>
      <c r="I2113" s="17" t="s">
        <v>65</v>
      </c>
      <c r="J2113" s="21">
        <v>1</v>
      </c>
      <c r="K2113" s="21" t="s">
        <v>7426</v>
      </c>
      <c r="L2113" s="21" t="s">
        <v>7622</v>
      </c>
      <c r="M2113" s="19" t="s">
        <v>7538</v>
      </c>
      <c r="N2113" s="19" t="s">
        <v>316</v>
      </c>
      <c r="O2113" s="19" t="s">
        <v>7623</v>
      </c>
      <c r="P2113" s="19" t="s">
        <v>7620</v>
      </c>
      <c r="Q2113" s="19" t="s">
        <v>211</v>
      </c>
      <c r="R2113" s="16" t="s">
        <v>54</v>
      </c>
      <c r="S2113" s="18" t="s">
        <v>2818</v>
      </c>
      <c r="T2113" s="21" t="s">
        <v>55</v>
      </c>
    </row>
    <row r="2114" spans="1:20" ht="16.5">
      <c r="A2114" s="11" t="s">
        <v>708</v>
      </c>
      <c r="B2114" s="11" t="s">
        <v>311</v>
      </c>
      <c r="C2114" s="11" t="s">
        <v>204</v>
      </c>
      <c r="D2114" s="12" t="s">
        <v>7535</v>
      </c>
      <c r="E2114" s="11" t="s">
        <v>312</v>
      </c>
      <c r="F2114" s="14" t="s">
        <v>313</v>
      </c>
      <c r="G2114" s="15" t="s">
        <v>7624</v>
      </c>
      <c r="H2114" s="23" t="s">
        <v>7625</v>
      </c>
      <c r="I2114" s="11" t="s">
        <v>65</v>
      </c>
      <c r="J2114" s="14">
        <v>1</v>
      </c>
      <c r="K2114" s="14" t="s">
        <v>7426</v>
      </c>
      <c r="L2114" s="14" t="s">
        <v>7626</v>
      </c>
      <c r="M2114" s="15" t="s">
        <v>7538</v>
      </c>
      <c r="N2114" s="15" t="s">
        <v>316</v>
      </c>
      <c r="O2114" s="15" t="s">
        <v>7627</v>
      </c>
      <c r="P2114" s="15" t="s">
        <v>7624</v>
      </c>
      <c r="Q2114" s="15" t="s">
        <v>211</v>
      </c>
      <c r="R2114" s="16" t="s">
        <v>54</v>
      </c>
      <c r="S2114" s="12" t="s">
        <v>2818</v>
      </c>
      <c r="T2114" s="14" t="s">
        <v>55</v>
      </c>
    </row>
    <row r="2115" spans="1:20" ht="16.5">
      <c r="A2115" s="17" t="s">
        <v>708</v>
      </c>
      <c r="B2115" s="17" t="s">
        <v>311</v>
      </c>
      <c r="C2115" s="17" t="s">
        <v>204</v>
      </c>
      <c r="D2115" s="18" t="s">
        <v>7535</v>
      </c>
      <c r="E2115" s="17" t="s">
        <v>312</v>
      </c>
      <c r="F2115" s="21" t="s">
        <v>313</v>
      </c>
      <c r="G2115" s="19" t="s">
        <v>7628</v>
      </c>
      <c r="H2115" s="24" t="s">
        <v>7629</v>
      </c>
      <c r="I2115" s="17" t="s">
        <v>65</v>
      </c>
      <c r="J2115" s="21">
        <v>1</v>
      </c>
      <c r="K2115" s="21" t="s">
        <v>7426</v>
      </c>
      <c r="L2115" s="21" t="s">
        <v>7630</v>
      </c>
      <c r="M2115" s="19" t="s">
        <v>7538</v>
      </c>
      <c r="N2115" s="19" t="s">
        <v>316</v>
      </c>
      <c r="O2115" s="19" t="s">
        <v>7631</v>
      </c>
      <c r="P2115" s="19" t="s">
        <v>7628</v>
      </c>
      <c r="Q2115" s="19" t="s">
        <v>211</v>
      </c>
      <c r="R2115" s="16" t="s">
        <v>54</v>
      </c>
      <c r="S2115" s="18" t="s">
        <v>2818</v>
      </c>
      <c r="T2115" s="21" t="s">
        <v>55</v>
      </c>
    </row>
    <row r="2116" spans="1:20" ht="16.5">
      <c r="A2116" s="11" t="s">
        <v>708</v>
      </c>
      <c r="B2116" s="11" t="s">
        <v>311</v>
      </c>
      <c r="C2116" s="11" t="s">
        <v>204</v>
      </c>
      <c r="D2116" s="12" t="s">
        <v>7535</v>
      </c>
      <c r="E2116" s="11" t="s">
        <v>312</v>
      </c>
      <c r="F2116" s="14" t="s">
        <v>313</v>
      </c>
      <c r="G2116" s="15" t="s">
        <v>7632</v>
      </c>
      <c r="H2116" s="23" t="s">
        <v>7633</v>
      </c>
      <c r="I2116" s="11" t="s">
        <v>65</v>
      </c>
      <c r="J2116" s="14">
        <v>1</v>
      </c>
      <c r="K2116" s="14" t="s">
        <v>7426</v>
      </c>
      <c r="L2116" s="14" t="s">
        <v>7634</v>
      </c>
      <c r="M2116" s="15" t="s">
        <v>7538</v>
      </c>
      <c r="N2116" s="15" t="s">
        <v>316</v>
      </c>
      <c r="O2116" s="15" t="s">
        <v>7635</v>
      </c>
      <c r="P2116" s="15" t="s">
        <v>7632</v>
      </c>
      <c r="Q2116" s="15" t="s">
        <v>211</v>
      </c>
      <c r="R2116" s="16" t="s">
        <v>54</v>
      </c>
      <c r="S2116" s="12" t="s">
        <v>2818</v>
      </c>
      <c r="T2116" s="14" t="s">
        <v>55</v>
      </c>
    </row>
    <row r="2117" spans="1:20" ht="16.5">
      <c r="A2117" s="17" t="s">
        <v>708</v>
      </c>
      <c r="B2117" s="17" t="s">
        <v>311</v>
      </c>
      <c r="C2117" s="17" t="s">
        <v>204</v>
      </c>
      <c r="D2117" s="18" t="s">
        <v>7535</v>
      </c>
      <c r="E2117" s="17" t="s">
        <v>312</v>
      </c>
      <c r="F2117" s="21" t="s">
        <v>313</v>
      </c>
      <c r="G2117" s="19" t="s">
        <v>7636</v>
      </c>
      <c r="H2117" s="24" t="s">
        <v>7637</v>
      </c>
      <c r="I2117" s="17" t="s">
        <v>65</v>
      </c>
      <c r="J2117" s="21">
        <v>1</v>
      </c>
      <c r="K2117" s="21" t="s">
        <v>7426</v>
      </c>
      <c r="L2117" s="21" t="s">
        <v>7638</v>
      </c>
      <c r="M2117" s="19" t="s">
        <v>7538</v>
      </c>
      <c r="N2117" s="19" t="s">
        <v>316</v>
      </c>
      <c r="O2117" s="19" t="s">
        <v>7639</v>
      </c>
      <c r="P2117" s="19" t="s">
        <v>7636</v>
      </c>
      <c r="Q2117" s="19" t="s">
        <v>211</v>
      </c>
      <c r="R2117" s="16" t="s">
        <v>54</v>
      </c>
      <c r="S2117" s="18" t="s">
        <v>2818</v>
      </c>
      <c r="T2117" s="21" t="s">
        <v>55</v>
      </c>
    </row>
    <row r="2118" spans="1:20" ht="16.5">
      <c r="A2118" s="11" t="s">
        <v>708</v>
      </c>
      <c r="B2118" s="11" t="s">
        <v>578</v>
      </c>
      <c r="C2118" s="11" t="s">
        <v>300</v>
      </c>
      <c r="D2118" s="12" t="s">
        <v>636</v>
      </c>
      <c r="E2118" s="11" t="s">
        <v>579</v>
      </c>
      <c r="F2118" s="11" t="s">
        <v>62</v>
      </c>
      <c r="G2118" s="12" t="s">
        <v>7477</v>
      </c>
      <c r="H2118" s="13" t="s">
        <v>7640</v>
      </c>
      <c r="I2118" s="11" t="s">
        <v>645</v>
      </c>
      <c r="J2118" s="14">
        <v>1</v>
      </c>
      <c r="K2118" s="14" t="s">
        <v>7426</v>
      </c>
      <c r="L2118" s="14" t="s">
        <v>7641</v>
      </c>
      <c r="M2118" s="15" t="s">
        <v>641</v>
      </c>
      <c r="N2118" s="15" t="s">
        <v>583</v>
      </c>
      <c r="O2118" s="15" t="s">
        <v>7480</v>
      </c>
      <c r="P2118" s="15"/>
      <c r="Q2118" s="12" t="s">
        <v>53</v>
      </c>
      <c r="R2118" s="16" t="s">
        <v>54</v>
      </c>
      <c r="S2118" s="12" t="s">
        <v>2818</v>
      </c>
      <c r="T2118" s="14" t="s">
        <v>55</v>
      </c>
    </row>
    <row r="2119" spans="1:20" ht="16.5">
      <c r="A2119" s="17" t="s">
        <v>708</v>
      </c>
      <c r="B2119" s="17" t="s">
        <v>578</v>
      </c>
      <c r="C2119" s="17" t="s">
        <v>62</v>
      </c>
      <c r="D2119" s="18" t="s">
        <v>7477</v>
      </c>
      <c r="E2119" s="17" t="s">
        <v>45</v>
      </c>
      <c r="F2119" s="17" t="s">
        <v>62</v>
      </c>
      <c r="G2119" s="18" t="s">
        <v>7473</v>
      </c>
      <c r="H2119" s="24" t="s">
        <v>584</v>
      </c>
      <c r="I2119" s="17" t="s">
        <v>5302</v>
      </c>
      <c r="J2119" s="21">
        <v>1</v>
      </c>
      <c r="K2119" s="21" t="s">
        <v>7426</v>
      </c>
      <c r="L2119" s="21" t="s">
        <v>7642</v>
      </c>
      <c r="M2119" s="19" t="s">
        <v>7480</v>
      </c>
      <c r="N2119" s="19" t="s">
        <v>51</v>
      </c>
      <c r="O2119" s="19" t="s">
        <v>7476</v>
      </c>
      <c r="P2119" s="19"/>
      <c r="Q2119" s="18" t="s">
        <v>53</v>
      </c>
      <c r="R2119" s="16" t="s">
        <v>54</v>
      </c>
      <c r="S2119" s="18" t="s">
        <v>2818</v>
      </c>
      <c r="T2119" s="21" t="s">
        <v>55</v>
      </c>
    </row>
    <row r="2120" spans="1:20" ht="16.5">
      <c r="A2120" s="11" t="s">
        <v>708</v>
      </c>
      <c r="B2120" s="11" t="s">
        <v>578</v>
      </c>
      <c r="C2120" s="11" t="s">
        <v>62</v>
      </c>
      <c r="D2120" s="12" t="s">
        <v>7473</v>
      </c>
      <c r="E2120" s="11" t="s">
        <v>45</v>
      </c>
      <c r="F2120" s="11" t="s">
        <v>62</v>
      </c>
      <c r="G2120" s="12" t="s">
        <v>7428</v>
      </c>
      <c r="H2120" s="23" t="s">
        <v>584</v>
      </c>
      <c r="I2120" s="11" t="s">
        <v>7643</v>
      </c>
      <c r="J2120" s="14">
        <v>1</v>
      </c>
      <c r="K2120" s="14" t="s">
        <v>7426</v>
      </c>
      <c r="L2120" s="14" t="s">
        <v>7644</v>
      </c>
      <c r="M2120" s="15" t="s">
        <v>7476</v>
      </c>
      <c r="N2120" s="15" t="s">
        <v>51</v>
      </c>
      <c r="O2120" s="15" t="s">
        <v>7431</v>
      </c>
      <c r="P2120" s="15"/>
      <c r="Q2120" s="12" t="s">
        <v>53</v>
      </c>
      <c r="R2120" s="16" t="s">
        <v>54</v>
      </c>
      <c r="S2120" s="12" t="s">
        <v>2818</v>
      </c>
      <c r="T2120" s="14" t="s">
        <v>55</v>
      </c>
    </row>
    <row r="2121" spans="1:20" ht="16.5">
      <c r="A2121" s="17" t="s">
        <v>708</v>
      </c>
      <c r="B2121" s="17" t="s">
        <v>578</v>
      </c>
      <c r="C2121" s="17" t="s">
        <v>1250</v>
      </c>
      <c r="D2121" s="18" t="s">
        <v>1385</v>
      </c>
      <c r="E2121" s="17" t="s">
        <v>1386</v>
      </c>
      <c r="F2121" s="17" t="s">
        <v>62</v>
      </c>
      <c r="G2121" s="18" t="s">
        <v>7428</v>
      </c>
      <c r="H2121" s="24" t="s">
        <v>584</v>
      </c>
      <c r="I2121" s="17" t="s">
        <v>7643</v>
      </c>
      <c r="J2121" s="21">
        <v>1</v>
      </c>
      <c r="K2121" s="21" t="s">
        <v>7426</v>
      </c>
      <c r="L2121" s="21" t="s">
        <v>7645</v>
      </c>
      <c r="M2121" s="19" t="s">
        <v>1389</v>
      </c>
      <c r="N2121" s="19" t="s">
        <v>1390</v>
      </c>
      <c r="O2121" s="19" t="s">
        <v>7431</v>
      </c>
      <c r="P2121" s="19"/>
      <c r="Q2121" s="18" t="s">
        <v>53</v>
      </c>
      <c r="R2121" s="16" t="s">
        <v>54</v>
      </c>
      <c r="S2121" s="18" t="s">
        <v>2818</v>
      </c>
      <c r="T2121" s="21" t="s">
        <v>55</v>
      </c>
    </row>
    <row r="2122" spans="1:20" ht="16.5">
      <c r="A2122" s="11" t="s">
        <v>708</v>
      </c>
      <c r="B2122" s="11" t="s">
        <v>578</v>
      </c>
      <c r="C2122" s="11" t="s">
        <v>62</v>
      </c>
      <c r="D2122" s="12" t="s">
        <v>7428</v>
      </c>
      <c r="E2122" s="11" t="s">
        <v>635</v>
      </c>
      <c r="F2122" s="11" t="s">
        <v>300</v>
      </c>
      <c r="G2122" s="12" t="s">
        <v>1018</v>
      </c>
      <c r="H2122" s="13" t="s">
        <v>7646</v>
      </c>
      <c r="I2122" s="11" t="s">
        <v>645</v>
      </c>
      <c r="J2122" s="14">
        <v>1</v>
      </c>
      <c r="K2122" s="14" t="s">
        <v>7426</v>
      </c>
      <c r="L2122" s="14" t="s">
        <v>7647</v>
      </c>
      <c r="M2122" s="15" t="s">
        <v>7431</v>
      </c>
      <c r="N2122" s="15" t="s">
        <v>640</v>
      </c>
      <c r="O2122" s="15" t="s">
        <v>1021</v>
      </c>
      <c r="P2122" s="15"/>
      <c r="Q2122" s="12" t="s">
        <v>53</v>
      </c>
      <c r="R2122" s="16" t="s">
        <v>54</v>
      </c>
      <c r="S2122" s="12" t="s">
        <v>2818</v>
      </c>
      <c r="T2122" s="14" t="s">
        <v>55</v>
      </c>
    </row>
    <row r="2123" spans="1:20" ht="16.5">
      <c r="A2123" s="17" t="s">
        <v>708</v>
      </c>
      <c r="B2123" s="17" t="s">
        <v>578</v>
      </c>
      <c r="C2123" s="17" t="s">
        <v>62</v>
      </c>
      <c r="D2123" s="18" t="s">
        <v>7454</v>
      </c>
      <c r="E2123" s="17" t="s">
        <v>635</v>
      </c>
      <c r="F2123" s="17" t="s">
        <v>300</v>
      </c>
      <c r="G2123" s="18" t="s">
        <v>3854</v>
      </c>
      <c r="H2123" s="20" t="s">
        <v>7648</v>
      </c>
      <c r="I2123" s="17" t="s">
        <v>645</v>
      </c>
      <c r="J2123" s="21">
        <v>1</v>
      </c>
      <c r="K2123" s="21" t="s">
        <v>7426</v>
      </c>
      <c r="L2123" s="21" t="s">
        <v>7649</v>
      </c>
      <c r="M2123" s="19" t="s">
        <v>7457</v>
      </c>
      <c r="N2123" s="19" t="s">
        <v>640</v>
      </c>
      <c r="O2123" s="19" t="s">
        <v>3858</v>
      </c>
      <c r="P2123" s="19"/>
      <c r="Q2123" s="18" t="s">
        <v>649</v>
      </c>
      <c r="R2123" s="22" t="s">
        <v>88</v>
      </c>
      <c r="S2123" s="18" t="s">
        <v>2818</v>
      </c>
      <c r="T2123" s="21" t="s">
        <v>55</v>
      </c>
    </row>
    <row r="2124" spans="1:20" ht="16.5">
      <c r="A2124" s="11" t="s">
        <v>708</v>
      </c>
      <c r="B2124" s="11" t="s">
        <v>578</v>
      </c>
      <c r="C2124" s="11" t="s">
        <v>300</v>
      </c>
      <c r="D2124" s="12" t="s">
        <v>5697</v>
      </c>
      <c r="E2124" s="11" t="s">
        <v>579</v>
      </c>
      <c r="F2124" s="11" t="s">
        <v>62</v>
      </c>
      <c r="G2124" s="12" t="s">
        <v>7454</v>
      </c>
      <c r="H2124" s="13" t="s">
        <v>7650</v>
      </c>
      <c r="I2124" s="11" t="s">
        <v>645</v>
      </c>
      <c r="J2124" s="14">
        <v>1</v>
      </c>
      <c r="K2124" s="14" t="s">
        <v>7426</v>
      </c>
      <c r="L2124" s="14" t="s">
        <v>7651</v>
      </c>
      <c r="M2124" s="15" t="s">
        <v>5700</v>
      </c>
      <c r="N2124" s="15" t="s">
        <v>583</v>
      </c>
      <c r="O2124" s="15" t="s">
        <v>7457</v>
      </c>
      <c r="P2124" s="15"/>
      <c r="Q2124" s="12" t="s">
        <v>606</v>
      </c>
      <c r="R2124" s="25" t="s">
        <v>607</v>
      </c>
      <c r="S2124" s="12" t="s">
        <v>2818</v>
      </c>
      <c r="T2124" s="14" t="s">
        <v>55</v>
      </c>
    </row>
    <row r="2125" spans="1:20" ht="16.5">
      <c r="A2125" s="17" t="s">
        <v>708</v>
      </c>
      <c r="B2125" s="17" t="s">
        <v>650</v>
      </c>
      <c r="C2125" s="17" t="s">
        <v>204</v>
      </c>
      <c r="D2125" s="18" t="s">
        <v>7500</v>
      </c>
      <c r="E2125" s="17" t="s">
        <v>654</v>
      </c>
      <c r="F2125" s="17" t="s">
        <v>295</v>
      </c>
      <c r="G2125" s="18" t="s">
        <v>7540</v>
      </c>
      <c r="H2125" s="20" t="s">
        <v>7652</v>
      </c>
      <c r="I2125" s="17" t="s">
        <v>652</v>
      </c>
      <c r="J2125" s="21">
        <v>1</v>
      </c>
      <c r="K2125" s="21" t="s">
        <v>7426</v>
      </c>
      <c r="L2125" s="21" t="s">
        <v>7653</v>
      </c>
      <c r="M2125" s="19" t="s">
        <v>7503</v>
      </c>
      <c r="N2125" s="19" t="s">
        <v>657</v>
      </c>
      <c r="O2125" s="19" t="s">
        <v>7543</v>
      </c>
      <c r="P2125" s="19" t="s">
        <v>7504</v>
      </c>
      <c r="Q2125" s="18" t="s">
        <v>286</v>
      </c>
      <c r="R2125" s="22" t="s">
        <v>88</v>
      </c>
      <c r="S2125" s="18" t="s">
        <v>2818</v>
      </c>
      <c r="T2125" s="21" t="s">
        <v>55</v>
      </c>
    </row>
    <row r="2126" spans="1:20" ht="16.5">
      <c r="A2126" s="11" t="s">
        <v>708</v>
      </c>
      <c r="B2126" s="11" t="s">
        <v>695</v>
      </c>
      <c r="C2126" s="11" t="s">
        <v>295</v>
      </c>
      <c r="D2126" s="12" t="s">
        <v>7540</v>
      </c>
      <c r="E2126" s="11" t="s">
        <v>667</v>
      </c>
      <c r="F2126" s="11" t="s">
        <v>698</v>
      </c>
      <c r="G2126" s="12" t="s">
        <v>3638</v>
      </c>
      <c r="H2126" s="23" t="s">
        <v>584</v>
      </c>
      <c r="I2126" s="11" t="s">
        <v>4592</v>
      </c>
      <c r="J2126" s="14">
        <v>2</v>
      </c>
      <c r="K2126" s="14" t="s">
        <v>7426</v>
      </c>
      <c r="L2126" s="14" t="s">
        <v>7654</v>
      </c>
      <c r="M2126" s="15" t="s">
        <v>7543</v>
      </c>
      <c r="N2126" s="15" t="s">
        <v>670</v>
      </c>
      <c r="O2126" s="15" t="s">
        <v>3641</v>
      </c>
      <c r="P2126" s="15"/>
      <c r="Q2126" s="12" t="s">
        <v>286</v>
      </c>
      <c r="R2126" s="22" t="s">
        <v>88</v>
      </c>
      <c r="S2126" s="12" t="s">
        <v>2818</v>
      </c>
      <c r="T2126" s="14" t="s">
        <v>55</v>
      </c>
    </row>
    <row r="2127" spans="1:20" ht="16.5">
      <c r="A2127" s="17" t="s">
        <v>708</v>
      </c>
      <c r="B2127" s="17" t="s">
        <v>695</v>
      </c>
      <c r="C2127" s="17" t="s">
        <v>204</v>
      </c>
      <c r="D2127" s="18" t="s">
        <v>7500</v>
      </c>
      <c r="E2127" s="17" t="s">
        <v>667</v>
      </c>
      <c r="F2127" s="17" t="s">
        <v>698</v>
      </c>
      <c r="G2127" s="19" t="s">
        <v>4590</v>
      </c>
      <c r="H2127" s="24" t="s">
        <v>584</v>
      </c>
      <c r="I2127" s="17" t="s">
        <v>4592</v>
      </c>
      <c r="J2127" s="21">
        <v>2</v>
      </c>
      <c r="K2127" s="21" t="s">
        <v>7426</v>
      </c>
      <c r="L2127" s="21" t="s">
        <v>7655</v>
      </c>
      <c r="M2127" s="19" t="s">
        <v>7503</v>
      </c>
      <c r="N2127" s="19" t="s">
        <v>670</v>
      </c>
      <c r="O2127" s="19" t="s">
        <v>4594</v>
      </c>
      <c r="P2127" s="19" t="s">
        <v>7504</v>
      </c>
      <c r="Q2127" s="18" t="s">
        <v>286</v>
      </c>
      <c r="R2127" s="22" t="s">
        <v>88</v>
      </c>
      <c r="S2127" s="18" t="s">
        <v>2818</v>
      </c>
      <c r="T2127" s="21" t="s">
        <v>55</v>
      </c>
    </row>
    <row r="2128" spans="1:20" ht="16.5">
      <c r="A2128" s="11" t="s">
        <v>7656</v>
      </c>
      <c r="B2128" s="11" t="s">
        <v>60</v>
      </c>
      <c r="C2128" s="11" t="s">
        <v>44</v>
      </c>
      <c r="D2128" s="12" t="s">
        <v>7656</v>
      </c>
      <c r="E2128" s="11" t="s">
        <v>61</v>
      </c>
      <c r="F2128" s="11" t="s">
        <v>62</v>
      </c>
      <c r="G2128" s="12" t="s">
        <v>7657</v>
      </c>
      <c r="H2128" s="13" t="s">
        <v>7658</v>
      </c>
      <c r="I2128" s="11" t="s">
        <v>65</v>
      </c>
      <c r="J2128" s="14">
        <v>1</v>
      </c>
      <c r="K2128" s="14" t="s">
        <v>7659</v>
      </c>
      <c r="L2128" s="14" t="s">
        <v>7660</v>
      </c>
      <c r="M2128" s="15" t="s">
        <v>7661</v>
      </c>
      <c r="N2128" s="15" t="s">
        <v>67</v>
      </c>
      <c r="O2128" s="15" t="s">
        <v>7662</v>
      </c>
      <c r="P2128" s="15"/>
      <c r="Q2128" s="12" t="s">
        <v>69</v>
      </c>
      <c r="R2128" s="16" t="s">
        <v>54</v>
      </c>
      <c r="S2128" s="12" t="s">
        <v>2818</v>
      </c>
      <c r="T2128" s="14" t="s">
        <v>55</v>
      </c>
    </row>
    <row r="2129" spans="1:20" ht="16.5">
      <c r="A2129" s="17" t="s">
        <v>7656</v>
      </c>
      <c r="B2129" s="17" t="s">
        <v>60</v>
      </c>
      <c r="C2129" s="17" t="s">
        <v>62</v>
      </c>
      <c r="D2129" s="18" t="s">
        <v>7657</v>
      </c>
      <c r="E2129" s="17" t="s">
        <v>71</v>
      </c>
      <c r="F2129" s="17" t="s">
        <v>72</v>
      </c>
      <c r="G2129" s="18" t="s">
        <v>7663</v>
      </c>
      <c r="H2129" s="20" t="s">
        <v>7664</v>
      </c>
      <c r="I2129" s="17" t="s">
        <v>65</v>
      </c>
      <c r="J2129" s="21">
        <v>1</v>
      </c>
      <c r="K2129" s="21" t="s">
        <v>7659</v>
      </c>
      <c r="L2129" s="21" t="s">
        <v>7665</v>
      </c>
      <c r="M2129" s="19" t="s">
        <v>7662</v>
      </c>
      <c r="N2129" s="19" t="s">
        <v>76</v>
      </c>
      <c r="O2129" s="19" t="s">
        <v>7666</v>
      </c>
      <c r="P2129" s="19"/>
      <c r="Q2129" s="18" t="s">
        <v>69</v>
      </c>
      <c r="R2129" s="16" t="s">
        <v>54</v>
      </c>
      <c r="S2129" s="18" t="s">
        <v>2818</v>
      </c>
      <c r="T2129" s="21" t="s">
        <v>55</v>
      </c>
    </row>
    <row r="2130" spans="1:20" ht="16.5">
      <c r="A2130" s="11" t="s">
        <v>7656</v>
      </c>
      <c r="B2130" s="11" t="s">
        <v>60</v>
      </c>
      <c r="C2130" s="11" t="s">
        <v>62</v>
      </c>
      <c r="D2130" s="12" t="s">
        <v>7657</v>
      </c>
      <c r="E2130" s="11" t="s">
        <v>71</v>
      </c>
      <c r="F2130" s="11" t="s">
        <v>72</v>
      </c>
      <c r="G2130" s="12" t="s">
        <v>7667</v>
      </c>
      <c r="H2130" s="13" t="s">
        <v>7664</v>
      </c>
      <c r="I2130" s="11" t="s">
        <v>65</v>
      </c>
      <c r="J2130" s="14">
        <v>1</v>
      </c>
      <c r="K2130" s="14" t="s">
        <v>7659</v>
      </c>
      <c r="L2130" s="14" t="s">
        <v>7668</v>
      </c>
      <c r="M2130" s="15" t="s">
        <v>7662</v>
      </c>
      <c r="N2130" s="15" t="s">
        <v>76</v>
      </c>
      <c r="O2130" s="15" t="s">
        <v>7669</v>
      </c>
      <c r="P2130" s="15"/>
      <c r="Q2130" s="12" t="s">
        <v>69</v>
      </c>
      <c r="R2130" s="16" t="s">
        <v>54</v>
      </c>
      <c r="S2130" s="12" t="s">
        <v>2818</v>
      </c>
      <c r="T2130" s="14" t="s">
        <v>55</v>
      </c>
    </row>
    <row r="2131" spans="1:20" ht="16.5">
      <c r="A2131" s="17" t="s">
        <v>7656</v>
      </c>
      <c r="B2131" s="17" t="s">
        <v>60</v>
      </c>
      <c r="C2131" s="17" t="s">
        <v>62</v>
      </c>
      <c r="D2131" s="18" t="s">
        <v>7657</v>
      </c>
      <c r="E2131" s="17" t="s">
        <v>71</v>
      </c>
      <c r="F2131" s="17" t="s">
        <v>72</v>
      </c>
      <c r="G2131" s="18" t="s">
        <v>7670</v>
      </c>
      <c r="H2131" s="20" t="s">
        <v>7664</v>
      </c>
      <c r="I2131" s="17" t="s">
        <v>65</v>
      </c>
      <c r="J2131" s="21">
        <v>1</v>
      </c>
      <c r="K2131" s="21" t="s">
        <v>7659</v>
      </c>
      <c r="L2131" s="21" t="s">
        <v>7671</v>
      </c>
      <c r="M2131" s="19" t="s">
        <v>7662</v>
      </c>
      <c r="N2131" s="19" t="s">
        <v>76</v>
      </c>
      <c r="O2131" s="19" t="s">
        <v>7672</v>
      </c>
      <c r="P2131" s="19"/>
      <c r="Q2131" s="18" t="s">
        <v>69</v>
      </c>
      <c r="R2131" s="16" t="s">
        <v>54</v>
      </c>
      <c r="S2131" s="18" t="s">
        <v>2818</v>
      </c>
      <c r="T2131" s="21" t="s">
        <v>55</v>
      </c>
    </row>
    <row r="2132" spans="1:20" ht="16.5">
      <c r="A2132" s="11" t="s">
        <v>7656</v>
      </c>
      <c r="B2132" s="11" t="s">
        <v>60</v>
      </c>
      <c r="C2132" s="11" t="s">
        <v>62</v>
      </c>
      <c r="D2132" s="12" t="s">
        <v>7657</v>
      </c>
      <c r="E2132" s="11" t="s">
        <v>81</v>
      </c>
      <c r="F2132" s="11" t="s">
        <v>82</v>
      </c>
      <c r="G2132" s="12" t="s">
        <v>7673</v>
      </c>
      <c r="H2132" s="13" t="s">
        <v>7674</v>
      </c>
      <c r="I2132" s="11" t="s">
        <v>65</v>
      </c>
      <c r="J2132" s="14">
        <v>1</v>
      </c>
      <c r="K2132" s="14" t="s">
        <v>7659</v>
      </c>
      <c r="L2132" s="14" t="s">
        <v>7675</v>
      </c>
      <c r="M2132" s="15" t="s">
        <v>7662</v>
      </c>
      <c r="N2132" s="15" t="s">
        <v>86</v>
      </c>
      <c r="O2132" s="15" t="s">
        <v>7676</v>
      </c>
      <c r="P2132" s="15"/>
      <c r="Q2132" s="12" t="s">
        <v>53</v>
      </c>
      <c r="R2132" s="22" t="s">
        <v>88</v>
      </c>
      <c r="S2132" s="12" t="s">
        <v>2818</v>
      </c>
      <c r="T2132" s="14" t="s">
        <v>55</v>
      </c>
    </row>
    <row r="2133" spans="1:20" ht="16.5">
      <c r="A2133" s="17" t="s">
        <v>7656</v>
      </c>
      <c r="B2133" s="17" t="s">
        <v>60</v>
      </c>
      <c r="C2133" s="17" t="s">
        <v>62</v>
      </c>
      <c r="D2133" s="18" t="s">
        <v>7657</v>
      </c>
      <c r="E2133" s="17" t="s">
        <v>81</v>
      </c>
      <c r="F2133" s="17" t="s">
        <v>82</v>
      </c>
      <c r="G2133" s="18" t="s">
        <v>7677</v>
      </c>
      <c r="H2133" s="20" t="s">
        <v>7678</v>
      </c>
      <c r="I2133" s="17" t="s">
        <v>65</v>
      </c>
      <c r="J2133" s="21">
        <v>1</v>
      </c>
      <c r="K2133" s="21" t="s">
        <v>7659</v>
      </c>
      <c r="L2133" s="21" t="s">
        <v>7679</v>
      </c>
      <c r="M2133" s="19" t="s">
        <v>7662</v>
      </c>
      <c r="N2133" s="19" t="s">
        <v>86</v>
      </c>
      <c r="O2133" s="19" t="s">
        <v>7680</v>
      </c>
      <c r="P2133" s="19"/>
      <c r="Q2133" s="18" t="s">
        <v>53</v>
      </c>
      <c r="R2133" s="22" t="s">
        <v>88</v>
      </c>
      <c r="S2133" s="18" t="s">
        <v>2818</v>
      </c>
      <c r="T2133" s="21" t="s">
        <v>55</v>
      </c>
    </row>
    <row r="2134" spans="1:20" ht="16.5">
      <c r="A2134" s="11" t="s">
        <v>7656</v>
      </c>
      <c r="B2134" s="11" t="s">
        <v>60</v>
      </c>
      <c r="C2134" s="11" t="s">
        <v>44</v>
      </c>
      <c r="D2134" s="12" t="s">
        <v>7656</v>
      </c>
      <c r="E2134" s="11" t="s">
        <v>61</v>
      </c>
      <c r="F2134" s="11" t="s">
        <v>62</v>
      </c>
      <c r="G2134" s="12" t="s">
        <v>7681</v>
      </c>
      <c r="H2134" s="13" t="s">
        <v>7682</v>
      </c>
      <c r="I2134" s="11" t="s">
        <v>65</v>
      </c>
      <c r="J2134" s="14">
        <v>1</v>
      </c>
      <c r="K2134" s="14" t="s">
        <v>7659</v>
      </c>
      <c r="L2134" s="14" t="s">
        <v>7683</v>
      </c>
      <c r="M2134" s="15" t="s">
        <v>7661</v>
      </c>
      <c r="N2134" s="15" t="s">
        <v>67</v>
      </c>
      <c r="O2134" s="15" t="s">
        <v>7684</v>
      </c>
      <c r="P2134" s="15"/>
      <c r="Q2134" s="12" t="s">
        <v>69</v>
      </c>
      <c r="R2134" s="16" t="s">
        <v>54</v>
      </c>
      <c r="S2134" s="12" t="s">
        <v>2818</v>
      </c>
      <c r="T2134" s="14" t="s">
        <v>55</v>
      </c>
    </row>
    <row r="2135" spans="1:20" ht="16.5">
      <c r="A2135" s="17" t="s">
        <v>7656</v>
      </c>
      <c r="B2135" s="17" t="s">
        <v>60</v>
      </c>
      <c r="C2135" s="17" t="s">
        <v>62</v>
      </c>
      <c r="D2135" s="18" t="s">
        <v>7681</v>
      </c>
      <c r="E2135" s="17" t="s">
        <v>71</v>
      </c>
      <c r="F2135" s="17" t="s">
        <v>72</v>
      </c>
      <c r="G2135" s="18" t="s">
        <v>7685</v>
      </c>
      <c r="H2135" s="20" t="s">
        <v>7686</v>
      </c>
      <c r="I2135" s="17" t="s">
        <v>65</v>
      </c>
      <c r="J2135" s="21">
        <v>1</v>
      </c>
      <c r="K2135" s="21" t="s">
        <v>7659</v>
      </c>
      <c r="L2135" s="21" t="s">
        <v>7687</v>
      </c>
      <c r="M2135" s="19" t="s">
        <v>7684</v>
      </c>
      <c r="N2135" s="19" t="s">
        <v>76</v>
      </c>
      <c r="O2135" s="19" t="s">
        <v>7688</v>
      </c>
      <c r="P2135" s="19"/>
      <c r="Q2135" s="18" t="s">
        <v>69</v>
      </c>
      <c r="R2135" s="16" t="s">
        <v>54</v>
      </c>
      <c r="S2135" s="18" t="s">
        <v>2818</v>
      </c>
      <c r="T2135" s="21" t="s">
        <v>55</v>
      </c>
    </row>
    <row r="2136" spans="1:20" ht="16.5">
      <c r="A2136" s="11" t="s">
        <v>7656</v>
      </c>
      <c r="B2136" s="11" t="s">
        <v>60</v>
      </c>
      <c r="C2136" s="11" t="s">
        <v>62</v>
      </c>
      <c r="D2136" s="12" t="s">
        <v>7681</v>
      </c>
      <c r="E2136" s="11" t="s">
        <v>71</v>
      </c>
      <c r="F2136" s="11" t="s">
        <v>72</v>
      </c>
      <c r="G2136" s="12" t="s">
        <v>7689</v>
      </c>
      <c r="H2136" s="13" t="s">
        <v>7686</v>
      </c>
      <c r="I2136" s="11" t="s">
        <v>65</v>
      </c>
      <c r="J2136" s="14">
        <v>1</v>
      </c>
      <c r="K2136" s="14" t="s">
        <v>7659</v>
      </c>
      <c r="L2136" s="14" t="s">
        <v>7690</v>
      </c>
      <c r="M2136" s="15" t="s">
        <v>7684</v>
      </c>
      <c r="N2136" s="15" t="s">
        <v>76</v>
      </c>
      <c r="O2136" s="15" t="s">
        <v>7691</v>
      </c>
      <c r="P2136" s="15"/>
      <c r="Q2136" s="12" t="s">
        <v>69</v>
      </c>
      <c r="R2136" s="16" t="s">
        <v>54</v>
      </c>
      <c r="S2136" s="12" t="s">
        <v>2818</v>
      </c>
      <c r="T2136" s="14" t="s">
        <v>55</v>
      </c>
    </row>
    <row r="2137" spans="1:20" ht="16.5">
      <c r="A2137" s="17" t="s">
        <v>7656</v>
      </c>
      <c r="B2137" s="17" t="s">
        <v>60</v>
      </c>
      <c r="C2137" s="17" t="s">
        <v>62</v>
      </c>
      <c r="D2137" s="18" t="s">
        <v>7681</v>
      </c>
      <c r="E2137" s="17" t="s">
        <v>71</v>
      </c>
      <c r="F2137" s="17" t="s">
        <v>72</v>
      </c>
      <c r="G2137" s="18" t="s">
        <v>7692</v>
      </c>
      <c r="H2137" s="20" t="s">
        <v>7686</v>
      </c>
      <c r="I2137" s="17" t="s">
        <v>65</v>
      </c>
      <c r="J2137" s="21">
        <v>1</v>
      </c>
      <c r="K2137" s="21" t="s">
        <v>7659</v>
      </c>
      <c r="L2137" s="21" t="s">
        <v>7693</v>
      </c>
      <c r="M2137" s="19" t="s">
        <v>7684</v>
      </c>
      <c r="N2137" s="19" t="s">
        <v>76</v>
      </c>
      <c r="O2137" s="19" t="s">
        <v>7694</v>
      </c>
      <c r="P2137" s="19"/>
      <c r="Q2137" s="18" t="s">
        <v>69</v>
      </c>
      <c r="R2137" s="16" t="s">
        <v>54</v>
      </c>
      <c r="S2137" s="18" t="s">
        <v>2818</v>
      </c>
      <c r="T2137" s="21" t="s">
        <v>55</v>
      </c>
    </row>
    <row r="2138" spans="1:20" ht="16.5">
      <c r="A2138" s="11" t="s">
        <v>7656</v>
      </c>
      <c r="B2138" s="11" t="s">
        <v>60</v>
      </c>
      <c r="C2138" s="11" t="s">
        <v>44</v>
      </c>
      <c r="D2138" s="12" t="s">
        <v>7656</v>
      </c>
      <c r="E2138" s="11" t="s">
        <v>61</v>
      </c>
      <c r="F2138" s="11" t="s">
        <v>62</v>
      </c>
      <c r="G2138" s="12" t="s">
        <v>7695</v>
      </c>
      <c r="H2138" s="13" t="s">
        <v>7696</v>
      </c>
      <c r="I2138" s="11" t="s">
        <v>65</v>
      </c>
      <c r="J2138" s="14">
        <v>1</v>
      </c>
      <c r="K2138" s="14" t="s">
        <v>7659</v>
      </c>
      <c r="L2138" s="14" t="s">
        <v>7697</v>
      </c>
      <c r="M2138" s="15" t="s">
        <v>7661</v>
      </c>
      <c r="N2138" s="15" t="s">
        <v>67</v>
      </c>
      <c r="O2138" s="15" t="s">
        <v>7698</v>
      </c>
      <c r="P2138" s="15"/>
      <c r="Q2138" s="12" t="s">
        <v>69</v>
      </c>
      <c r="R2138" s="16" t="s">
        <v>54</v>
      </c>
      <c r="S2138" s="12" t="s">
        <v>2818</v>
      </c>
      <c r="T2138" s="14" t="s">
        <v>55</v>
      </c>
    </row>
    <row r="2139" spans="1:20" ht="16.5">
      <c r="A2139" s="17" t="s">
        <v>7656</v>
      </c>
      <c r="B2139" s="17" t="s">
        <v>60</v>
      </c>
      <c r="C2139" s="17" t="s">
        <v>62</v>
      </c>
      <c r="D2139" s="18" t="s">
        <v>7695</v>
      </c>
      <c r="E2139" s="17" t="s">
        <v>71</v>
      </c>
      <c r="F2139" s="17" t="s">
        <v>72</v>
      </c>
      <c r="G2139" s="18" t="s">
        <v>7699</v>
      </c>
      <c r="H2139" s="20" t="s">
        <v>7700</v>
      </c>
      <c r="I2139" s="17" t="s">
        <v>65</v>
      </c>
      <c r="J2139" s="21">
        <v>1</v>
      </c>
      <c r="K2139" s="21" t="s">
        <v>7659</v>
      </c>
      <c r="L2139" s="21" t="s">
        <v>7701</v>
      </c>
      <c r="M2139" s="19" t="s">
        <v>7698</v>
      </c>
      <c r="N2139" s="19" t="s">
        <v>76</v>
      </c>
      <c r="O2139" s="19" t="s">
        <v>7702</v>
      </c>
      <c r="P2139" s="19"/>
      <c r="Q2139" s="18" t="s">
        <v>69</v>
      </c>
      <c r="R2139" s="16" t="s">
        <v>54</v>
      </c>
      <c r="S2139" s="18" t="s">
        <v>2818</v>
      </c>
      <c r="T2139" s="21" t="s">
        <v>55</v>
      </c>
    </row>
    <row r="2140" spans="1:20" ht="16.5">
      <c r="A2140" s="11" t="s">
        <v>7656</v>
      </c>
      <c r="B2140" s="11" t="s">
        <v>60</v>
      </c>
      <c r="C2140" s="11" t="s">
        <v>62</v>
      </c>
      <c r="D2140" s="12" t="s">
        <v>7695</v>
      </c>
      <c r="E2140" s="11" t="s">
        <v>71</v>
      </c>
      <c r="F2140" s="11" t="s">
        <v>72</v>
      </c>
      <c r="G2140" s="12" t="s">
        <v>7703</v>
      </c>
      <c r="H2140" s="13" t="s">
        <v>7700</v>
      </c>
      <c r="I2140" s="11" t="s">
        <v>65</v>
      </c>
      <c r="J2140" s="14">
        <v>1</v>
      </c>
      <c r="K2140" s="14" t="s">
        <v>7659</v>
      </c>
      <c r="L2140" s="14" t="s">
        <v>7704</v>
      </c>
      <c r="M2140" s="15" t="s">
        <v>7698</v>
      </c>
      <c r="N2140" s="15" t="s">
        <v>76</v>
      </c>
      <c r="O2140" s="15" t="s">
        <v>7705</v>
      </c>
      <c r="P2140" s="15"/>
      <c r="Q2140" s="12" t="s">
        <v>69</v>
      </c>
      <c r="R2140" s="16" t="s">
        <v>54</v>
      </c>
      <c r="S2140" s="12" t="s">
        <v>2818</v>
      </c>
      <c r="T2140" s="14" t="s">
        <v>55</v>
      </c>
    </row>
    <row r="2141" spans="1:20" ht="16.5">
      <c r="A2141" s="17" t="s">
        <v>7656</v>
      </c>
      <c r="B2141" s="17" t="s">
        <v>60</v>
      </c>
      <c r="C2141" s="17" t="s">
        <v>62</v>
      </c>
      <c r="D2141" s="18" t="s">
        <v>7695</v>
      </c>
      <c r="E2141" s="17" t="s">
        <v>81</v>
      </c>
      <c r="F2141" s="17" t="s">
        <v>82</v>
      </c>
      <c r="G2141" s="18" t="s">
        <v>7706</v>
      </c>
      <c r="H2141" s="20" t="s">
        <v>7707</v>
      </c>
      <c r="I2141" s="17" t="s">
        <v>65</v>
      </c>
      <c r="J2141" s="21">
        <v>1</v>
      </c>
      <c r="K2141" s="21" t="s">
        <v>7659</v>
      </c>
      <c r="L2141" s="21" t="s">
        <v>7708</v>
      </c>
      <c r="M2141" s="19" t="s">
        <v>7698</v>
      </c>
      <c r="N2141" s="19" t="s">
        <v>86</v>
      </c>
      <c r="O2141" s="19" t="s">
        <v>7709</v>
      </c>
      <c r="P2141" s="19"/>
      <c r="Q2141" s="18" t="s">
        <v>53</v>
      </c>
      <c r="R2141" s="22" t="s">
        <v>88</v>
      </c>
      <c r="S2141" s="18" t="s">
        <v>2818</v>
      </c>
      <c r="T2141" s="21" t="s">
        <v>55</v>
      </c>
    </row>
    <row r="2142" spans="1:20" ht="16.5">
      <c r="A2142" s="11" t="s">
        <v>7656</v>
      </c>
      <c r="B2142" s="11" t="s">
        <v>60</v>
      </c>
      <c r="C2142" s="11" t="s">
        <v>44</v>
      </c>
      <c r="D2142" s="12" t="s">
        <v>7656</v>
      </c>
      <c r="E2142" s="11" t="s">
        <v>61</v>
      </c>
      <c r="F2142" s="11" t="s">
        <v>62</v>
      </c>
      <c r="G2142" s="12" t="s">
        <v>7710</v>
      </c>
      <c r="H2142" s="13" t="s">
        <v>7711</v>
      </c>
      <c r="I2142" s="11" t="s">
        <v>65</v>
      </c>
      <c r="J2142" s="14">
        <v>1</v>
      </c>
      <c r="K2142" s="14" t="s">
        <v>7659</v>
      </c>
      <c r="L2142" s="14" t="s">
        <v>7712</v>
      </c>
      <c r="M2142" s="15" t="s">
        <v>7661</v>
      </c>
      <c r="N2142" s="15" t="s">
        <v>67</v>
      </c>
      <c r="O2142" s="15" t="s">
        <v>7713</v>
      </c>
      <c r="P2142" s="15"/>
      <c r="Q2142" s="12" t="s">
        <v>69</v>
      </c>
      <c r="R2142" s="16" t="s">
        <v>54</v>
      </c>
      <c r="S2142" s="12" t="s">
        <v>2818</v>
      </c>
      <c r="T2142" s="14" t="s">
        <v>55</v>
      </c>
    </row>
    <row r="2143" spans="1:20" ht="16.5">
      <c r="A2143" s="17" t="s">
        <v>7656</v>
      </c>
      <c r="B2143" s="17" t="s">
        <v>60</v>
      </c>
      <c r="C2143" s="17" t="s">
        <v>62</v>
      </c>
      <c r="D2143" s="18" t="s">
        <v>7710</v>
      </c>
      <c r="E2143" s="17" t="s">
        <v>71</v>
      </c>
      <c r="F2143" s="17" t="s">
        <v>72</v>
      </c>
      <c r="G2143" s="18" t="s">
        <v>7714</v>
      </c>
      <c r="H2143" s="20" t="s">
        <v>7715</v>
      </c>
      <c r="I2143" s="17" t="s">
        <v>65</v>
      </c>
      <c r="J2143" s="21">
        <v>1</v>
      </c>
      <c r="K2143" s="21" t="s">
        <v>7659</v>
      </c>
      <c r="L2143" s="21" t="s">
        <v>7716</v>
      </c>
      <c r="M2143" s="19" t="s">
        <v>7713</v>
      </c>
      <c r="N2143" s="19" t="s">
        <v>76</v>
      </c>
      <c r="O2143" s="19" t="s">
        <v>7717</v>
      </c>
      <c r="P2143" s="19"/>
      <c r="Q2143" s="18" t="s">
        <v>69</v>
      </c>
      <c r="R2143" s="16" t="s">
        <v>54</v>
      </c>
      <c r="S2143" s="18" t="s">
        <v>2818</v>
      </c>
      <c r="T2143" s="21" t="s">
        <v>55</v>
      </c>
    </row>
    <row r="2144" spans="1:20" ht="16.5">
      <c r="A2144" s="11" t="s">
        <v>7656</v>
      </c>
      <c r="B2144" s="11" t="s">
        <v>60</v>
      </c>
      <c r="C2144" s="11" t="s">
        <v>62</v>
      </c>
      <c r="D2144" s="12" t="s">
        <v>7710</v>
      </c>
      <c r="E2144" s="11" t="s">
        <v>71</v>
      </c>
      <c r="F2144" s="11" t="s">
        <v>72</v>
      </c>
      <c r="G2144" s="12" t="s">
        <v>7718</v>
      </c>
      <c r="H2144" s="13" t="s">
        <v>7715</v>
      </c>
      <c r="I2144" s="11" t="s">
        <v>65</v>
      </c>
      <c r="J2144" s="14">
        <v>1</v>
      </c>
      <c r="K2144" s="14" t="s">
        <v>7659</v>
      </c>
      <c r="L2144" s="14" t="s">
        <v>7719</v>
      </c>
      <c r="M2144" s="15" t="s">
        <v>7713</v>
      </c>
      <c r="N2144" s="15" t="s">
        <v>76</v>
      </c>
      <c r="O2144" s="15" t="s">
        <v>7720</v>
      </c>
      <c r="P2144" s="15"/>
      <c r="Q2144" s="12" t="s">
        <v>69</v>
      </c>
      <c r="R2144" s="16" t="s">
        <v>54</v>
      </c>
      <c r="S2144" s="12" t="s">
        <v>2818</v>
      </c>
      <c r="T2144" s="14" t="s">
        <v>55</v>
      </c>
    </row>
    <row r="2145" spans="1:20" ht="16.5">
      <c r="A2145" s="17" t="s">
        <v>7656</v>
      </c>
      <c r="B2145" s="17" t="s">
        <v>60</v>
      </c>
      <c r="C2145" s="17" t="s">
        <v>62</v>
      </c>
      <c r="D2145" s="18" t="s">
        <v>7710</v>
      </c>
      <c r="E2145" s="17" t="s">
        <v>71</v>
      </c>
      <c r="F2145" s="17" t="s">
        <v>72</v>
      </c>
      <c r="G2145" s="18" t="s">
        <v>7721</v>
      </c>
      <c r="H2145" s="20" t="s">
        <v>7715</v>
      </c>
      <c r="I2145" s="17" t="s">
        <v>65</v>
      </c>
      <c r="J2145" s="21">
        <v>1</v>
      </c>
      <c r="K2145" s="21" t="s">
        <v>7659</v>
      </c>
      <c r="L2145" s="21" t="s">
        <v>7722</v>
      </c>
      <c r="M2145" s="19" t="s">
        <v>7713</v>
      </c>
      <c r="N2145" s="19" t="s">
        <v>76</v>
      </c>
      <c r="O2145" s="19" t="s">
        <v>7723</v>
      </c>
      <c r="P2145" s="19"/>
      <c r="Q2145" s="18" t="s">
        <v>69</v>
      </c>
      <c r="R2145" s="16" t="s">
        <v>54</v>
      </c>
      <c r="S2145" s="18" t="s">
        <v>2818</v>
      </c>
      <c r="T2145" s="21" t="s">
        <v>55</v>
      </c>
    </row>
    <row r="2146" spans="1:20" ht="16.5">
      <c r="A2146" s="11" t="s">
        <v>7656</v>
      </c>
      <c r="B2146" s="11" t="s">
        <v>60</v>
      </c>
      <c r="C2146" s="11" t="s">
        <v>62</v>
      </c>
      <c r="D2146" s="12" t="s">
        <v>7710</v>
      </c>
      <c r="E2146" s="11" t="s">
        <v>71</v>
      </c>
      <c r="F2146" s="11" t="s">
        <v>72</v>
      </c>
      <c r="G2146" s="12" t="s">
        <v>7724</v>
      </c>
      <c r="H2146" s="13" t="s">
        <v>7715</v>
      </c>
      <c r="I2146" s="11" t="s">
        <v>65</v>
      </c>
      <c r="J2146" s="14">
        <v>1</v>
      </c>
      <c r="K2146" s="14" t="s">
        <v>7659</v>
      </c>
      <c r="L2146" s="14" t="s">
        <v>7725</v>
      </c>
      <c r="M2146" s="15" t="s">
        <v>7713</v>
      </c>
      <c r="N2146" s="15" t="s">
        <v>76</v>
      </c>
      <c r="O2146" s="15" t="s">
        <v>7726</v>
      </c>
      <c r="P2146" s="15"/>
      <c r="Q2146" s="12" t="s">
        <v>69</v>
      </c>
      <c r="R2146" s="16" t="s">
        <v>54</v>
      </c>
      <c r="S2146" s="12" t="s">
        <v>2818</v>
      </c>
      <c r="T2146" s="14" t="s">
        <v>55</v>
      </c>
    </row>
    <row r="2147" spans="1:20" ht="16.5">
      <c r="A2147" s="17" t="s">
        <v>7656</v>
      </c>
      <c r="B2147" s="17" t="s">
        <v>60</v>
      </c>
      <c r="C2147" s="17" t="s">
        <v>62</v>
      </c>
      <c r="D2147" s="18" t="s">
        <v>7657</v>
      </c>
      <c r="E2147" s="17" t="s">
        <v>203</v>
      </c>
      <c r="F2147" s="17" t="s">
        <v>204</v>
      </c>
      <c r="G2147" s="18" t="s">
        <v>7727</v>
      </c>
      <c r="H2147" s="20" t="s">
        <v>7728</v>
      </c>
      <c r="I2147" s="17" t="s">
        <v>65</v>
      </c>
      <c r="J2147" s="21">
        <v>1</v>
      </c>
      <c r="K2147" s="21" t="s">
        <v>7659</v>
      </c>
      <c r="L2147" s="21" t="s">
        <v>7729</v>
      </c>
      <c r="M2147" s="19" t="s">
        <v>7662</v>
      </c>
      <c r="N2147" s="19" t="s">
        <v>208</v>
      </c>
      <c r="O2147" s="19" t="s">
        <v>7730</v>
      </c>
      <c r="P2147" s="19" t="s">
        <v>7731</v>
      </c>
      <c r="Q2147" s="19" t="s">
        <v>211</v>
      </c>
      <c r="R2147" s="16" t="s">
        <v>54</v>
      </c>
      <c r="S2147" s="18" t="s">
        <v>2818</v>
      </c>
      <c r="T2147" s="21" t="s">
        <v>55</v>
      </c>
    </row>
    <row r="2148" spans="1:20" ht="16.5">
      <c r="A2148" s="11" t="s">
        <v>7656</v>
      </c>
      <c r="B2148" s="11" t="s">
        <v>60</v>
      </c>
      <c r="C2148" s="11" t="s">
        <v>62</v>
      </c>
      <c r="D2148" s="12" t="s">
        <v>7657</v>
      </c>
      <c r="E2148" s="11" t="s">
        <v>203</v>
      </c>
      <c r="F2148" s="11" t="s">
        <v>204</v>
      </c>
      <c r="G2148" s="12" t="s">
        <v>7732</v>
      </c>
      <c r="H2148" s="13" t="s">
        <v>7733</v>
      </c>
      <c r="I2148" s="11" t="s">
        <v>65</v>
      </c>
      <c r="J2148" s="14">
        <v>1</v>
      </c>
      <c r="K2148" s="14" t="s">
        <v>7659</v>
      </c>
      <c r="L2148" s="14" t="s">
        <v>7734</v>
      </c>
      <c r="M2148" s="15" t="s">
        <v>7662</v>
      </c>
      <c r="N2148" s="15" t="s">
        <v>208</v>
      </c>
      <c r="O2148" s="15" t="s">
        <v>7735</v>
      </c>
      <c r="P2148" s="15" t="s">
        <v>7736</v>
      </c>
      <c r="Q2148" s="15" t="s">
        <v>211</v>
      </c>
      <c r="R2148" s="16" t="s">
        <v>54</v>
      </c>
      <c r="S2148" s="12" t="s">
        <v>2818</v>
      </c>
      <c r="T2148" s="14" t="s">
        <v>55</v>
      </c>
    </row>
    <row r="2149" spans="1:20" ht="16.5">
      <c r="A2149" s="17" t="s">
        <v>7656</v>
      </c>
      <c r="B2149" s="17" t="s">
        <v>60</v>
      </c>
      <c r="C2149" s="17" t="s">
        <v>62</v>
      </c>
      <c r="D2149" s="18" t="s">
        <v>7695</v>
      </c>
      <c r="E2149" s="17" t="s">
        <v>203</v>
      </c>
      <c r="F2149" s="17" t="s">
        <v>204</v>
      </c>
      <c r="G2149" s="18" t="s">
        <v>7737</v>
      </c>
      <c r="H2149" s="20" t="s">
        <v>7738</v>
      </c>
      <c r="I2149" s="17" t="s">
        <v>65</v>
      </c>
      <c r="J2149" s="21">
        <v>1</v>
      </c>
      <c r="K2149" s="21" t="s">
        <v>7659</v>
      </c>
      <c r="L2149" s="21" t="s">
        <v>7739</v>
      </c>
      <c r="M2149" s="19" t="s">
        <v>7698</v>
      </c>
      <c r="N2149" s="19" t="s">
        <v>208</v>
      </c>
      <c r="O2149" s="19" t="s">
        <v>7740</v>
      </c>
      <c r="P2149" s="19" t="s">
        <v>7741</v>
      </c>
      <c r="Q2149" s="19" t="s">
        <v>211</v>
      </c>
      <c r="R2149" s="16" t="s">
        <v>54</v>
      </c>
      <c r="S2149" s="18" t="s">
        <v>2818</v>
      </c>
      <c r="T2149" s="21" t="s">
        <v>55</v>
      </c>
    </row>
    <row r="2150" spans="1:20" ht="16.5">
      <c r="A2150" s="11" t="s">
        <v>7656</v>
      </c>
      <c r="B2150" s="11" t="s">
        <v>60</v>
      </c>
      <c r="C2150" s="11" t="s">
        <v>62</v>
      </c>
      <c r="D2150" s="12" t="s">
        <v>7710</v>
      </c>
      <c r="E2150" s="11" t="s">
        <v>203</v>
      </c>
      <c r="F2150" s="11" t="s">
        <v>204</v>
      </c>
      <c r="G2150" s="12" t="s">
        <v>7742</v>
      </c>
      <c r="H2150" s="13" t="s">
        <v>7743</v>
      </c>
      <c r="I2150" s="11" t="s">
        <v>65</v>
      </c>
      <c r="J2150" s="14">
        <v>1</v>
      </c>
      <c r="K2150" s="14" t="s">
        <v>7659</v>
      </c>
      <c r="L2150" s="14" t="s">
        <v>7744</v>
      </c>
      <c r="M2150" s="15" t="s">
        <v>7713</v>
      </c>
      <c r="N2150" s="15" t="s">
        <v>208</v>
      </c>
      <c r="O2150" s="15" t="s">
        <v>7745</v>
      </c>
      <c r="P2150" s="15" t="s">
        <v>7746</v>
      </c>
      <c r="Q2150" s="15" t="s">
        <v>211</v>
      </c>
      <c r="R2150" s="16" t="s">
        <v>54</v>
      </c>
      <c r="S2150" s="12" t="s">
        <v>2818</v>
      </c>
      <c r="T2150" s="14" t="s">
        <v>55</v>
      </c>
    </row>
    <row r="2151" spans="1:20" ht="16.5">
      <c r="A2151" s="17" t="s">
        <v>7656</v>
      </c>
      <c r="B2151" s="17" t="s">
        <v>311</v>
      </c>
      <c r="C2151" s="17" t="s">
        <v>204</v>
      </c>
      <c r="D2151" s="18" t="s">
        <v>7727</v>
      </c>
      <c r="E2151" s="17" t="s">
        <v>312</v>
      </c>
      <c r="F2151" s="21" t="s">
        <v>313</v>
      </c>
      <c r="G2151" s="19" t="s">
        <v>7747</v>
      </c>
      <c r="H2151" s="24" t="s">
        <v>7748</v>
      </c>
      <c r="I2151" s="17" t="s">
        <v>65</v>
      </c>
      <c r="J2151" s="21">
        <v>1</v>
      </c>
      <c r="K2151" s="21" t="s">
        <v>7659</v>
      </c>
      <c r="L2151" s="21" t="s">
        <v>7749</v>
      </c>
      <c r="M2151" s="19" t="s">
        <v>7730</v>
      </c>
      <c r="N2151" s="19" t="s">
        <v>316</v>
      </c>
      <c r="O2151" s="19" t="s">
        <v>7750</v>
      </c>
      <c r="P2151" s="19" t="s">
        <v>7747</v>
      </c>
      <c r="Q2151" s="19" t="s">
        <v>211</v>
      </c>
      <c r="R2151" s="16" t="s">
        <v>54</v>
      </c>
      <c r="S2151" s="18" t="s">
        <v>2818</v>
      </c>
      <c r="T2151" s="21" t="s">
        <v>55</v>
      </c>
    </row>
    <row r="2152" spans="1:20" ht="16.5">
      <c r="A2152" s="11" t="s">
        <v>7656</v>
      </c>
      <c r="B2152" s="11" t="s">
        <v>311</v>
      </c>
      <c r="C2152" s="11" t="s">
        <v>204</v>
      </c>
      <c r="D2152" s="12" t="s">
        <v>7727</v>
      </c>
      <c r="E2152" s="11" t="s">
        <v>312</v>
      </c>
      <c r="F2152" s="14" t="s">
        <v>313</v>
      </c>
      <c r="G2152" s="15" t="s">
        <v>7751</v>
      </c>
      <c r="H2152" s="23" t="s">
        <v>7752</v>
      </c>
      <c r="I2152" s="11" t="s">
        <v>65</v>
      </c>
      <c r="J2152" s="14">
        <v>1</v>
      </c>
      <c r="K2152" s="14" t="s">
        <v>7659</v>
      </c>
      <c r="L2152" s="14" t="s">
        <v>7753</v>
      </c>
      <c r="M2152" s="15" t="s">
        <v>7730</v>
      </c>
      <c r="N2152" s="15" t="s">
        <v>316</v>
      </c>
      <c r="O2152" s="15" t="s">
        <v>7754</v>
      </c>
      <c r="P2152" s="15" t="s">
        <v>7751</v>
      </c>
      <c r="Q2152" s="15" t="s">
        <v>211</v>
      </c>
      <c r="R2152" s="16" t="s">
        <v>54</v>
      </c>
      <c r="S2152" s="12" t="s">
        <v>2818</v>
      </c>
      <c r="T2152" s="14" t="s">
        <v>55</v>
      </c>
    </row>
    <row r="2153" spans="1:20" ht="16.5">
      <c r="A2153" s="17" t="s">
        <v>7656</v>
      </c>
      <c r="B2153" s="17" t="s">
        <v>311</v>
      </c>
      <c r="C2153" s="17" t="s">
        <v>204</v>
      </c>
      <c r="D2153" s="18" t="s">
        <v>7727</v>
      </c>
      <c r="E2153" s="17" t="s">
        <v>312</v>
      </c>
      <c r="F2153" s="21" t="s">
        <v>313</v>
      </c>
      <c r="G2153" s="19" t="s">
        <v>7755</v>
      </c>
      <c r="H2153" s="24" t="s">
        <v>7756</v>
      </c>
      <c r="I2153" s="17" t="s">
        <v>65</v>
      </c>
      <c r="J2153" s="21">
        <v>1</v>
      </c>
      <c r="K2153" s="21" t="s">
        <v>7659</v>
      </c>
      <c r="L2153" s="21" t="s">
        <v>7757</v>
      </c>
      <c r="M2153" s="19" t="s">
        <v>7730</v>
      </c>
      <c r="N2153" s="19" t="s">
        <v>316</v>
      </c>
      <c r="O2153" s="19" t="s">
        <v>7758</v>
      </c>
      <c r="P2153" s="19" t="s">
        <v>7755</v>
      </c>
      <c r="Q2153" s="19" t="s">
        <v>211</v>
      </c>
      <c r="R2153" s="16" t="s">
        <v>54</v>
      </c>
      <c r="S2153" s="18" t="s">
        <v>2818</v>
      </c>
      <c r="T2153" s="21" t="s">
        <v>55</v>
      </c>
    </row>
    <row r="2154" spans="1:20" ht="16.5">
      <c r="A2154" s="11" t="s">
        <v>7656</v>
      </c>
      <c r="B2154" s="11" t="s">
        <v>311</v>
      </c>
      <c r="C2154" s="11" t="s">
        <v>204</v>
      </c>
      <c r="D2154" s="12" t="s">
        <v>7732</v>
      </c>
      <c r="E2154" s="11" t="s">
        <v>312</v>
      </c>
      <c r="F2154" s="14" t="s">
        <v>313</v>
      </c>
      <c r="G2154" s="15" t="s">
        <v>7759</v>
      </c>
      <c r="H2154" s="23" t="s">
        <v>7760</v>
      </c>
      <c r="I2154" s="11" t="s">
        <v>65</v>
      </c>
      <c r="J2154" s="14">
        <v>1</v>
      </c>
      <c r="K2154" s="14" t="s">
        <v>7659</v>
      </c>
      <c r="L2154" s="14" t="s">
        <v>7761</v>
      </c>
      <c r="M2154" s="15" t="s">
        <v>7735</v>
      </c>
      <c r="N2154" s="15" t="s">
        <v>316</v>
      </c>
      <c r="O2154" s="15" t="s">
        <v>7762</v>
      </c>
      <c r="P2154" s="15" t="s">
        <v>7759</v>
      </c>
      <c r="Q2154" s="15" t="s">
        <v>211</v>
      </c>
      <c r="R2154" s="16" t="s">
        <v>54</v>
      </c>
      <c r="S2154" s="12" t="s">
        <v>2818</v>
      </c>
      <c r="T2154" s="14" t="s">
        <v>55</v>
      </c>
    </row>
    <row r="2155" spans="1:20" ht="16.5">
      <c r="A2155" s="17" t="s">
        <v>7656</v>
      </c>
      <c r="B2155" s="17" t="s">
        <v>311</v>
      </c>
      <c r="C2155" s="17" t="s">
        <v>204</v>
      </c>
      <c r="D2155" s="18" t="s">
        <v>7732</v>
      </c>
      <c r="E2155" s="17" t="s">
        <v>312</v>
      </c>
      <c r="F2155" s="21" t="s">
        <v>313</v>
      </c>
      <c r="G2155" s="19" t="s">
        <v>7763</v>
      </c>
      <c r="H2155" s="24" t="s">
        <v>7764</v>
      </c>
      <c r="I2155" s="17" t="s">
        <v>65</v>
      </c>
      <c r="J2155" s="21">
        <v>1</v>
      </c>
      <c r="K2155" s="21" t="s">
        <v>7659</v>
      </c>
      <c r="L2155" s="21" t="s">
        <v>7765</v>
      </c>
      <c r="M2155" s="19" t="s">
        <v>7735</v>
      </c>
      <c r="N2155" s="19" t="s">
        <v>316</v>
      </c>
      <c r="O2155" s="19" t="s">
        <v>7766</v>
      </c>
      <c r="P2155" s="19" t="s">
        <v>7763</v>
      </c>
      <c r="Q2155" s="19" t="s">
        <v>211</v>
      </c>
      <c r="R2155" s="16" t="s">
        <v>54</v>
      </c>
      <c r="S2155" s="18" t="s">
        <v>2818</v>
      </c>
      <c r="T2155" s="21" t="s">
        <v>55</v>
      </c>
    </row>
    <row r="2156" spans="1:20" ht="16.5">
      <c r="A2156" s="11" t="s">
        <v>7656</v>
      </c>
      <c r="B2156" s="11" t="s">
        <v>311</v>
      </c>
      <c r="C2156" s="11" t="s">
        <v>204</v>
      </c>
      <c r="D2156" s="12" t="s">
        <v>7732</v>
      </c>
      <c r="E2156" s="11" t="s">
        <v>312</v>
      </c>
      <c r="F2156" s="14" t="s">
        <v>313</v>
      </c>
      <c r="G2156" s="15" t="s">
        <v>7767</v>
      </c>
      <c r="H2156" s="23" t="s">
        <v>7768</v>
      </c>
      <c r="I2156" s="11" t="s">
        <v>65</v>
      </c>
      <c r="J2156" s="14">
        <v>1</v>
      </c>
      <c r="K2156" s="14" t="s">
        <v>7659</v>
      </c>
      <c r="L2156" s="14" t="s">
        <v>7769</v>
      </c>
      <c r="M2156" s="15" t="s">
        <v>7735</v>
      </c>
      <c r="N2156" s="15" t="s">
        <v>316</v>
      </c>
      <c r="O2156" s="15" t="s">
        <v>7770</v>
      </c>
      <c r="P2156" s="15" t="s">
        <v>7767</v>
      </c>
      <c r="Q2156" s="15" t="s">
        <v>211</v>
      </c>
      <c r="R2156" s="16" t="s">
        <v>54</v>
      </c>
      <c r="S2156" s="12" t="s">
        <v>2818</v>
      </c>
      <c r="T2156" s="14" t="s">
        <v>55</v>
      </c>
    </row>
    <row r="2157" spans="1:20" ht="16.5">
      <c r="A2157" s="17" t="s">
        <v>7656</v>
      </c>
      <c r="B2157" s="17" t="s">
        <v>311</v>
      </c>
      <c r="C2157" s="17" t="s">
        <v>204</v>
      </c>
      <c r="D2157" s="18" t="s">
        <v>7737</v>
      </c>
      <c r="E2157" s="17" t="s">
        <v>312</v>
      </c>
      <c r="F2157" s="21" t="s">
        <v>313</v>
      </c>
      <c r="G2157" s="19" t="s">
        <v>7771</v>
      </c>
      <c r="H2157" s="24" t="s">
        <v>7772</v>
      </c>
      <c r="I2157" s="17" t="s">
        <v>65</v>
      </c>
      <c r="J2157" s="21">
        <v>1</v>
      </c>
      <c r="K2157" s="21" t="s">
        <v>7659</v>
      </c>
      <c r="L2157" s="21" t="s">
        <v>7773</v>
      </c>
      <c r="M2157" s="19" t="s">
        <v>7740</v>
      </c>
      <c r="N2157" s="19" t="s">
        <v>316</v>
      </c>
      <c r="O2157" s="19" t="s">
        <v>7774</v>
      </c>
      <c r="P2157" s="19" t="s">
        <v>7771</v>
      </c>
      <c r="Q2157" s="19" t="s">
        <v>211</v>
      </c>
      <c r="R2157" s="16" t="s">
        <v>54</v>
      </c>
      <c r="S2157" s="18" t="s">
        <v>2818</v>
      </c>
      <c r="T2157" s="21" t="s">
        <v>55</v>
      </c>
    </row>
    <row r="2158" spans="1:20" ht="16.5">
      <c r="A2158" s="11" t="s">
        <v>7656</v>
      </c>
      <c r="B2158" s="11" t="s">
        <v>311</v>
      </c>
      <c r="C2158" s="11" t="s">
        <v>204</v>
      </c>
      <c r="D2158" s="12" t="s">
        <v>7737</v>
      </c>
      <c r="E2158" s="11" t="s">
        <v>312</v>
      </c>
      <c r="F2158" s="14" t="s">
        <v>313</v>
      </c>
      <c r="G2158" s="15" t="s">
        <v>7775</v>
      </c>
      <c r="H2158" s="23" t="s">
        <v>7776</v>
      </c>
      <c r="I2158" s="11" t="s">
        <v>65</v>
      </c>
      <c r="J2158" s="14">
        <v>1</v>
      </c>
      <c r="K2158" s="14" t="s">
        <v>7659</v>
      </c>
      <c r="L2158" s="14" t="s">
        <v>7777</v>
      </c>
      <c r="M2158" s="15" t="s">
        <v>7740</v>
      </c>
      <c r="N2158" s="15" t="s">
        <v>316</v>
      </c>
      <c r="O2158" s="15" t="s">
        <v>7778</v>
      </c>
      <c r="P2158" s="15" t="s">
        <v>7775</v>
      </c>
      <c r="Q2158" s="15" t="s">
        <v>211</v>
      </c>
      <c r="R2158" s="16" t="s">
        <v>54</v>
      </c>
      <c r="S2158" s="12" t="s">
        <v>2818</v>
      </c>
      <c r="T2158" s="14" t="s">
        <v>55</v>
      </c>
    </row>
    <row r="2159" spans="1:20" ht="16.5">
      <c r="A2159" s="17" t="s">
        <v>7656</v>
      </c>
      <c r="B2159" s="17" t="s">
        <v>311</v>
      </c>
      <c r="C2159" s="17" t="s">
        <v>204</v>
      </c>
      <c r="D2159" s="18" t="s">
        <v>7737</v>
      </c>
      <c r="E2159" s="17" t="s">
        <v>312</v>
      </c>
      <c r="F2159" s="21" t="s">
        <v>313</v>
      </c>
      <c r="G2159" s="19" t="s">
        <v>7779</v>
      </c>
      <c r="H2159" s="24" t="s">
        <v>7780</v>
      </c>
      <c r="I2159" s="17" t="s">
        <v>65</v>
      </c>
      <c r="J2159" s="21">
        <v>1</v>
      </c>
      <c r="K2159" s="21" t="s">
        <v>7659</v>
      </c>
      <c r="L2159" s="21" t="s">
        <v>7781</v>
      </c>
      <c r="M2159" s="19" t="s">
        <v>7740</v>
      </c>
      <c r="N2159" s="19" t="s">
        <v>316</v>
      </c>
      <c r="O2159" s="19" t="s">
        <v>7782</v>
      </c>
      <c r="P2159" s="19" t="s">
        <v>7779</v>
      </c>
      <c r="Q2159" s="19" t="s">
        <v>211</v>
      </c>
      <c r="R2159" s="16" t="s">
        <v>54</v>
      </c>
      <c r="S2159" s="18" t="s">
        <v>2818</v>
      </c>
      <c r="T2159" s="21" t="s">
        <v>55</v>
      </c>
    </row>
    <row r="2160" spans="1:20" ht="16.5">
      <c r="A2160" s="11" t="s">
        <v>7656</v>
      </c>
      <c r="B2160" s="11" t="s">
        <v>311</v>
      </c>
      <c r="C2160" s="11" t="s">
        <v>204</v>
      </c>
      <c r="D2160" s="12" t="s">
        <v>7737</v>
      </c>
      <c r="E2160" s="11" t="s">
        <v>312</v>
      </c>
      <c r="F2160" s="14" t="s">
        <v>313</v>
      </c>
      <c r="G2160" s="15" t="s">
        <v>7783</v>
      </c>
      <c r="H2160" s="23" t="s">
        <v>7784</v>
      </c>
      <c r="I2160" s="11" t="s">
        <v>65</v>
      </c>
      <c r="J2160" s="14">
        <v>1</v>
      </c>
      <c r="K2160" s="14" t="s">
        <v>7659</v>
      </c>
      <c r="L2160" s="14" t="s">
        <v>7785</v>
      </c>
      <c r="M2160" s="15" t="s">
        <v>7740</v>
      </c>
      <c r="N2160" s="15" t="s">
        <v>316</v>
      </c>
      <c r="O2160" s="15" t="s">
        <v>7786</v>
      </c>
      <c r="P2160" s="15" t="s">
        <v>7783</v>
      </c>
      <c r="Q2160" s="15" t="s">
        <v>211</v>
      </c>
      <c r="R2160" s="16" t="s">
        <v>54</v>
      </c>
      <c r="S2160" s="12" t="s">
        <v>2818</v>
      </c>
      <c r="T2160" s="14" t="s">
        <v>55</v>
      </c>
    </row>
    <row r="2161" spans="1:20" ht="16.5">
      <c r="A2161" s="17" t="s">
        <v>7656</v>
      </c>
      <c r="B2161" s="17" t="s">
        <v>311</v>
      </c>
      <c r="C2161" s="17" t="s">
        <v>204</v>
      </c>
      <c r="D2161" s="18" t="s">
        <v>7737</v>
      </c>
      <c r="E2161" s="17" t="s">
        <v>312</v>
      </c>
      <c r="F2161" s="21" t="s">
        <v>313</v>
      </c>
      <c r="G2161" s="19" t="s">
        <v>7787</v>
      </c>
      <c r="H2161" s="24" t="s">
        <v>7788</v>
      </c>
      <c r="I2161" s="17" t="s">
        <v>65</v>
      </c>
      <c r="J2161" s="21">
        <v>1</v>
      </c>
      <c r="K2161" s="21" t="s">
        <v>7659</v>
      </c>
      <c r="L2161" s="21" t="s">
        <v>7789</v>
      </c>
      <c r="M2161" s="19" t="s">
        <v>7740</v>
      </c>
      <c r="N2161" s="19" t="s">
        <v>316</v>
      </c>
      <c r="O2161" s="19" t="s">
        <v>7790</v>
      </c>
      <c r="P2161" s="19" t="s">
        <v>7787</v>
      </c>
      <c r="Q2161" s="19" t="s">
        <v>211</v>
      </c>
      <c r="R2161" s="16" t="s">
        <v>54</v>
      </c>
      <c r="S2161" s="18" t="s">
        <v>2818</v>
      </c>
      <c r="T2161" s="21" t="s">
        <v>55</v>
      </c>
    </row>
    <row r="2162" spans="1:20" ht="16.5">
      <c r="A2162" s="11" t="s">
        <v>7656</v>
      </c>
      <c r="B2162" s="11" t="s">
        <v>311</v>
      </c>
      <c r="C2162" s="11" t="s">
        <v>204</v>
      </c>
      <c r="D2162" s="12" t="s">
        <v>7742</v>
      </c>
      <c r="E2162" s="11" t="s">
        <v>312</v>
      </c>
      <c r="F2162" s="14" t="s">
        <v>313</v>
      </c>
      <c r="G2162" s="15" t="s">
        <v>7791</v>
      </c>
      <c r="H2162" s="23" t="s">
        <v>7792</v>
      </c>
      <c r="I2162" s="11" t="s">
        <v>65</v>
      </c>
      <c r="J2162" s="14">
        <v>1</v>
      </c>
      <c r="K2162" s="14" t="s">
        <v>7659</v>
      </c>
      <c r="L2162" s="14" t="s">
        <v>7793</v>
      </c>
      <c r="M2162" s="15" t="s">
        <v>7745</v>
      </c>
      <c r="N2162" s="15" t="s">
        <v>316</v>
      </c>
      <c r="O2162" s="15" t="s">
        <v>7794</v>
      </c>
      <c r="P2162" s="15" t="s">
        <v>7791</v>
      </c>
      <c r="Q2162" s="15" t="s">
        <v>211</v>
      </c>
      <c r="R2162" s="16" t="s">
        <v>54</v>
      </c>
      <c r="S2162" s="12" t="s">
        <v>2818</v>
      </c>
      <c r="T2162" s="14" t="s">
        <v>55</v>
      </c>
    </row>
    <row r="2163" spans="1:20" ht="16.5">
      <c r="A2163" s="17" t="s">
        <v>7656</v>
      </c>
      <c r="B2163" s="17" t="s">
        <v>311</v>
      </c>
      <c r="C2163" s="17" t="s">
        <v>204</v>
      </c>
      <c r="D2163" s="18" t="s">
        <v>7742</v>
      </c>
      <c r="E2163" s="17" t="s">
        <v>312</v>
      </c>
      <c r="F2163" s="21" t="s">
        <v>313</v>
      </c>
      <c r="G2163" s="19" t="s">
        <v>7795</v>
      </c>
      <c r="H2163" s="24" t="s">
        <v>7796</v>
      </c>
      <c r="I2163" s="17" t="s">
        <v>65</v>
      </c>
      <c r="J2163" s="21">
        <v>1</v>
      </c>
      <c r="K2163" s="21" t="s">
        <v>7659</v>
      </c>
      <c r="L2163" s="21" t="s">
        <v>7797</v>
      </c>
      <c r="M2163" s="19" t="s">
        <v>7745</v>
      </c>
      <c r="N2163" s="19" t="s">
        <v>316</v>
      </c>
      <c r="O2163" s="19" t="s">
        <v>7798</v>
      </c>
      <c r="P2163" s="19" t="s">
        <v>7795</v>
      </c>
      <c r="Q2163" s="19" t="s">
        <v>211</v>
      </c>
      <c r="R2163" s="16" t="s">
        <v>54</v>
      </c>
      <c r="S2163" s="18" t="s">
        <v>2818</v>
      </c>
      <c r="T2163" s="21" t="s">
        <v>55</v>
      </c>
    </row>
    <row r="2164" spans="1:20" ht="16.5">
      <c r="A2164" s="11" t="s">
        <v>7656</v>
      </c>
      <c r="B2164" s="11" t="s">
        <v>578</v>
      </c>
      <c r="C2164" s="11" t="s">
        <v>62</v>
      </c>
      <c r="D2164" s="12" t="s">
        <v>7657</v>
      </c>
      <c r="E2164" s="11" t="s">
        <v>45</v>
      </c>
      <c r="F2164" s="11" t="s">
        <v>62</v>
      </c>
      <c r="G2164" s="12" t="s">
        <v>7681</v>
      </c>
      <c r="H2164" s="13" t="s">
        <v>7799</v>
      </c>
      <c r="I2164" s="11" t="s">
        <v>7800</v>
      </c>
      <c r="J2164" s="14">
        <v>1</v>
      </c>
      <c r="K2164" s="14" t="s">
        <v>7659</v>
      </c>
      <c r="L2164" s="14" t="s">
        <v>7801</v>
      </c>
      <c r="M2164" s="15" t="s">
        <v>7662</v>
      </c>
      <c r="N2164" s="15" t="s">
        <v>51</v>
      </c>
      <c r="O2164" s="15" t="s">
        <v>7684</v>
      </c>
      <c r="P2164" s="15"/>
      <c r="Q2164" s="12" t="s">
        <v>649</v>
      </c>
      <c r="R2164" s="22" t="s">
        <v>88</v>
      </c>
      <c r="S2164" s="12" t="s">
        <v>2818</v>
      </c>
      <c r="T2164" s="14" t="s">
        <v>55</v>
      </c>
    </row>
    <row r="2165" spans="1:20" ht="16.5">
      <c r="A2165" s="17" t="s">
        <v>7656</v>
      </c>
      <c r="B2165" s="17" t="s">
        <v>578</v>
      </c>
      <c r="C2165" s="17" t="s">
        <v>62</v>
      </c>
      <c r="D2165" s="18" t="s">
        <v>7710</v>
      </c>
      <c r="E2165" s="17" t="s">
        <v>45</v>
      </c>
      <c r="F2165" s="17" t="s">
        <v>62</v>
      </c>
      <c r="G2165" s="18" t="s">
        <v>7657</v>
      </c>
      <c r="H2165" s="20" t="s">
        <v>7802</v>
      </c>
      <c r="I2165" s="17" t="s">
        <v>7800</v>
      </c>
      <c r="J2165" s="21">
        <v>1</v>
      </c>
      <c r="K2165" s="21" t="s">
        <v>7659</v>
      </c>
      <c r="L2165" s="21" t="s">
        <v>7803</v>
      </c>
      <c r="M2165" s="19" t="s">
        <v>7713</v>
      </c>
      <c r="N2165" s="19" t="s">
        <v>51</v>
      </c>
      <c r="O2165" s="19" t="s">
        <v>7662</v>
      </c>
      <c r="P2165" s="19"/>
      <c r="Q2165" s="18" t="s">
        <v>649</v>
      </c>
      <c r="R2165" s="22" t="s">
        <v>88</v>
      </c>
      <c r="S2165" s="18" t="s">
        <v>2818</v>
      </c>
      <c r="T2165" s="21" t="s">
        <v>55</v>
      </c>
    </row>
    <row r="2166" spans="1:20" ht="16.5">
      <c r="A2166" s="11" t="s">
        <v>7656</v>
      </c>
      <c r="B2166" s="11" t="s">
        <v>578</v>
      </c>
      <c r="C2166" s="11" t="s">
        <v>62</v>
      </c>
      <c r="D2166" s="12" t="s">
        <v>7681</v>
      </c>
      <c r="E2166" s="11" t="s">
        <v>45</v>
      </c>
      <c r="F2166" s="11" t="s">
        <v>62</v>
      </c>
      <c r="G2166" s="12" t="s">
        <v>7695</v>
      </c>
      <c r="H2166" s="23" t="s">
        <v>584</v>
      </c>
      <c r="I2166" s="11" t="s">
        <v>3113</v>
      </c>
      <c r="J2166" s="14">
        <v>1</v>
      </c>
      <c r="K2166" s="14" t="s">
        <v>7659</v>
      </c>
      <c r="L2166" s="14" t="s">
        <v>7804</v>
      </c>
      <c r="M2166" s="15" t="s">
        <v>7684</v>
      </c>
      <c r="N2166" s="15" t="s">
        <v>51</v>
      </c>
      <c r="O2166" s="15" t="s">
        <v>7698</v>
      </c>
      <c r="P2166" s="15"/>
      <c r="Q2166" s="12" t="s">
        <v>606</v>
      </c>
      <c r="R2166" s="25" t="s">
        <v>607</v>
      </c>
      <c r="S2166" s="12" t="s">
        <v>2818</v>
      </c>
      <c r="T2166" s="14" t="s">
        <v>55</v>
      </c>
    </row>
    <row r="2167" spans="1:20" ht="16.5">
      <c r="A2167" s="17" t="s">
        <v>7805</v>
      </c>
      <c r="B2167" s="17" t="s">
        <v>43</v>
      </c>
      <c r="C2167" s="17" t="s">
        <v>44</v>
      </c>
      <c r="D2167" s="18" t="s">
        <v>7805</v>
      </c>
      <c r="E2167" s="17" t="s">
        <v>45</v>
      </c>
      <c r="F2167" s="17" t="s">
        <v>44</v>
      </c>
      <c r="G2167" s="18" t="s">
        <v>3658</v>
      </c>
      <c r="H2167" s="20" t="s">
        <v>7806</v>
      </c>
      <c r="I2167" s="17" t="s">
        <v>43</v>
      </c>
      <c r="J2167" s="21">
        <v>1</v>
      </c>
      <c r="K2167" s="21" t="s">
        <v>7807</v>
      </c>
      <c r="L2167" s="21" t="s">
        <v>7808</v>
      </c>
      <c r="M2167" s="19" t="s">
        <v>7809</v>
      </c>
      <c r="N2167" s="19" t="s">
        <v>51</v>
      </c>
      <c r="O2167" s="19" t="s">
        <v>3661</v>
      </c>
      <c r="P2167" s="19"/>
      <c r="Q2167" s="18" t="s">
        <v>53</v>
      </c>
      <c r="R2167" s="16" t="s">
        <v>54</v>
      </c>
      <c r="S2167" s="19"/>
      <c r="T2167" s="21" t="s">
        <v>55</v>
      </c>
    </row>
    <row r="2168" spans="1:20" ht="16.5">
      <c r="A2168" s="11" t="s">
        <v>7805</v>
      </c>
      <c r="B2168" s="11" t="s">
        <v>43</v>
      </c>
      <c r="C2168" s="11" t="s">
        <v>44</v>
      </c>
      <c r="D2168" s="12" t="s">
        <v>7805</v>
      </c>
      <c r="E2168" s="11" t="s">
        <v>45</v>
      </c>
      <c r="F2168" s="11" t="s">
        <v>44</v>
      </c>
      <c r="G2168" s="12" t="s">
        <v>2177</v>
      </c>
      <c r="H2168" s="13" t="s">
        <v>7810</v>
      </c>
      <c r="I2168" s="11" t="s">
        <v>43</v>
      </c>
      <c r="J2168" s="14">
        <v>1</v>
      </c>
      <c r="K2168" s="14" t="s">
        <v>7807</v>
      </c>
      <c r="L2168" s="14" t="s">
        <v>7811</v>
      </c>
      <c r="M2168" s="15" t="s">
        <v>7809</v>
      </c>
      <c r="N2168" s="15" t="s">
        <v>51</v>
      </c>
      <c r="O2168" s="15" t="s">
        <v>2180</v>
      </c>
      <c r="P2168" s="15"/>
      <c r="Q2168" s="12" t="s">
        <v>53</v>
      </c>
      <c r="R2168" s="16" t="s">
        <v>54</v>
      </c>
      <c r="S2168" s="15"/>
      <c r="T2168" s="14" t="s">
        <v>55</v>
      </c>
    </row>
    <row r="2169" spans="1:20" ht="16.5">
      <c r="A2169" s="17" t="s">
        <v>7805</v>
      </c>
      <c r="B2169" s="17" t="s">
        <v>43</v>
      </c>
      <c r="C2169" s="17" t="s">
        <v>44</v>
      </c>
      <c r="D2169" s="18" t="s">
        <v>7805</v>
      </c>
      <c r="E2169" s="17" t="s">
        <v>45</v>
      </c>
      <c r="F2169" s="17" t="s">
        <v>44</v>
      </c>
      <c r="G2169" s="19" t="s">
        <v>4603</v>
      </c>
      <c r="H2169" s="20" t="s">
        <v>7812</v>
      </c>
      <c r="I2169" s="17" t="s">
        <v>43</v>
      </c>
      <c r="J2169" s="21">
        <v>1</v>
      </c>
      <c r="K2169" s="21" t="s">
        <v>7807</v>
      </c>
      <c r="L2169" s="21" t="s">
        <v>7813</v>
      </c>
      <c r="M2169" s="19" t="s">
        <v>7809</v>
      </c>
      <c r="N2169" s="19" t="s">
        <v>51</v>
      </c>
      <c r="O2169" s="19" t="s">
        <v>4606</v>
      </c>
      <c r="P2169" s="19"/>
      <c r="Q2169" s="18" t="s">
        <v>53</v>
      </c>
      <c r="R2169" s="16" t="s">
        <v>54</v>
      </c>
      <c r="S2169" s="19"/>
      <c r="T2169" s="21" t="s">
        <v>55</v>
      </c>
    </row>
    <row r="2170" spans="1:20" ht="16.5">
      <c r="A2170" s="11" t="s">
        <v>7805</v>
      </c>
      <c r="B2170" s="11" t="s">
        <v>43</v>
      </c>
      <c r="C2170" s="11" t="s">
        <v>44</v>
      </c>
      <c r="D2170" s="12" t="s">
        <v>7805</v>
      </c>
      <c r="E2170" s="11" t="s">
        <v>45</v>
      </c>
      <c r="F2170" s="11" t="s">
        <v>44</v>
      </c>
      <c r="G2170" s="15" t="s">
        <v>5404</v>
      </c>
      <c r="H2170" s="13" t="s">
        <v>7814</v>
      </c>
      <c r="I2170" s="11" t="s">
        <v>43</v>
      </c>
      <c r="J2170" s="14">
        <v>1</v>
      </c>
      <c r="K2170" s="14" t="s">
        <v>7807</v>
      </c>
      <c r="L2170" s="14" t="s">
        <v>7815</v>
      </c>
      <c r="M2170" s="15" t="s">
        <v>7809</v>
      </c>
      <c r="N2170" s="15" t="s">
        <v>51</v>
      </c>
      <c r="O2170" s="15" t="s">
        <v>5408</v>
      </c>
      <c r="P2170" s="15"/>
      <c r="Q2170" s="12" t="s">
        <v>53</v>
      </c>
      <c r="R2170" s="22" t="s">
        <v>88</v>
      </c>
      <c r="S2170" s="15"/>
      <c r="T2170" s="14" t="s">
        <v>55</v>
      </c>
    </row>
    <row r="2171" spans="1:20" ht="16.5">
      <c r="A2171" s="17" t="s">
        <v>7805</v>
      </c>
      <c r="B2171" s="17" t="s">
        <v>60</v>
      </c>
      <c r="C2171" s="17" t="s">
        <v>44</v>
      </c>
      <c r="D2171" s="18" t="s">
        <v>7805</v>
      </c>
      <c r="E2171" s="17" t="s">
        <v>61</v>
      </c>
      <c r="F2171" s="17" t="s">
        <v>62</v>
      </c>
      <c r="G2171" s="18" t="s">
        <v>7816</v>
      </c>
      <c r="H2171" s="20" t="s">
        <v>7817</v>
      </c>
      <c r="I2171" s="17" t="s">
        <v>65</v>
      </c>
      <c r="J2171" s="21">
        <v>1</v>
      </c>
      <c r="K2171" s="21" t="s">
        <v>7807</v>
      </c>
      <c r="L2171" s="21" t="s">
        <v>7818</v>
      </c>
      <c r="M2171" s="19" t="s">
        <v>7809</v>
      </c>
      <c r="N2171" s="19" t="s">
        <v>67</v>
      </c>
      <c r="O2171" s="19" t="s">
        <v>7819</v>
      </c>
      <c r="P2171" s="19"/>
      <c r="Q2171" s="18" t="s">
        <v>69</v>
      </c>
      <c r="R2171" s="16" t="s">
        <v>54</v>
      </c>
      <c r="S2171" s="18" t="s">
        <v>2818</v>
      </c>
      <c r="T2171" s="21" t="s">
        <v>55</v>
      </c>
    </row>
    <row r="2172" spans="1:20" ht="16.5">
      <c r="A2172" s="11" t="s">
        <v>7805</v>
      </c>
      <c r="B2172" s="11" t="s">
        <v>60</v>
      </c>
      <c r="C2172" s="11" t="s">
        <v>62</v>
      </c>
      <c r="D2172" s="12" t="s">
        <v>7816</v>
      </c>
      <c r="E2172" s="11" t="s">
        <v>71</v>
      </c>
      <c r="F2172" s="11" t="s">
        <v>72</v>
      </c>
      <c r="G2172" s="12" t="s">
        <v>7820</v>
      </c>
      <c r="H2172" s="13" t="s">
        <v>7821</v>
      </c>
      <c r="I2172" s="11" t="s">
        <v>65</v>
      </c>
      <c r="J2172" s="14">
        <v>1</v>
      </c>
      <c r="K2172" s="14" t="s">
        <v>7807</v>
      </c>
      <c r="L2172" s="14" t="s">
        <v>7822</v>
      </c>
      <c r="M2172" s="15" t="s">
        <v>7819</v>
      </c>
      <c r="N2172" s="15" t="s">
        <v>76</v>
      </c>
      <c r="O2172" s="15" t="s">
        <v>7823</v>
      </c>
      <c r="P2172" s="15"/>
      <c r="Q2172" s="12" t="s">
        <v>69</v>
      </c>
      <c r="R2172" s="16" t="s">
        <v>54</v>
      </c>
      <c r="S2172" s="12" t="s">
        <v>2818</v>
      </c>
      <c r="T2172" s="14" t="s">
        <v>55</v>
      </c>
    </row>
    <row r="2173" spans="1:20" ht="16.5">
      <c r="A2173" s="17" t="s">
        <v>7805</v>
      </c>
      <c r="B2173" s="17" t="s">
        <v>60</v>
      </c>
      <c r="C2173" s="17" t="s">
        <v>62</v>
      </c>
      <c r="D2173" s="18" t="s">
        <v>7816</v>
      </c>
      <c r="E2173" s="17" t="s">
        <v>71</v>
      </c>
      <c r="F2173" s="17" t="s">
        <v>72</v>
      </c>
      <c r="G2173" s="19" t="s">
        <v>7824</v>
      </c>
      <c r="H2173" s="20" t="s">
        <v>7821</v>
      </c>
      <c r="I2173" s="17" t="s">
        <v>65</v>
      </c>
      <c r="J2173" s="21">
        <v>1</v>
      </c>
      <c r="K2173" s="21" t="s">
        <v>7807</v>
      </c>
      <c r="L2173" s="21" t="s">
        <v>7825</v>
      </c>
      <c r="M2173" s="19" t="s">
        <v>7819</v>
      </c>
      <c r="N2173" s="19" t="s">
        <v>76</v>
      </c>
      <c r="O2173" s="19" t="s">
        <v>7826</v>
      </c>
      <c r="P2173" s="19"/>
      <c r="Q2173" s="18" t="s">
        <v>69</v>
      </c>
      <c r="R2173" s="16" t="s">
        <v>54</v>
      </c>
      <c r="S2173" s="18" t="s">
        <v>2818</v>
      </c>
      <c r="T2173" s="21" t="s">
        <v>55</v>
      </c>
    </row>
    <row r="2174" spans="1:20" ht="16.5">
      <c r="A2174" s="11" t="s">
        <v>7805</v>
      </c>
      <c r="B2174" s="11" t="s">
        <v>60</v>
      </c>
      <c r="C2174" s="11" t="s">
        <v>62</v>
      </c>
      <c r="D2174" s="12" t="s">
        <v>7816</v>
      </c>
      <c r="E2174" s="11" t="s">
        <v>81</v>
      </c>
      <c r="F2174" s="11" t="s">
        <v>82</v>
      </c>
      <c r="G2174" s="12" t="s">
        <v>7827</v>
      </c>
      <c r="H2174" s="13" t="s">
        <v>7828</v>
      </c>
      <c r="I2174" s="11" t="s">
        <v>65</v>
      </c>
      <c r="J2174" s="14">
        <v>1</v>
      </c>
      <c r="K2174" s="14" t="s">
        <v>7807</v>
      </c>
      <c r="L2174" s="14" t="s">
        <v>7829</v>
      </c>
      <c r="M2174" s="15" t="s">
        <v>7819</v>
      </c>
      <c r="N2174" s="15" t="s">
        <v>86</v>
      </c>
      <c r="O2174" s="15" t="s">
        <v>7830</v>
      </c>
      <c r="P2174" s="15"/>
      <c r="Q2174" s="12" t="s">
        <v>53</v>
      </c>
      <c r="R2174" s="22" t="s">
        <v>88</v>
      </c>
      <c r="S2174" s="12" t="s">
        <v>2818</v>
      </c>
      <c r="T2174" s="14" t="s">
        <v>55</v>
      </c>
    </row>
    <row r="2175" spans="1:20" ht="16.5">
      <c r="A2175" s="17" t="s">
        <v>7805</v>
      </c>
      <c r="B2175" s="17" t="s">
        <v>60</v>
      </c>
      <c r="C2175" s="17" t="s">
        <v>44</v>
      </c>
      <c r="D2175" s="18" t="s">
        <v>7805</v>
      </c>
      <c r="E2175" s="17" t="s">
        <v>61</v>
      </c>
      <c r="F2175" s="17" t="s">
        <v>62</v>
      </c>
      <c r="G2175" s="18" t="s">
        <v>7831</v>
      </c>
      <c r="H2175" s="20" t="s">
        <v>7832</v>
      </c>
      <c r="I2175" s="17" t="s">
        <v>65</v>
      </c>
      <c r="J2175" s="21">
        <v>1</v>
      </c>
      <c r="K2175" s="21" t="s">
        <v>7807</v>
      </c>
      <c r="L2175" s="21" t="s">
        <v>7833</v>
      </c>
      <c r="M2175" s="19" t="s">
        <v>7809</v>
      </c>
      <c r="N2175" s="19" t="s">
        <v>67</v>
      </c>
      <c r="O2175" s="19" t="s">
        <v>7834</v>
      </c>
      <c r="P2175" s="19"/>
      <c r="Q2175" s="18" t="s">
        <v>69</v>
      </c>
      <c r="R2175" s="16" t="s">
        <v>54</v>
      </c>
      <c r="S2175" s="18" t="s">
        <v>2818</v>
      </c>
      <c r="T2175" s="21" t="s">
        <v>55</v>
      </c>
    </row>
    <row r="2176" spans="1:20" ht="16.5">
      <c r="A2176" s="11" t="s">
        <v>7805</v>
      </c>
      <c r="B2176" s="11" t="s">
        <v>60</v>
      </c>
      <c r="C2176" s="11" t="s">
        <v>62</v>
      </c>
      <c r="D2176" s="12" t="s">
        <v>7831</v>
      </c>
      <c r="E2176" s="11" t="s">
        <v>81</v>
      </c>
      <c r="F2176" s="11" t="s">
        <v>82</v>
      </c>
      <c r="G2176" s="12" t="s">
        <v>7835</v>
      </c>
      <c r="H2176" s="13" t="s">
        <v>7836</v>
      </c>
      <c r="I2176" s="11" t="s">
        <v>65</v>
      </c>
      <c r="J2176" s="14">
        <v>1</v>
      </c>
      <c r="K2176" s="14" t="s">
        <v>7807</v>
      </c>
      <c r="L2176" s="14" t="s">
        <v>7837</v>
      </c>
      <c r="M2176" s="15" t="s">
        <v>7834</v>
      </c>
      <c r="N2176" s="15" t="s">
        <v>86</v>
      </c>
      <c r="O2176" s="15" t="s">
        <v>7838</v>
      </c>
      <c r="P2176" s="15"/>
      <c r="Q2176" s="12" t="s">
        <v>53</v>
      </c>
      <c r="R2176" s="22" t="s">
        <v>88</v>
      </c>
      <c r="S2176" s="12" t="s">
        <v>2818</v>
      </c>
      <c r="T2176" s="14" t="s">
        <v>55</v>
      </c>
    </row>
    <row r="2177" spans="1:20" ht="16.5">
      <c r="A2177" s="17" t="s">
        <v>7805</v>
      </c>
      <c r="B2177" s="17" t="s">
        <v>60</v>
      </c>
      <c r="C2177" s="17" t="s">
        <v>62</v>
      </c>
      <c r="D2177" s="18" t="s">
        <v>7831</v>
      </c>
      <c r="E2177" s="17" t="s">
        <v>81</v>
      </c>
      <c r="F2177" s="17" t="s">
        <v>82</v>
      </c>
      <c r="G2177" s="18" t="s">
        <v>7839</v>
      </c>
      <c r="H2177" s="20" t="s">
        <v>7840</v>
      </c>
      <c r="I2177" s="17" t="s">
        <v>65</v>
      </c>
      <c r="J2177" s="21">
        <v>1</v>
      </c>
      <c r="K2177" s="21" t="s">
        <v>7807</v>
      </c>
      <c r="L2177" s="21" t="s">
        <v>7841</v>
      </c>
      <c r="M2177" s="19" t="s">
        <v>7834</v>
      </c>
      <c r="N2177" s="19" t="s">
        <v>86</v>
      </c>
      <c r="O2177" s="19" t="s">
        <v>7842</v>
      </c>
      <c r="P2177" s="19"/>
      <c r="Q2177" s="18" t="s">
        <v>53</v>
      </c>
      <c r="R2177" s="22" t="s">
        <v>88</v>
      </c>
      <c r="S2177" s="18" t="s">
        <v>2818</v>
      </c>
      <c r="T2177" s="21" t="s">
        <v>55</v>
      </c>
    </row>
    <row r="2178" spans="1:20" ht="16.5">
      <c r="A2178" s="11" t="s">
        <v>7805</v>
      </c>
      <c r="B2178" s="11" t="s">
        <v>60</v>
      </c>
      <c r="C2178" s="11" t="s">
        <v>44</v>
      </c>
      <c r="D2178" s="12" t="s">
        <v>7805</v>
      </c>
      <c r="E2178" s="11" t="s">
        <v>61</v>
      </c>
      <c r="F2178" s="11" t="s">
        <v>62</v>
      </c>
      <c r="G2178" s="12" t="s">
        <v>7843</v>
      </c>
      <c r="H2178" s="13" t="s">
        <v>7844</v>
      </c>
      <c r="I2178" s="11" t="s">
        <v>65</v>
      </c>
      <c r="J2178" s="14">
        <v>1</v>
      </c>
      <c r="K2178" s="14" t="s">
        <v>7807</v>
      </c>
      <c r="L2178" s="14" t="s">
        <v>7845</v>
      </c>
      <c r="M2178" s="15" t="s">
        <v>7809</v>
      </c>
      <c r="N2178" s="15" t="s">
        <v>67</v>
      </c>
      <c r="O2178" s="15" t="s">
        <v>7846</v>
      </c>
      <c r="P2178" s="15"/>
      <c r="Q2178" s="12" t="s">
        <v>69</v>
      </c>
      <c r="R2178" s="16" t="s">
        <v>54</v>
      </c>
      <c r="S2178" s="12" t="s">
        <v>2818</v>
      </c>
      <c r="T2178" s="14" t="s">
        <v>55</v>
      </c>
    </row>
    <row r="2179" spans="1:20" ht="16.5">
      <c r="A2179" s="17" t="s">
        <v>7805</v>
      </c>
      <c r="B2179" s="17" t="s">
        <v>60</v>
      </c>
      <c r="C2179" s="17" t="s">
        <v>62</v>
      </c>
      <c r="D2179" s="18" t="s">
        <v>7843</v>
      </c>
      <c r="E2179" s="17" t="s">
        <v>81</v>
      </c>
      <c r="F2179" s="17" t="s">
        <v>82</v>
      </c>
      <c r="G2179" s="18" t="s">
        <v>7847</v>
      </c>
      <c r="H2179" s="20" t="s">
        <v>7848</v>
      </c>
      <c r="I2179" s="17" t="s">
        <v>65</v>
      </c>
      <c r="J2179" s="21">
        <v>1</v>
      </c>
      <c r="K2179" s="21" t="s">
        <v>7807</v>
      </c>
      <c r="L2179" s="21" t="s">
        <v>7849</v>
      </c>
      <c r="M2179" s="19" t="s">
        <v>7846</v>
      </c>
      <c r="N2179" s="19" t="s">
        <v>86</v>
      </c>
      <c r="O2179" s="19" t="s">
        <v>7850</v>
      </c>
      <c r="P2179" s="19"/>
      <c r="Q2179" s="18" t="s">
        <v>53</v>
      </c>
      <c r="R2179" s="22" t="s">
        <v>88</v>
      </c>
      <c r="S2179" s="18" t="s">
        <v>2818</v>
      </c>
      <c r="T2179" s="21" t="s">
        <v>55</v>
      </c>
    </row>
    <row r="2180" spans="1:20" ht="16.5">
      <c r="A2180" s="11" t="s">
        <v>7805</v>
      </c>
      <c r="B2180" s="11" t="s">
        <v>60</v>
      </c>
      <c r="C2180" s="11" t="s">
        <v>62</v>
      </c>
      <c r="D2180" s="12" t="s">
        <v>7843</v>
      </c>
      <c r="E2180" s="11" t="s">
        <v>81</v>
      </c>
      <c r="F2180" s="11" t="s">
        <v>82</v>
      </c>
      <c r="G2180" s="12" t="s">
        <v>7851</v>
      </c>
      <c r="H2180" s="13" t="s">
        <v>7852</v>
      </c>
      <c r="I2180" s="11" t="s">
        <v>65</v>
      </c>
      <c r="J2180" s="14">
        <v>1</v>
      </c>
      <c r="K2180" s="14" t="s">
        <v>7807</v>
      </c>
      <c r="L2180" s="14" t="s">
        <v>7853</v>
      </c>
      <c r="M2180" s="15" t="s">
        <v>7846</v>
      </c>
      <c r="N2180" s="15" t="s">
        <v>86</v>
      </c>
      <c r="O2180" s="15" t="s">
        <v>7854</v>
      </c>
      <c r="P2180" s="15"/>
      <c r="Q2180" s="12" t="s">
        <v>53</v>
      </c>
      <c r="R2180" s="22" t="s">
        <v>88</v>
      </c>
      <c r="S2180" s="12" t="s">
        <v>2818</v>
      </c>
      <c r="T2180" s="14" t="s">
        <v>55</v>
      </c>
    </row>
    <row r="2181" spans="1:20" ht="16.5">
      <c r="A2181" s="17" t="s">
        <v>7805</v>
      </c>
      <c r="B2181" s="17" t="s">
        <v>60</v>
      </c>
      <c r="C2181" s="17" t="s">
        <v>44</v>
      </c>
      <c r="D2181" s="18" t="s">
        <v>7805</v>
      </c>
      <c r="E2181" s="17" t="s">
        <v>61</v>
      </c>
      <c r="F2181" s="17" t="s">
        <v>62</v>
      </c>
      <c r="G2181" s="18" t="s">
        <v>7855</v>
      </c>
      <c r="H2181" s="20" t="s">
        <v>7856</v>
      </c>
      <c r="I2181" s="17" t="s">
        <v>65</v>
      </c>
      <c r="J2181" s="21">
        <v>1</v>
      </c>
      <c r="K2181" s="21" t="s">
        <v>7807</v>
      </c>
      <c r="L2181" s="21" t="s">
        <v>7857</v>
      </c>
      <c r="M2181" s="19" t="s">
        <v>7809</v>
      </c>
      <c r="N2181" s="19" t="s">
        <v>67</v>
      </c>
      <c r="O2181" s="19" t="s">
        <v>7858</v>
      </c>
      <c r="P2181" s="19"/>
      <c r="Q2181" s="18" t="s">
        <v>69</v>
      </c>
      <c r="R2181" s="16" t="s">
        <v>54</v>
      </c>
      <c r="S2181" s="18" t="s">
        <v>2818</v>
      </c>
      <c r="T2181" s="21" t="s">
        <v>55</v>
      </c>
    </row>
    <row r="2182" spans="1:20" ht="16.5">
      <c r="A2182" s="11" t="s">
        <v>7805</v>
      </c>
      <c r="B2182" s="11" t="s">
        <v>60</v>
      </c>
      <c r="C2182" s="11" t="s">
        <v>62</v>
      </c>
      <c r="D2182" s="12" t="s">
        <v>7855</v>
      </c>
      <c r="E2182" s="11" t="s">
        <v>71</v>
      </c>
      <c r="F2182" s="11" t="s">
        <v>72</v>
      </c>
      <c r="G2182" s="15" t="s">
        <v>7859</v>
      </c>
      <c r="H2182" s="13" t="s">
        <v>7860</v>
      </c>
      <c r="I2182" s="11" t="s">
        <v>65</v>
      </c>
      <c r="J2182" s="14">
        <v>1</v>
      </c>
      <c r="K2182" s="14" t="s">
        <v>7807</v>
      </c>
      <c r="L2182" s="14" t="s">
        <v>7861</v>
      </c>
      <c r="M2182" s="15" t="s">
        <v>7858</v>
      </c>
      <c r="N2182" s="15" t="s">
        <v>76</v>
      </c>
      <c r="O2182" s="15" t="s">
        <v>7862</v>
      </c>
      <c r="P2182" s="15"/>
      <c r="Q2182" s="12" t="s">
        <v>69</v>
      </c>
      <c r="R2182" s="16" t="s">
        <v>54</v>
      </c>
      <c r="S2182" s="12" t="s">
        <v>2818</v>
      </c>
      <c r="T2182" s="14" t="s">
        <v>55</v>
      </c>
    </row>
    <row r="2183" spans="1:20" ht="16.5">
      <c r="A2183" s="17" t="s">
        <v>7805</v>
      </c>
      <c r="B2183" s="17" t="s">
        <v>60</v>
      </c>
      <c r="C2183" s="17" t="s">
        <v>62</v>
      </c>
      <c r="D2183" s="18" t="s">
        <v>7855</v>
      </c>
      <c r="E2183" s="17" t="s">
        <v>71</v>
      </c>
      <c r="F2183" s="17" t="s">
        <v>72</v>
      </c>
      <c r="G2183" s="19" t="s">
        <v>7863</v>
      </c>
      <c r="H2183" s="20" t="s">
        <v>7860</v>
      </c>
      <c r="I2183" s="17" t="s">
        <v>65</v>
      </c>
      <c r="J2183" s="21">
        <v>1</v>
      </c>
      <c r="K2183" s="21" t="s">
        <v>7807</v>
      </c>
      <c r="L2183" s="21" t="s">
        <v>7864</v>
      </c>
      <c r="M2183" s="19" t="s">
        <v>7858</v>
      </c>
      <c r="N2183" s="19" t="s">
        <v>76</v>
      </c>
      <c r="O2183" s="19" t="s">
        <v>7865</v>
      </c>
      <c r="P2183" s="19"/>
      <c r="Q2183" s="18" t="s">
        <v>69</v>
      </c>
      <c r="R2183" s="16" t="s">
        <v>54</v>
      </c>
      <c r="S2183" s="18" t="s">
        <v>2818</v>
      </c>
      <c r="T2183" s="21" t="s">
        <v>55</v>
      </c>
    </row>
    <row r="2184" spans="1:20" ht="16.5">
      <c r="A2184" s="11" t="s">
        <v>7805</v>
      </c>
      <c r="B2184" s="11" t="s">
        <v>60</v>
      </c>
      <c r="C2184" s="11" t="s">
        <v>62</v>
      </c>
      <c r="D2184" s="12" t="s">
        <v>7855</v>
      </c>
      <c r="E2184" s="11" t="s">
        <v>71</v>
      </c>
      <c r="F2184" s="11" t="s">
        <v>72</v>
      </c>
      <c r="G2184" s="15" t="s">
        <v>7866</v>
      </c>
      <c r="H2184" s="13" t="s">
        <v>7860</v>
      </c>
      <c r="I2184" s="11" t="s">
        <v>65</v>
      </c>
      <c r="J2184" s="14">
        <v>1</v>
      </c>
      <c r="K2184" s="14" t="s">
        <v>7807</v>
      </c>
      <c r="L2184" s="14" t="s">
        <v>7867</v>
      </c>
      <c r="M2184" s="15" t="s">
        <v>7858</v>
      </c>
      <c r="N2184" s="15" t="s">
        <v>76</v>
      </c>
      <c r="O2184" s="15" t="s">
        <v>7868</v>
      </c>
      <c r="P2184" s="15"/>
      <c r="Q2184" s="12" t="s">
        <v>69</v>
      </c>
      <c r="R2184" s="16" t="s">
        <v>54</v>
      </c>
      <c r="S2184" s="12" t="s">
        <v>2818</v>
      </c>
      <c r="T2184" s="14" t="s">
        <v>55</v>
      </c>
    </row>
    <row r="2185" spans="1:20" ht="16.5">
      <c r="A2185" s="17" t="s">
        <v>7805</v>
      </c>
      <c r="B2185" s="17" t="s">
        <v>60</v>
      </c>
      <c r="C2185" s="17" t="s">
        <v>62</v>
      </c>
      <c r="D2185" s="18" t="s">
        <v>7855</v>
      </c>
      <c r="E2185" s="17" t="s">
        <v>81</v>
      </c>
      <c r="F2185" s="17" t="s">
        <v>82</v>
      </c>
      <c r="G2185" s="18" t="s">
        <v>7869</v>
      </c>
      <c r="H2185" s="20" t="s">
        <v>7870</v>
      </c>
      <c r="I2185" s="17" t="s">
        <v>65</v>
      </c>
      <c r="J2185" s="21">
        <v>1</v>
      </c>
      <c r="K2185" s="21" t="s">
        <v>7807</v>
      </c>
      <c r="L2185" s="21" t="s">
        <v>7871</v>
      </c>
      <c r="M2185" s="19" t="s">
        <v>7858</v>
      </c>
      <c r="N2185" s="19" t="s">
        <v>86</v>
      </c>
      <c r="O2185" s="19" t="s">
        <v>7872</v>
      </c>
      <c r="P2185" s="19"/>
      <c r="Q2185" s="18" t="s">
        <v>53</v>
      </c>
      <c r="R2185" s="22" t="s">
        <v>88</v>
      </c>
      <c r="S2185" s="18" t="s">
        <v>2818</v>
      </c>
      <c r="T2185" s="21" t="s">
        <v>55</v>
      </c>
    </row>
    <row r="2186" spans="1:20" ht="16.5">
      <c r="A2186" s="11" t="s">
        <v>7805</v>
      </c>
      <c r="B2186" s="11" t="s">
        <v>60</v>
      </c>
      <c r="C2186" s="11" t="s">
        <v>44</v>
      </c>
      <c r="D2186" s="12" t="s">
        <v>7805</v>
      </c>
      <c r="E2186" s="11" t="s">
        <v>61</v>
      </c>
      <c r="F2186" s="11" t="s">
        <v>62</v>
      </c>
      <c r="G2186" s="12" t="s">
        <v>7873</v>
      </c>
      <c r="H2186" s="13" t="s">
        <v>7874</v>
      </c>
      <c r="I2186" s="11" t="s">
        <v>65</v>
      </c>
      <c r="J2186" s="14">
        <v>1</v>
      </c>
      <c r="K2186" s="14" t="s">
        <v>7807</v>
      </c>
      <c r="L2186" s="14" t="s">
        <v>7875</v>
      </c>
      <c r="M2186" s="15" t="s">
        <v>7809</v>
      </c>
      <c r="N2186" s="15" t="s">
        <v>67</v>
      </c>
      <c r="O2186" s="15" t="s">
        <v>7876</v>
      </c>
      <c r="P2186" s="15"/>
      <c r="Q2186" s="12" t="s">
        <v>69</v>
      </c>
      <c r="R2186" s="16" t="s">
        <v>54</v>
      </c>
      <c r="S2186" s="12" t="s">
        <v>2818</v>
      </c>
      <c r="T2186" s="14" t="s">
        <v>55</v>
      </c>
    </row>
    <row r="2187" spans="1:20" ht="16.5">
      <c r="A2187" s="17" t="s">
        <v>7805</v>
      </c>
      <c r="B2187" s="17" t="s">
        <v>60</v>
      </c>
      <c r="C2187" s="17" t="s">
        <v>62</v>
      </c>
      <c r="D2187" s="18" t="s">
        <v>7873</v>
      </c>
      <c r="E2187" s="17" t="s">
        <v>71</v>
      </c>
      <c r="F2187" s="17" t="s">
        <v>72</v>
      </c>
      <c r="G2187" s="18" t="s">
        <v>7877</v>
      </c>
      <c r="H2187" s="20" t="s">
        <v>7878</v>
      </c>
      <c r="I2187" s="17" t="s">
        <v>65</v>
      </c>
      <c r="J2187" s="21">
        <v>1</v>
      </c>
      <c r="K2187" s="21" t="s">
        <v>7807</v>
      </c>
      <c r="L2187" s="21" t="s">
        <v>7879</v>
      </c>
      <c r="M2187" s="19" t="s">
        <v>7876</v>
      </c>
      <c r="N2187" s="19" t="s">
        <v>76</v>
      </c>
      <c r="O2187" s="19" t="s">
        <v>7880</v>
      </c>
      <c r="P2187" s="19"/>
      <c r="Q2187" s="18" t="s">
        <v>69</v>
      </c>
      <c r="R2187" s="16" t="s">
        <v>54</v>
      </c>
      <c r="S2187" s="18" t="s">
        <v>2818</v>
      </c>
      <c r="T2187" s="21" t="s">
        <v>55</v>
      </c>
    </row>
    <row r="2188" spans="1:20" ht="16.5">
      <c r="A2188" s="11" t="s">
        <v>7805</v>
      </c>
      <c r="B2188" s="11" t="s">
        <v>60</v>
      </c>
      <c r="C2188" s="11" t="s">
        <v>62</v>
      </c>
      <c r="D2188" s="12" t="s">
        <v>7873</v>
      </c>
      <c r="E2188" s="11" t="s">
        <v>71</v>
      </c>
      <c r="F2188" s="11" t="s">
        <v>72</v>
      </c>
      <c r="G2188" s="12" t="s">
        <v>7881</v>
      </c>
      <c r="H2188" s="13" t="s">
        <v>7878</v>
      </c>
      <c r="I2188" s="11" t="s">
        <v>65</v>
      </c>
      <c r="J2188" s="14">
        <v>1</v>
      </c>
      <c r="K2188" s="14" t="s">
        <v>7807</v>
      </c>
      <c r="L2188" s="14" t="s">
        <v>7882</v>
      </c>
      <c r="M2188" s="15" t="s">
        <v>7876</v>
      </c>
      <c r="N2188" s="15" t="s">
        <v>76</v>
      </c>
      <c r="O2188" s="15" t="s">
        <v>7883</v>
      </c>
      <c r="P2188" s="15"/>
      <c r="Q2188" s="12" t="s">
        <v>69</v>
      </c>
      <c r="R2188" s="16" t="s">
        <v>54</v>
      </c>
      <c r="S2188" s="12" t="s">
        <v>2818</v>
      </c>
      <c r="T2188" s="14" t="s">
        <v>55</v>
      </c>
    </row>
    <row r="2189" spans="1:20" ht="16.5">
      <c r="A2189" s="17" t="s">
        <v>7805</v>
      </c>
      <c r="B2189" s="17" t="s">
        <v>60</v>
      </c>
      <c r="C2189" s="17" t="s">
        <v>62</v>
      </c>
      <c r="D2189" s="18" t="s">
        <v>7816</v>
      </c>
      <c r="E2189" s="17" t="s">
        <v>203</v>
      </c>
      <c r="F2189" s="17" t="s">
        <v>204</v>
      </c>
      <c r="G2189" s="18" t="s">
        <v>7884</v>
      </c>
      <c r="H2189" s="20" t="s">
        <v>7885</v>
      </c>
      <c r="I2189" s="17" t="s">
        <v>65</v>
      </c>
      <c r="J2189" s="21">
        <v>1</v>
      </c>
      <c r="K2189" s="21" t="s">
        <v>7807</v>
      </c>
      <c r="L2189" s="21" t="s">
        <v>7886</v>
      </c>
      <c r="M2189" s="19" t="s">
        <v>7819</v>
      </c>
      <c r="N2189" s="19" t="s">
        <v>208</v>
      </c>
      <c r="O2189" s="19" t="s">
        <v>7887</v>
      </c>
      <c r="P2189" s="19" t="s">
        <v>7888</v>
      </c>
      <c r="Q2189" s="19" t="s">
        <v>211</v>
      </c>
      <c r="R2189" s="16" t="s">
        <v>54</v>
      </c>
      <c r="S2189" s="18" t="s">
        <v>2818</v>
      </c>
      <c r="T2189" s="21" t="s">
        <v>55</v>
      </c>
    </row>
    <row r="2190" spans="1:20" ht="16.5">
      <c r="A2190" s="11" t="s">
        <v>7805</v>
      </c>
      <c r="B2190" s="11" t="s">
        <v>60</v>
      </c>
      <c r="C2190" s="11" t="s">
        <v>62</v>
      </c>
      <c r="D2190" s="12" t="s">
        <v>7816</v>
      </c>
      <c r="E2190" s="11" t="s">
        <v>203</v>
      </c>
      <c r="F2190" s="11" t="s">
        <v>204</v>
      </c>
      <c r="G2190" s="15" t="s">
        <v>7889</v>
      </c>
      <c r="H2190" s="13" t="s">
        <v>7890</v>
      </c>
      <c r="I2190" s="11" t="s">
        <v>65</v>
      </c>
      <c r="J2190" s="14">
        <v>1</v>
      </c>
      <c r="K2190" s="14" t="s">
        <v>7807</v>
      </c>
      <c r="L2190" s="14" t="s">
        <v>7891</v>
      </c>
      <c r="M2190" s="15" t="s">
        <v>7819</v>
      </c>
      <c r="N2190" s="15" t="s">
        <v>208</v>
      </c>
      <c r="O2190" s="15" t="s">
        <v>7892</v>
      </c>
      <c r="P2190" s="15" t="s">
        <v>7893</v>
      </c>
      <c r="Q2190" s="15" t="s">
        <v>211</v>
      </c>
      <c r="R2190" s="16" t="s">
        <v>54</v>
      </c>
      <c r="S2190" s="12" t="s">
        <v>2818</v>
      </c>
      <c r="T2190" s="14" t="s">
        <v>55</v>
      </c>
    </row>
    <row r="2191" spans="1:20" ht="16.5">
      <c r="A2191" s="17" t="s">
        <v>7805</v>
      </c>
      <c r="B2191" s="17" t="s">
        <v>60</v>
      </c>
      <c r="C2191" s="17" t="s">
        <v>62</v>
      </c>
      <c r="D2191" s="18" t="s">
        <v>7816</v>
      </c>
      <c r="E2191" s="17" t="s">
        <v>203</v>
      </c>
      <c r="F2191" s="17" t="s">
        <v>204</v>
      </c>
      <c r="G2191" s="19" t="s">
        <v>7894</v>
      </c>
      <c r="H2191" s="20" t="s">
        <v>7895</v>
      </c>
      <c r="I2191" s="17" t="s">
        <v>65</v>
      </c>
      <c r="J2191" s="21">
        <v>1</v>
      </c>
      <c r="K2191" s="21" t="s">
        <v>7807</v>
      </c>
      <c r="L2191" s="21" t="s">
        <v>7896</v>
      </c>
      <c r="M2191" s="19" t="s">
        <v>7819</v>
      </c>
      <c r="N2191" s="19" t="s">
        <v>208</v>
      </c>
      <c r="O2191" s="19" t="s">
        <v>7897</v>
      </c>
      <c r="P2191" s="19" t="s">
        <v>7898</v>
      </c>
      <c r="Q2191" s="19" t="s">
        <v>211</v>
      </c>
      <c r="R2191" s="16" t="s">
        <v>54</v>
      </c>
      <c r="S2191" s="18" t="s">
        <v>2818</v>
      </c>
      <c r="T2191" s="21" t="s">
        <v>55</v>
      </c>
    </row>
    <row r="2192" spans="1:20" ht="16.5">
      <c r="A2192" s="11" t="s">
        <v>7805</v>
      </c>
      <c r="B2192" s="11" t="s">
        <v>60</v>
      </c>
      <c r="C2192" s="11" t="s">
        <v>62</v>
      </c>
      <c r="D2192" s="12" t="s">
        <v>7831</v>
      </c>
      <c r="E2192" s="11" t="s">
        <v>203</v>
      </c>
      <c r="F2192" s="11" t="s">
        <v>204</v>
      </c>
      <c r="G2192" s="12" t="s">
        <v>7899</v>
      </c>
      <c r="H2192" s="13" t="s">
        <v>7900</v>
      </c>
      <c r="I2192" s="11" t="s">
        <v>65</v>
      </c>
      <c r="J2192" s="14">
        <v>1</v>
      </c>
      <c r="K2192" s="14" t="s">
        <v>7807</v>
      </c>
      <c r="L2192" s="14" t="s">
        <v>7901</v>
      </c>
      <c r="M2192" s="15" t="s">
        <v>7834</v>
      </c>
      <c r="N2192" s="15" t="s">
        <v>208</v>
      </c>
      <c r="O2192" s="15" t="s">
        <v>7902</v>
      </c>
      <c r="P2192" s="15" t="s">
        <v>7903</v>
      </c>
      <c r="Q2192" s="15" t="s">
        <v>211</v>
      </c>
      <c r="R2192" s="16" t="s">
        <v>54</v>
      </c>
      <c r="S2192" s="12" t="s">
        <v>2818</v>
      </c>
      <c r="T2192" s="14" t="s">
        <v>55</v>
      </c>
    </row>
    <row r="2193" spans="1:20" ht="16.5">
      <c r="A2193" s="17" t="s">
        <v>7805</v>
      </c>
      <c r="B2193" s="17" t="s">
        <v>60</v>
      </c>
      <c r="C2193" s="17" t="s">
        <v>62</v>
      </c>
      <c r="D2193" s="18" t="s">
        <v>7843</v>
      </c>
      <c r="E2193" s="17" t="s">
        <v>203</v>
      </c>
      <c r="F2193" s="17" t="s">
        <v>204</v>
      </c>
      <c r="G2193" s="18" t="s">
        <v>7904</v>
      </c>
      <c r="H2193" s="20" t="s">
        <v>7905</v>
      </c>
      <c r="I2193" s="17" t="s">
        <v>65</v>
      </c>
      <c r="J2193" s="21">
        <v>1</v>
      </c>
      <c r="K2193" s="21" t="s">
        <v>7807</v>
      </c>
      <c r="L2193" s="21" t="s">
        <v>7906</v>
      </c>
      <c r="M2193" s="19" t="s">
        <v>7846</v>
      </c>
      <c r="N2193" s="19" t="s">
        <v>208</v>
      </c>
      <c r="O2193" s="19" t="s">
        <v>7907</v>
      </c>
      <c r="P2193" s="19" t="s">
        <v>7908</v>
      </c>
      <c r="Q2193" s="19" t="s">
        <v>211</v>
      </c>
      <c r="R2193" s="16" t="s">
        <v>54</v>
      </c>
      <c r="S2193" s="18" t="s">
        <v>2818</v>
      </c>
      <c r="T2193" s="21" t="s">
        <v>55</v>
      </c>
    </row>
    <row r="2194" spans="1:20" ht="16.5">
      <c r="A2194" s="11" t="s">
        <v>7805</v>
      </c>
      <c r="B2194" s="11" t="s">
        <v>60</v>
      </c>
      <c r="C2194" s="11" t="s">
        <v>62</v>
      </c>
      <c r="D2194" s="12" t="s">
        <v>7855</v>
      </c>
      <c r="E2194" s="11" t="s">
        <v>203</v>
      </c>
      <c r="F2194" s="11" t="s">
        <v>204</v>
      </c>
      <c r="G2194" s="12" t="s">
        <v>7909</v>
      </c>
      <c r="H2194" s="13" t="s">
        <v>7910</v>
      </c>
      <c r="I2194" s="11" t="s">
        <v>65</v>
      </c>
      <c r="J2194" s="14">
        <v>1</v>
      </c>
      <c r="K2194" s="14" t="s">
        <v>7807</v>
      </c>
      <c r="L2194" s="14" t="s">
        <v>7911</v>
      </c>
      <c r="M2194" s="15" t="s">
        <v>7858</v>
      </c>
      <c r="N2194" s="15" t="s">
        <v>208</v>
      </c>
      <c r="O2194" s="15" t="s">
        <v>7912</v>
      </c>
      <c r="P2194" s="15" t="s">
        <v>7913</v>
      </c>
      <c r="Q2194" s="15" t="s">
        <v>211</v>
      </c>
      <c r="R2194" s="16" t="s">
        <v>54</v>
      </c>
      <c r="S2194" s="12" t="s">
        <v>2818</v>
      </c>
      <c r="T2194" s="14" t="s">
        <v>55</v>
      </c>
    </row>
    <row r="2195" spans="1:20" ht="16.5">
      <c r="A2195" s="17" t="s">
        <v>7805</v>
      </c>
      <c r="B2195" s="17" t="s">
        <v>60</v>
      </c>
      <c r="C2195" s="17" t="s">
        <v>62</v>
      </c>
      <c r="D2195" s="18" t="s">
        <v>7855</v>
      </c>
      <c r="E2195" s="17" t="s">
        <v>203</v>
      </c>
      <c r="F2195" s="17" t="s">
        <v>204</v>
      </c>
      <c r="G2195" s="18" t="s">
        <v>7914</v>
      </c>
      <c r="H2195" s="20" t="s">
        <v>7915</v>
      </c>
      <c r="I2195" s="17" t="s">
        <v>65</v>
      </c>
      <c r="J2195" s="21">
        <v>1</v>
      </c>
      <c r="K2195" s="21" t="s">
        <v>7807</v>
      </c>
      <c r="L2195" s="21" t="s">
        <v>7916</v>
      </c>
      <c r="M2195" s="19" t="s">
        <v>7858</v>
      </c>
      <c r="N2195" s="19" t="s">
        <v>208</v>
      </c>
      <c r="O2195" s="19" t="s">
        <v>7917</v>
      </c>
      <c r="P2195" s="19" t="s">
        <v>7918</v>
      </c>
      <c r="Q2195" s="19" t="s">
        <v>211</v>
      </c>
      <c r="R2195" s="16" t="s">
        <v>54</v>
      </c>
      <c r="S2195" s="18" t="s">
        <v>2818</v>
      </c>
      <c r="T2195" s="21" t="s">
        <v>55</v>
      </c>
    </row>
    <row r="2196" spans="1:20" ht="16.5">
      <c r="A2196" s="11" t="s">
        <v>7805</v>
      </c>
      <c r="B2196" s="11" t="s">
        <v>311</v>
      </c>
      <c r="C2196" s="11" t="s">
        <v>204</v>
      </c>
      <c r="D2196" s="12" t="s">
        <v>7884</v>
      </c>
      <c r="E2196" s="11" t="s">
        <v>312</v>
      </c>
      <c r="F2196" s="14" t="s">
        <v>313</v>
      </c>
      <c r="G2196" s="15" t="s">
        <v>7888</v>
      </c>
      <c r="H2196" s="23" t="s">
        <v>7919</v>
      </c>
      <c r="I2196" s="11" t="s">
        <v>65</v>
      </c>
      <c r="J2196" s="14">
        <v>1</v>
      </c>
      <c r="K2196" s="14" t="s">
        <v>7807</v>
      </c>
      <c r="L2196" s="14" t="s">
        <v>7920</v>
      </c>
      <c r="M2196" s="15" t="s">
        <v>7887</v>
      </c>
      <c r="N2196" s="15" t="s">
        <v>316</v>
      </c>
      <c r="O2196" s="15" t="s">
        <v>7921</v>
      </c>
      <c r="P2196" s="15" t="s">
        <v>7888</v>
      </c>
      <c r="Q2196" s="15" t="s">
        <v>211</v>
      </c>
      <c r="R2196" s="16" t="s">
        <v>54</v>
      </c>
      <c r="S2196" s="12" t="s">
        <v>2818</v>
      </c>
      <c r="T2196" s="14" t="s">
        <v>55</v>
      </c>
    </row>
    <row r="2197" spans="1:20" ht="16.5">
      <c r="A2197" s="17" t="s">
        <v>7805</v>
      </c>
      <c r="B2197" s="17" t="s">
        <v>311</v>
      </c>
      <c r="C2197" s="17" t="s">
        <v>204</v>
      </c>
      <c r="D2197" s="19" t="s">
        <v>7889</v>
      </c>
      <c r="E2197" s="17" t="s">
        <v>312</v>
      </c>
      <c r="F2197" s="21" t="s">
        <v>313</v>
      </c>
      <c r="G2197" s="19" t="s">
        <v>7922</v>
      </c>
      <c r="H2197" s="24" t="s">
        <v>7923</v>
      </c>
      <c r="I2197" s="17" t="s">
        <v>65</v>
      </c>
      <c r="J2197" s="21">
        <v>1</v>
      </c>
      <c r="K2197" s="21" t="s">
        <v>7807</v>
      </c>
      <c r="L2197" s="21" t="s">
        <v>7924</v>
      </c>
      <c r="M2197" s="19" t="s">
        <v>7892</v>
      </c>
      <c r="N2197" s="19" t="s">
        <v>316</v>
      </c>
      <c r="O2197" s="19" t="s">
        <v>7925</v>
      </c>
      <c r="P2197" s="19" t="s">
        <v>7922</v>
      </c>
      <c r="Q2197" s="19" t="s">
        <v>211</v>
      </c>
      <c r="R2197" s="16" t="s">
        <v>54</v>
      </c>
      <c r="S2197" s="18" t="s">
        <v>2818</v>
      </c>
      <c r="T2197" s="21" t="s">
        <v>55</v>
      </c>
    </row>
    <row r="2198" spans="1:20" ht="16.5">
      <c r="A2198" s="11" t="s">
        <v>7805</v>
      </c>
      <c r="B2198" s="11" t="s">
        <v>311</v>
      </c>
      <c r="C2198" s="11" t="s">
        <v>204</v>
      </c>
      <c r="D2198" s="15" t="s">
        <v>7889</v>
      </c>
      <c r="E2198" s="11" t="s">
        <v>312</v>
      </c>
      <c r="F2198" s="14" t="s">
        <v>313</v>
      </c>
      <c r="G2198" s="15" t="s">
        <v>7926</v>
      </c>
      <c r="H2198" s="23" t="s">
        <v>7923</v>
      </c>
      <c r="I2198" s="11" t="s">
        <v>65</v>
      </c>
      <c r="J2198" s="14">
        <v>1</v>
      </c>
      <c r="K2198" s="14" t="s">
        <v>7807</v>
      </c>
      <c r="L2198" s="14" t="s">
        <v>7927</v>
      </c>
      <c r="M2198" s="15" t="s">
        <v>7892</v>
      </c>
      <c r="N2198" s="15" t="s">
        <v>316</v>
      </c>
      <c r="O2198" s="15" t="s">
        <v>7928</v>
      </c>
      <c r="P2198" s="15" t="s">
        <v>7926</v>
      </c>
      <c r="Q2198" s="15" t="s">
        <v>211</v>
      </c>
      <c r="R2198" s="16" t="s">
        <v>54</v>
      </c>
      <c r="S2198" s="12" t="s">
        <v>2818</v>
      </c>
      <c r="T2198" s="14" t="s">
        <v>55</v>
      </c>
    </row>
    <row r="2199" spans="1:20" ht="16.5">
      <c r="A2199" s="17" t="s">
        <v>7805</v>
      </c>
      <c r="B2199" s="17" t="s">
        <v>311</v>
      </c>
      <c r="C2199" s="17" t="s">
        <v>204</v>
      </c>
      <c r="D2199" s="19" t="s">
        <v>7894</v>
      </c>
      <c r="E2199" s="17" t="s">
        <v>312</v>
      </c>
      <c r="F2199" s="21" t="s">
        <v>313</v>
      </c>
      <c r="G2199" s="19" t="s">
        <v>7929</v>
      </c>
      <c r="H2199" s="24" t="s">
        <v>7930</v>
      </c>
      <c r="I2199" s="17" t="s">
        <v>65</v>
      </c>
      <c r="J2199" s="21">
        <v>1</v>
      </c>
      <c r="K2199" s="21" t="s">
        <v>7807</v>
      </c>
      <c r="L2199" s="21" t="s">
        <v>7931</v>
      </c>
      <c r="M2199" s="19" t="s">
        <v>7897</v>
      </c>
      <c r="N2199" s="19" t="s">
        <v>316</v>
      </c>
      <c r="O2199" s="19" t="s">
        <v>7932</v>
      </c>
      <c r="P2199" s="19" t="s">
        <v>7929</v>
      </c>
      <c r="Q2199" s="19" t="s">
        <v>211</v>
      </c>
      <c r="R2199" s="16" t="s">
        <v>54</v>
      </c>
      <c r="S2199" s="18" t="s">
        <v>2818</v>
      </c>
      <c r="T2199" s="21" t="s">
        <v>55</v>
      </c>
    </row>
    <row r="2200" spans="1:20" ht="16.5">
      <c r="A2200" s="11" t="s">
        <v>7805</v>
      </c>
      <c r="B2200" s="11" t="s">
        <v>311</v>
      </c>
      <c r="C2200" s="11" t="s">
        <v>204</v>
      </c>
      <c r="D2200" s="15" t="s">
        <v>7894</v>
      </c>
      <c r="E2200" s="11" t="s">
        <v>312</v>
      </c>
      <c r="F2200" s="14" t="s">
        <v>313</v>
      </c>
      <c r="G2200" s="15" t="s">
        <v>7933</v>
      </c>
      <c r="H2200" s="23" t="s">
        <v>7934</v>
      </c>
      <c r="I2200" s="11" t="s">
        <v>65</v>
      </c>
      <c r="J2200" s="14">
        <v>1</v>
      </c>
      <c r="K2200" s="14" t="s">
        <v>7807</v>
      </c>
      <c r="L2200" s="14" t="s">
        <v>7935</v>
      </c>
      <c r="M2200" s="15" t="s">
        <v>7897</v>
      </c>
      <c r="N2200" s="15" t="s">
        <v>316</v>
      </c>
      <c r="O2200" s="15" t="s">
        <v>7936</v>
      </c>
      <c r="P2200" s="15" t="s">
        <v>7933</v>
      </c>
      <c r="Q2200" s="15" t="s">
        <v>211</v>
      </c>
      <c r="R2200" s="16" t="s">
        <v>54</v>
      </c>
      <c r="S2200" s="12" t="s">
        <v>2818</v>
      </c>
      <c r="T2200" s="14" t="s">
        <v>55</v>
      </c>
    </row>
    <row r="2201" spans="1:20" ht="16.5">
      <c r="A2201" s="17" t="s">
        <v>7805</v>
      </c>
      <c r="B2201" s="17" t="s">
        <v>311</v>
      </c>
      <c r="C2201" s="17" t="s">
        <v>204</v>
      </c>
      <c r="D2201" s="18" t="s">
        <v>7899</v>
      </c>
      <c r="E2201" s="17" t="s">
        <v>312</v>
      </c>
      <c r="F2201" s="21" t="s">
        <v>313</v>
      </c>
      <c r="G2201" s="19" t="s">
        <v>7903</v>
      </c>
      <c r="H2201" s="24" t="s">
        <v>7937</v>
      </c>
      <c r="I2201" s="17" t="s">
        <v>65</v>
      </c>
      <c r="J2201" s="21">
        <v>1</v>
      </c>
      <c r="K2201" s="21" t="s">
        <v>7807</v>
      </c>
      <c r="L2201" s="21" t="s">
        <v>7938</v>
      </c>
      <c r="M2201" s="19" t="s">
        <v>7902</v>
      </c>
      <c r="N2201" s="19" t="s">
        <v>316</v>
      </c>
      <c r="O2201" s="19" t="s">
        <v>7939</v>
      </c>
      <c r="P2201" s="19" t="s">
        <v>7903</v>
      </c>
      <c r="Q2201" s="19" t="s">
        <v>211</v>
      </c>
      <c r="R2201" s="16" t="s">
        <v>54</v>
      </c>
      <c r="S2201" s="18" t="s">
        <v>2818</v>
      </c>
      <c r="T2201" s="21" t="s">
        <v>55</v>
      </c>
    </row>
    <row r="2202" spans="1:20" ht="16.5">
      <c r="A2202" s="11" t="s">
        <v>7805</v>
      </c>
      <c r="B2202" s="11" t="s">
        <v>311</v>
      </c>
      <c r="C2202" s="11" t="s">
        <v>204</v>
      </c>
      <c r="D2202" s="12" t="s">
        <v>7904</v>
      </c>
      <c r="E2202" s="11" t="s">
        <v>312</v>
      </c>
      <c r="F2202" s="14" t="s">
        <v>313</v>
      </c>
      <c r="G2202" s="15" t="s">
        <v>7908</v>
      </c>
      <c r="H2202" s="23" t="s">
        <v>7940</v>
      </c>
      <c r="I2202" s="11" t="s">
        <v>65</v>
      </c>
      <c r="J2202" s="14">
        <v>1</v>
      </c>
      <c r="K2202" s="14" t="s">
        <v>7807</v>
      </c>
      <c r="L2202" s="14" t="s">
        <v>7941</v>
      </c>
      <c r="M2202" s="15" t="s">
        <v>7907</v>
      </c>
      <c r="N2202" s="15" t="s">
        <v>316</v>
      </c>
      <c r="O2202" s="15" t="s">
        <v>7942</v>
      </c>
      <c r="P2202" s="15" t="s">
        <v>7908</v>
      </c>
      <c r="Q2202" s="15" t="s">
        <v>211</v>
      </c>
      <c r="R2202" s="16" t="s">
        <v>54</v>
      </c>
      <c r="S2202" s="12" t="s">
        <v>2818</v>
      </c>
      <c r="T2202" s="14" t="s">
        <v>55</v>
      </c>
    </row>
    <row r="2203" spans="1:20" ht="16.5">
      <c r="A2203" s="17" t="s">
        <v>7805</v>
      </c>
      <c r="B2203" s="17" t="s">
        <v>311</v>
      </c>
      <c r="C2203" s="17" t="s">
        <v>204</v>
      </c>
      <c r="D2203" s="18" t="s">
        <v>7909</v>
      </c>
      <c r="E2203" s="17" t="s">
        <v>312</v>
      </c>
      <c r="F2203" s="21" t="s">
        <v>313</v>
      </c>
      <c r="G2203" s="19" t="s">
        <v>7943</v>
      </c>
      <c r="H2203" s="24" t="s">
        <v>7944</v>
      </c>
      <c r="I2203" s="17" t="s">
        <v>65</v>
      </c>
      <c r="J2203" s="21">
        <v>1</v>
      </c>
      <c r="K2203" s="21" t="s">
        <v>7807</v>
      </c>
      <c r="L2203" s="21" t="s">
        <v>7945</v>
      </c>
      <c r="M2203" s="19" t="s">
        <v>7912</v>
      </c>
      <c r="N2203" s="19" t="s">
        <v>316</v>
      </c>
      <c r="O2203" s="19" t="s">
        <v>7946</v>
      </c>
      <c r="P2203" s="19" t="s">
        <v>7943</v>
      </c>
      <c r="Q2203" s="19" t="s">
        <v>211</v>
      </c>
      <c r="R2203" s="16" t="s">
        <v>54</v>
      </c>
      <c r="S2203" s="18" t="s">
        <v>2818</v>
      </c>
      <c r="T2203" s="21" t="s">
        <v>55</v>
      </c>
    </row>
    <row r="2204" spans="1:20" ht="16.5">
      <c r="A2204" s="11" t="s">
        <v>7805</v>
      </c>
      <c r="B2204" s="11" t="s">
        <v>311</v>
      </c>
      <c r="C2204" s="11" t="s">
        <v>204</v>
      </c>
      <c r="D2204" s="12" t="s">
        <v>7909</v>
      </c>
      <c r="E2204" s="11" t="s">
        <v>312</v>
      </c>
      <c r="F2204" s="14" t="s">
        <v>313</v>
      </c>
      <c r="G2204" s="15" t="s">
        <v>7947</v>
      </c>
      <c r="H2204" s="23" t="s">
        <v>7948</v>
      </c>
      <c r="I2204" s="11" t="s">
        <v>65</v>
      </c>
      <c r="J2204" s="14">
        <v>1</v>
      </c>
      <c r="K2204" s="14" t="s">
        <v>7807</v>
      </c>
      <c r="L2204" s="14" t="s">
        <v>7949</v>
      </c>
      <c r="M2204" s="15" t="s">
        <v>7912</v>
      </c>
      <c r="N2204" s="15" t="s">
        <v>316</v>
      </c>
      <c r="O2204" s="15" t="s">
        <v>7950</v>
      </c>
      <c r="P2204" s="15" t="s">
        <v>7947</v>
      </c>
      <c r="Q2204" s="15" t="s">
        <v>211</v>
      </c>
      <c r="R2204" s="16" t="s">
        <v>54</v>
      </c>
      <c r="S2204" s="12" t="s">
        <v>2818</v>
      </c>
      <c r="T2204" s="14" t="s">
        <v>55</v>
      </c>
    </row>
    <row r="2205" spans="1:20" ht="16.5">
      <c r="A2205" s="17" t="s">
        <v>7805</v>
      </c>
      <c r="B2205" s="17" t="s">
        <v>311</v>
      </c>
      <c r="C2205" s="17" t="s">
        <v>204</v>
      </c>
      <c r="D2205" s="18" t="s">
        <v>7909</v>
      </c>
      <c r="E2205" s="17" t="s">
        <v>312</v>
      </c>
      <c r="F2205" s="21" t="s">
        <v>313</v>
      </c>
      <c r="G2205" s="19" t="s">
        <v>7951</v>
      </c>
      <c r="H2205" s="24" t="s">
        <v>7952</v>
      </c>
      <c r="I2205" s="17" t="s">
        <v>65</v>
      </c>
      <c r="J2205" s="21">
        <v>1</v>
      </c>
      <c r="K2205" s="21" t="s">
        <v>7807</v>
      </c>
      <c r="L2205" s="21" t="s">
        <v>7953</v>
      </c>
      <c r="M2205" s="19" t="s">
        <v>7912</v>
      </c>
      <c r="N2205" s="19" t="s">
        <v>316</v>
      </c>
      <c r="O2205" s="19" t="s">
        <v>7954</v>
      </c>
      <c r="P2205" s="19" t="s">
        <v>7951</v>
      </c>
      <c r="Q2205" s="19" t="s">
        <v>211</v>
      </c>
      <c r="R2205" s="16" t="s">
        <v>54</v>
      </c>
      <c r="S2205" s="18" t="s">
        <v>2818</v>
      </c>
      <c r="T2205" s="21" t="s">
        <v>55</v>
      </c>
    </row>
    <row r="2206" spans="1:20" ht="16.5">
      <c r="A2206" s="11" t="s">
        <v>7805</v>
      </c>
      <c r="B2206" s="11" t="s">
        <v>311</v>
      </c>
      <c r="C2206" s="11" t="s">
        <v>204</v>
      </c>
      <c r="D2206" s="12" t="s">
        <v>7914</v>
      </c>
      <c r="E2206" s="11" t="s">
        <v>312</v>
      </c>
      <c r="F2206" s="14" t="s">
        <v>313</v>
      </c>
      <c r="G2206" s="15" t="s">
        <v>7955</v>
      </c>
      <c r="H2206" s="23" t="s">
        <v>7956</v>
      </c>
      <c r="I2206" s="11" t="s">
        <v>65</v>
      </c>
      <c r="J2206" s="14">
        <v>1</v>
      </c>
      <c r="K2206" s="14" t="s">
        <v>7807</v>
      </c>
      <c r="L2206" s="14" t="s">
        <v>7957</v>
      </c>
      <c r="M2206" s="15" t="s">
        <v>7917</v>
      </c>
      <c r="N2206" s="15" t="s">
        <v>316</v>
      </c>
      <c r="O2206" s="15" t="s">
        <v>7958</v>
      </c>
      <c r="P2206" s="15" t="s">
        <v>7955</v>
      </c>
      <c r="Q2206" s="15" t="s">
        <v>211</v>
      </c>
      <c r="R2206" s="16" t="s">
        <v>54</v>
      </c>
      <c r="S2206" s="12" t="s">
        <v>2818</v>
      </c>
      <c r="T2206" s="14" t="s">
        <v>55</v>
      </c>
    </row>
    <row r="2207" spans="1:20" ht="16.5">
      <c r="A2207" s="17" t="s">
        <v>7805</v>
      </c>
      <c r="B2207" s="17" t="s">
        <v>311</v>
      </c>
      <c r="C2207" s="17" t="s">
        <v>204</v>
      </c>
      <c r="D2207" s="18" t="s">
        <v>7914</v>
      </c>
      <c r="E2207" s="17" t="s">
        <v>312</v>
      </c>
      <c r="F2207" s="21" t="s">
        <v>313</v>
      </c>
      <c r="G2207" s="19" t="s">
        <v>7959</v>
      </c>
      <c r="H2207" s="24" t="s">
        <v>7960</v>
      </c>
      <c r="I2207" s="17" t="s">
        <v>65</v>
      </c>
      <c r="J2207" s="21">
        <v>1</v>
      </c>
      <c r="K2207" s="21" t="s">
        <v>7807</v>
      </c>
      <c r="L2207" s="21" t="s">
        <v>7961</v>
      </c>
      <c r="M2207" s="19" t="s">
        <v>7917</v>
      </c>
      <c r="N2207" s="19" t="s">
        <v>316</v>
      </c>
      <c r="O2207" s="19" t="s">
        <v>7962</v>
      </c>
      <c r="P2207" s="19" t="s">
        <v>7959</v>
      </c>
      <c r="Q2207" s="19" t="s">
        <v>211</v>
      </c>
      <c r="R2207" s="16" t="s">
        <v>54</v>
      </c>
      <c r="S2207" s="18" t="s">
        <v>2818</v>
      </c>
      <c r="T2207" s="21" t="s">
        <v>55</v>
      </c>
    </row>
    <row r="2208" spans="1:20" ht="16.5">
      <c r="A2208" s="11" t="s">
        <v>7805</v>
      </c>
      <c r="B2208" s="11" t="s">
        <v>311</v>
      </c>
      <c r="C2208" s="11" t="s">
        <v>204</v>
      </c>
      <c r="D2208" s="12" t="s">
        <v>7914</v>
      </c>
      <c r="E2208" s="11" t="s">
        <v>312</v>
      </c>
      <c r="F2208" s="14" t="s">
        <v>313</v>
      </c>
      <c r="G2208" s="15" t="s">
        <v>7963</v>
      </c>
      <c r="H2208" s="23" t="s">
        <v>7964</v>
      </c>
      <c r="I2208" s="11" t="s">
        <v>65</v>
      </c>
      <c r="J2208" s="14">
        <v>1</v>
      </c>
      <c r="K2208" s="14" t="s">
        <v>7807</v>
      </c>
      <c r="L2208" s="14" t="s">
        <v>7965</v>
      </c>
      <c r="M2208" s="15" t="s">
        <v>7917</v>
      </c>
      <c r="N2208" s="15" t="s">
        <v>316</v>
      </c>
      <c r="O2208" s="15" t="s">
        <v>7966</v>
      </c>
      <c r="P2208" s="15" t="s">
        <v>7963</v>
      </c>
      <c r="Q2208" s="15" t="s">
        <v>211</v>
      </c>
      <c r="R2208" s="16" t="s">
        <v>54</v>
      </c>
      <c r="S2208" s="12" t="s">
        <v>2818</v>
      </c>
      <c r="T2208" s="14" t="s">
        <v>55</v>
      </c>
    </row>
    <row r="2209" spans="1:20" ht="16.5">
      <c r="A2209" s="17" t="s">
        <v>7805</v>
      </c>
      <c r="B2209" s="17" t="s">
        <v>578</v>
      </c>
      <c r="C2209" s="17" t="s">
        <v>62</v>
      </c>
      <c r="D2209" s="18" t="s">
        <v>7816</v>
      </c>
      <c r="E2209" s="17" t="s">
        <v>635</v>
      </c>
      <c r="F2209" s="17" t="s">
        <v>1250</v>
      </c>
      <c r="G2209" s="18" t="s">
        <v>3606</v>
      </c>
      <c r="H2209" s="24" t="s">
        <v>584</v>
      </c>
      <c r="I2209" s="17" t="s">
        <v>1023</v>
      </c>
      <c r="J2209" s="21">
        <v>1</v>
      </c>
      <c r="K2209" s="21" t="s">
        <v>7807</v>
      </c>
      <c r="L2209" s="21" t="s">
        <v>7967</v>
      </c>
      <c r="M2209" s="19" t="s">
        <v>7819</v>
      </c>
      <c r="N2209" s="19" t="s">
        <v>640</v>
      </c>
      <c r="O2209" s="19" t="s">
        <v>3609</v>
      </c>
      <c r="P2209" s="19"/>
      <c r="Q2209" s="18" t="s">
        <v>53</v>
      </c>
      <c r="R2209" s="16" t="s">
        <v>54</v>
      </c>
      <c r="S2209" s="18" t="s">
        <v>2818</v>
      </c>
      <c r="T2209" s="21" t="s">
        <v>55</v>
      </c>
    </row>
    <row r="2210" spans="1:20" ht="16.5">
      <c r="A2210" s="11" t="s">
        <v>7805</v>
      </c>
      <c r="B2210" s="11" t="s">
        <v>578</v>
      </c>
      <c r="C2210" s="11" t="s">
        <v>62</v>
      </c>
      <c r="D2210" s="12" t="s">
        <v>7816</v>
      </c>
      <c r="E2210" s="11" t="s">
        <v>635</v>
      </c>
      <c r="F2210" s="11" t="s">
        <v>1250</v>
      </c>
      <c r="G2210" s="15" t="s">
        <v>7968</v>
      </c>
      <c r="H2210" s="23" t="s">
        <v>584</v>
      </c>
      <c r="I2210" s="11" t="s">
        <v>1023</v>
      </c>
      <c r="J2210" s="14">
        <v>1</v>
      </c>
      <c r="K2210" s="14" t="s">
        <v>7807</v>
      </c>
      <c r="L2210" s="14" t="s">
        <v>7969</v>
      </c>
      <c r="M2210" s="15" t="s">
        <v>7819</v>
      </c>
      <c r="N2210" s="15" t="s">
        <v>640</v>
      </c>
      <c r="O2210" s="15" t="s">
        <v>7970</v>
      </c>
      <c r="P2210" s="15"/>
      <c r="Q2210" s="12" t="s">
        <v>53</v>
      </c>
      <c r="R2210" s="16" t="s">
        <v>54</v>
      </c>
      <c r="S2210" s="12" t="s">
        <v>2818</v>
      </c>
      <c r="T2210" s="14" t="s">
        <v>55</v>
      </c>
    </row>
    <row r="2211" spans="1:20" ht="16.5">
      <c r="A2211" s="17" t="s">
        <v>7805</v>
      </c>
      <c r="B2211" s="17" t="s">
        <v>578</v>
      </c>
      <c r="C2211" s="17" t="s">
        <v>62</v>
      </c>
      <c r="D2211" s="18" t="s">
        <v>7831</v>
      </c>
      <c r="E2211" s="17" t="s">
        <v>635</v>
      </c>
      <c r="F2211" s="17" t="s">
        <v>1250</v>
      </c>
      <c r="G2211" s="18" t="s">
        <v>1385</v>
      </c>
      <c r="H2211" s="24" t="s">
        <v>584</v>
      </c>
      <c r="I2211" s="17" t="s">
        <v>1023</v>
      </c>
      <c r="J2211" s="21">
        <v>1</v>
      </c>
      <c r="K2211" s="21" t="s">
        <v>7807</v>
      </c>
      <c r="L2211" s="21" t="s">
        <v>7971</v>
      </c>
      <c r="M2211" s="19" t="s">
        <v>7834</v>
      </c>
      <c r="N2211" s="19" t="s">
        <v>640</v>
      </c>
      <c r="O2211" s="19" t="s">
        <v>1389</v>
      </c>
      <c r="P2211" s="19"/>
      <c r="Q2211" s="18" t="s">
        <v>649</v>
      </c>
      <c r="R2211" s="22" t="s">
        <v>88</v>
      </c>
      <c r="S2211" s="18" t="s">
        <v>2818</v>
      </c>
      <c r="T2211" s="21" t="s">
        <v>55</v>
      </c>
    </row>
    <row r="2212" spans="1:20" ht="16.5">
      <c r="A2212" s="11" t="s">
        <v>7805</v>
      </c>
      <c r="B2212" s="11" t="s">
        <v>578</v>
      </c>
      <c r="C2212" s="11" t="s">
        <v>62</v>
      </c>
      <c r="D2212" s="12" t="s">
        <v>7843</v>
      </c>
      <c r="E2212" s="11" t="s">
        <v>635</v>
      </c>
      <c r="F2212" s="11" t="s">
        <v>1250</v>
      </c>
      <c r="G2212" s="12" t="s">
        <v>2751</v>
      </c>
      <c r="H2212" s="23" t="s">
        <v>584</v>
      </c>
      <c r="I2212" s="11" t="s">
        <v>1023</v>
      </c>
      <c r="J2212" s="14">
        <v>1</v>
      </c>
      <c r="K2212" s="14" t="s">
        <v>7807</v>
      </c>
      <c r="L2212" s="14" t="s">
        <v>7972</v>
      </c>
      <c r="M2212" s="15" t="s">
        <v>7846</v>
      </c>
      <c r="N2212" s="15" t="s">
        <v>640</v>
      </c>
      <c r="O2212" s="15" t="s">
        <v>2753</v>
      </c>
      <c r="P2212" s="15"/>
      <c r="Q2212" s="12" t="s">
        <v>649</v>
      </c>
      <c r="R2212" s="22" t="s">
        <v>88</v>
      </c>
      <c r="S2212" s="12" t="s">
        <v>2818</v>
      </c>
      <c r="T2212" s="14" t="s">
        <v>55</v>
      </c>
    </row>
    <row r="2213" spans="1:20" ht="16.5">
      <c r="A2213" s="17" t="s">
        <v>7805</v>
      </c>
      <c r="B2213" s="17" t="s">
        <v>578</v>
      </c>
      <c r="C2213" s="17" t="s">
        <v>62</v>
      </c>
      <c r="D2213" s="18" t="s">
        <v>7873</v>
      </c>
      <c r="E2213" s="17" t="s">
        <v>635</v>
      </c>
      <c r="F2213" s="17" t="s">
        <v>1250</v>
      </c>
      <c r="G2213" s="18" t="s">
        <v>1391</v>
      </c>
      <c r="H2213" s="24" t="s">
        <v>584</v>
      </c>
      <c r="I2213" s="17" t="s">
        <v>1023</v>
      </c>
      <c r="J2213" s="21">
        <v>1</v>
      </c>
      <c r="K2213" s="21" t="s">
        <v>7807</v>
      </c>
      <c r="L2213" s="21" t="s">
        <v>7973</v>
      </c>
      <c r="M2213" s="19" t="s">
        <v>7876</v>
      </c>
      <c r="N2213" s="19" t="s">
        <v>640</v>
      </c>
      <c r="O2213" s="19" t="s">
        <v>1394</v>
      </c>
      <c r="P2213" s="19"/>
      <c r="Q2213" s="18" t="s">
        <v>649</v>
      </c>
      <c r="R2213" s="22" t="s">
        <v>88</v>
      </c>
      <c r="S2213" s="18" t="s">
        <v>2818</v>
      </c>
      <c r="T2213" s="21" t="s">
        <v>55</v>
      </c>
    </row>
    <row r="2214" spans="1:20" ht="16.5">
      <c r="A2214" s="11" t="s">
        <v>7805</v>
      </c>
      <c r="B2214" s="11" t="s">
        <v>650</v>
      </c>
      <c r="C2214" s="11" t="s">
        <v>204</v>
      </c>
      <c r="D2214" s="15" t="s">
        <v>7894</v>
      </c>
      <c r="E2214" s="11" t="s">
        <v>654</v>
      </c>
      <c r="F2214" s="11" t="s">
        <v>204</v>
      </c>
      <c r="G2214" s="12" t="s">
        <v>3308</v>
      </c>
      <c r="H2214" s="23" t="s">
        <v>7974</v>
      </c>
      <c r="I2214" s="11" t="s">
        <v>7975</v>
      </c>
      <c r="J2214" s="14">
        <v>3</v>
      </c>
      <c r="K2214" s="14" t="s">
        <v>7807</v>
      </c>
      <c r="L2214" s="14" t="s">
        <v>7976</v>
      </c>
      <c r="M2214" s="15" t="s">
        <v>7897</v>
      </c>
      <c r="N2214" s="15" t="s">
        <v>657</v>
      </c>
      <c r="O2214" s="15" t="s">
        <v>3311</v>
      </c>
      <c r="P2214" s="15" t="s">
        <v>7977</v>
      </c>
      <c r="Q2214" s="12" t="s">
        <v>286</v>
      </c>
      <c r="R2214" s="25" t="s">
        <v>607</v>
      </c>
      <c r="S2214" s="12" t="s">
        <v>2818</v>
      </c>
      <c r="T2214" s="14" t="s">
        <v>55</v>
      </c>
    </row>
    <row r="2215" spans="1:20" ht="16.5">
      <c r="A2215" s="17" t="s">
        <v>7805</v>
      </c>
      <c r="B2215" s="17" t="s">
        <v>650</v>
      </c>
      <c r="C2215" s="17" t="s">
        <v>204</v>
      </c>
      <c r="D2215" s="18" t="s">
        <v>7884</v>
      </c>
      <c r="E2215" s="17" t="s">
        <v>654</v>
      </c>
      <c r="F2215" s="17" t="s">
        <v>204</v>
      </c>
      <c r="G2215" s="18" t="s">
        <v>4154</v>
      </c>
      <c r="H2215" s="20" t="s">
        <v>7978</v>
      </c>
      <c r="I2215" s="17" t="s">
        <v>7975</v>
      </c>
      <c r="J2215" s="21">
        <v>2</v>
      </c>
      <c r="K2215" s="21" t="s">
        <v>7807</v>
      </c>
      <c r="L2215" s="21" t="s">
        <v>7979</v>
      </c>
      <c r="M2215" s="19" t="s">
        <v>7887</v>
      </c>
      <c r="N2215" s="19" t="s">
        <v>657</v>
      </c>
      <c r="O2215" s="19" t="s">
        <v>4157</v>
      </c>
      <c r="P2215" s="19" t="s">
        <v>7980</v>
      </c>
      <c r="Q2215" s="18" t="s">
        <v>286</v>
      </c>
      <c r="R2215" s="22" t="s">
        <v>88</v>
      </c>
      <c r="S2215" s="18" t="s">
        <v>2818</v>
      </c>
      <c r="T2215" s="21" t="s">
        <v>55</v>
      </c>
    </row>
    <row r="2216" spans="1:20" ht="16.5">
      <c r="A2216" s="11" t="s">
        <v>2812</v>
      </c>
      <c r="B2216" s="11" t="s">
        <v>60</v>
      </c>
      <c r="C2216" s="11" t="s">
        <v>44</v>
      </c>
      <c r="D2216" s="12" t="s">
        <v>2812</v>
      </c>
      <c r="E2216" s="11" t="s">
        <v>61</v>
      </c>
      <c r="F2216" s="11" t="s">
        <v>62</v>
      </c>
      <c r="G2216" s="12" t="s">
        <v>7981</v>
      </c>
      <c r="H2216" s="13" t="s">
        <v>7982</v>
      </c>
      <c r="I2216" s="11" t="s">
        <v>65</v>
      </c>
      <c r="J2216" s="14">
        <v>1</v>
      </c>
      <c r="K2216" s="14" t="s">
        <v>7983</v>
      </c>
      <c r="L2216" s="14" t="s">
        <v>7984</v>
      </c>
      <c r="M2216" s="15" t="s">
        <v>2815</v>
      </c>
      <c r="N2216" s="15" t="s">
        <v>67</v>
      </c>
      <c r="O2216" s="15" t="s">
        <v>7985</v>
      </c>
      <c r="P2216" s="15"/>
      <c r="Q2216" s="12" t="s">
        <v>69</v>
      </c>
      <c r="R2216" s="16" t="s">
        <v>54</v>
      </c>
      <c r="S2216" s="12" t="s">
        <v>2818</v>
      </c>
      <c r="T2216" s="14" t="s">
        <v>55</v>
      </c>
    </row>
    <row r="2217" spans="1:20" ht="16.5">
      <c r="A2217" s="17" t="s">
        <v>2812</v>
      </c>
      <c r="B2217" s="17" t="s">
        <v>60</v>
      </c>
      <c r="C2217" s="17" t="s">
        <v>62</v>
      </c>
      <c r="D2217" s="18" t="s">
        <v>7981</v>
      </c>
      <c r="E2217" s="17" t="s">
        <v>71</v>
      </c>
      <c r="F2217" s="17" t="s">
        <v>72</v>
      </c>
      <c r="G2217" s="18" t="s">
        <v>7986</v>
      </c>
      <c r="H2217" s="20" t="s">
        <v>7987</v>
      </c>
      <c r="I2217" s="17" t="s">
        <v>65</v>
      </c>
      <c r="J2217" s="21">
        <v>1</v>
      </c>
      <c r="K2217" s="21" t="s">
        <v>7983</v>
      </c>
      <c r="L2217" s="21" t="s">
        <v>7988</v>
      </c>
      <c r="M2217" s="19" t="s">
        <v>7985</v>
      </c>
      <c r="N2217" s="19" t="s">
        <v>76</v>
      </c>
      <c r="O2217" s="19" t="s">
        <v>7989</v>
      </c>
      <c r="P2217" s="19"/>
      <c r="Q2217" s="18" t="s">
        <v>69</v>
      </c>
      <c r="R2217" s="16" t="s">
        <v>54</v>
      </c>
      <c r="S2217" s="18" t="s">
        <v>2818</v>
      </c>
      <c r="T2217" s="21" t="s">
        <v>55</v>
      </c>
    </row>
    <row r="2218" spans="1:20" ht="16.5">
      <c r="A2218" s="11" t="s">
        <v>2812</v>
      </c>
      <c r="B2218" s="11" t="s">
        <v>60</v>
      </c>
      <c r="C2218" s="11" t="s">
        <v>62</v>
      </c>
      <c r="D2218" s="12" t="s">
        <v>7981</v>
      </c>
      <c r="E2218" s="11" t="s">
        <v>71</v>
      </c>
      <c r="F2218" s="11" t="s">
        <v>72</v>
      </c>
      <c r="G2218" s="12" t="s">
        <v>7990</v>
      </c>
      <c r="H2218" s="13" t="s">
        <v>7987</v>
      </c>
      <c r="I2218" s="11" t="s">
        <v>65</v>
      </c>
      <c r="J2218" s="14">
        <v>1</v>
      </c>
      <c r="K2218" s="14" t="s">
        <v>7983</v>
      </c>
      <c r="L2218" s="14" t="s">
        <v>7991</v>
      </c>
      <c r="M2218" s="15" t="s">
        <v>7985</v>
      </c>
      <c r="N2218" s="15" t="s">
        <v>76</v>
      </c>
      <c r="O2218" s="15" t="s">
        <v>7992</v>
      </c>
      <c r="P2218" s="15"/>
      <c r="Q2218" s="12" t="s">
        <v>69</v>
      </c>
      <c r="R2218" s="16" t="s">
        <v>54</v>
      </c>
      <c r="S2218" s="12" t="s">
        <v>2818</v>
      </c>
      <c r="T2218" s="14" t="s">
        <v>55</v>
      </c>
    </row>
    <row r="2219" spans="1:20" ht="16.5">
      <c r="A2219" s="17" t="s">
        <v>2812</v>
      </c>
      <c r="B2219" s="17" t="s">
        <v>60</v>
      </c>
      <c r="C2219" s="17" t="s">
        <v>62</v>
      </c>
      <c r="D2219" s="18" t="s">
        <v>7981</v>
      </c>
      <c r="E2219" s="17" t="s">
        <v>71</v>
      </c>
      <c r="F2219" s="17" t="s">
        <v>72</v>
      </c>
      <c r="G2219" s="18" t="s">
        <v>7993</v>
      </c>
      <c r="H2219" s="20" t="s">
        <v>7987</v>
      </c>
      <c r="I2219" s="17" t="s">
        <v>65</v>
      </c>
      <c r="J2219" s="21">
        <v>1</v>
      </c>
      <c r="K2219" s="21" t="s">
        <v>7983</v>
      </c>
      <c r="L2219" s="21" t="s">
        <v>7994</v>
      </c>
      <c r="M2219" s="19" t="s">
        <v>7985</v>
      </c>
      <c r="N2219" s="19" t="s">
        <v>76</v>
      </c>
      <c r="O2219" s="19" t="s">
        <v>7995</v>
      </c>
      <c r="P2219" s="19"/>
      <c r="Q2219" s="18" t="s">
        <v>69</v>
      </c>
      <c r="R2219" s="16" t="s">
        <v>54</v>
      </c>
      <c r="S2219" s="18" t="s">
        <v>2818</v>
      </c>
      <c r="T2219" s="21" t="s">
        <v>55</v>
      </c>
    </row>
    <row r="2220" spans="1:20" ht="16.5">
      <c r="A2220" s="11" t="s">
        <v>2812</v>
      </c>
      <c r="B2220" s="11" t="s">
        <v>60</v>
      </c>
      <c r="C2220" s="11" t="s">
        <v>62</v>
      </c>
      <c r="D2220" s="12" t="s">
        <v>7981</v>
      </c>
      <c r="E2220" s="11" t="s">
        <v>81</v>
      </c>
      <c r="F2220" s="11" t="s">
        <v>82</v>
      </c>
      <c r="G2220" s="12" t="s">
        <v>7996</v>
      </c>
      <c r="H2220" s="13" t="s">
        <v>7997</v>
      </c>
      <c r="I2220" s="11" t="s">
        <v>65</v>
      </c>
      <c r="J2220" s="14">
        <v>1</v>
      </c>
      <c r="K2220" s="14" t="s">
        <v>7983</v>
      </c>
      <c r="L2220" s="14" t="s">
        <v>7998</v>
      </c>
      <c r="M2220" s="15" t="s">
        <v>7985</v>
      </c>
      <c r="N2220" s="15" t="s">
        <v>86</v>
      </c>
      <c r="O2220" s="15" t="s">
        <v>7999</v>
      </c>
      <c r="P2220" s="15"/>
      <c r="Q2220" s="12" t="s">
        <v>53</v>
      </c>
      <c r="R2220" s="22" t="s">
        <v>88</v>
      </c>
      <c r="S2220" s="12" t="s">
        <v>2818</v>
      </c>
      <c r="T2220" s="14" t="s">
        <v>55</v>
      </c>
    </row>
    <row r="2221" spans="1:20" ht="16.5">
      <c r="A2221" s="17" t="s">
        <v>2812</v>
      </c>
      <c r="B2221" s="17" t="s">
        <v>60</v>
      </c>
      <c r="C2221" s="17" t="s">
        <v>62</v>
      </c>
      <c r="D2221" s="18" t="s">
        <v>7981</v>
      </c>
      <c r="E2221" s="17" t="s">
        <v>81</v>
      </c>
      <c r="F2221" s="17" t="s">
        <v>82</v>
      </c>
      <c r="G2221" s="18" t="s">
        <v>8000</v>
      </c>
      <c r="H2221" s="20" t="s">
        <v>8001</v>
      </c>
      <c r="I2221" s="17" t="s">
        <v>65</v>
      </c>
      <c r="J2221" s="21">
        <v>1</v>
      </c>
      <c r="K2221" s="21" t="s">
        <v>7983</v>
      </c>
      <c r="L2221" s="21" t="s">
        <v>8002</v>
      </c>
      <c r="M2221" s="19" t="s">
        <v>7985</v>
      </c>
      <c r="N2221" s="19" t="s">
        <v>86</v>
      </c>
      <c r="O2221" s="19" t="s">
        <v>8003</v>
      </c>
      <c r="P2221" s="19"/>
      <c r="Q2221" s="18" t="s">
        <v>53</v>
      </c>
      <c r="R2221" s="22" t="s">
        <v>88</v>
      </c>
      <c r="S2221" s="18" t="s">
        <v>2818</v>
      </c>
      <c r="T2221" s="21" t="s">
        <v>55</v>
      </c>
    </row>
    <row r="2222" spans="1:20" ht="16.5">
      <c r="A2222" s="11" t="s">
        <v>2812</v>
      </c>
      <c r="B2222" s="11" t="s">
        <v>60</v>
      </c>
      <c r="C2222" s="11" t="s">
        <v>62</v>
      </c>
      <c r="D2222" s="12" t="s">
        <v>7981</v>
      </c>
      <c r="E2222" s="11" t="s">
        <v>81</v>
      </c>
      <c r="F2222" s="11" t="s">
        <v>82</v>
      </c>
      <c r="G2222" s="12" t="s">
        <v>8004</v>
      </c>
      <c r="H2222" s="13" t="s">
        <v>8005</v>
      </c>
      <c r="I2222" s="11" t="s">
        <v>65</v>
      </c>
      <c r="J2222" s="14">
        <v>1</v>
      </c>
      <c r="K2222" s="14" t="s">
        <v>7983</v>
      </c>
      <c r="L2222" s="14" t="s">
        <v>8006</v>
      </c>
      <c r="M2222" s="15" t="s">
        <v>7985</v>
      </c>
      <c r="N2222" s="15" t="s">
        <v>86</v>
      </c>
      <c r="O2222" s="15" t="s">
        <v>8007</v>
      </c>
      <c r="P2222" s="15"/>
      <c r="Q2222" s="12" t="s">
        <v>53</v>
      </c>
      <c r="R2222" s="22" t="s">
        <v>88</v>
      </c>
      <c r="S2222" s="12" t="s">
        <v>2818</v>
      </c>
      <c r="T2222" s="14" t="s">
        <v>55</v>
      </c>
    </row>
    <row r="2223" spans="1:20" ht="16.5">
      <c r="A2223" s="17" t="s">
        <v>2812</v>
      </c>
      <c r="B2223" s="17" t="s">
        <v>60</v>
      </c>
      <c r="C2223" s="17" t="s">
        <v>62</v>
      </c>
      <c r="D2223" s="18" t="s">
        <v>7981</v>
      </c>
      <c r="E2223" s="17" t="s">
        <v>81</v>
      </c>
      <c r="F2223" s="17" t="s">
        <v>82</v>
      </c>
      <c r="G2223" s="18" t="s">
        <v>8008</v>
      </c>
      <c r="H2223" s="20" t="s">
        <v>8009</v>
      </c>
      <c r="I2223" s="17" t="s">
        <v>65</v>
      </c>
      <c r="J2223" s="21">
        <v>1</v>
      </c>
      <c r="K2223" s="21" t="s">
        <v>7983</v>
      </c>
      <c r="L2223" s="21" t="s">
        <v>8010</v>
      </c>
      <c r="M2223" s="19" t="s">
        <v>7985</v>
      </c>
      <c r="N2223" s="19" t="s">
        <v>86</v>
      </c>
      <c r="O2223" s="19" t="s">
        <v>8011</v>
      </c>
      <c r="P2223" s="19"/>
      <c r="Q2223" s="18" t="s">
        <v>53</v>
      </c>
      <c r="R2223" s="22" t="s">
        <v>88</v>
      </c>
      <c r="S2223" s="18" t="s">
        <v>2818</v>
      </c>
      <c r="T2223" s="21" t="s">
        <v>55</v>
      </c>
    </row>
    <row r="2224" spans="1:20" ht="16.5">
      <c r="A2224" s="11" t="s">
        <v>2812</v>
      </c>
      <c r="B2224" s="11" t="s">
        <v>60</v>
      </c>
      <c r="C2224" s="11" t="s">
        <v>44</v>
      </c>
      <c r="D2224" s="12" t="s">
        <v>2812</v>
      </c>
      <c r="E2224" s="11" t="s">
        <v>61</v>
      </c>
      <c r="F2224" s="11" t="s">
        <v>62</v>
      </c>
      <c r="G2224" s="12" t="s">
        <v>8012</v>
      </c>
      <c r="H2224" s="13" t="s">
        <v>8013</v>
      </c>
      <c r="I2224" s="11" t="s">
        <v>65</v>
      </c>
      <c r="J2224" s="14">
        <v>1</v>
      </c>
      <c r="K2224" s="14" t="s">
        <v>7983</v>
      </c>
      <c r="L2224" s="14" t="s">
        <v>8014</v>
      </c>
      <c r="M2224" s="15" t="s">
        <v>2815</v>
      </c>
      <c r="N2224" s="15" t="s">
        <v>67</v>
      </c>
      <c r="O2224" s="15" t="s">
        <v>8015</v>
      </c>
      <c r="P2224" s="15"/>
      <c r="Q2224" s="12" t="s">
        <v>69</v>
      </c>
      <c r="R2224" s="16" t="s">
        <v>54</v>
      </c>
      <c r="S2224" s="12" t="s">
        <v>2818</v>
      </c>
      <c r="T2224" s="14" t="s">
        <v>55</v>
      </c>
    </row>
    <row r="2225" spans="1:20" ht="16.5">
      <c r="A2225" s="17" t="s">
        <v>2812</v>
      </c>
      <c r="B2225" s="17" t="s">
        <v>60</v>
      </c>
      <c r="C2225" s="17" t="s">
        <v>62</v>
      </c>
      <c r="D2225" s="18" t="s">
        <v>8012</v>
      </c>
      <c r="E2225" s="17" t="s">
        <v>71</v>
      </c>
      <c r="F2225" s="17" t="s">
        <v>72</v>
      </c>
      <c r="G2225" s="18" t="s">
        <v>8016</v>
      </c>
      <c r="H2225" s="20" t="s">
        <v>8017</v>
      </c>
      <c r="I2225" s="17" t="s">
        <v>65</v>
      </c>
      <c r="J2225" s="21">
        <v>1</v>
      </c>
      <c r="K2225" s="21" t="s">
        <v>7983</v>
      </c>
      <c r="L2225" s="21" t="s">
        <v>8018</v>
      </c>
      <c r="M2225" s="19" t="s">
        <v>8015</v>
      </c>
      <c r="N2225" s="19" t="s">
        <v>76</v>
      </c>
      <c r="O2225" s="19" t="s">
        <v>8019</v>
      </c>
      <c r="P2225" s="19"/>
      <c r="Q2225" s="18" t="s">
        <v>69</v>
      </c>
      <c r="R2225" s="16" t="s">
        <v>54</v>
      </c>
      <c r="S2225" s="18" t="s">
        <v>2818</v>
      </c>
      <c r="T2225" s="21" t="s">
        <v>55</v>
      </c>
    </row>
    <row r="2226" spans="1:20" ht="16.5">
      <c r="A2226" s="11" t="s">
        <v>2812</v>
      </c>
      <c r="B2226" s="11" t="s">
        <v>60</v>
      </c>
      <c r="C2226" s="11" t="s">
        <v>62</v>
      </c>
      <c r="D2226" s="12" t="s">
        <v>8012</v>
      </c>
      <c r="E2226" s="11" t="s">
        <v>71</v>
      </c>
      <c r="F2226" s="11" t="s">
        <v>72</v>
      </c>
      <c r="G2226" s="12" t="s">
        <v>8020</v>
      </c>
      <c r="H2226" s="13" t="s">
        <v>8017</v>
      </c>
      <c r="I2226" s="11" t="s">
        <v>65</v>
      </c>
      <c r="J2226" s="14">
        <v>1</v>
      </c>
      <c r="K2226" s="14" t="s">
        <v>7983</v>
      </c>
      <c r="L2226" s="14" t="s">
        <v>8021</v>
      </c>
      <c r="M2226" s="15" t="s">
        <v>8015</v>
      </c>
      <c r="N2226" s="15" t="s">
        <v>76</v>
      </c>
      <c r="O2226" s="15" t="s">
        <v>8022</v>
      </c>
      <c r="P2226" s="15"/>
      <c r="Q2226" s="12" t="s">
        <v>69</v>
      </c>
      <c r="R2226" s="16" t="s">
        <v>54</v>
      </c>
      <c r="S2226" s="12" t="s">
        <v>2818</v>
      </c>
      <c r="T2226" s="14" t="s">
        <v>55</v>
      </c>
    </row>
    <row r="2227" spans="1:20" ht="16.5">
      <c r="A2227" s="17" t="s">
        <v>2812</v>
      </c>
      <c r="B2227" s="17" t="s">
        <v>60</v>
      </c>
      <c r="C2227" s="17" t="s">
        <v>62</v>
      </c>
      <c r="D2227" s="18" t="s">
        <v>8012</v>
      </c>
      <c r="E2227" s="17" t="s">
        <v>81</v>
      </c>
      <c r="F2227" s="17" t="s">
        <v>82</v>
      </c>
      <c r="G2227" s="18" t="s">
        <v>8023</v>
      </c>
      <c r="H2227" s="20" t="s">
        <v>8024</v>
      </c>
      <c r="I2227" s="17" t="s">
        <v>65</v>
      </c>
      <c r="J2227" s="21">
        <v>1</v>
      </c>
      <c r="K2227" s="21" t="s">
        <v>7983</v>
      </c>
      <c r="L2227" s="21" t="s">
        <v>8025</v>
      </c>
      <c r="M2227" s="19" t="s">
        <v>8015</v>
      </c>
      <c r="N2227" s="19" t="s">
        <v>86</v>
      </c>
      <c r="O2227" s="19" t="s">
        <v>8026</v>
      </c>
      <c r="P2227" s="19"/>
      <c r="Q2227" s="18" t="s">
        <v>53</v>
      </c>
      <c r="R2227" s="22" t="s">
        <v>88</v>
      </c>
      <c r="S2227" s="18" t="s">
        <v>2818</v>
      </c>
      <c r="T2227" s="21" t="s">
        <v>55</v>
      </c>
    </row>
    <row r="2228" spans="1:20" ht="16.5">
      <c r="A2228" s="11" t="s">
        <v>2812</v>
      </c>
      <c r="B2228" s="11" t="s">
        <v>60</v>
      </c>
      <c r="C2228" s="11" t="s">
        <v>62</v>
      </c>
      <c r="D2228" s="12" t="s">
        <v>8012</v>
      </c>
      <c r="E2228" s="11" t="s">
        <v>81</v>
      </c>
      <c r="F2228" s="11" t="s">
        <v>82</v>
      </c>
      <c r="G2228" s="12" t="s">
        <v>8027</v>
      </c>
      <c r="H2228" s="13" t="s">
        <v>8028</v>
      </c>
      <c r="I2228" s="11" t="s">
        <v>65</v>
      </c>
      <c r="J2228" s="14">
        <v>1</v>
      </c>
      <c r="K2228" s="14" t="s">
        <v>7983</v>
      </c>
      <c r="L2228" s="14" t="s">
        <v>8029</v>
      </c>
      <c r="M2228" s="15" t="s">
        <v>8015</v>
      </c>
      <c r="N2228" s="15" t="s">
        <v>86</v>
      </c>
      <c r="O2228" s="15" t="s">
        <v>8030</v>
      </c>
      <c r="P2228" s="15"/>
      <c r="Q2228" s="12" t="s">
        <v>53</v>
      </c>
      <c r="R2228" s="22" t="s">
        <v>88</v>
      </c>
      <c r="S2228" s="12" t="s">
        <v>2818</v>
      </c>
      <c r="T2228" s="14" t="s">
        <v>55</v>
      </c>
    </row>
    <row r="2229" spans="1:20" ht="16.5">
      <c r="A2229" s="17" t="s">
        <v>2812</v>
      </c>
      <c r="B2229" s="17" t="s">
        <v>60</v>
      </c>
      <c r="C2229" s="17" t="s">
        <v>62</v>
      </c>
      <c r="D2229" s="18" t="s">
        <v>7981</v>
      </c>
      <c r="E2229" s="17" t="s">
        <v>203</v>
      </c>
      <c r="F2229" s="17" t="s">
        <v>204</v>
      </c>
      <c r="G2229" s="18" t="s">
        <v>8031</v>
      </c>
      <c r="H2229" s="20" t="s">
        <v>8032</v>
      </c>
      <c r="I2229" s="17" t="s">
        <v>65</v>
      </c>
      <c r="J2229" s="21">
        <v>1</v>
      </c>
      <c r="K2229" s="21" t="s">
        <v>7983</v>
      </c>
      <c r="L2229" s="21" t="s">
        <v>8033</v>
      </c>
      <c r="M2229" s="19" t="s">
        <v>7985</v>
      </c>
      <c r="N2229" s="19" t="s">
        <v>208</v>
      </c>
      <c r="O2229" s="19" t="s">
        <v>8034</v>
      </c>
      <c r="P2229" s="19" t="s">
        <v>8035</v>
      </c>
      <c r="Q2229" s="19" t="s">
        <v>211</v>
      </c>
      <c r="R2229" s="16" t="s">
        <v>54</v>
      </c>
      <c r="S2229" s="18" t="s">
        <v>2818</v>
      </c>
      <c r="T2229" s="21" t="s">
        <v>55</v>
      </c>
    </row>
    <row r="2230" spans="1:20" ht="16.5">
      <c r="A2230" s="11" t="s">
        <v>2812</v>
      </c>
      <c r="B2230" s="11" t="s">
        <v>60</v>
      </c>
      <c r="C2230" s="11" t="s">
        <v>62</v>
      </c>
      <c r="D2230" s="12" t="s">
        <v>7981</v>
      </c>
      <c r="E2230" s="11" t="s">
        <v>203</v>
      </c>
      <c r="F2230" s="11" t="s">
        <v>204</v>
      </c>
      <c r="G2230" s="12" t="s">
        <v>8036</v>
      </c>
      <c r="H2230" s="13" t="s">
        <v>8037</v>
      </c>
      <c r="I2230" s="11" t="s">
        <v>65</v>
      </c>
      <c r="J2230" s="14">
        <v>1</v>
      </c>
      <c r="K2230" s="14" t="s">
        <v>7983</v>
      </c>
      <c r="L2230" s="14" t="s">
        <v>8038</v>
      </c>
      <c r="M2230" s="15" t="s">
        <v>7985</v>
      </c>
      <c r="N2230" s="15" t="s">
        <v>208</v>
      </c>
      <c r="O2230" s="15" t="s">
        <v>8039</v>
      </c>
      <c r="P2230" s="15" t="s">
        <v>8040</v>
      </c>
      <c r="Q2230" s="15" t="s">
        <v>211</v>
      </c>
      <c r="R2230" s="16" t="s">
        <v>54</v>
      </c>
      <c r="S2230" s="12" t="s">
        <v>2818</v>
      </c>
      <c r="T2230" s="14" t="s">
        <v>55</v>
      </c>
    </row>
    <row r="2231" spans="1:20" ht="16.5">
      <c r="A2231" s="17" t="s">
        <v>2812</v>
      </c>
      <c r="B2231" s="17" t="s">
        <v>311</v>
      </c>
      <c r="C2231" s="17" t="s">
        <v>204</v>
      </c>
      <c r="D2231" s="18" t="s">
        <v>8031</v>
      </c>
      <c r="E2231" s="17" t="s">
        <v>312</v>
      </c>
      <c r="F2231" s="21" t="s">
        <v>313</v>
      </c>
      <c r="G2231" s="19" t="s">
        <v>8041</v>
      </c>
      <c r="H2231" s="24" t="s">
        <v>8042</v>
      </c>
      <c r="I2231" s="17" t="s">
        <v>65</v>
      </c>
      <c r="J2231" s="21">
        <v>1</v>
      </c>
      <c r="K2231" s="21" t="s">
        <v>7983</v>
      </c>
      <c r="L2231" s="21" t="s">
        <v>8043</v>
      </c>
      <c r="M2231" s="19" t="s">
        <v>8034</v>
      </c>
      <c r="N2231" s="19" t="s">
        <v>316</v>
      </c>
      <c r="O2231" s="19" t="s">
        <v>8044</v>
      </c>
      <c r="P2231" s="19" t="s">
        <v>8041</v>
      </c>
      <c r="Q2231" s="19" t="s">
        <v>211</v>
      </c>
      <c r="R2231" s="16" t="s">
        <v>54</v>
      </c>
      <c r="S2231" s="18" t="s">
        <v>2818</v>
      </c>
      <c r="T2231" s="21" t="s">
        <v>55</v>
      </c>
    </row>
    <row r="2232" spans="1:20" ht="16.5">
      <c r="A2232" s="11" t="s">
        <v>2812</v>
      </c>
      <c r="B2232" s="11" t="s">
        <v>311</v>
      </c>
      <c r="C2232" s="11" t="s">
        <v>204</v>
      </c>
      <c r="D2232" s="12" t="s">
        <v>8031</v>
      </c>
      <c r="E2232" s="11" t="s">
        <v>312</v>
      </c>
      <c r="F2232" s="14" t="s">
        <v>313</v>
      </c>
      <c r="G2232" s="15" t="s">
        <v>8045</v>
      </c>
      <c r="H2232" s="23" t="s">
        <v>8046</v>
      </c>
      <c r="I2232" s="11" t="s">
        <v>65</v>
      </c>
      <c r="J2232" s="14">
        <v>1</v>
      </c>
      <c r="K2232" s="14" t="s">
        <v>7983</v>
      </c>
      <c r="L2232" s="14" t="s">
        <v>8047</v>
      </c>
      <c r="M2232" s="15" t="s">
        <v>8034</v>
      </c>
      <c r="N2232" s="15" t="s">
        <v>316</v>
      </c>
      <c r="O2232" s="15" t="s">
        <v>8048</v>
      </c>
      <c r="P2232" s="15" t="s">
        <v>8045</v>
      </c>
      <c r="Q2232" s="15" t="s">
        <v>211</v>
      </c>
      <c r="R2232" s="16" t="s">
        <v>54</v>
      </c>
      <c r="S2232" s="12" t="s">
        <v>2818</v>
      </c>
      <c r="T2232" s="14" t="s">
        <v>55</v>
      </c>
    </row>
    <row r="2233" spans="1:20" ht="16.5">
      <c r="A2233" s="17" t="s">
        <v>2812</v>
      </c>
      <c r="B2233" s="17" t="s">
        <v>311</v>
      </c>
      <c r="C2233" s="17" t="s">
        <v>204</v>
      </c>
      <c r="D2233" s="18" t="s">
        <v>8031</v>
      </c>
      <c r="E2233" s="17" t="s">
        <v>312</v>
      </c>
      <c r="F2233" s="21" t="s">
        <v>313</v>
      </c>
      <c r="G2233" s="19" t="s">
        <v>8049</v>
      </c>
      <c r="H2233" s="24" t="s">
        <v>8050</v>
      </c>
      <c r="I2233" s="17" t="s">
        <v>65</v>
      </c>
      <c r="J2233" s="21">
        <v>1</v>
      </c>
      <c r="K2233" s="21" t="s">
        <v>7983</v>
      </c>
      <c r="L2233" s="21" t="s">
        <v>8051</v>
      </c>
      <c r="M2233" s="19" t="s">
        <v>8034</v>
      </c>
      <c r="N2233" s="19" t="s">
        <v>316</v>
      </c>
      <c r="O2233" s="19" t="s">
        <v>8052</v>
      </c>
      <c r="P2233" s="19" t="s">
        <v>8049</v>
      </c>
      <c r="Q2233" s="19" t="s">
        <v>211</v>
      </c>
      <c r="R2233" s="16" t="s">
        <v>54</v>
      </c>
      <c r="S2233" s="18" t="s">
        <v>2818</v>
      </c>
      <c r="T2233" s="21" t="s">
        <v>55</v>
      </c>
    </row>
    <row r="2234" spans="1:20" ht="16.5">
      <c r="A2234" s="11" t="s">
        <v>2812</v>
      </c>
      <c r="B2234" s="11" t="s">
        <v>311</v>
      </c>
      <c r="C2234" s="11" t="s">
        <v>204</v>
      </c>
      <c r="D2234" s="12" t="s">
        <v>8036</v>
      </c>
      <c r="E2234" s="11" t="s">
        <v>312</v>
      </c>
      <c r="F2234" s="14" t="s">
        <v>313</v>
      </c>
      <c r="G2234" s="15" t="s">
        <v>8053</v>
      </c>
      <c r="H2234" s="23" t="s">
        <v>8054</v>
      </c>
      <c r="I2234" s="11" t="s">
        <v>65</v>
      </c>
      <c r="J2234" s="14">
        <v>1</v>
      </c>
      <c r="K2234" s="14" t="s">
        <v>7983</v>
      </c>
      <c r="L2234" s="14" t="s">
        <v>8055</v>
      </c>
      <c r="M2234" s="15" t="s">
        <v>8039</v>
      </c>
      <c r="N2234" s="15" t="s">
        <v>316</v>
      </c>
      <c r="O2234" s="15" t="s">
        <v>8056</v>
      </c>
      <c r="P2234" s="15" t="s">
        <v>8053</v>
      </c>
      <c r="Q2234" s="15" t="s">
        <v>211</v>
      </c>
      <c r="R2234" s="16" t="s">
        <v>54</v>
      </c>
      <c r="S2234" s="12" t="s">
        <v>2818</v>
      </c>
      <c r="T2234" s="14" t="s">
        <v>55</v>
      </c>
    </row>
    <row r="2235" spans="1:20" ht="16.5">
      <c r="A2235" s="17" t="s">
        <v>2812</v>
      </c>
      <c r="B2235" s="17" t="s">
        <v>311</v>
      </c>
      <c r="C2235" s="17" t="s">
        <v>204</v>
      </c>
      <c r="D2235" s="18" t="s">
        <v>8036</v>
      </c>
      <c r="E2235" s="17" t="s">
        <v>312</v>
      </c>
      <c r="F2235" s="21" t="s">
        <v>313</v>
      </c>
      <c r="G2235" s="19" t="s">
        <v>8057</v>
      </c>
      <c r="H2235" s="24" t="s">
        <v>8058</v>
      </c>
      <c r="I2235" s="17" t="s">
        <v>65</v>
      </c>
      <c r="J2235" s="21">
        <v>1</v>
      </c>
      <c r="K2235" s="21" t="s">
        <v>7983</v>
      </c>
      <c r="L2235" s="21" t="s">
        <v>8059</v>
      </c>
      <c r="M2235" s="19" t="s">
        <v>8039</v>
      </c>
      <c r="N2235" s="19" t="s">
        <v>316</v>
      </c>
      <c r="O2235" s="19" t="s">
        <v>8060</v>
      </c>
      <c r="P2235" s="19" t="s">
        <v>8057</v>
      </c>
      <c r="Q2235" s="19" t="s">
        <v>211</v>
      </c>
      <c r="R2235" s="16" t="s">
        <v>54</v>
      </c>
      <c r="S2235" s="18" t="s">
        <v>2818</v>
      </c>
      <c r="T2235" s="21" t="s">
        <v>55</v>
      </c>
    </row>
    <row r="2236" spans="1:20" ht="16.5">
      <c r="A2236" s="11" t="s">
        <v>2812</v>
      </c>
      <c r="B2236" s="11" t="s">
        <v>311</v>
      </c>
      <c r="C2236" s="11" t="s">
        <v>204</v>
      </c>
      <c r="D2236" s="12" t="s">
        <v>8036</v>
      </c>
      <c r="E2236" s="11" t="s">
        <v>312</v>
      </c>
      <c r="F2236" s="14" t="s">
        <v>313</v>
      </c>
      <c r="G2236" s="15" t="s">
        <v>8061</v>
      </c>
      <c r="H2236" s="23" t="s">
        <v>8062</v>
      </c>
      <c r="I2236" s="11" t="s">
        <v>65</v>
      </c>
      <c r="J2236" s="14">
        <v>1</v>
      </c>
      <c r="K2236" s="14" t="s">
        <v>7983</v>
      </c>
      <c r="L2236" s="14" t="s">
        <v>8063</v>
      </c>
      <c r="M2236" s="15" t="s">
        <v>8039</v>
      </c>
      <c r="N2236" s="15" t="s">
        <v>316</v>
      </c>
      <c r="O2236" s="15" t="s">
        <v>8064</v>
      </c>
      <c r="P2236" s="15" t="s">
        <v>8061</v>
      </c>
      <c r="Q2236" s="15" t="s">
        <v>211</v>
      </c>
      <c r="R2236" s="16" t="s">
        <v>54</v>
      </c>
      <c r="S2236" s="12" t="s">
        <v>2818</v>
      </c>
      <c r="T2236" s="14" t="s">
        <v>55</v>
      </c>
    </row>
    <row r="2237" spans="1:20" ht="16.5">
      <c r="A2237" s="17" t="s">
        <v>2812</v>
      </c>
      <c r="B2237" s="17" t="s">
        <v>578</v>
      </c>
      <c r="C2237" s="17" t="s">
        <v>62</v>
      </c>
      <c r="D2237" s="19" t="s">
        <v>6608</v>
      </c>
      <c r="E2237" s="17" t="s">
        <v>45</v>
      </c>
      <c r="F2237" s="17" t="s">
        <v>62</v>
      </c>
      <c r="G2237" s="18" t="s">
        <v>7981</v>
      </c>
      <c r="H2237" s="20" t="s">
        <v>8065</v>
      </c>
      <c r="I2237" s="17" t="s">
        <v>8066</v>
      </c>
      <c r="J2237" s="21">
        <v>1</v>
      </c>
      <c r="K2237" s="21" t="s">
        <v>7983</v>
      </c>
      <c r="L2237" s="21" t="s">
        <v>8067</v>
      </c>
      <c r="M2237" s="19" t="s">
        <v>6611</v>
      </c>
      <c r="N2237" s="19" t="s">
        <v>51</v>
      </c>
      <c r="O2237" s="19" t="s">
        <v>7985</v>
      </c>
      <c r="P2237" s="19"/>
      <c r="Q2237" s="18" t="s">
        <v>606</v>
      </c>
      <c r="R2237" s="25" t="s">
        <v>607</v>
      </c>
      <c r="S2237" s="18" t="s">
        <v>2818</v>
      </c>
      <c r="T2237" s="21" t="s">
        <v>55</v>
      </c>
    </row>
    <row r="2238" spans="1:20" ht="16.5">
      <c r="A2238" s="11" t="s">
        <v>2812</v>
      </c>
      <c r="B2238" s="11" t="s">
        <v>578</v>
      </c>
      <c r="C2238" s="11" t="s">
        <v>62</v>
      </c>
      <c r="D2238" s="12" t="s">
        <v>7981</v>
      </c>
      <c r="E2238" s="11" t="s">
        <v>45</v>
      </c>
      <c r="F2238" s="11" t="s">
        <v>62</v>
      </c>
      <c r="G2238" s="12" t="s">
        <v>8012</v>
      </c>
      <c r="H2238" s="23" t="s">
        <v>584</v>
      </c>
      <c r="I2238" s="11" t="s">
        <v>8066</v>
      </c>
      <c r="J2238" s="14">
        <v>1</v>
      </c>
      <c r="K2238" s="14" t="s">
        <v>7983</v>
      </c>
      <c r="L2238" s="14" t="s">
        <v>8068</v>
      </c>
      <c r="M2238" s="15" t="s">
        <v>7985</v>
      </c>
      <c r="N2238" s="15" t="s">
        <v>51</v>
      </c>
      <c r="O2238" s="15" t="s">
        <v>8015</v>
      </c>
      <c r="P2238" s="15"/>
      <c r="Q2238" s="12" t="s">
        <v>649</v>
      </c>
      <c r="R2238" s="22" t="s">
        <v>88</v>
      </c>
      <c r="S2238" s="12" t="s">
        <v>2818</v>
      </c>
      <c r="T2238" s="14" t="s">
        <v>55</v>
      </c>
    </row>
    <row r="2239" spans="1:20" ht="16.5">
      <c r="A2239" s="17" t="s">
        <v>8069</v>
      </c>
      <c r="B2239" s="17" t="s">
        <v>578</v>
      </c>
      <c r="C2239" s="17" t="s">
        <v>62</v>
      </c>
      <c r="D2239" s="19" t="s">
        <v>120</v>
      </c>
      <c r="E2239" s="17" t="s">
        <v>45</v>
      </c>
      <c r="F2239" s="17" t="s">
        <v>62</v>
      </c>
      <c r="G2239" s="18" t="s">
        <v>621</v>
      </c>
      <c r="H2239" s="20" t="s">
        <v>8070</v>
      </c>
      <c r="I2239" s="17" t="s">
        <v>43</v>
      </c>
      <c r="J2239" s="21">
        <v>1</v>
      </c>
      <c r="K2239" s="21" t="s">
        <v>8071</v>
      </c>
      <c r="L2239" s="21" t="s">
        <v>8072</v>
      </c>
      <c r="M2239" s="19" t="s">
        <v>123</v>
      </c>
      <c r="N2239" s="19" t="s">
        <v>51</v>
      </c>
      <c r="O2239" s="19" t="s">
        <v>623</v>
      </c>
      <c r="P2239" s="19"/>
      <c r="Q2239" s="18" t="s">
        <v>53</v>
      </c>
      <c r="R2239" s="16" t="s">
        <v>54</v>
      </c>
      <c r="S2239" s="19" t="s">
        <v>584</v>
      </c>
      <c r="T2239" s="21" t="s">
        <v>55</v>
      </c>
    </row>
    <row r="2240" spans="1:20" ht="16.5">
      <c r="A2240" s="11" t="s">
        <v>8069</v>
      </c>
      <c r="B2240" s="11" t="s">
        <v>578</v>
      </c>
      <c r="C2240" s="11" t="s">
        <v>62</v>
      </c>
      <c r="D2240" s="12" t="s">
        <v>2295</v>
      </c>
      <c r="E2240" s="11" t="s">
        <v>45</v>
      </c>
      <c r="F2240" s="11" t="s">
        <v>62</v>
      </c>
      <c r="G2240" s="12" t="s">
        <v>3140</v>
      </c>
      <c r="H2240" s="23" t="s">
        <v>8073</v>
      </c>
      <c r="I2240" s="11" t="s">
        <v>43</v>
      </c>
      <c r="J2240" s="14">
        <v>1</v>
      </c>
      <c r="K2240" s="14" t="s">
        <v>8071</v>
      </c>
      <c r="L2240" s="14" t="s">
        <v>8074</v>
      </c>
      <c r="M2240" s="15" t="s">
        <v>2298</v>
      </c>
      <c r="N2240" s="15" t="s">
        <v>51</v>
      </c>
      <c r="O2240" s="15" t="s">
        <v>3143</v>
      </c>
      <c r="P2240" s="15"/>
      <c r="Q2240" s="12" t="s">
        <v>53</v>
      </c>
      <c r="R2240" s="16" t="s">
        <v>54</v>
      </c>
      <c r="S2240" s="15" t="s">
        <v>584</v>
      </c>
      <c r="T2240" s="14" t="s">
        <v>55</v>
      </c>
    </row>
    <row r="2241" spans="1:20" ht="16.5">
      <c r="A2241" s="17" t="s">
        <v>8069</v>
      </c>
      <c r="B2241" s="17" t="s">
        <v>578</v>
      </c>
      <c r="C2241" s="17" t="s">
        <v>62</v>
      </c>
      <c r="D2241" s="18" t="s">
        <v>3928</v>
      </c>
      <c r="E2241" s="17" t="s">
        <v>45</v>
      </c>
      <c r="F2241" s="17" t="s">
        <v>62</v>
      </c>
      <c r="G2241" s="18" t="s">
        <v>4065</v>
      </c>
      <c r="H2241" s="20" t="s">
        <v>8075</v>
      </c>
      <c r="I2241" s="17" t="s">
        <v>43</v>
      </c>
      <c r="J2241" s="21">
        <v>1</v>
      </c>
      <c r="K2241" s="21" t="s">
        <v>8071</v>
      </c>
      <c r="L2241" s="21" t="s">
        <v>8076</v>
      </c>
      <c r="M2241" s="19" t="s">
        <v>3931</v>
      </c>
      <c r="N2241" s="19" t="s">
        <v>51</v>
      </c>
      <c r="O2241" s="19" t="s">
        <v>4068</v>
      </c>
      <c r="P2241" s="19"/>
      <c r="Q2241" s="18" t="s">
        <v>53</v>
      </c>
      <c r="R2241" s="16" t="s">
        <v>54</v>
      </c>
      <c r="S2241" s="19" t="s">
        <v>584</v>
      </c>
      <c r="T2241" s="26" t="s">
        <v>673</v>
      </c>
    </row>
    <row r="2242" spans="1:20" ht="16.5">
      <c r="A2242" s="11" t="s">
        <v>8069</v>
      </c>
      <c r="B2242" s="11" t="s">
        <v>578</v>
      </c>
      <c r="C2242" s="11" t="s">
        <v>62</v>
      </c>
      <c r="D2242" s="12" t="s">
        <v>4613</v>
      </c>
      <c r="E2242" s="11" t="s">
        <v>45</v>
      </c>
      <c r="F2242" s="11" t="s">
        <v>62</v>
      </c>
      <c r="G2242" s="12" t="s">
        <v>4637</v>
      </c>
      <c r="H2242" s="23" t="s">
        <v>584</v>
      </c>
      <c r="I2242" s="11" t="s">
        <v>43</v>
      </c>
      <c r="J2242" s="14">
        <v>1</v>
      </c>
      <c r="K2242" s="14" t="s">
        <v>8071</v>
      </c>
      <c r="L2242" s="14" t="s">
        <v>8077</v>
      </c>
      <c r="M2242" s="15" t="s">
        <v>4616</v>
      </c>
      <c r="N2242" s="15" t="s">
        <v>51</v>
      </c>
      <c r="O2242" s="15" t="s">
        <v>4640</v>
      </c>
      <c r="P2242" s="15"/>
      <c r="Q2242" s="12" t="s">
        <v>53</v>
      </c>
      <c r="R2242" s="16" t="s">
        <v>54</v>
      </c>
      <c r="S2242" s="15" t="s">
        <v>584</v>
      </c>
      <c r="T2242" s="14" t="s">
        <v>55</v>
      </c>
    </row>
    <row r="2243" spans="1:20" ht="16.5">
      <c r="A2243" s="17" t="s">
        <v>8069</v>
      </c>
      <c r="B2243" s="17" t="s">
        <v>578</v>
      </c>
      <c r="C2243" s="17" t="s">
        <v>62</v>
      </c>
      <c r="D2243" s="18" t="s">
        <v>4637</v>
      </c>
      <c r="E2243" s="17" t="s">
        <v>45</v>
      </c>
      <c r="F2243" s="17" t="s">
        <v>62</v>
      </c>
      <c r="G2243" s="18" t="s">
        <v>4676</v>
      </c>
      <c r="H2243" s="24" t="s">
        <v>584</v>
      </c>
      <c r="I2243" s="17" t="s">
        <v>43</v>
      </c>
      <c r="J2243" s="21">
        <v>1</v>
      </c>
      <c r="K2243" s="21" t="s">
        <v>8071</v>
      </c>
      <c r="L2243" s="21" t="s">
        <v>8078</v>
      </c>
      <c r="M2243" s="19" t="s">
        <v>4640</v>
      </c>
      <c r="N2243" s="19" t="s">
        <v>51</v>
      </c>
      <c r="O2243" s="19" t="s">
        <v>4679</v>
      </c>
      <c r="P2243" s="19"/>
      <c r="Q2243" s="18" t="s">
        <v>53</v>
      </c>
      <c r="R2243" s="16" t="s">
        <v>54</v>
      </c>
      <c r="S2243" s="19" t="s">
        <v>584</v>
      </c>
      <c r="T2243" s="21" t="s">
        <v>55</v>
      </c>
    </row>
    <row r="2244" spans="1:20" ht="16.5">
      <c r="A2244" s="11" t="s">
        <v>8069</v>
      </c>
      <c r="B2244" s="11" t="s">
        <v>578</v>
      </c>
      <c r="C2244" s="11" t="s">
        <v>62</v>
      </c>
      <c r="D2244" s="12" t="s">
        <v>4676</v>
      </c>
      <c r="E2244" s="11" t="s">
        <v>45</v>
      </c>
      <c r="F2244" s="11" t="s">
        <v>62</v>
      </c>
      <c r="G2244" s="12" t="s">
        <v>4701</v>
      </c>
      <c r="H2244" s="13" t="s">
        <v>8079</v>
      </c>
      <c r="I2244" s="11" t="s">
        <v>43</v>
      </c>
      <c r="J2244" s="14">
        <v>1</v>
      </c>
      <c r="K2244" s="14" t="s">
        <v>8071</v>
      </c>
      <c r="L2244" s="14" t="s">
        <v>8080</v>
      </c>
      <c r="M2244" s="15" t="s">
        <v>4679</v>
      </c>
      <c r="N2244" s="15" t="s">
        <v>51</v>
      </c>
      <c r="O2244" s="15" t="s">
        <v>4704</v>
      </c>
      <c r="P2244" s="15"/>
      <c r="Q2244" s="12" t="s">
        <v>53</v>
      </c>
      <c r="R2244" s="16" t="s">
        <v>54</v>
      </c>
      <c r="S2244" s="15" t="s">
        <v>584</v>
      </c>
      <c r="T2244" s="14" t="s">
        <v>55</v>
      </c>
    </row>
    <row r="2245" spans="1:20" ht="16.5">
      <c r="A2245" s="17" t="s">
        <v>8069</v>
      </c>
      <c r="B2245" s="17" t="s">
        <v>578</v>
      </c>
      <c r="C2245" s="17" t="s">
        <v>62</v>
      </c>
      <c r="D2245" s="18" t="s">
        <v>4701</v>
      </c>
      <c r="E2245" s="17" t="s">
        <v>45</v>
      </c>
      <c r="F2245" s="17" t="s">
        <v>62</v>
      </c>
      <c r="G2245" s="18" t="s">
        <v>4741</v>
      </c>
      <c r="H2245" s="24" t="s">
        <v>584</v>
      </c>
      <c r="I2245" s="17" t="s">
        <v>43</v>
      </c>
      <c r="J2245" s="21">
        <v>1</v>
      </c>
      <c r="K2245" s="21" t="s">
        <v>8071</v>
      </c>
      <c r="L2245" s="21" t="s">
        <v>8081</v>
      </c>
      <c r="M2245" s="19" t="s">
        <v>4704</v>
      </c>
      <c r="N2245" s="19" t="s">
        <v>51</v>
      </c>
      <c r="O2245" s="19" t="s">
        <v>4744</v>
      </c>
      <c r="P2245" s="19"/>
      <c r="Q2245" s="18" t="s">
        <v>53</v>
      </c>
      <c r="R2245" s="16" t="s">
        <v>54</v>
      </c>
      <c r="S2245" s="19" t="s">
        <v>584</v>
      </c>
      <c r="T2245" s="21" t="s">
        <v>55</v>
      </c>
    </row>
    <row r="2246" spans="1:20" ht="16.5">
      <c r="A2246" s="11" t="s">
        <v>8069</v>
      </c>
      <c r="B2246" s="11" t="s">
        <v>578</v>
      </c>
      <c r="C2246" s="11" t="s">
        <v>62</v>
      </c>
      <c r="D2246" s="12" t="s">
        <v>4676</v>
      </c>
      <c r="E2246" s="11" t="s">
        <v>45</v>
      </c>
      <c r="F2246" s="11" t="s">
        <v>62</v>
      </c>
      <c r="G2246" s="12" t="s">
        <v>4787</v>
      </c>
      <c r="H2246" s="23" t="s">
        <v>584</v>
      </c>
      <c r="I2246" s="11" t="s">
        <v>43</v>
      </c>
      <c r="J2246" s="14">
        <v>1</v>
      </c>
      <c r="K2246" s="14" t="s">
        <v>8071</v>
      </c>
      <c r="L2246" s="14" t="s">
        <v>8082</v>
      </c>
      <c r="M2246" s="15" t="s">
        <v>4679</v>
      </c>
      <c r="N2246" s="15" t="s">
        <v>51</v>
      </c>
      <c r="O2246" s="15" t="s">
        <v>4790</v>
      </c>
      <c r="P2246" s="15"/>
      <c r="Q2246" s="12" t="s">
        <v>53</v>
      </c>
      <c r="R2246" s="16" t="s">
        <v>54</v>
      </c>
      <c r="S2246" s="15" t="s">
        <v>584</v>
      </c>
      <c r="T2246" s="14" t="s">
        <v>55</v>
      </c>
    </row>
    <row r="2247" spans="1:20" ht="16.5">
      <c r="A2247" s="17" t="s">
        <v>8069</v>
      </c>
      <c r="B2247" s="17" t="s">
        <v>578</v>
      </c>
      <c r="C2247" s="17" t="s">
        <v>62</v>
      </c>
      <c r="D2247" s="18" t="s">
        <v>4726</v>
      </c>
      <c r="E2247" s="17" t="s">
        <v>45</v>
      </c>
      <c r="F2247" s="17" t="s">
        <v>62</v>
      </c>
      <c r="G2247" s="18" t="s">
        <v>7228</v>
      </c>
      <c r="H2247" s="20" t="s">
        <v>8083</v>
      </c>
      <c r="I2247" s="17" t="s">
        <v>43</v>
      </c>
      <c r="J2247" s="21">
        <v>1</v>
      </c>
      <c r="K2247" s="21" t="s">
        <v>8071</v>
      </c>
      <c r="L2247" s="21" t="s">
        <v>8084</v>
      </c>
      <c r="M2247" s="19" t="s">
        <v>4729</v>
      </c>
      <c r="N2247" s="19" t="s">
        <v>51</v>
      </c>
      <c r="O2247" s="19" t="s">
        <v>7231</v>
      </c>
      <c r="P2247" s="19"/>
      <c r="Q2247" s="18" t="s">
        <v>606</v>
      </c>
      <c r="R2247" s="25" t="s">
        <v>607</v>
      </c>
      <c r="S2247" s="19" t="s">
        <v>584</v>
      </c>
      <c r="T2247" s="26" t="s">
        <v>673</v>
      </c>
    </row>
    <row r="2248" spans="1:20" ht="16.5">
      <c r="A2248" s="11" t="s">
        <v>8069</v>
      </c>
      <c r="B2248" s="11" t="s">
        <v>578</v>
      </c>
      <c r="C2248" s="11" t="s">
        <v>62</v>
      </c>
      <c r="D2248" s="15" t="s">
        <v>5516</v>
      </c>
      <c r="E2248" s="11" t="s">
        <v>45</v>
      </c>
      <c r="F2248" s="11" t="s">
        <v>62</v>
      </c>
      <c r="G2248" s="15" t="s">
        <v>6608</v>
      </c>
      <c r="H2248" s="23" t="s">
        <v>584</v>
      </c>
      <c r="I2248" s="11" t="s">
        <v>43</v>
      </c>
      <c r="J2248" s="14">
        <v>1</v>
      </c>
      <c r="K2248" s="14" t="s">
        <v>8071</v>
      </c>
      <c r="L2248" s="14" t="s">
        <v>8085</v>
      </c>
      <c r="M2248" s="15" t="s">
        <v>5519</v>
      </c>
      <c r="N2248" s="15" t="s">
        <v>51</v>
      </c>
      <c r="O2248" s="15" t="s">
        <v>6611</v>
      </c>
      <c r="P2248" s="15"/>
      <c r="Q2248" s="12" t="s">
        <v>649</v>
      </c>
      <c r="R2248" s="22" t="s">
        <v>88</v>
      </c>
      <c r="S2248" s="15" t="s">
        <v>584</v>
      </c>
      <c r="T2248" s="14" t="s">
        <v>55</v>
      </c>
    </row>
    <row r="2249" spans="1:20" ht="16.5">
      <c r="A2249" s="17" t="s">
        <v>8069</v>
      </c>
      <c r="B2249" s="17" t="s">
        <v>578</v>
      </c>
      <c r="C2249" s="17" t="s">
        <v>62</v>
      </c>
      <c r="D2249" s="19" t="s">
        <v>5516</v>
      </c>
      <c r="E2249" s="17" t="s">
        <v>45</v>
      </c>
      <c r="F2249" s="17" t="s">
        <v>62</v>
      </c>
      <c r="G2249" s="18" t="s">
        <v>5574</v>
      </c>
      <c r="H2249" s="24" t="s">
        <v>584</v>
      </c>
      <c r="I2249" s="17" t="s">
        <v>43</v>
      </c>
      <c r="J2249" s="21">
        <v>1</v>
      </c>
      <c r="K2249" s="21" t="s">
        <v>8071</v>
      </c>
      <c r="L2249" s="21" t="s">
        <v>8086</v>
      </c>
      <c r="M2249" s="19" t="s">
        <v>5519</v>
      </c>
      <c r="N2249" s="19" t="s">
        <v>51</v>
      </c>
      <c r="O2249" s="19" t="s">
        <v>5577</v>
      </c>
      <c r="P2249" s="19"/>
      <c r="Q2249" s="18" t="s">
        <v>53</v>
      </c>
      <c r="R2249" s="16" t="s">
        <v>54</v>
      </c>
      <c r="S2249" s="19" t="s">
        <v>584</v>
      </c>
      <c r="T2249" s="21" t="s">
        <v>55</v>
      </c>
    </row>
    <row r="2250" spans="1:20" ht="16.5">
      <c r="A2250" s="11" t="s">
        <v>8069</v>
      </c>
      <c r="B2250" s="11" t="s">
        <v>695</v>
      </c>
      <c r="C2250" s="11" t="s">
        <v>698</v>
      </c>
      <c r="D2250" s="12" t="s">
        <v>699</v>
      </c>
      <c r="E2250" s="11" t="s">
        <v>667</v>
      </c>
      <c r="F2250" s="11" t="s">
        <v>698</v>
      </c>
      <c r="G2250" s="12" t="s">
        <v>6686</v>
      </c>
      <c r="H2250" s="13" t="s">
        <v>8087</v>
      </c>
      <c r="I2250" s="11" t="s">
        <v>6688</v>
      </c>
      <c r="J2250" s="14">
        <v>1</v>
      </c>
      <c r="K2250" s="14" t="s">
        <v>8071</v>
      </c>
      <c r="L2250" s="14" t="s">
        <v>8088</v>
      </c>
      <c r="M2250" s="15" t="s">
        <v>703</v>
      </c>
      <c r="N2250" s="15" t="s">
        <v>670</v>
      </c>
      <c r="O2250" s="15" t="s">
        <v>6690</v>
      </c>
      <c r="P2250" s="15"/>
      <c r="Q2250" s="12" t="s">
        <v>286</v>
      </c>
      <c r="R2250" s="22" t="s">
        <v>88</v>
      </c>
      <c r="S2250" s="15" t="s">
        <v>584</v>
      </c>
      <c r="T2250" s="14" t="s">
        <v>55</v>
      </c>
    </row>
    <row r="2251" spans="1:20" ht="16.5">
      <c r="A2251" s="17" t="s">
        <v>8069</v>
      </c>
      <c r="B2251" s="17" t="s">
        <v>695</v>
      </c>
      <c r="C2251" s="17" t="s">
        <v>698</v>
      </c>
      <c r="D2251" s="18" t="s">
        <v>2167</v>
      </c>
      <c r="E2251" s="17" t="s">
        <v>667</v>
      </c>
      <c r="F2251" s="17" t="s">
        <v>698</v>
      </c>
      <c r="G2251" s="18" t="s">
        <v>6686</v>
      </c>
      <c r="H2251" s="24" t="s">
        <v>584</v>
      </c>
      <c r="I2251" s="17" t="s">
        <v>6688</v>
      </c>
      <c r="J2251" s="21">
        <v>1</v>
      </c>
      <c r="K2251" s="21" t="s">
        <v>8071</v>
      </c>
      <c r="L2251" s="21" t="s">
        <v>8089</v>
      </c>
      <c r="M2251" s="19" t="s">
        <v>2169</v>
      </c>
      <c r="N2251" s="19" t="s">
        <v>670</v>
      </c>
      <c r="O2251" s="19" t="s">
        <v>6690</v>
      </c>
      <c r="P2251" s="19"/>
      <c r="Q2251" s="18" t="s">
        <v>286</v>
      </c>
      <c r="R2251" s="22" t="s">
        <v>88</v>
      </c>
      <c r="S2251" s="19" t="s">
        <v>584</v>
      </c>
      <c r="T2251" s="21" t="s">
        <v>55</v>
      </c>
    </row>
    <row r="2252" spans="1:20" ht="16.5">
      <c r="A2252" s="11" t="s">
        <v>8069</v>
      </c>
      <c r="B2252" s="11" t="s">
        <v>695</v>
      </c>
      <c r="C2252" s="11" t="s">
        <v>295</v>
      </c>
      <c r="D2252" s="12" t="s">
        <v>3648</v>
      </c>
      <c r="E2252" s="11" t="s">
        <v>667</v>
      </c>
      <c r="F2252" s="11" t="s">
        <v>698</v>
      </c>
      <c r="G2252" s="12" t="s">
        <v>6686</v>
      </c>
      <c r="H2252" s="13" t="s">
        <v>8090</v>
      </c>
      <c r="I2252" s="11" t="s">
        <v>6688</v>
      </c>
      <c r="J2252" s="14">
        <v>1</v>
      </c>
      <c r="K2252" s="14" t="s">
        <v>8071</v>
      </c>
      <c r="L2252" s="14" t="s">
        <v>8091</v>
      </c>
      <c r="M2252" s="15" t="s">
        <v>3651</v>
      </c>
      <c r="N2252" s="15" t="s">
        <v>670</v>
      </c>
      <c r="O2252" s="15" t="s">
        <v>6690</v>
      </c>
      <c r="P2252" s="15"/>
      <c r="Q2252" s="12" t="s">
        <v>286</v>
      </c>
      <c r="R2252" s="22" t="s">
        <v>88</v>
      </c>
      <c r="S2252" s="15" t="s">
        <v>584</v>
      </c>
      <c r="T2252" s="26" t="s">
        <v>3848</v>
      </c>
    </row>
    <row r="2253" spans="1:20" ht="16.5">
      <c r="A2253" s="17" t="s">
        <v>8069</v>
      </c>
      <c r="B2253" s="17" t="s">
        <v>695</v>
      </c>
      <c r="C2253" s="17" t="s">
        <v>295</v>
      </c>
      <c r="D2253" s="18" t="s">
        <v>4962</v>
      </c>
      <c r="E2253" s="17" t="s">
        <v>654</v>
      </c>
      <c r="F2253" s="17" t="s">
        <v>698</v>
      </c>
      <c r="G2253" s="18" t="s">
        <v>6686</v>
      </c>
      <c r="H2253" s="20" t="s">
        <v>8092</v>
      </c>
      <c r="I2253" s="17" t="s">
        <v>6688</v>
      </c>
      <c r="J2253" s="21">
        <v>1</v>
      </c>
      <c r="K2253" s="21" t="s">
        <v>8071</v>
      </c>
      <c r="L2253" s="21" t="s">
        <v>8093</v>
      </c>
      <c r="M2253" s="19" t="s">
        <v>4965</v>
      </c>
      <c r="N2253" s="19" t="s">
        <v>657</v>
      </c>
      <c r="O2253" s="19" t="s">
        <v>6690</v>
      </c>
      <c r="P2253" s="19"/>
      <c r="Q2253" s="18" t="s">
        <v>286</v>
      </c>
      <c r="R2253" s="22" t="s">
        <v>88</v>
      </c>
      <c r="S2253" s="19" t="s">
        <v>584</v>
      </c>
      <c r="T2253" s="26" t="s">
        <v>3848</v>
      </c>
    </row>
  </sheetData>
  <autoFilter ref="A1:T2253" xr:uid="{00000000-0009-0000-0000-000001000000}"/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zoomScaleNormal="100" workbookViewId="0"/>
  </sheetViews>
  <sheetFormatPr defaultColWidth="8.5" defaultRowHeight="13.5"/>
  <cols>
    <col min="1" max="1" width="22" customWidth="1"/>
    <col min="2" max="2" width="120" customWidth="1"/>
  </cols>
  <sheetData>
    <row r="1" spans="1:2" ht="21.75">
      <c r="A1" s="3" t="s">
        <v>0</v>
      </c>
    </row>
    <row r="3" spans="1:2" ht="49.5" customHeight="1">
      <c r="A3" s="4" t="s">
        <v>1</v>
      </c>
      <c r="B3" s="5" t="s">
        <v>2</v>
      </c>
    </row>
    <row r="4" spans="1:2" ht="49.5" customHeight="1">
      <c r="A4" s="4" t="s">
        <v>3</v>
      </c>
      <c r="B4" s="6" t="s">
        <v>4</v>
      </c>
    </row>
    <row r="5" spans="1:2" ht="49.5" customHeight="1">
      <c r="A5" s="4" t="s">
        <v>5</v>
      </c>
      <c r="B5" s="6" t="s">
        <v>6</v>
      </c>
    </row>
    <row r="6" spans="1:2" ht="49.5" customHeight="1">
      <c r="A6" s="4" t="s">
        <v>7</v>
      </c>
      <c r="B6" s="6" t="s">
        <v>8</v>
      </c>
    </row>
    <row r="7" spans="1:2" ht="49.5" customHeight="1">
      <c r="A7" s="7" t="s">
        <v>9</v>
      </c>
      <c r="B7" s="5" t="s">
        <v>10</v>
      </c>
    </row>
    <row r="8" spans="1:2" ht="49.5" customHeight="1">
      <c r="A8" s="4" t="s">
        <v>11</v>
      </c>
      <c r="B8" s="6" t="s">
        <v>12</v>
      </c>
    </row>
    <row r="10" spans="1:2">
      <c r="A10" s="8" t="s">
        <v>13</v>
      </c>
      <c r="B10" s="8" t="s">
        <v>14</v>
      </c>
    </row>
    <row r="11" spans="1:2">
      <c r="A11" s="9" t="s">
        <v>15</v>
      </c>
      <c r="B11" s="9">
        <f>COUNTA(关系明细!L2:L2253)</f>
        <v>2252</v>
      </c>
    </row>
    <row r="12" spans="1:2" ht="16.5">
      <c r="A12" s="9" t="s">
        <v>16</v>
      </c>
      <c r="B12" s="9">
        <f>COUNTIF(关系明细!T2:T2253,"v2新增")</f>
        <v>2181</v>
      </c>
    </row>
    <row r="13" spans="1:2" ht="16.5">
      <c r="A13" s="9" t="s">
        <v>17</v>
      </c>
      <c r="B13" s="9">
        <f>COUNTIF(关系明细!T2:T2253,"原有*")</f>
        <v>71</v>
      </c>
    </row>
    <row r="14" spans="1:2">
      <c r="A14" s="9" t="s">
        <v>18</v>
      </c>
      <c r="B14" s="9">
        <f>COUNTIF(关系明细!R2:R2253,"高")</f>
        <v>1719</v>
      </c>
    </row>
    <row r="15" spans="1:2" ht="16.5">
      <c r="A15" s="9" t="s">
        <v>19</v>
      </c>
      <c r="B15" s="9">
        <f>COUNTIF(关系明细!R2:R2253,"低")</f>
        <v>16</v>
      </c>
    </row>
    <row r="16" spans="1:2">
      <c r="A16" s="9" t="s">
        <v>20</v>
      </c>
      <c r="B16" s="9">
        <f>COUNTA(实体字典!A4:A1177)</f>
        <v>1174</v>
      </c>
    </row>
    <row r="17" spans="1:2" ht="16.5">
      <c r="A17" s="9" t="s">
        <v>21</v>
      </c>
      <c r="B17" s="9">
        <f>COUNTIF(关系明细!E2:E2253,"绑定测点")</f>
        <v>622</v>
      </c>
    </row>
    <row r="18" spans="1:2" ht="16.5">
      <c r="A18" s="9" t="s">
        <v>22</v>
      </c>
      <c r="B18" s="9">
        <f>COUNTIF('关系分类与统计(Overview)'!K33:K55,"&gt;0")</f>
        <v>23</v>
      </c>
    </row>
  </sheetData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"/>
  <sheetViews>
    <sheetView zoomScaleNormal="100" workbookViewId="0">
      <pane ySplit="4" topLeftCell="A5" activePane="bottomLeft" state="frozen"/>
      <selection pane="bottomLeft"/>
    </sheetView>
  </sheetViews>
  <sheetFormatPr defaultColWidth="8.5" defaultRowHeight="13.5"/>
  <cols>
    <col min="1" max="1" width="6" customWidth="1"/>
    <col min="2" max="2" width="9" customWidth="1"/>
    <col min="3" max="3" width="26" customWidth="1"/>
    <col min="4" max="4" width="22" customWidth="1"/>
    <col min="5" max="5" width="9" customWidth="1"/>
    <col min="6" max="6" width="26" customWidth="1"/>
    <col min="7" max="7" width="56" customWidth="1"/>
    <col min="8" max="8" width="8" customWidth="1"/>
  </cols>
  <sheetData>
    <row r="1" spans="1:8" ht="21.75">
      <c r="A1" s="3" t="s">
        <v>8094</v>
      </c>
    </row>
    <row r="2" spans="1:8" ht="43.5" customHeight="1">
      <c r="A2" s="2" t="s">
        <v>8095</v>
      </c>
      <c r="B2" s="2"/>
      <c r="C2" s="2"/>
      <c r="D2" s="2"/>
      <c r="E2" s="2"/>
      <c r="F2" s="2"/>
      <c r="G2" s="2"/>
      <c r="H2" s="2"/>
    </row>
    <row r="4" spans="1:8">
      <c r="A4" s="10" t="s">
        <v>8096</v>
      </c>
      <c r="B4" s="10" t="s">
        <v>8097</v>
      </c>
      <c r="C4" s="10" t="s">
        <v>8098</v>
      </c>
      <c r="D4" s="10" t="s">
        <v>8099</v>
      </c>
      <c r="E4" s="10" t="s">
        <v>8100</v>
      </c>
      <c r="F4" s="10" t="s">
        <v>8101</v>
      </c>
      <c r="G4" s="10" t="s">
        <v>8102</v>
      </c>
      <c r="H4" s="10" t="s">
        <v>7</v>
      </c>
    </row>
    <row r="5" spans="1:8" ht="16.5">
      <c r="A5" s="27">
        <v>1</v>
      </c>
      <c r="B5" s="27" t="s">
        <v>1034</v>
      </c>
      <c r="C5" s="9" t="s">
        <v>1032</v>
      </c>
      <c r="D5" s="9" t="s">
        <v>588</v>
      </c>
      <c r="E5" s="27" t="s">
        <v>48</v>
      </c>
      <c r="F5" s="9" t="s">
        <v>42</v>
      </c>
      <c r="G5" s="6" t="s">
        <v>8103</v>
      </c>
      <c r="H5" s="28" t="s">
        <v>54</v>
      </c>
    </row>
    <row r="6" spans="1:8" ht="16.5">
      <c r="A6" s="29">
        <v>2</v>
      </c>
      <c r="B6" s="29" t="s">
        <v>1268</v>
      </c>
      <c r="C6" s="30" t="s">
        <v>1266</v>
      </c>
      <c r="D6" s="30" t="s">
        <v>597</v>
      </c>
      <c r="E6" s="29" t="s">
        <v>48</v>
      </c>
      <c r="F6" s="30" t="s">
        <v>42</v>
      </c>
      <c r="G6" s="31" t="s">
        <v>8104</v>
      </c>
      <c r="H6" s="28" t="s">
        <v>54</v>
      </c>
    </row>
    <row r="7" spans="1:8" ht="16.5">
      <c r="A7" s="27">
        <v>3</v>
      </c>
      <c r="B7" s="27" t="s">
        <v>48</v>
      </c>
      <c r="C7" s="9" t="s">
        <v>42</v>
      </c>
      <c r="D7" s="9" t="s">
        <v>617</v>
      </c>
      <c r="E7" s="27" t="s">
        <v>706</v>
      </c>
      <c r="F7" s="9" t="s">
        <v>46</v>
      </c>
      <c r="G7" s="5" t="s">
        <v>8105</v>
      </c>
      <c r="H7" s="28" t="s">
        <v>54</v>
      </c>
    </row>
    <row r="8" spans="1:8" ht="16.5">
      <c r="A8" s="29">
        <v>4</v>
      </c>
      <c r="B8" s="29" t="s">
        <v>706</v>
      </c>
      <c r="C8" s="30" t="s">
        <v>46</v>
      </c>
      <c r="D8" s="30" t="s">
        <v>601</v>
      </c>
      <c r="E8" s="29" t="s">
        <v>48</v>
      </c>
      <c r="F8" s="30" t="s">
        <v>42</v>
      </c>
      <c r="G8" s="32" t="s">
        <v>8106</v>
      </c>
      <c r="H8" s="33" t="s">
        <v>607</v>
      </c>
    </row>
    <row r="9" spans="1:8" ht="16.5">
      <c r="A9" s="27">
        <v>5</v>
      </c>
      <c r="B9" s="27" t="s">
        <v>48</v>
      </c>
      <c r="C9" s="9" t="s">
        <v>42</v>
      </c>
      <c r="D9" s="9" t="s">
        <v>305</v>
      </c>
      <c r="E9" s="27" t="s">
        <v>1407</v>
      </c>
      <c r="F9" s="34" t="s">
        <v>56</v>
      </c>
      <c r="G9" s="6" t="s">
        <v>8107</v>
      </c>
      <c r="H9" s="28" t="s">
        <v>54</v>
      </c>
    </row>
    <row r="10" spans="1:8" ht="16.5">
      <c r="A10" s="29">
        <v>6</v>
      </c>
      <c r="B10" s="29" t="s">
        <v>1407</v>
      </c>
      <c r="C10" s="35" t="s">
        <v>56</v>
      </c>
      <c r="D10" s="30" t="s">
        <v>642</v>
      </c>
      <c r="E10" s="29" t="s">
        <v>48</v>
      </c>
      <c r="F10" s="30" t="s">
        <v>42</v>
      </c>
      <c r="G10" s="31" t="s">
        <v>8108</v>
      </c>
      <c r="H10" s="28" t="s">
        <v>54</v>
      </c>
    </row>
    <row r="11" spans="1:8" ht="16.5">
      <c r="A11" s="27">
        <v>7</v>
      </c>
      <c r="B11" s="27" t="s">
        <v>1407</v>
      </c>
      <c r="C11" s="34" t="s">
        <v>56</v>
      </c>
      <c r="D11" s="9" t="s">
        <v>1566</v>
      </c>
      <c r="E11" s="27" t="s">
        <v>1742</v>
      </c>
      <c r="F11" s="9" t="s">
        <v>1409</v>
      </c>
      <c r="G11" s="6" t="s">
        <v>8109</v>
      </c>
      <c r="H11" s="28" t="s">
        <v>54</v>
      </c>
    </row>
    <row r="12" spans="1:8" ht="16.5">
      <c r="A12" s="29">
        <v>8</v>
      </c>
      <c r="B12" s="29" t="s">
        <v>1742</v>
      </c>
      <c r="C12" s="30" t="s">
        <v>1409</v>
      </c>
      <c r="D12" s="30" t="s">
        <v>1962</v>
      </c>
      <c r="E12" s="29" t="s">
        <v>2175</v>
      </c>
      <c r="F12" s="35" t="s">
        <v>1740</v>
      </c>
      <c r="G12" s="31" t="s">
        <v>8110</v>
      </c>
      <c r="H12" s="28" t="s">
        <v>54</v>
      </c>
    </row>
    <row r="13" spans="1:8" ht="16.5">
      <c r="A13" s="27">
        <v>9</v>
      </c>
      <c r="B13" s="27" t="s">
        <v>1742</v>
      </c>
      <c r="C13" s="9" t="s">
        <v>1409</v>
      </c>
      <c r="D13" s="9" t="s">
        <v>1962</v>
      </c>
      <c r="E13" s="27" t="s">
        <v>2810</v>
      </c>
      <c r="F13" s="9" t="s">
        <v>1745</v>
      </c>
      <c r="G13" s="6" t="s">
        <v>8111</v>
      </c>
      <c r="H13" s="28" t="s">
        <v>54</v>
      </c>
    </row>
    <row r="14" spans="1:8" ht="16.5">
      <c r="A14" s="29">
        <v>10</v>
      </c>
      <c r="B14" s="29" t="s">
        <v>2175</v>
      </c>
      <c r="C14" s="35" t="s">
        <v>1740</v>
      </c>
      <c r="D14" s="30" t="s">
        <v>8112</v>
      </c>
      <c r="E14" s="29" t="s">
        <v>706</v>
      </c>
      <c r="F14" s="30" t="s">
        <v>46</v>
      </c>
      <c r="G14" s="31" t="s">
        <v>8113</v>
      </c>
      <c r="H14" s="28" t="s">
        <v>54</v>
      </c>
    </row>
    <row r="15" spans="1:8" ht="16.5">
      <c r="A15" s="27">
        <v>11</v>
      </c>
      <c r="B15" s="27" t="s">
        <v>2810</v>
      </c>
      <c r="C15" s="9" t="s">
        <v>1745</v>
      </c>
      <c r="D15" s="9" t="s">
        <v>8112</v>
      </c>
      <c r="E15" s="27" t="s">
        <v>706</v>
      </c>
      <c r="F15" s="9" t="s">
        <v>46</v>
      </c>
      <c r="G15" s="6" t="s">
        <v>8114</v>
      </c>
      <c r="H15" s="28" t="s">
        <v>54</v>
      </c>
    </row>
    <row r="16" spans="1:8" ht="16.5">
      <c r="A16" s="29">
        <v>12</v>
      </c>
      <c r="B16" s="29" t="s">
        <v>2175</v>
      </c>
      <c r="C16" s="35" t="s">
        <v>1740</v>
      </c>
      <c r="D16" s="35" t="s">
        <v>8115</v>
      </c>
      <c r="E16" s="29" t="s">
        <v>3133</v>
      </c>
      <c r="F16" s="30" t="s">
        <v>2177</v>
      </c>
      <c r="G16" s="31" t="s">
        <v>8116</v>
      </c>
      <c r="H16" s="28" t="s">
        <v>54</v>
      </c>
    </row>
    <row r="17" spans="1:8" ht="16.5">
      <c r="A17" s="27">
        <v>13</v>
      </c>
      <c r="B17" s="27" t="s">
        <v>3133</v>
      </c>
      <c r="C17" s="9" t="s">
        <v>2177</v>
      </c>
      <c r="D17" s="9" t="s">
        <v>3378</v>
      </c>
      <c r="E17" s="27" t="s">
        <v>3945</v>
      </c>
      <c r="F17" s="9" t="s">
        <v>3131</v>
      </c>
      <c r="G17" s="5" t="s">
        <v>8117</v>
      </c>
      <c r="H17" s="28" t="s">
        <v>54</v>
      </c>
    </row>
    <row r="18" spans="1:8" ht="16.5">
      <c r="A18" s="29">
        <v>14</v>
      </c>
      <c r="B18" s="29" t="s">
        <v>3655</v>
      </c>
      <c r="C18" s="30" t="s">
        <v>3653</v>
      </c>
      <c r="D18" s="30" t="s">
        <v>8118</v>
      </c>
      <c r="E18" s="29" t="s">
        <v>3945</v>
      </c>
      <c r="F18" s="30" t="s">
        <v>3131</v>
      </c>
      <c r="G18" s="31" t="s">
        <v>8119</v>
      </c>
      <c r="H18" s="28" t="s">
        <v>54</v>
      </c>
    </row>
    <row r="19" spans="1:8" ht="16.5">
      <c r="A19" s="27">
        <v>15</v>
      </c>
      <c r="B19" s="27" t="s">
        <v>3655</v>
      </c>
      <c r="C19" s="9" t="s">
        <v>3653</v>
      </c>
      <c r="D19" s="9" t="s">
        <v>8120</v>
      </c>
      <c r="E19" s="27" t="s">
        <v>4600</v>
      </c>
      <c r="F19" s="9" t="s">
        <v>3658</v>
      </c>
      <c r="G19" s="6" t="s">
        <v>8121</v>
      </c>
      <c r="H19" s="28" t="s">
        <v>54</v>
      </c>
    </row>
    <row r="20" spans="1:8" ht="16.5">
      <c r="A20" s="29">
        <v>16</v>
      </c>
      <c r="B20" s="29" t="s">
        <v>3655</v>
      </c>
      <c r="C20" s="30" t="s">
        <v>3653</v>
      </c>
      <c r="D20" s="30" t="s">
        <v>8122</v>
      </c>
      <c r="E20" s="29" t="s">
        <v>2175</v>
      </c>
      <c r="F20" s="35" t="s">
        <v>1740</v>
      </c>
      <c r="G20" s="31" t="s">
        <v>8123</v>
      </c>
      <c r="H20" s="36" t="s">
        <v>88</v>
      </c>
    </row>
    <row r="21" spans="1:8" ht="16.5">
      <c r="A21" s="27">
        <v>17</v>
      </c>
      <c r="B21" s="27" t="s">
        <v>3945</v>
      </c>
      <c r="C21" s="9" t="s">
        <v>3131</v>
      </c>
      <c r="D21" s="9" t="s">
        <v>8124</v>
      </c>
      <c r="E21" s="27" t="s">
        <v>4600</v>
      </c>
      <c r="F21" s="9" t="s">
        <v>3658</v>
      </c>
      <c r="G21" s="6" t="s">
        <v>8125</v>
      </c>
      <c r="H21" s="28" t="s">
        <v>54</v>
      </c>
    </row>
    <row r="22" spans="1:8" ht="16.5">
      <c r="A22" s="29">
        <v>18</v>
      </c>
      <c r="B22" s="29" t="s">
        <v>6413</v>
      </c>
      <c r="C22" s="30" t="s">
        <v>6411</v>
      </c>
      <c r="D22" s="30" t="s">
        <v>5308</v>
      </c>
      <c r="E22" s="29" t="s">
        <v>4600</v>
      </c>
      <c r="F22" s="30" t="s">
        <v>3658</v>
      </c>
      <c r="G22" s="31" t="s">
        <v>8126</v>
      </c>
      <c r="H22" s="28" t="s">
        <v>54</v>
      </c>
    </row>
    <row r="23" spans="1:8" ht="16.5">
      <c r="A23" s="27">
        <v>19</v>
      </c>
      <c r="B23" s="27" t="s">
        <v>4600</v>
      </c>
      <c r="C23" s="9" t="s">
        <v>3658</v>
      </c>
      <c r="D23" s="34" t="s">
        <v>4994</v>
      </c>
      <c r="E23" s="27" t="s">
        <v>5406</v>
      </c>
      <c r="F23" s="34" t="s">
        <v>4598</v>
      </c>
      <c r="G23" s="6" t="s">
        <v>8127</v>
      </c>
      <c r="H23" s="28" t="s">
        <v>54</v>
      </c>
    </row>
    <row r="24" spans="1:8" ht="16.5">
      <c r="A24" s="29">
        <v>20</v>
      </c>
      <c r="B24" s="29" t="s">
        <v>4600</v>
      </c>
      <c r="C24" s="30" t="s">
        <v>3658</v>
      </c>
      <c r="D24" s="35" t="s">
        <v>4994</v>
      </c>
      <c r="E24" s="29" t="s">
        <v>6156</v>
      </c>
      <c r="F24" s="35" t="s">
        <v>4603</v>
      </c>
      <c r="G24" s="32" t="s">
        <v>8128</v>
      </c>
      <c r="H24" s="28" t="s">
        <v>54</v>
      </c>
    </row>
    <row r="25" spans="1:8" ht="16.5">
      <c r="A25" s="27">
        <v>21</v>
      </c>
      <c r="B25" s="27" t="s">
        <v>6413</v>
      </c>
      <c r="C25" s="9" t="s">
        <v>6411</v>
      </c>
      <c r="D25" s="9" t="s">
        <v>6095</v>
      </c>
      <c r="E25" s="27" t="s">
        <v>5406</v>
      </c>
      <c r="F25" s="34" t="s">
        <v>4598</v>
      </c>
      <c r="G25" s="6" t="s">
        <v>8129</v>
      </c>
      <c r="H25" s="28" t="s">
        <v>54</v>
      </c>
    </row>
    <row r="26" spans="1:8" ht="16.5">
      <c r="A26" s="29">
        <v>22</v>
      </c>
      <c r="B26" s="29" t="s">
        <v>6413</v>
      </c>
      <c r="C26" s="30" t="s">
        <v>6411</v>
      </c>
      <c r="D26" s="35" t="s">
        <v>6387</v>
      </c>
      <c r="E26" s="29" t="s">
        <v>6156</v>
      </c>
      <c r="F26" s="35" t="s">
        <v>4603</v>
      </c>
      <c r="G26" s="32" t="s">
        <v>8130</v>
      </c>
      <c r="H26" s="28" t="s">
        <v>54</v>
      </c>
    </row>
    <row r="27" spans="1:8" ht="16.5">
      <c r="A27" s="27">
        <v>23</v>
      </c>
      <c r="B27" s="27" t="s">
        <v>6156</v>
      </c>
      <c r="C27" s="34" t="s">
        <v>4603</v>
      </c>
      <c r="D27" s="9" t="s">
        <v>8131</v>
      </c>
      <c r="E27" s="27" t="s">
        <v>5406</v>
      </c>
      <c r="F27" s="34" t="s">
        <v>4598</v>
      </c>
      <c r="G27" s="5" t="s">
        <v>8132</v>
      </c>
      <c r="H27" s="28" t="s">
        <v>54</v>
      </c>
    </row>
    <row r="28" spans="1:8" ht="16.5">
      <c r="A28" s="29">
        <v>24</v>
      </c>
      <c r="B28" s="29" t="s">
        <v>5406</v>
      </c>
      <c r="C28" s="35" t="s">
        <v>4598</v>
      </c>
      <c r="D28" s="35" t="s">
        <v>5693</v>
      </c>
      <c r="E28" s="29" t="s">
        <v>6606</v>
      </c>
      <c r="F28" s="35" t="s">
        <v>5404</v>
      </c>
      <c r="G28" s="32" t="s">
        <v>8133</v>
      </c>
      <c r="H28" s="36" t="s">
        <v>88</v>
      </c>
    </row>
    <row r="29" spans="1:8" ht="16.5">
      <c r="A29" s="27">
        <v>25</v>
      </c>
      <c r="B29" s="27" t="s">
        <v>5406</v>
      </c>
      <c r="C29" s="34" t="s">
        <v>4598</v>
      </c>
      <c r="D29" s="9" t="s">
        <v>5697</v>
      </c>
      <c r="E29" s="27" t="s">
        <v>6692</v>
      </c>
      <c r="F29" s="9" t="s">
        <v>5409</v>
      </c>
      <c r="G29" s="6" t="s">
        <v>8134</v>
      </c>
      <c r="H29" s="28" t="s">
        <v>54</v>
      </c>
    </row>
    <row r="30" spans="1:8" ht="16.5">
      <c r="A30" s="29">
        <v>26</v>
      </c>
      <c r="B30" s="29" t="s">
        <v>6692</v>
      </c>
      <c r="C30" s="30" t="s">
        <v>5409</v>
      </c>
      <c r="D30" s="30" t="s">
        <v>4543</v>
      </c>
      <c r="E30" s="29" t="s">
        <v>3945</v>
      </c>
      <c r="F30" s="30" t="s">
        <v>3131</v>
      </c>
      <c r="G30" s="31" t="s">
        <v>8135</v>
      </c>
      <c r="H30" s="28" t="s">
        <v>54</v>
      </c>
    </row>
    <row r="31" spans="1:8" ht="16.5">
      <c r="A31" s="27">
        <v>27</v>
      </c>
      <c r="B31" s="27" t="s">
        <v>4600</v>
      </c>
      <c r="C31" s="9" t="s">
        <v>3658</v>
      </c>
      <c r="D31" s="9" t="s">
        <v>8136</v>
      </c>
      <c r="E31" s="27" t="s">
        <v>7226</v>
      </c>
      <c r="F31" s="9" t="s">
        <v>4607</v>
      </c>
      <c r="G31" s="6" t="s">
        <v>8137</v>
      </c>
      <c r="H31" s="36" t="s">
        <v>88</v>
      </c>
    </row>
    <row r="32" spans="1:8" ht="16.5">
      <c r="A32" s="29">
        <v>28</v>
      </c>
      <c r="B32" s="29" t="s">
        <v>4600</v>
      </c>
      <c r="C32" s="30" t="s">
        <v>3658</v>
      </c>
      <c r="D32" s="30" t="s">
        <v>8138</v>
      </c>
      <c r="E32" s="29" t="s">
        <v>6981</v>
      </c>
      <c r="F32" s="30" t="s">
        <v>3136</v>
      </c>
      <c r="G32" s="31" t="s">
        <v>8139</v>
      </c>
      <c r="H32" s="28" t="s">
        <v>54</v>
      </c>
    </row>
    <row r="33" spans="1:8" ht="16.5">
      <c r="A33" s="27">
        <v>29</v>
      </c>
      <c r="B33" s="27" t="s">
        <v>6981</v>
      </c>
      <c r="C33" s="9" t="s">
        <v>3136</v>
      </c>
      <c r="D33" s="9" t="s">
        <v>8140</v>
      </c>
      <c r="E33" s="27" t="s">
        <v>4600</v>
      </c>
      <c r="F33" s="9" t="s">
        <v>3658</v>
      </c>
      <c r="G33" s="6" t="s">
        <v>8141</v>
      </c>
      <c r="H33" s="28" t="s">
        <v>54</v>
      </c>
    </row>
    <row r="34" spans="1:8" ht="16.5">
      <c r="A34" s="29">
        <v>30</v>
      </c>
      <c r="B34" s="29" t="s">
        <v>6981</v>
      </c>
      <c r="C34" s="30" t="s">
        <v>3136</v>
      </c>
      <c r="D34" s="30" t="s">
        <v>8142</v>
      </c>
      <c r="E34" s="29" t="s">
        <v>706</v>
      </c>
      <c r="F34" s="30" t="s">
        <v>46</v>
      </c>
      <c r="G34" s="31" t="s">
        <v>8143</v>
      </c>
      <c r="H34" s="36" t="s">
        <v>88</v>
      </c>
    </row>
    <row r="35" spans="1:8" ht="16.5">
      <c r="A35" s="27">
        <v>31</v>
      </c>
      <c r="B35" s="27" t="s">
        <v>7226</v>
      </c>
      <c r="C35" s="9" t="s">
        <v>4607</v>
      </c>
      <c r="D35" s="9" t="s">
        <v>4990</v>
      </c>
      <c r="E35" s="27" t="s">
        <v>4600</v>
      </c>
      <c r="F35" s="9" t="s">
        <v>3658</v>
      </c>
      <c r="G35" s="6" t="s">
        <v>8144</v>
      </c>
      <c r="H35" s="36" t="s">
        <v>88</v>
      </c>
    </row>
    <row r="36" spans="1:8" ht="16.5">
      <c r="A36" s="29">
        <v>32</v>
      </c>
      <c r="B36" s="29" t="s">
        <v>706</v>
      </c>
      <c r="C36" s="30" t="s">
        <v>46</v>
      </c>
      <c r="D36" s="30" t="s">
        <v>636</v>
      </c>
      <c r="E36" s="29" t="s">
        <v>7426</v>
      </c>
      <c r="F36" s="30" t="s">
        <v>708</v>
      </c>
      <c r="G36" s="31" t="s">
        <v>8145</v>
      </c>
      <c r="H36" s="28" t="s">
        <v>54</v>
      </c>
    </row>
    <row r="37" spans="1:8" ht="16.5">
      <c r="A37" s="27">
        <v>33</v>
      </c>
      <c r="B37" s="27" t="s">
        <v>7426</v>
      </c>
      <c r="C37" s="9" t="s">
        <v>708</v>
      </c>
      <c r="D37" s="9" t="s">
        <v>8146</v>
      </c>
      <c r="E37" s="27" t="s">
        <v>6981</v>
      </c>
      <c r="F37" s="9" t="s">
        <v>3136</v>
      </c>
      <c r="G37" s="6" t="s">
        <v>8147</v>
      </c>
      <c r="H37" s="36" t="s">
        <v>88</v>
      </c>
    </row>
    <row r="38" spans="1:8" ht="16.5">
      <c r="A38" s="29">
        <v>34</v>
      </c>
      <c r="B38" s="29" t="s">
        <v>3133</v>
      </c>
      <c r="C38" s="30" t="s">
        <v>2177</v>
      </c>
      <c r="D38" s="30" t="s">
        <v>8148</v>
      </c>
      <c r="E38" s="29" t="s">
        <v>6981</v>
      </c>
      <c r="F38" s="30" t="s">
        <v>3136</v>
      </c>
      <c r="G38" s="31" t="s">
        <v>8149</v>
      </c>
      <c r="H38" s="36" t="s">
        <v>88</v>
      </c>
    </row>
    <row r="39" spans="1:8" ht="16.5">
      <c r="A39" s="27">
        <v>35</v>
      </c>
      <c r="B39" s="27" t="s">
        <v>7807</v>
      </c>
      <c r="C39" s="9" t="s">
        <v>7805</v>
      </c>
      <c r="D39" s="9" t="s">
        <v>8150</v>
      </c>
      <c r="E39" s="27" t="s">
        <v>4600</v>
      </c>
      <c r="F39" s="9" t="s">
        <v>3658</v>
      </c>
      <c r="G39" s="6" t="s">
        <v>8151</v>
      </c>
      <c r="H39" s="28" t="s">
        <v>54</v>
      </c>
    </row>
    <row r="40" spans="1:8" ht="16.5">
      <c r="A40" s="29">
        <v>36</v>
      </c>
      <c r="B40" s="29" t="s">
        <v>7807</v>
      </c>
      <c r="C40" s="30" t="s">
        <v>7805</v>
      </c>
      <c r="D40" s="30" t="s">
        <v>8152</v>
      </c>
      <c r="E40" s="29" t="s">
        <v>3133</v>
      </c>
      <c r="F40" s="30" t="s">
        <v>2177</v>
      </c>
      <c r="G40" s="31" t="s">
        <v>8153</v>
      </c>
      <c r="H40" s="28" t="s">
        <v>54</v>
      </c>
    </row>
    <row r="41" spans="1:8" ht="16.5">
      <c r="A41" s="27">
        <v>37</v>
      </c>
      <c r="B41" s="27" t="s">
        <v>7807</v>
      </c>
      <c r="C41" s="9" t="s">
        <v>7805</v>
      </c>
      <c r="D41" s="34" t="s">
        <v>8154</v>
      </c>
      <c r="E41" s="27" t="s">
        <v>6156</v>
      </c>
      <c r="F41" s="34" t="s">
        <v>4603</v>
      </c>
      <c r="G41" s="5" t="s">
        <v>8155</v>
      </c>
      <c r="H41" s="28" t="s">
        <v>54</v>
      </c>
    </row>
    <row r="42" spans="1:8" ht="16.5">
      <c r="A42" s="29">
        <v>38</v>
      </c>
      <c r="B42" s="29" t="s">
        <v>6606</v>
      </c>
      <c r="C42" s="35" t="s">
        <v>5404</v>
      </c>
      <c r="D42" s="30" t="s">
        <v>8156</v>
      </c>
      <c r="E42" s="29" t="s">
        <v>7983</v>
      </c>
      <c r="F42" s="30" t="s">
        <v>2812</v>
      </c>
      <c r="G42" s="32" t="s">
        <v>8157</v>
      </c>
      <c r="H42" s="33" t="s">
        <v>607</v>
      </c>
    </row>
    <row r="43" spans="1:8" ht="16.5">
      <c r="A43" s="27">
        <v>39</v>
      </c>
      <c r="B43" s="27" t="s">
        <v>2810</v>
      </c>
      <c r="C43" s="9" t="s">
        <v>1745</v>
      </c>
      <c r="D43" s="9" t="s">
        <v>8158</v>
      </c>
      <c r="E43" s="27" t="s">
        <v>7983</v>
      </c>
      <c r="F43" s="9" t="s">
        <v>2812</v>
      </c>
      <c r="G43" s="6" t="s">
        <v>8159</v>
      </c>
      <c r="H43" s="33" t="s">
        <v>607</v>
      </c>
    </row>
    <row r="44" spans="1:8" ht="16.5">
      <c r="A44" s="29">
        <v>40</v>
      </c>
      <c r="B44" s="29" t="s">
        <v>7807</v>
      </c>
      <c r="C44" s="30" t="s">
        <v>7805</v>
      </c>
      <c r="D44" s="30" t="s">
        <v>8160</v>
      </c>
      <c r="E44" s="29" t="s">
        <v>6606</v>
      </c>
      <c r="F44" s="35" t="s">
        <v>5404</v>
      </c>
      <c r="G44" s="31" t="s">
        <v>8161</v>
      </c>
      <c r="H44" s="36" t="s">
        <v>88</v>
      </c>
    </row>
  </sheetData>
  <mergeCells count="1">
    <mergeCell ref="A2:H2"/>
  </mergeCells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77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5" defaultRowHeight="13.5"/>
  <cols>
    <col min="1" max="1" width="30" customWidth="1"/>
    <col min="2" max="2" width="36" customWidth="1"/>
    <col min="3" max="3" width="11" customWidth="1"/>
    <col min="4" max="4" width="22" customWidth="1"/>
    <col min="5" max="5" width="8" customWidth="1"/>
    <col min="6" max="6" width="30" customWidth="1"/>
    <col min="7" max="7" width="50" customWidth="1"/>
    <col min="8" max="9" width="10" customWidth="1"/>
  </cols>
  <sheetData>
    <row r="1" spans="1:9" ht="19.5">
      <c r="A1" s="37" t="s">
        <v>8162</v>
      </c>
    </row>
    <row r="3" spans="1:9" ht="25.5">
      <c r="A3" s="10" t="s">
        <v>8163</v>
      </c>
      <c r="B3" s="10" t="s">
        <v>8164</v>
      </c>
      <c r="C3" s="10" t="s">
        <v>8165</v>
      </c>
      <c r="D3" s="38" t="s">
        <v>8166</v>
      </c>
      <c r="E3" s="10" t="s">
        <v>8167</v>
      </c>
      <c r="F3" s="10" t="s">
        <v>8168</v>
      </c>
      <c r="G3" s="10" t="s">
        <v>8169</v>
      </c>
      <c r="H3" s="10" t="s">
        <v>8170</v>
      </c>
      <c r="I3" s="10" t="s">
        <v>8171</v>
      </c>
    </row>
    <row r="4" spans="1:9" ht="16.5">
      <c r="A4" s="35" t="s">
        <v>50</v>
      </c>
      <c r="B4" s="30" t="s">
        <v>42</v>
      </c>
      <c r="C4" s="39" t="s">
        <v>44</v>
      </c>
      <c r="D4" s="35" t="s">
        <v>8172</v>
      </c>
      <c r="E4" s="29" t="s">
        <v>48</v>
      </c>
      <c r="F4" s="35"/>
      <c r="G4" s="30" t="s">
        <v>8173</v>
      </c>
      <c r="H4" s="29">
        <f>COUNTIF(关系明细!$D$2:$D$2253,B4)</f>
        <v>8</v>
      </c>
      <c r="I4" s="29">
        <f>COUNTIF(关系明细!$G$2:$G$2253,B4)</f>
        <v>4</v>
      </c>
    </row>
    <row r="5" spans="1:9" ht="16.5">
      <c r="A5" s="34" t="s">
        <v>166</v>
      </c>
      <c r="B5" s="9" t="s">
        <v>163</v>
      </c>
      <c r="C5" s="40" t="s">
        <v>62</v>
      </c>
      <c r="D5" s="34" t="s">
        <v>8174</v>
      </c>
      <c r="E5" s="27" t="s">
        <v>48</v>
      </c>
      <c r="F5" s="34"/>
      <c r="G5" s="9" t="s">
        <v>8175</v>
      </c>
      <c r="H5" s="27">
        <f>COUNTIF(关系明细!$D$2:$D$2253,B5)</f>
        <v>7</v>
      </c>
      <c r="I5" s="27">
        <f>COUNTIF(关系明细!$G$2:$G$2253,B5)</f>
        <v>3</v>
      </c>
    </row>
    <row r="6" spans="1:9" ht="16.5">
      <c r="A6" s="35" t="s">
        <v>96</v>
      </c>
      <c r="B6" s="30" t="s">
        <v>93</v>
      </c>
      <c r="C6" s="39" t="s">
        <v>62</v>
      </c>
      <c r="D6" s="35" t="s">
        <v>8174</v>
      </c>
      <c r="E6" s="29" t="s">
        <v>48</v>
      </c>
      <c r="F6" s="35"/>
      <c r="G6" s="30" t="s">
        <v>8176</v>
      </c>
      <c r="H6" s="29">
        <f>COUNTIF(关系明细!$D$2:$D$2253,B6)</f>
        <v>8</v>
      </c>
      <c r="I6" s="29">
        <f>COUNTIF(关系明细!$G$2:$G$2253,B6)</f>
        <v>2</v>
      </c>
    </row>
    <row r="7" spans="1:9" ht="16.5">
      <c r="A7" s="34" t="s">
        <v>68</v>
      </c>
      <c r="B7" s="9" t="s">
        <v>63</v>
      </c>
      <c r="C7" s="40" t="s">
        <v>62</v>
      </c>
      <c r="D7" s="34" t="s">
        <v>8174</v>
      </c>
      <c r="E7" s="27" t="s">
        <v>48</v>
      </c>
      <c r="F7" s="34"/>
      <c r="G7" s="9" t="s">
        <v>8177</v>
      </c>
      <c r="H7" s="27">
        <f>COUNTIF(关系明细!$D$2:$D$2253,B7)</f>
        <v>8</v>
      </c>
      <c r="I7" s="27">
        <f>COUNTIF(关系明细!$G$2:$G$2253,B7)</f>
        <v>3</v>
      </c>
    </row>
    <row r="8" spans="1:9" ht="16.5">
      <c r="A8" s="35" t="s">
        <v>123</v>
      </c>
      <c r="B8" s="35" t="s">
        <v>120</v>
      </c>
      <c r="C8" s="39" t="s">
        <v>62</v>
      </c>
      <c r="D8" s="35" t="s">
        <v>8174</v>
      </c>
      <c r="E8" s="29" t="s">
        <v>48</v>
      </c>
      <c r="F8" s="35"/>
      <c r="G8" s="30" t="s">
        <v>8178</v>
      </c>
      <c r="H8" s="29">
        <f>COUNTIF(关系明细!$D$2:$D$2253,B8)</f>
        <v>25</v>
      </c>
      <c r="I8" s="29">
        <f>COUNTIF(关系明细!$G$2:$G$2253,B8)</f>
        <v>7</v>
      </c>
    </row>
    <row r="9" spans="1:9" ht="16.5">
      <c r="A9" s="34" t="s">
        <v>194</v>
      </c>
      <c r="B9" s="9" t="s">
        <v>191</v>
      </c>
      <c r="C9" s="40" t="s">
        <v>62</v>
      </c>
      <c r="D9" s="34" t="s">
        <v>8174</v>
      </c>
      <c r="E9" s="27" t="s">
        <v>48</v>
      </c>
      <c r="F9" s="34"/>
      <c r="G9" s="9" t="s">
        <v>8179</v>
      </c>
      <c r="H9" s="27">
        <f>COUNTIF(关系明细!$D$2:$D$2253,B9)</f>
        <v>7</v>
      </c>
      <c r="I9" s="27">
        <f>COUNTIF(关系明细!$G$2:$G$2253,B9)</f>
        <v>3</v>
      </c>
    </row>
    <row r="10" spans="1:9" ht="16.5">
      <c r="A10" s="35" t="s">
        <v>186</v>
      </c>
      <c r="B10" s="30" t="s">
        <v>183</v>
      </c>
      <c r="C10" s="39" t="s">
        <v>62</v>
      </c>
      <c r="D10" s="35" t="s">
        <v>8174</v>
      </c>
      <c r="E10" s="29" t="s">
        <v>48</v>
      </c>
      <c r="F10" s="35"/>
      <c r="G10" s="30" t="s">
        <v>8180</v>
      </c>
      <c r="H10" s="29">
        <f>COUNTIF(关系明细!$D$2:$D$2253,B10)</f>
        <v>2</v>
      </c>
      <c r="I10" s="29">
        <f>COUNTIF(关系明细!$G$2:$G$2253,B10)</f>
        <v>2</v>
      </c>
    </row>
    <row r="11" spans="1:9" ht="16.5">
      <c r="A11" s="34" t="s">
        <v>170</v>
      </c>
      <c r="B11" s="34" t="s">
        <v>167</v>
      </c>
      <c r="C11" s="40" t="s">
        <v>72</v>
      </c>
      <c r="D11" s="34" t="s">
        <v>8181</v>
      </c>
      <c r="E11" s="27" t="s">
        <v>48</v>
      </c>
      <c r="F11" s="34"/>
      <c r="G11" s="9" t="s">
        <v>8182</v>
      </c>
      <c r="H11" s="27">
        <f>COUNTIF(关系明细!$D$2:$D$2253,B11)</f>
        <v>0</v>
      </c>
      <c r="I11" s="27">
        <f>COUNTIF(关系明细!$G$2:$G$2253,B11)</f>
        <v>1</v>
      </c>
    </row>
    <row r="12" spans="1:9" ht="16.5">
      <c r="A12" s="35" t="s">
        <v>173</v>
      </c>
      <c r="B12" s="35" t="s">
        <v>171</v>
      </c>
      <c r="C12" s="39" t="s">
        <v>72</v>
      </c>
      <c r="D12" s="35" t="s">
        <v>8181</v>
      </c>
      <c r="E12" s="29" t="s">
        <v>48</v>
      </c>
      <c r="F12" s="35"/>
      <c r="G12" s="30" t="s">
        <v>8182</v>
      </c>
      <c r="H12" s="29">
        <f>COUNTIF(关系明细!$D$2:$D$2253,B12)</f>
        <v>0</v>
      </c>
      <c r="I12" s="29">
        <f>COUNTIF(关系明细!$G$2:$G$2253,B12)</f>
        <v>1</v>
      </c>
    </row>
    <row r="13" spans="1:9" ht="16.5">
      <c r="A13" s="34" t="s">
        <v>176</v>
      </c>
      <c r="B13" s="34" t="s">
        <v>174</v>
      </c>
      <c r="C13" s="40" t="s">
        <v>72</v>
      </c>
      <c r="D13" s="34" t="s">
        <v>8181</v>
      </c>
      <c r="E13" s="27" t="s">
        <v>48</v>
      </c>
      <c r="F13" s="34"/>
      <c r="G13" s="9" t="s">
        <v>8182</v>
      </c>
      <c r="H13" s="27">
        <f>COUNTIF(关系明细!$D$2:$D$2253,B13)</f>
        <v>0</v>
      </c>
      <c r="I13" s="27">
        <f>COUNTIF(关系明细!$G$2:$G$2253,B13)</f>
        <v>1</v>
      </c>
    </row>
    <row r="14" spans="1:9" ht="16.5">
      <c r="A14" s="35" t="s">
        <v>179</v>
      </c>
      <c r="B14" s="35" t="s">
        <v>177</v>
      </c>
      <c r="C14" s="39" t="s">
        <v>72</v>
      </c>
      <c r="D14" s="35" t="s">
        <v>8181</v>
      </c>
      <c r="E14" s="29" t="s">
        <v>48</v>
      </c>
      <c r="F14" s="35"/>
      <c r="G14" s="30" t="s">
        <v>8182</v>
      </c>
      <c r="H14" s="29">
        <f>COUNTIF(关系明细!$D$2:$D$2253,B14)</f>
        <v>0</v>
      </c>
      <c r="I14" s="29">
        <f>COUNTIF(关系明细!$G$2:$G$2253,B14)</f>
        <v>1</v>
      </c>
    </row>
    <row r="15" spans="1:9" ht="16.5">
      <c r="A15" s="34" t="s">
        <v>182</v>
      </c>
      <c r="B15" s="34" t="s">
        <v>180</v>
      </c>
      <c r="C15" s="40" t="s">
        <v>72</v>
      </c>
      <c r="D15" s="34" t="s">
        <v>8181</v>
      </c>
      <c r="E15" s="27" t="s">
        <v>48</v>
      </c>
      <c r="F15" s="34"/>
      <c r="G15" s="9" t="s">
        <v>8182</v>
      </c>
      <c r="H15" s="27">
        <f>COUNTIF(关系明细!$D$2:$D$2253,B15)</f>
        <v>0</v>
      </c>
      <c r="I15" s="27">
        <f>COUNTIF(关系明细!$G$2:$G$2253,B15)</f>
        <v>1</v>
      </c>
    </row>
    <row r="16" spans="1:9" ht="16.5">
      <c r="A16" s="35" t="s">
        <v>100</v>
      </c>
      <c r="B16" s="30" t="s">
        <v>97</v>
      </c>
      <c r="C16" s="39" t="s">
        <v>72</v>
      </c>
      <c r="D16" s="35" t="s">
        <v>8181</v>
      </c>
      <c r="E16" s="29" t="s">
        <v>48</v>
      </c>
      <c r="F16" s="35"/>
      <c r="G16" s="30" t="s">
        <v>8183</v>
      </c>
      <c r="H16" s="29">
        <f>COUNTIF(关系明细!$D$2:$D$2253,B16)</f>
        <v>0</v>
      </c>
      <c r="I16" s="29">
        <f>COUNTIF(关系明细!$G$2:$G$2253,B16)</f>
        <v>1</v>
      </c>
    </row>
    <row r="17" spans="1:9" ht="16.5">
      <c r="A17" s="34" t="s">
        <v>103</v>
      </c>
      <c r="B17" s="9" t="s">
        <v>101</v>
      </c>
      <c r="C17" s="40" t="s">
        <v>72</v>
      </c>
      <c r="D17" s="34" t="s">
        <v>8181</v>
      </c>
      <c r="E17" s="27" t="s">
        <v>48</v>
      </c>
      <c r="F17" s="34"/>
      <c r="G17" s="9" t="s">
        <v>8183</v>
      </c>
      <c r="H17" s="27">
        <f>COUNTIF(关系明细!$D$2:$D$2253,B17)</f>
        <v>0</v>
      </c>
      <c r="I17" s="27">
        <f>COUNTIF(关系明细!$G$2:$G$2253,B17)</f>
        <v>1</v>
      </c>
    </row>
    <row r="18" spans="1:9" ht="16.5">
      <c r="A18" s="35" t="s">
        <v>106</v>
      </c>
      <c r="B18" s="30" t="s">
        <v>104</v>
      </c>
      <c r="C18" s="39" t="s">
        <v>72</v>
      </c>
      <c r="D18" s="35" t="s">
        <v>8181</v>
      </c>
      <c r="E18" s="29" t="s">
        <v>48</v>
      </c>
      <c r="F18" s="35"/>
      <c r="G18" s="30" t="s">
        <v>8183</v>
      </c>
      <c r="H18" s="29">
        <f>COUNTIF(关系明细!$D$2:$D$2253,B18)</f>
        <v>0</v>
      </c>
      <c r="I18" s="29">
        <f>COUNTIF(关系明细!$G$2:$G$2253,B18)</f>
        <v>1</v>
      </c>
    </row>
    <row r="19" spans="1:9" ht="16.5">
      <c r="A19" s="34" t="s">
        <v>109</v>
      </c>
      <c r="B19" s="9" t="s">
        <v>107</v>
      </c>
      <c r="C19" s="40" t="s">
        <v>72</v>
      </c>
      <c r="D19" s="34" t="s">
        <v>8181</v>
      </c>
      <c r="E19" s="27" t="s">
        <v>48</v>
      </c>
      <c r="F19" s="34"/>
      <c r="G19" s="9" t="s">
        <v>8183</v>
      </c>
      <c r="H19" s="27">
        <f>COUNTIF(关系明细!$D$2:$D$2253,B19)</f>
        <v>0</v>
      </c>
      <c r="I19" s="27">
        <f>COUNTIF(关系明细!$G$2:$G$2253,B19)</f>
        <v>1</v>
      </c>
    </row>
    <row r="20" spans="1:9" ht="16.5">
      <c r="A20" s="35" t="s">
        <v>112</v>
      </c>
      <c r="B20" s="30" t="s">
        <v>110</v>
      </c>
      <c r="C20" s="39" t="s">
        <v>72</v>
      </c>
      <c r="D20" s="35" t="s">
        <v>8181</v>
      </c>
      <c r="E20" s="29" t="s">
        <v>48</v>
      </c>
      <c r="F20" s="35"/>
      <c r="G20" s="30" t="s">
        <v>8183</v>
      </c>
      <c r="H20" s="29">
        <f>COUNTIF(关系明细!$D$2:$D$2253,B20)</f>
        <v>0</v>
      </c>
      <c r="I20" s="29">
        <f>COUNTIF(关系明细!$G$2:$G$2253,B20)</f>
        <v>1</v>
      </c>
    </row>
    <row r="21" spans="1:9" ht="16.5">
      <c r="A21" s="34" t="s">
        <v>115</v>
      </c>
      <c r="B21" s="9" t="s">
        <v>113</v>
      </c>
      <c r="C21" s="40" t="s">
        <v>72</v>
      </c>
      <c r="D21" s="34" t="s">
        <v>8181</v>
      </c>
      <c r="E21" s="27" t="s">
        <v>48</v>
      </c>
      <c r="F21" s="34"/>
      <c r="G21" s="9" t="s">
        <v>8183</v>
      </c>
      <c r="H21" s="27">
        <f>COUNTIF(关系明细!$D$2:$D$2253,B21)</f>
        <v>0</v>
      </c>
      <c r="I21" s="27">
        <f>COUNTIF(关系明细!$G$2:$G$2253,B21)</f>
        <v>1</v>
      </c>
    </row>
    <row r="22" spans="1:9" ht="16.5">
      <c r="A22" s="35" t="s">
        <v>77</v>
      </c>
      <c r="B22" s="30" t="s">
        <v>73</v>
      </c>
      <c r="C22" s="39" t="s">
        <v>72</v>
      </c>
      <c r="D22" s="35" t="s">
        <v>8181</v>
      </c>
      <c r="E22" s="29" t="s">
        <v>48</v>
      </c>
      <c r="F22" s="35"/>
      <c r="G22" s="30" t="s">
        <v>8184</v>
      </c>
      <c r="H22" s="29">
        <f>COUNTIF(关系明细!$D$2:$D$2253,B22)</f>
        <v>0</v>
      </c>
      <c r="I22" s="29">
        <f>COUNTIF(关系明细!$G$2:$G$2253,B22)</f>
        <v>1</v>
      </c>
    </row>
    <row r="23" spans="1:9" ht="16.5">
      <c r="A23" s="34" t="s">
        <v>80</v>
      </c>
      <c r="B23" s="9" t="s">
        <v>78</v>
      </c>
      <c r="C23" s="40" t="s">
        <v>72</v>
      </c>
      <c r="D23" s="34" t="s">
        <v>8181</v>
      </c>
      <c r="E23" s="27" t="s">
        <v>48</v>
      </c>
      <c r="F23" s="34"/>
      <c r="G23" s="9" t="s">
        <v>8184</v>
      </c>
      <c r="H23" s="27">
        <f>COUNTIF(关系明细!$D$2:$D$2253,B23)</f>
        <v>0</v>
      </c>
      <c r="I23" s="27">
        <f>COUNTIF(关系明细!$G$2:$G$2253,B23)</f>
        <v>1</v>
      </c>
    </row>
    <row r="24" spans="1:9" ht="16.5">
      <c r="A24" s="35" t="s">
        <v>127</v>
      </c>
      <c r="B24" s="30" t="s">
        <v>124</v>
      </c>
      <c r="C24" s="39" t="s">
        <v>72</v>
      </c>
      <c r="D24" s="35" t="s">
        <v>8181</v>
      </c>
      <c r="E24" s="29" t="s">
        <v>48</v>
      </c>
      <c r="F24" s="35"/>
      <c r="G24" s="35" t="s">
        <v>8185</v>
      </c>
      <c r="H24" s="29">
        <f>COUNTIF(关系明细!$D$2:$D$2253,B24)</f>
        <v>0</v>
      </c>
      <c r="I24" s="29">
        <f>COUNTIF(关系明细!$G$2:$G$2253,B24)</f>
        <v>1</v>
      </c>
    </row>
    <row r="25" spans="1:9" ht="16.5">
      <c r="A25" s="34" t="s">
        <v>130</v>
      </c>
      <c r="B25" s="9" t="s">
        <v>128</v>
      </c>
      <c r="C25" s="40" t="s">
        <v>72</v>
      </c>
      <c r="D25" s="34" t="s">
        <v>8181</v>
      </c>
      <c r="E25" s="27" t="s">
        <v>48</v>
      </c>
      <c r="F25" s="34"/>
      <c r="G25" s="34" t="s">
        <v>8185</v>
      </c>
      <c r="H25" s="27">
        <f>COUNTIF(关系明细!$D$2:$D$2253,B25)</f>
        <v>0</v>
      </c>
      <c r="I25" s="27">
        <f>COUNTIF(关系明细!$G$2:$G$2253,B25)</f>
        <v>1</v>
      </c>
    </row>
    <row r="26" spans="1:9" ht="16.5">
      <c r="A26" s="35" t="s">
        <v>133</v>
      </c>
      <c r="B26" s="30" t="s">
        <v>131</v>
      </c>
      <c r="C26" s="39" t="s">
        <v>72</v>
      </c>
      <c r="D26" s="35" t="s">
        <v>8181</v>
      </c>
      <c r="E26" s="29" t="s">
        <v>48</v>
      </c>
      <c r="F26" s="35"/>
      <c r="G26" s="35" t="s">
        <v>8185</v>
      </c>
      <c r="H26" s="29">
        <f>COUNTIF(关系明细!$D$2:$D$2253,B26)</f>
        <v>0</v>
      </c>
      <c r="I26" s="29">
        <f>COUNTIF(关系明细!$G$2:$G$2253,B26)</f>
        <v>1</v>
      </c>
    </row>
    <row r="27" spans="1:9" ht="16.5">
      <c r="A27" s="34" t="s">
        <v>136</v>
      </c>
      <c r="B27" s="9" t="s">
        <v>134</v>
      </c>
      <c r="C27" s="40" t="s">
        <v>72</v>
      </c>
      <c r="D27" s="34" t="s">
        <v>8181</v>
      </c>
      <c r="E27" s="27" t="s">
        <v>48</v>
      </c>
      <c r="F27" s="34"/>
      <c r="G27" s="34" t="s">
        <v>8185</v>
      </c>
      <c r="H27" s="27">
        <f>COUNTIF(关系明细!$D$2:$D$2253,B27)</f>
        <v>0</v>
      </c>
      <c r="I27" s="27">
        <f>COUNTIF(关系明细!$G$2:$G$2253,B27)</f>
        <v>1</v>
      </c>
    </row>
    <row r="28" spans="1:9" ht="16.5">
      <c r="A28" s="35" t="s">
        <v>139</v>
      </c>
      <c r="B28" s="30" t="s">
        <v>137</v>
      </c>
      <c r="C28" s="39" t="s">
        <v>72</v>
      </c>
      <c r="D28" s="35" t="s">
        <v>8181</v>
      </c>
      <c r="E28" s="29" t="s">
        <v>48</v>
      </c>
      <c r="F28" s="35"/>
      <c r="G28" s="35" t="s">
        <v>8185</v>
      </c>
      <c r="H28" s="29">
        <f>COUNTIF(关系明细!$D$2:$D$2253,B28)</f>
        <v>0</v>
      </c>
      <c r="I28" s="29">
        <f>COUNTIF(关系明细!$G$2:$G$2253,B28)</f>
        <v>1</v>
      </c>
    </row>
    <row r="29" spans="1:9" ht="16.5">
      <c r="A29" s="34" t="s">
        <v>142</v>
      </c>
      <c r="B29" s="9" t="s">
        <v>140</v>
      </c>
      <c r="C29" s="40" t="s">
        <v>72</v>
      </c>
      <c r="D29" s="34" t="s">
        <v>8181</v>
      </c>
      <c r="E29" s="27" t="s">
        <v>48</v>
      </c>
      <c r="F29" s="34"/>
      <c r="G29" s="34" t="s">
        <v>8185</v>
      </c>
      <c r="H29" s="27">
        <f>COUNTIF(关系明细!$D$2:$D$2253,B29)</f>
        <v>0</v>
      </c>
      <c r="I29" s="27">
        <f>COUNTIF(关系明细!$G$2:$G$2253,B29)</f>
        <v>1</v>
      </c>
    </row>
    <row r="30" spans="1:9" ht="16.5">
      <c r="A30" s="35" t="s">
        <v>119</v>
      </c>
      <c r="B30" s="30" t="s">
        <v>116</v>
      </c>
      <c r="C30" s="39" t="s">
        <v>82</v>
      </c>
      <c r="D30" s="35" t="s">
        <v>8186</v>
      </c>
      <c r="E30" s="29" t="s">
        <v>48</v>
      </c>
      <c r="F30" s="35"/>
      <c r="G30" s="30" t="s">
        <v>8187</v>
      </c>
      <c r="H30" s="29">
        <f>COUNTIF(关系明细!$D$2:$D$2253,B30)</f>
        <v>0</v>
      </c>
      <c r="I30" s="29">
        <f>COUNTIF(关系明细!$G$2:$G$2253,B30)</f>
        <v>1</v>
      </c>
    </row>
    <row r="31" spans="1:9" ht="16.5">
      <c r="A31" s="34" t="s">
        <v>87</v>
      </c>
      <c r="B31" s="9" t="s">
        <v>83</v>
      </c>
      <c r="C31" s="40" t="s">
        <v>82</v>
      </c>
      <c r="D31" s="34" t="s">
        <v>8186</v>
      </c>
      <c r="E31" s="27" t="s">
        <v>48</v>
      </c>
      <c r="F31" s="34"/>
      <c r="G31" s="9" t="s">
        <v>8188</v>
      </c>
      <c r="H31" s="27">
        <f>COUNTIF(关系明细!$D$2:$D$2253,B31)</f>
        <v>0</v>
      </c>
      <c r="I31" s="27">
        <f>COUNTIF(关系明细!$G$2:$G$2253,B31)</f>
        <v>1</v>
      </c>
    </row>
    <row r="32" spans="1:9" ht="16.5">
      <c r="A32" s="35" t="s">
        <v>92</v>
      </c>
      <c r="B32" s="30" t="s">
        <v>89</v>
      </c>
      <c r="C32" s="39" t="s">
        <v>82</v>
      </c>
      <c r="D32" s="35" t="s">
        <v>8186</v>
      </c>
      <c r="E32" s="29" t="s">
        <v>48</v>
      </c>
      <c r="F32" s="35"/>
      <c r="G32" s="30" t="s">
        <v>8189</v>
      </c>
      <c r="H32" s="29">
        <f>COUNTIF(关系明细!$D$2:$D$2253,B32)</f>
        <v>0</v>
      </c>
      <c r="I32" s="29">
        <f>COUNTIF(关系明细!$G$2:$G$2253,B32)</f>
        <v>1</v>
      </c>
    </row>
    <row r="33" spans="1:9" ht="16.5">
      <c r="A33" s="34" t="s">
        <v>146</v>
      </c>
      <c r="B33" s="34" t="s">
        <v>143</v>
      </c>
      <c r="C33" s="40" t="s">
        <v>82</v>
      </c>
      <c r="D33" s="34" t="s">
        <v>8186</v>
      </c>
      <c r="E33" s="27" t="s">
        <v>48</v>
      </c>
      <c r="F33" s="34"/>
      <c r="G33" s="9" t="s">
        <v>8190</v>
      </c>
      <c r="H33" s="27">
        <f>COUNTIF(关系明细!$D$2:$D$2253,B33)</f>
        <v>0</v>
      </c>
      <c r="I33" s="27">
        <f>COUNTIF(关系明细!$G$2:$G$2253,B33)</f>
        <v>1</v>
      </c>
    </row>
    <row r="34" spans="1:9" ht="16.5">
      <c r="A34" s="35" t="s">
        <v>150</v>
      </c>
      <c r="B34" s="35" t="s">
        <v>147</v>
      </c>
      <c r="C34" s="39" t="s">
        <v>82</v>
      </c>
      <c r="D34" s="35" t="s">
        <v>8186</v>
      </c>
      <c r="E34" s="29" t="s">
        <v>48</v>
      </c>
      <c r="F34" s="35"/>
      <c r="G34" s="30" t="s">
        <v>8191</v>
      </c>
      <c r="H34" s="29">
        <f>COUNTIF(关系明细!$D$2:$D$2253,B34)</f>
        <v>0</v>
      </c>
      <c r="I34" s="29">
        <f>COUNTIF(关系明细!$G$2:$G$2253,B34)</f>
        <v>1</v>
      </c>
    </row>
    <row r="35" spans="1:9" ht="16.5">
      <c r="A35" s="34" t="s">
        <v>154</v>
      </c>
      <c r="B35" s="34" t="s">
        <v>151</v>
      </c>
      <c r="C35" s="40" t="s">
        <v>82</v>
      </c>
      <c r="D35" s="34" t="s">
        <v>8186</v>
      </c>
      <c r="E35" s="27" t="s">
        <v>48</v>
      </c>
      <c r="F35" s="34"/>
      <c r="G35" s="9" t="s">
        <v>8192</v>
      </c>
      <c r="H35" s="27">
        <f>COUNTIF(关系明细!$D$2:$D$2253,B35)</f>
        <v>0</v>
      </c>
      <c r="I35" s="27">
        <f>COUNTIF(关系明细!$G$2:$G$2253,B35)</f>
        <v>1</v>
      </c>
    </row>
    <row r="36" spans="1:9" ht="16.5">
      <c r="A36" s="35" t="s">
        <v>158</v>
      </c>
      <c r="B36" s="35" t="s">
        <v>155</v>
      </c>
      <c r="C36" s="39" t="s">
        <v>82</v>
      </c>
      <c r="D36" s="35" t="s">
        <v>8186</v>
      </c>
      <c r="E36" s="29" t="s">
        <v>48</v>
      </c>
      <c r="F36" s="35"/>
      <c r="G36" s="30" t="s">
        <v>8193</v>
      </c>
      <c r="H36" s="29">
        <f>COUNTIF(关系明细!$D$2:$D$2253,B36)</f>
        <v>0</v>
      </c>
      <c r="I36" s="29">
        <f>COUNTIF(关系明细!$G$2:$G$2253,B36)</f>
        <v>1</v>
      </c>
    </row>
    <row r="37" spans="1:9" ht="16.5">
      <c r="A37" s="34" t="s">
        <v>162</v>
      </c>
      <c r="B37" s="34" t="s">
        <v>159</v>
      </c>
      <c r="C37" s="40" t="s">
        <v>82</v>
      </c>
      <c r="D37" s="34" t="s">
        <v>8186</v>
      </c>
      <c r="E37" s="27" t="s">
        <v>48</v>
      </c>
      <c r="F37" s="34"/>
      <c r="G37" s="9" t="s">
        <v>8194</v>
      </c>
      <c r="H37" s="27">
        <f>COUNTIF(关系明细!$D$2:$D$2253,B37)</f>
        <v>0</v>
      </c>
      <c r="I37" s="27">
        <f>COUNTIF(关系明细!$G$2:$G$2253,B37)</f>
        <v>1</v>
      </c>
    </row>
    <row r="38" spans="1:9" ht="16.5">
      <c r="A38" s="35" t="s">
        <v>198</v>
      </c>
      <c r="B38" s="30" t="s">
        <v>195</v>
      </c>
      <c r="C38" s="39" t="s">
        <v>82</v>
      </c>
      <c r="D38" s="35" t="s">
        <v>8186</v>
      </c>
      <c r="E38" s="29" t="s">
        <v>48</v>
      </c>
      <c r="F38" s="35"/>
      <c r="G38" s="35" t="s">
        <v>8195</v>
      </c>
      <c r="H38" s="29">
        <f>COUNTIF(关系明细!$D$2:$D$2253,B38)</f>
        <v>0</v>
      </c>
      <c r="I38" s="29">
        <f>COUNTIF(关系明细!$G$2:$G$2253,B38)</f>
        <v>1</v>
      </c>
    </row>
    <row r="39" spans="1:9" ht="16.5">
      <c r="A39" s="34" t="s">
        <v>202</v>
      </c>
      <c r="B39" s="9" t="s">
        <v>199</v>
      </c>
      <c r="C39" s="40" t="s">
        <v>82</v>
      </c>
      <c r="D39" s="34" t="s">
        <v>8186</v>
      </c>
      <c r="E39" s="27" t="s">
        <v>48</v>
      </c>
      <c r="F39" s="34"/>
      <c r="G39" s="9" t="s">
        <v>8196</v>
      </c>
      <c r="H39" s="27">
        <f>COUNTIF(关系明细!$D$2:$D$2253,B39)</f>
        <v>0</v>
      </c>
      <c r="I39" s="27">
        <f>COUNTIF(关系明细!$G$2:$G$2253,B39)</f>
        <v>1</v>
      </c>
    </row>
    <row r="40" spans="1:9" ht="16.5">
      <c r="A40" s="35" t="s">
        <v>190</v>
      </c>
      <c r="B40" s="30" t="s">
        <v>187</v>
      </c>
      <c r="C40" s="39" t="s">
        <v>82</v>
      </c>
      <c r="D40" s="35" t="s">
        <v>8186</v>
      </c>
      <c r="E40" s="29" t="s">
        <v>48</v>
      </c>
      <c r="F40" s="35"/>
      <c r="G40" s="30" t="s">
        <v>8188</v>
      </c>
      <c r="H40" s="29">
        <f>COUNTIF(关系明细!$D$2:$D$2253,B40)</f>
        <v>0</v>
      </c>
      <c r="I40" s="29">
        <f>COUNTIF(关系明细!$G$2:$G$2253,B40)</f>
        <v>1</v>
      </c>
    </row>
    <row r="41" spans="1:9" ht="16.5">
      <c r="A41" s="34" t="s">
        <v>304</v>
      </c>
      <c r="B41" s="9" t="s">
        <v>301</v>
      </c>
      <c r="C41" s="40" t="s">
        <v>300</v>
      </c>
      <c r="D41" s="34" t="s">
        <v>8197</v>
      </c>
      <c r="E41" s="27" t="s">
        <v>48</v>
      </c>
      <c r="F41" s="34"/>
      <c r="G41" s="9" t="s">
        <v>8198</v>
      </c>
      <c r="H41" s="27">
        <f>COUNTIF(关系明细!$D$2:$D$2253,B41)</f>
        <v>2</v>
      </c>
      <c r="I41" s="27">
        <f>COUNTIF(关系明细!$G$2:$G$2253,B41)</f>
        <v>0</v>
      </c>
    </row>
    <row r="42" spans="1:9" ht="16.5">
      <c r="A42" s="35" t="s">
        <v>309</v>
      </c>
      <c r="B42" s="30" t="s">
        <v>305</v>
      </c>
      <c r="C42" s="39" t="s">
        <v>300</v>
      </c>
      <c r="D42" s="35" t="s">
        <v>8197</v>
      </c>
      <c r="E42" s="29" t="s">
        <v>48</v>
      </c>
      <c r="F42" s="35"/>
      <c r="G42" s="35" t="s">
        <v>8199</v>
      </c>
      <c r="H42" s="29">
        <f>COUNTIF(关系明细!$D$2:$D$2253,B42)</f>
        <v>2</v>
      </c>
      <c r="I42" s="29">
        <f>COUNTIF(关系明细!$G$2:$G$2253,B42)</f>
        <v>1</v>
      </c>
    </row>
    <row r="43" spans="1:9" ht="16.5">
      <c r="A43" s="34" t="s">
        <v>620</v>
      </c>
      <c r="B43" s="9" t="s">
        <v>617</v>
      </c>
      <c r="C43" s="40" t="s">
        <v>300</v>
      </c>
      <c r="D43" s="34" t="s">
        <v>8197</v>
      </c>
      <c r="E43" s="27" t="s">
        <v>48</v>
      </c>
      <c r="F43" s="34"/>
      <c r="G43" s="34" t="s">
        <v>8200</v>
      </c>
      <c r="H43" s="27">
        <f>COUNTIF(关系明细!$D$2:$D$2253,B43)</f>
        <v>2</v>
      </c>
      <c r="I43" s="27">
        <f>COUNTIF(关系明细!$G$2:$G$2253,B43)</f>
        <v>1</v>
      </c>
    </row>
    <row r="44" spans="1:9" ht="16.5">
      <c r="A44" s="35" t="s">
        <v>209</v>
      </c>
      <c r="B44" s="30" t="s">
        <v>205</v>
      </c>
      <c r="C44" s="39" t="s">
        <v>204</v>
      </c>
      <c r="D44" s="35" t="s">
        <v>8201</v>
      </c>
      <c r="E44" s="29" t="s">
        <v>48</v>
      </c>
      <c r="F44" s="30" t="s">
        <v>63</v>
      </c>
      <c r="G44" s="30" t="s">
        <v>206</v>
      </c>
      <c r="H44" s="29">
        <f>COUNTIF(关系明细!$D$2:$D$2253,B44)</f>
        <v>1</v>
      </c>
      <c r="I44" s="29">
        <f>COUNTIF(关系明细!$G$2:$G$2253,B44)</f>
        <v>1</v>
      </c>
    </row>
    <row r="45" spans="1:9" ht="16.5">
      <c r="A45" s="34" t="s">
        <v>215</v>
      </c>
      <c r="B45" s="9" t="s">
        <v>212</v>
      </c>
      <c r="C45" s="40" t="s">
        <v>204</v>
      </c>
      <c r="D45" s="34" t="s">
        <v>8201</v>
      </c>
      <c r="E45" s="27" t="s">
        <v>48</v>
      </c>
      <c r="F45" s="9" t="s">
        <v>63</v>
      </c>
      <c r="G45" s="9" t="s">
        <v>213</v>
      </c>
      <c r="H45" s="27">
        <f>COUNTIF(关系明细!$D$2:$D$2253,B45)</f>
        <v>2</v>
      </c>
      <c r="I45" s="27">
        <f>COUNTIF(关系明细!$G$2:$G$2253,B45)</f>
        <v>2</v>
      </c>
    </row>
    <row r="46" spans="1:9" ht="16.5">
      <c r="A46" s="35" t="s">
        <v>220</v>
      </c>
      <c r="B46" s="30" t="s">
        <v>217</v>
      </c>
      <c r="C46" s="39" t="s">
        <v>204</v>
      </c>
      <c r="D46" s="35" t="s">
        <v>8201</v>
      </c>
      <c r="E46" s="29" t="s">
        <v>48</v>
      </c>
      <c r="F46" s="30" t="s">
        <v>63</v>
      </c>
      <c r="G46" s="30" t="s">
        <v>218</v>
      </c>
      <c r="H46" s="29">
        <f>COUNTIF(关系明细!$D$2:$D$2253,B46)</f>
        <v>3</v>
      </c>
      <c r="I46" s="29">
        <f>COUNTIF(关系明细!$G$2:$G$2253,B46)</f>
        <v>1</v>
      </c>
    </row>
    <row r="47" spans="1:9" ht="16.5">
      <c r="A47" s="34" t="s">
        <v>225</v>
      </c>
      <c r="B47" s="9" t="s">
        <v>222</v>
      </c>
      <c r="C47" s="40" t="s">
        <v>204</v>
      </c>
      <c r="D47" s="34" t="s">
        <v>8201</v>
      </c>
      <c r="E47" s="27" t="s">
        <v>48</v>
      </c>
      <c r="F47" s="34" t="s">
        <v>120</v>
      </c>
      <c r="G47" s="34" t="s">
        <v>223</v>
      </c>
      <c r="H47" s="27">
        <f>COUNTIF(关系明细!$D$2:$D$2253,B47)</f>
        <v>4</v>
      </c>
      <c r="I47" s="27">
        <f>COUNTIF(关系明细!$G$2:$G$2253,B47)</f>
        <v>2</v>
      </c>
    </row>
    <row r="48" spans="1:9" ht="16.5">
      <c r="A48" s="35" t="s">
        <v>230</v>
      </c>
      <c r="B48" s="35" t="s">
        <v>227</v>
      </c>
      <c r="C48" s="39" t="s">
        <v>204</v>
      </c>
      <c r="D48" s="35" t="s">
        <v>8201</v>
      </c>
      <c r="E48" s="29" t="s">
        <v>48</v>
      </c>
      <c r="F48" s="35" t="s">
        <v>120</v>
      </c>
      <c r="G48" s="30" t="s">
        <v>228</v>
      </c>
      <c r="H48" s="29">
        <f>COUNTIF(关系明细!$D$2:$D$2253,B48)</f>
        <v>5</v>
      </c>
      <c r="I48" s="29">
        <f>COUNTIF(关系明细!$G$2:$G$2253,B48)</f>
        <v>3</v>
      </c>
    </row>
    <row r="49" spans="1:9" ht="16.5">
      <c r="A49" s="34" t="s">
        <v>235</v>
      </c>
      <c r="B49" s="9" t="s">
        <v>232</v>
      </c>
      <c r="C49" s="40" t="s">
        <v>204</v>
      </c>
      <c r="D49" s="34" t="s">
        <v>8201</v>
      </c>
      <c r="E49" s="27" t="s">
        <v>48</v>
      </c>
      <c r="F49" s="34" t="s">
        <v>120</v>
      </c>
      <c r="G49" s="9" t="s">
        <v>233</v>
      </c>
      <c r="H49" s="27">
        <f>COUNTIF(关系明细!$D$2:$D$2253,B49)</f>
        <v>5</v>
      </c>
      <c r="I49" s="27">
        <f>COUNTIF(关系明细!$G$2:$G$2253,B49)</f>
        <v>5</v>
      </c>
    </row>
    <row r="50" spans="1:9" ht="16.5">
      <c r="A50" s="35" t="s">
        <v>240</v>
      </c>
      <c r="B50" s="30" t="s">
        <v>237</v>
      </c>
      <c r="C50" s="39" t="s">
        <v>204</v>
      </c>
      <c r="D50" s="35" t="s">
        <v>8201</v>
      </c>
      <c r="E50" s="29" t="s">
        <v>48</v>
      </c>
      <c r="F50" s="35" t="s">
        <v>120</v>
      </c>
      <c r="G50" s="30" t="s">
        <v>238</v>
      </c>
      <c r="H50" s="29">
        <f>COUNTIF(关系明细!$D$2:$D$2253,B50)</f>
        <v>6</v>
      </c>
      <c r="I50" s="29">
        <f>COUNTIF(关系明细!$G$2:$G$2253,B50)</f>
        <v>4</v>
      </c>
    </row>
    <row r="51" spans="1:9" ht="16.5">
      <c r="A51" s="34" t="s">
        <v>245</v>
      </c>
      <c r="B51" s="9" t="s">
        <v>242</v>
      </c>
      <c r="C51" s="40" t="s">
        <v>204</v>
      </c>
      <c r="D51" s="34" t="s">
        <v>8201</v>
      </c>
      <c r="E51" s="27" t="s">
        <v>48</v>
      </c>
      <c r="F51" s="34" t="s">
        <v>120</v>
      </c>
      <c r="G51" s="9" t="s">
        <v>243</v>
      </c>
      <c r="H51" s="27">
        <f>COUNTIF(关系明细!$D$2:$D$2253,B51)</f>
        <v>3</v>
      </c>
      <c r="I51" s="27">
        <f>COUNTIF(关系明细!$G$2:$G$2253,B51)</f>
        <v>1</v>
      </c>
    </row>
    <row r="52" spans="1:9" ht="16.5">
      <c r="A52" s="35" t="s">
        <v>250</v>
      </c>
      <c r="B52" s="30" t="s">
        <v>247</v>
      </c>
      <c r="C52" s="39" t="s">
        <v>204</v>
      </c>
      <c r="D52" s="35" t="s">
        <v>8201</v>
      </c>
      <c r="E52" s="29" t="s">
        <v>48</v>
      </c>
      <c r="F52" s="35" t="s">
        <v>120</v>
      </c>
      <c r="G52" s="30" t="s">
        <v>248</v>
      </c>
      <c r="H52" s="29">
        <f>COUNTIF(关系明细!$D$2:$D$2253,B52)</f>
        <v>6</v>
      </c>
      <c r="I52" s="29">
        <f>COUNTIF(关系明细!$G$2:$G$2253,B52)</f>
        <v>1</v>
      </c>
    </row>
    <row r="53" spans="1:9" ht="16.5">
      <c r="A53" s="34" t="s">
        <v>255</v>
      </c>
      <c r="B53" s="9" t="s">
        <v>252</v>
      </c>
      <c r="C53" s="40" t="s">
        <v>204</v>
      </c>
      <c r="D53" s="34" t="s">
        <v>8201</v>
      </c>
      <c r="E53" s="27" t="s">
        <v>48</v>
      </c>
      <c r="F53" s="34" t="s">
        <v>120</v>
      </c>
      <c r="G53" s="9" t="s">
        <v>253</v>
      </c>
      <c r="H53" s="27">
        <f>COUNTIF(关系明细!$D$2:$D$2253,B53)</f>
        <v>6</v>
      </c>
      <c r="I53" s="27">
        <f>COUNTIF(关系明细!$G$2:$G$2253,B53)</f>
        <v>1</v>
      </c>
    </row>
    <row r="54" spans="1:9" ht="16.5">
      <c r="A54" s="35" t="s">
        <v>260</v>
      </c>
      <c r="B54" s="30" t="s">
        <v>257</v>
      </c>
      <c r="C54" s="39" t="s">
        <v>204</v>
      </c>
      <c r="D54" s="35" t="s">
        <v>8201</v>
      </c>
      <c r="E54" s="29" t="s">
        <v>48</v>
      </c>
      <c r="F54" s="35" t="s">
        <v>120</v>
      </c>
      <c r="G54" s="30" t="s">
        <v>258</v>
      </c>
      <c r="H54" s="29">
        <f>COUNTIF(关系明细!$D$2:$D$2253,B54)</f>
        <v>6</v>
      </c>
      <c r="I54" s="29">
        <f>COUNTIF(关系明细!$G$2:$G$2253,B54)</f>
        <v>1</v>
      </c>
    </row>
    <row r="55" spans="1:9" ht="16.5">
      <c r="A55" s="34" t="s">
        <v>265</v>
      </c>
      <c r="B55" s="9" t="s">
        <v>262</v>
      </c>
      <c r="C55" s="40" t="s">
        <v>204</v>
      </c>
      <c r="D55" s="34" t="s">
        <v>8201</v>
      </c>
      <c r="E55" s="27" t="s">
        <v>48</v>
      </c>
      <c r="F55" s="9" t="s">
        <v>163</v>
      </c>
      <c r="G55" s="9" t="s">
        <v>263</v>
      </c>
      <c r="H55" s="27">
        <f>COUNTIF(关系明细!$D$2:$D$2253,B55)</f>
        <v>6</v>
      </c>
      <c r="I55" s="27">
        <f>COUNTIF(关系明细!$G$2:$G$2253,B55)</f>
        <v>1</v>
      </c>
    </row>
    <row r="56" spans="1:9" ht="16.5">
      <c r="A56" s="35" t="s">
        <v>270</v>
      </c>
      <c r="B56" s="30" t="s">
        <v>267</v>
      </c>
      <c r="C56" s="39" t="s">
        <v>204</v>
      </c>
      <c r="D56" s="35" t="s">
        <v>8201</v>
      </c>
      <c r="E56" s="29" t="s">
        <v>48</v>
      </c>
      <c r="F56" s="30" t="s">
        <v>191</v>
      </c>
      <c r="G56" s="30" t="s">
        <v>268</v>
      </c>
      <c r="H56" s="29">
        <f>COUNTIF(关系明细!$D$2:$D$2253,B56)</f>
        <v>3</v>
      </c>
      <c r="I56" s="29">
        <f>COUNTIF(关系明细!$G$2:$G$2253,B56)</f>
        <v>2</v>
      </c>
    </row>
    <row r="57" spans="1:9" ht="16.5">
      <c r="A57" s="34" t="s">
        <v>275</v>
      </c>
      <c r="B57" s="9" t="s">
        <v>272</v>
      </c>
      <c r="C57" s="40" t="s">
        <v>204</v>
      </c>
      <c r="D57" s="34" t="s">
        <v>8201</v>
      </c>
      <c r="E57" s="27" t="s">
        <v>48</v>
      </c>
      <c r="F57" s="9" t="s">
        <v>191</v>
      </c>
      <c r="G57" s="34" t="s">
        <v>584</v>
      </c>
      <c r="H57" s="27">
        <f>COUNTIF(关系明细!$D$2:$D$2253,B57)</f>
        <v>1</v>
      </c>
      <c r="I57" s="27">
        <f>COUNTIF(关系明细!$G$2:$G$2253,B57)</f>
        <v>1</v>
      </c>
    </row>
    <row r="58" spans="1:9" ht="16.5">
      <c r="A58" s="35" t="s">
        <v>280</v>
      </c>
      <c r="B58" s="30" t="s">
        <v>277</v>
      </c>
      <c r="C58" s="39" t="s">
        <v>204</v>
      </c>
      <c r="D58" s="35" t="s">
        <v>8201</v>
      </c>
      <c r="E58" s="29" t="s">
        <v>48</v>
      </c>
      <c r="F58" s="30" t="s">
        <v>191</v>
      </c>
      <c r="G58" s="30" t="s">
        <v>278</v>
      </c>
      <c r="H58" s="29">
        <f>COUNTIF(关系明细!$D$2:$D$2253,B58)</f>
        <v>2</v>
      </c>
      <c r="I58" s="29">
        <f>COUNTIF(关系明细!$G$2:$G$2253,B58)</f>
        <v>1</v>
      </c>
    </row>
    <row r="59" spans="1:9" ht="16.5">
      <c r="A59" s="34" t="s">
        <v>285</v>
      </c>
      <c r="B59" s="9" t="s">
        <v>282</v>
      </c>
      <c r="C59" s="40" t="s">
        <v>204</v>
      </c>
      <c r="D59" s="34" t="s">
        <v>8201</v>
      </c>
      <c r="E59" s="27" t="s">
        <v>48</v>
      </c>
      <c r="F59" s="34" t="s">
        <v>120</v>
      </c>
      <c r="G59" s="9" t="s">
        <v>283</v>
      </c>
      <c r="H59" s="27">
        <f>COUNTIF(关系明细!$D$2:$D$2253,B59)</f>
        <v>2</v>
      </c>
      <c r="I59" s="27">
        <f>COUNTIF(关系明细!$G$2:$G$2253,B59)</f>
        <v>3</v>
      </c>
    </row>
    <row r="60" spans="1:9" ht="16.5">
      <c r="A60" s="35" t="s">
        <v>290</v>
      </c>
      <c r="B60" s="30" t="s">
        <v>287</v>
      </c>
      <c r="C60" s="39" t="s">
        <v>204</v>
      </c>
      <c r="D60" s="35" t="s">
        <v>8201</v>
      </c>
      <c r="E60" s="29" t="s">
        <v>48</v>
      </c>
      <c r="F60" s="35" t="s">
        <v>120</v>
      </c>
      <c r="G60" s="30" t="s">
        <v>288</v>
      </c>
      <c r="H60" s="29">
        <f>COUNTIF(关系明细!$D$2:$D$2253,B60)</f>
        <v>1</v>
      </c>
      <c r="I60" s="29">
        <f>COUNTIF(关系明细!$G$2:$G$2253,B60)</f>
        <v>5</v>
      </c>
    </row>
    <row r="61" spans="1:9" ht="16.5">
      <c r="A61" s="34" t="s">
        <v>294</v>
      </c>
      <c r="B61" s="9" t="s">
        <v>291</v>
      </c>
      <c r="C61" s="40" t="s">
        <v>204</v>
      </c>
      <c r="D61" s="34" t="s">
        <v>8201</v>
      </c>
      <c r="E61" s="27" t="s">
        <v>48</v>
      </c>
      <c r="F61" s="34" t="s">
        <v>120</v>
      </c>
      <c r="G61" s="9" t="s">
        <v>292</v>
      </c>
      <c r="H61" s="27">
        <f>COUNTIF(关系明细!$D$2:$D$2253,B61)</f>
        <v>1</v>
      </c>
      <c r="I61" s="27">
        <f>COUNTIF(关系明细!$G$2:$G$2253,B61)</f>
        <v>2</v>
      </c>
    </row>
    <row r="62" spans="1:9" ht="16.5">
      <c r="A62" s="35" t="s">
        <v>299</v>
      </c>
      <c r="B62" s="30" t="s">
        <v>296</v>
      </c>
      <c r="C62" s="39" t="s">
        <v>295</v>
      </c>
      <c r="D62" s="35" t="s">
        <v>8202</v>
      </c>
      <c r="E62" s="29" t="s">
        <v>48</v>
      </c>
      <c r="F62" s="30" t="s">
        <v>191</v>
      </c>
      <c r="G62" s="30" t="s">
        <v>297</v>
      </c>
      <c r="H62" s="29">
        <f>COUNTIF(关系明细!$D$2:$D$2253,B62)</f>
        <v>1</v>
      </c>
      <c r="I62" s="29">
        <f>COUNTIF(关系明细!$G$2:$G$2253,B62)</f>
        <v>4</v>
      </c>
    </row>
    <row r="63" spans="1:9" ht="16.5">
      <c r="A63" s="34" t="s">
        <v>496</v>
      </c>
      <c r="B63" s="9" t="s">
        <v>489</v>
      </c>
      <c r="C63" s="40" t="s">
        <v>488</v>
      </c>
      <c r="D63" s="34" t="s">
        <v>8203</v>
      </c>
      <c r="E63" s="27" t="s">
        <v>48</v>
      </c>
      <c r="F63" s="34"/>
      <c r="G63" s="9" t="s">
        <v>493</v>
      </c>
      <c r="H63" s="27">
        <f>COUNTIF(关系明细!$D$2:$D$2253,B63)</f>
        <v>1</v>
      </c>
      <c r="I63" s="27">
        <f>COUNTIF(关系明细!$G$2:$G$2253,B63)</f>
        <v>1</v>
      </c>
    </row>
    <row r="64" spans="1:9" ht="16.5">
      <c r="A64" s="35" t="s">
        <v>515</v>
      </c>
      <c r="B64" s="30" t="s">
        <v>510</v>
      </c>
      <c r="C64" s="39" t="s">
        <v>488</v>
      </c>
      <c r="D64" s="35" t="s">
        <v>8203</v>
      </c>
      <c r="E64" s="29" t="s">
        <v>48</v>
      </c>
      <c r="F64" s="35"/>
      <c r="G64" s="30" t="s">
        <v>512</v>
      </c>
      <c r="H64" s="29">
        <f>COUNTIF(关系明细!$D$2:$D$2253,B64)</f>
        <v>1</v>
      </c>
      <c r="I64" s="29">
        <f>COUNTIF(关系明细!$G$2:$G$2253,B64)</f>
        <v>1</v>
      </c>
    </row>
    <row r="65" spans="1:9" ht="16.5">
      <c r="A65" s="34" t="s">
        <v>526</v>
      </c>
      <c r="B65" s="9" t="s">
        <v>522</v>
      </c>
      <c r="C65" s="40" t="s">
        <v>488</v>
      </c>
      <c r="D65" s="34" t="s">
        <v>8203</v>
      </c>
      <c r="E65" s="27" t="s">
        <v>48</v>
      </c>
      <c r="F65" s="34"/>
      <c r="G65" s="9" t="s">
        <v>524</v>
      </c>
      <c r="H65" s="27">
        <f>COUNTIF(关系明细!$D$2:$D$2253,B65)</f>
        <v>1</v>
      </c>
      <c r="I65" s="27">
        <f>COUNTIF(关系明细!$G$2:$G$2253,B65)</f>
        <v>1</v>
      </c>
    </row>
    <row r="66" spans="1:9" ht="16.5">
      <c r="A66" s="35" t="s">
        <v>537</v>
      </c>
      <c r="B66" s="35" t="s">
        <v>533</v>
      </c>
      <c r="C66" s="39" t="s">
        <v>488</v>
      </c>
      <c r="D66" s="35" t="s">
        <v>8203</v>
      </c>
      <c r="E66" s="29" t="s">
        <v>48</v>
      </c>
      <c r="F66" s="35"/>
      <c r="G66" s="30" t="s">
        <v>535</v>
      </c>
      <c r="H66" s="29">
        <f>COUNTIF(关系明细!$D$2:$D$2253,B66)</f>
        <v>1</v>
      </c>
      <c r="I66" s="29">
        <f>COUNTIF(关系明细!$G$2:$G$2253,B66)</f>
        <v>1</v>
      </c>
    </row>
    <row r="67" spans="1:9" ht="16.5">
      <c r="A67" s="34" t="s">
        <v>548</v>
      </c>
      <c r="B67" s="9" t="s">
        <v>544</v>
      </c>
      <c r="C67" s="40" t="s">
        <v>488</v>
      </c>
      <c r="D67" s="34" t="s">
        <v>8203</v>
      </c>
      <c r="E67" s="27" t="s">
        <v>48</v>
      </c>
      <c r="F67" s="34"/>
      <c r="G67" s="9" t="s">
        <v>546</v>
      </c>
      <c r="H67" s="27">
        <f>COUNTIF(关系明细!$D$2:$D$2253,B67)</f>
        <v>1</v>
      </c>
      <c r="I67" s="27">
        <f>COUNTIF(关系明细!$G$2:$G$2253,B67)</f>
        <v>1</v>
      </c>
    </row>
    <row r="68" spans="1:9" ht="16.5">
      <c r="A68" s="35" t="s">
        <v>498</v>
      </c>
      <c r="B68" s="30" t="s">
        <v>492</v>
      </c>
      <c r="C68" s="39" t="s">
        <v>491</v>
      </c>
      <c r="D68" s="35" t="s">
        <v>8204</v>
      </c>
      <c r="E68" s="29" t="s">
        <v>48</v>
      </c>
      <c r="F68" s="35"/>
      <c r="G68" s="35" t="s">
        <v>499</v>
      </c>
      <c r="H68" s="29">
        <f>COUNTIF(关系明细!$D$2:$D$2253,B68)</f>
        <v>2</v>
      </c>
      <c r="I68" s="29">
        <f>COUNTIF(关系明细!$G$2:$G$2253,B68)</f>
        <v>1</v>
      </c>
    </row>
    <row r="69" spans="1:9" ht="16.5">
      <c r="A69" s="34" t="s">
        <v>516</v>
      </c>
      <c r="B69" s="9" t="s">
        <v>511</v>
      </c>
      <c r="C69" s="40" t="s">
        <v>491</v>
      </c>
      <c r="D69" s="34" t="s">
        <v>8204</v>
      </c>
      <c r="E69" s="27" t="s">
        <v>48</v>
      </c>
      <c r="F69" s="34"/>
      <c r="G69" s="34" t="s">
        <v>517</v>
      </c>
      <c r="H69" s="27">
        <f>COUNTIF(关系明细!$D$2:$D$2253,B69)</f>
        <v>2</v>
      </c>
      <c r="I69" s="27">
        <f>COUNTIF(关系明细!$G$2:$G$2253,B69)</f>
        <v>1</v>
      </c>
    </row>
    <row r="70" spans="1:9" ht="16.5">
      <c r="A70" s="35" t="s">
        <v>527</v>
      </c>
      <c r="B70" s="30" t="s">
        <v>523</v>
      </c>
      <c r="C70" s="39" t="s">
        <v>491</v>
      </c>
      <c r="D70" s="35" t="s">
        <v>8204</v>
      </c>
      <c r="E70" s="29" t="s">
        <v>48</v>
      </c>
      <c r="F70" s="35"/>
      <c r="G70" s="35" t="s">
        <v>528</v>
      </c>
      <c r="H70" s="29">
        <f>COUNTIF(关系明细!$D$2:$D$2253,B70)</f>
        <v>1</v>
      </c>
      <c r="I70" s="29">
        <f>COUNTIF(关系明细!$G$2:$G$2253,B70)</f>
        <v>1</v>
      </c>
    </row>
    <row r="71" spans="1:9" ht="16.5">
      <c r="A71" s="34" t="s">
        <v>538</v>
      </c>
      <c r="B71" s="9" t="s">
        <v>534</v>
      </c>
      <c r="C71" s="40" t="s">
        <v>491</v>
      </c>
      <c r="D71" s="34" t="s">
        <v>8204</v>
      </c>
      <c r="E71" s="27" t="s">
        <v>48</v>
      </c>
      <c r="F71" s="34"/>
      <c r="G71" s="34" t="s">
        <v>539</v>
      </c>
      <c r="H71" s="27">
        <f>COUNTIF(关系明细!$D$2:$D$2253,B71)</f>
        <v>1</v>
      </c>
      <c r="I71" s="27">
        <f>COUNTIF(关系明细!$G$2:$G$2253,B71)</f>
        <v>1</v>
      </c>
    </row>
    <row r="72" spans="1:9" ht="16.5">
      <c r="A72" s="35" t="s">
        <v>549</v>
      </c>
      <c r="B72" s="30" t="s">
        <v>545</v>
      </c>
      <c r="C72" s="39" t="s">
        <v>491</v>
      </c>
      <c r="D72" s="35" t="s">
        <v>8204</v>
      </c>
      <c r="E72" s="29" t="s">
        <v>48</v>
      </c>
      <c r="F72" s="35"/>
      <c r="G72" s="35" t="s">
        <v>550</v>
      </c>
      <c r="H72" s="29">
        <f>COUNTIF(关系明细!$D$2:$D$2253,B72)</f>
        <v>1</v>
      </c>
      <c r="I72" s="29">
        <f>COUNTIF(关系明细!$G$2:$G$2253,B72)</f>
        <v>1</v>
      </c>
    </row>
    <row r="73" spans="1:9" ht="16.5">
      <c r="A73" s="34" t="s">
        <v>562</v>
      </c>
      <c r="B73" s="9" t="s">
        <v>557</v>
      </c>
      <c r="C73" s="40" t="s">
        <v>556</v>
      </c>
      <c r="D73" s="34" t="s">
        <v>8205</v>
      </c>
      <c r="E73" s="27" t="s">
        <v>48</v>
      </c>
      <c r="F73" s="34"/>
      <c r="G73" s="9" t="s">
        <v>558</v>
      </c>
      <c r="H73" s="27">
        <f>COUNTIF(关系明细!$D$2:$D$2253,B73)</f>
        <v>0</v>
      </c>
      <c r="I73" s="27">
        <f>COUNTIF(关系明细!$G$2:$G$2253,B73)</f>
        <v>2</v>
      </c>
    </row>
    <row r="74" spans="1:9" ht="16.5">
      <c r="A74" s="35" t="s">
        <v>572</v>
      </c>
      <c r="B74" s="30" t="s">
        <v>567</v>
      </c>
      <c r="C74" s="39" t="s">
        <v>566</v>
      </c>
      <c r="D74" s="35" t="s">
        <v>8206</v>
      </c>
      <c r="E74" s="29" t="s">
        <v>48</v>
      </c>
      <c r="F74" s="35"/>
      <c r="G74" s="30" t="s">
        <v>8207</v>
      </c>
      <c r="H74" s="29">
        <f>COUNTIF(关系明细!$D$2:$D$2253,B74)</f>
        <v>0</v>
      </c>
      <c r="I74" s="29">
        <f>COUNTIF(关系明细!$G$2:$G$2253,B74)</f>
        <v>1</v>
      </c>
    </row>
    <row r="75" spans="1:9" ht="16.5">
      <c r="A75" s="34" t="s">
        <v>577</v>
      </c>
      <c r="B75" s="9" t="s">
        <v>574</v>
      </c>
      <c r="C75" s="40" t="s">
        <v>566</v>
      </c>
      <c r="D75" s="34" t="s">
        <v>8206</v>
      </c>
      <c r="E75" s="27" t="s">
        <v>48</v>
      </c>
      <c r="F75" s="34"/>
      <c r="G75" s="9" t="s">
        <v>8208</v>
      </c>
      <c r="H75" s="27">
        <f>COUNTIF(关系明细!$D$2:$D$2253,B75)</f>
        <v>0</v>
      </c>
      <c r="I75" s="27">
        <f>COUNTIF(关系明细!$G$2:$G$2253,B75)</f>
        <v>1</v>
      </c>
    </row>
    <row r="76" spans="1:9" ht="16.5">
      <c r="A76" s="35" t="s">
        <v>52</v>
      </c>
      <c r="B76" s="30" t="s">
        <v>46</v>
      </c>
      <c r="C76" s="39" t="s">
        <v>44</v>
      </c>
      <c r="D76" s="35" t="s">
        <v>8172</v>
      </c>
      <c r="E76" s="29" t="s">
        <v>706</v>
      </c>
      <c r="F76" s="35"/>
      <c r="G76" s="35" t="s">
        <v>8209</v>
      </c>
      <c r="H76" s="29">
        <f>COUNTIF(关系明细!$D$2:$D$2253,B76)</f>
        <v>7</v>
      </c>
      <c r="I76" s="29">
        <f>COUNTIF(关系明细!$G$2:$G$2253,B76)</f>
        <v>4</v>
      </c>
    </row>
    <row r="77" spans="1:9" ht="16.5">
      <c r="A77" s="34" t="s">
        <v>770</v>
      </c>
      <c r="B77" s="9" t="s">
        <v>767</v>
      </c>
      <c r="C77" s="40" t="s">
        <v>62</v>
      </c>
      <c r="D77" s="34" t="s">
        <v>8174</v>
      </c>
      <c r="E77" s="27" t="s">
        <v>706</v>
      </c>
      <c r="F77" s="34"/>
      <c r="G77" s="9" t="s">
        <v>8210</v>
      </c>
      <c r="H77" s="27">
        <f>COUNTIF(关系明细!$D$2:$D$2253,B77)</f>
        <v>2</v>
      </c>
      <c r="I77" s="27">
        <f>COUNTIF(关系明细!$G$2:$G$2253,B77)</f>
        <v>2</v>
      </c>
    </row>
    <row r="78" spans="1:9" ht="16.5">
      <c r="A78" s="35" t="s">
        <v>747</v>
      </c>
      <c r="B78" s="30" t="s">
        <v>744</v>
      </c>
      <c r="C78" s="39" t="s">
        <v>62</v>
      </c>
      <c r="D78" s="35" t="s">
        <v>8174</v>
      </c>
      <c r="E78" s="29" t="s">
        <v>706</v>
      </c>
      <c r="F78" s="35"/>
      <c r="G78" s="30" t="s">
        <v>8211</v>
      </c>
      <c r="H78" s="29">
        <f>COUNTIF(关系明细!$D$2:$D$2253,B78)</f>
        <v>11</v>
      </c>
      <c r="I78" s="29">
        <f>COUNTIF(关系明细!$G$2:$G$2253,B78)</f>
        <v>3</v>
      </c>
    </row>
    <row r="79" spans="1:9" ht="16.5">
      <c r="A79" s="34" t="s">
        <v>623</v>
      </c>
      <c r="B79" s="9" t="s">
        <v>621</v>
      </c>
      <c r="C79" s="40" t="s">
        <v>62</v>
      </c>
      <c r="D79" s="34" t="s">
        <v>8174</v>
      </c>
      <c r="E79" s="27" t="s">
        <v>706</v>
      </c>
      <c r="F79" s="34"/>
      <c r="G79" s="9" t="s">
        <v>8212</v>
      </c>
      <c r="H79" s="27">
        <f>COUNTIF(关系明细!$D$2:$D$2253,B79)</f>
        <v>4</v>
      </c>
      <c r="I79" s="27">
        <f>COUNTIF(关系明细!$G$2:$G$2253,B79)</f>
        <v>3</v>
      </c>
    </row>
    <row r="80" spans="1:9" ht="16.5">
      <c r="A80" s="35" t="s">
        <v>629</v>
      </c>
      <c r="B80" s="35" t="s">
        <v>625</v>
      </c>
      <c r="C80" s="39" t="s">
        <v>62</v>
      </c>
      <c r="D80" s="35" t="s">
        <v>8174</v>
      </c>
      <c r="E80" s="29" t="s">
        <v>706</v>
      </c>
      <c r="F80" s="35"/>
      <c r="G80" s="30" t="s">
        <v>8213</v>
      </c>
      <c r="H80" s="29">
        <f>COUNTIF(关系明细!$D$2:$D$2253,B80)</f>
        <v>15</v>
      </c>
      <c r="I80" s="29">
        <f>COUNTIF(关系明细!$G$2:$G$2253,B80)</f>
        <v>8</v>
      </c>
    </row>
    <row r="81" spans="1:9" ht="16.5">
      <c r="A81" s="34" t="s">
        <v>778</v>
      </c>
      <c r="B81" s="9" t="s">
        <v>775</v>
      </c>
      <c r="C81" s="40" t="s">
        <v>62</v>
      </c>
      <c r="D81" s="34" t="s">
        <v>8174</v>
      </c>
      <c r="E81" s="27" t="s">
        <v>706</v>
      </c>
      <c r="F81" s="34"/>
      <c r="G81" s="9" t="s">
        <v>8214</v>
      </c>
      <c r="H81" s="27">
        <f>COUNTIF(关系明细!$D$2:$D$2253,B81)</f>
        <v>3</v>
      </c>
      <c r="I81" s="27">
        <f>COUNTIF(关系明细!$G$2:$G$2253,B81)</f>
        <v>1</v>
      </c>
    </row>
    <row r="82" spans="1:9" ht="16.5">
      <c r="A82" s="35" t="s">
        <v>751</v>
      </c>
      <c r="B82" s="30" t="s">
        <v>748</v>
      </c>
      <c r="C82" s="39" t="s">
        <v>72</v>
      </c>
      <c r="D82" s="35" t="s">
        <v>8181</v>
      </c>
      <c r="E82" s="29" t="s">
        <v>706</v>
      </c>
      <c r="F82" s="35"/>
      <c r="G82" s="30" t="s">
        <v>8215</v>
      </c>
      <c r="H82" s="29">
        <f>COUNTIF(关系明细!$D$2:$D$2253,B82)</f>
        <v>0</v>
      </c>
      <c r="I82" s="29">
        <f>COUNTIF(关系明细!$G$2:$G$2253,B82)</f>
        <v>1</v>
      </c>
    </row>
    <row r="83" spans="1:9" ht="16.5">
      <c r="A83" s="34" t="s">
        <v>754</v>
      </c>
      <c r="B83" s="9" t="s">
        <v>752</v>
      </c>
      <c r="C83" s="40" t="s">
        <v>72</v>
      </c>
      <c r="D83" s="34" t="s">
        <v>8181</v>
      </c>
      <c r="E83" s="27" t="s">
        <v>706</v>
      </c>
      <c r="F83" s="34"/>
      <c r="G83" s="9" t="s">
        <v>8215</v>
      </c>
      <c r="H83" s="27">
        <f>COUNTIF(关系明细!$D$2:$D$2253,B83)</f>
        <v>0</v>
      </c>
      <c r="I83" s="27">
        <f>COUNTIF(关系明细!$G$2:$G$2253,B83)</f>
        <v>1</v>
      </c>
    </row>
    <row r="84" spans="1:9" ht="16.5">
      <c r="A84" s="35" t="s">
        <v>718</v>
      </c>
      <c r="B84" s="30" t="s">
        <v>715</v>
      </c>
      <c r="C84" s="39" t="s">
        <v>72</v>
      </c>
      <c r="D84" s="35" t="s">
        <v>8181</v>
      </c>
      <c r="E84" s="29" t="s">
        <v>706</v>
      </c>
      <c r="F84" s="35"/>
      <c r="G84" s="35" t="s">
        <v>8216</v>
      </c>
      <c r="H84" s="29">
        <f>COUNTIF(关系明细!$D$2:$D$2253,B84)</f>
        <v>0</v>
      </c>
      <c r="I84" s="29">
        <f>COUNTIF(关系明细!$G$2:$G$2253,B84)</f>
        <v>1</v>
      </c>
    </row>
    <row r="85" spans="1:9" ht="16.5">
      <c r="A85" s="34" t="s">
        <v>721</v>
      </c>
      <c r="B85" s="9" t="s">
        <v>719</v>
      </c>
      <c r="C85" s="40" t="s">
        <v>72</v>
      </c>
      <c r="D85" s="34" t="s">
        <v>8181</v>
      </c>
      <c r="E85" s="27" t="s">
        <v>706</v>
      </c>
      <c r="F85" s="34"/>
      <c r="G85" s="34" t="s">
        <v>8216</v>
      </c>
      <c r="H85" s="27">
        <f>COUNTIF(关系明细!$D$2:$D$2253,B85)</f>
        <v>0</v>
      </c>
      <c r="I85" s="27">
        <f>COUNTIF(关系明细!$G$2:$G$2253,B85)</f>
        <v>1</v>
      </c>
    </row>
    <row r="86" spans="1:9" ht="16.5">
      <c r="A86" s="35" t="s">
        <v>724</v>
      </c>
      <c r="B86" s="30" t="s">
        <v>722</v>
      </c>
      <c r="C86" s="39" t="s">
        <v>72</v>
      </c>
      <c r="D86" s="35" t="s">
        <v>8181</v>
      </c>
      <c r="E86" s="29" t="s">
        <v>706</v>
      </c>
      <c r="F86" s="35"/>
      <c r="G86" s="35" t="s">
        <v>8216</v>
      </c>
      <c r="H86" s="29">
        <f>COUNTIF(关系明细!$D$2:$D$2253,B86)</f>
        <v>0</v>
      </c>
      <c r="I86" s="29">
        <f>COUNTIF(关系明细!$G$2:$G$2253,B86)</f>
        <v>1</v>
      </c>
    </row>
    <row r="87" spans="1:9" ht="16.5">
      <c r="A87" s="34" t="s">
        <v>727</v>
      </c>
      <c r="B87" s="9" t="s">
        <v>725</v>
      </c>
      <c r="C87" s="40" t="s">
        <v>72</v>
      </c>
      <c r="D87" s="34" t="s">
        <v>8181</v>
      </c>
      <c r="E87" s="27" t="s">
        <v>706</v>
      </c>
      <c r="F87" s="34"/>
      <c r="G87" s="34" t="s">
        <v>8216</v>
      </c>
      <c r="H87" s="27">
        <f>COUNTIF(关系明细!$D$2:$D$2253,B87)</f>
        <v>0</v>
      </c>
      <c r="I87" s="27">
        <f>COUNTIF(关系明细!$G$2:$G$2253,B87)</f>
        <v>1</v>
      </c>
    </row>
    <row r="88" spans="1:9" ht="16.5">
      <c r="A88" s="35" t="s">
        <v>774</v>
      </c>
      <c r="B88" s="30" t="s">
        <v>771</v>
      </c>
      <c r="C88" s="39" t="s">
        <v>82</v>
      </c>
      <c r="D88" s="35" t="s">
        <v>8186</v>
      </c>
      <c r="E88" s="29" t="s">
        <v>706</v>
      </c>
      <c r="F88" s="35"/>
      <c r="G88" s="30" t="s">
        <v>8217</v>
      </c>
      <c r="H88" s="29">
        <f>COUNTIF(关系明细!$D$2:$D$2253,B88)</f>
        <v>0</v>
      </c>
      <c r="I88" s="29">
        <f>COUNTIF(关系明细!$G$2:$G$2253,B88)</f>
        <v>1</v>
      </c>
    </row>
    <row r="89" spans="1:9" ht="16.5">
      <c r="A89" s="34" t="s">
        <v>758</v>
      </c>
      <c r="B89" s="9" t="s">
        <v>755</v>
      </c>
      <c r="C89" s="40" t="s">
        <v>82</v>
      </c>
      <c r="D89" s="34" t="s">
        <v>8186</v>
      </c>
      <c r="E89" s="27" t="s">
        <v>706</v>
      </c>
      <c r="F89" s="34"/>
      <c r="G89" s="9" t="s">
        <v>8188</v>
      </c>
      <c r="H89" s="27">
        <f>COUNTIF(关系明细!$D$2:$D$2253,B89)</f>
        <v>0</v>
      </c>
      <c r="I89" s="27">
        <f>COUNTIF(关系明细!$G$2:$G$2253,B89)</f>
        <v>1</v>
      </c>
    </row>
    <row r="90" spans="1:9" ht="16.5">
      <c r="A90" s="35" t="s">
        <v>762</v>
      </c>
      <c r="B90" s="30" t="s">
        <v>759</v>
      </c>
      <c r="C90" s="39" t="s">
        <v>82</v>
      </c>
      <c r="D90" s="35" t="s">
        <v>8186</v>
      </c>
      <c r="E90" s="29" t="s">
        <v>706</v>
      </c>
      <c r="F90" s="35"/>
      <c r="G90" s="30" t="s">
        <v>8189</v>
      </c>
      <c r="H90" s="29">
        <f>COUNTIF(关系明细!$D$2:$D$2253,B90)</f>
        <v>0</v>
      </c>
      <c r="I90" s="29">
        <f>COUNTIF(关系明细!$G$2:$G$2253,B90)</f>
        <v>1</v>
      </c>
    </row>
    <row r="91" spans="1:9" ht="16.5">
      <c r="A91" s="34" t="s">
        <v>766</v>
      </c>
      <c r="B91" s="9" t="s">
        <v>763</v>
      </c>
      <c r="C91" s="40" t="s">
        <v>82</v>
      </c>
      <c r="D91" s="34" t="s">
        <v>8186</v>
      </c>
      <c r="E91" s="27" t="s">
        <v>706</v>
      </c>
      <c r="F91" s="34"/>
      <c r="G91" s="9" t="s">
        <v>8218</v>
      </c>
      <c r="H91" s="27">
        <f>COUNTIF(关系明细!$D$2:$D$2253,B91)</f>
        <v>0</v>
      </c>
      <c r="I91" s="27">
        <f>COUNTIF(关系明细!$G$2:$G$2253,B91)</f>
        <v>1</v>
      </c>
    </row>
    <row r="92" spans="1:9" ht="16.5">
      <c r="A92" s="35" t="s">
        <v>788</v>
      </c>
      <c r="B92" s="30" t="s">
        <v>785</v>
      </c>
      <c r="C92" s="39" t="s">
        <v>82</v>
      </c>
      <c r="D92" s="35" t="s">
        <v>8186</v>
      </c>
      <c r="E92" s="29" t="s">
        <v>706</v>
      </c>
      <c r="F92" s="35"/>
      <c r="G92" s="30" t="s">
        <v>8188</v>
      </c>
      <c r="H92" s="29">
        <f>COUNTIF(关系明细!$D$2:$D$2253,B92)</f>
        <v>0</v>
      </c>
      <c r="I92" s="29">
        <f>COUNTIF(关系明细!$G$2:$G$2253,B92)</f>
        <v>1</v>
      </c>
    </row>
    <row r="93" spans="1:9" ht="16.5">
      <c r="A93" s="34" t="s">
        <v>731</v>
      </c>
      <c r="B93" s="34" t="s">
        <v>728</v>
      </c>
      <c r="C93" s="40" t="s">
        <v>82</v>
      </c>
      <c r="D93" s="34" t="s">
        <v>8186</v>
      </c>
      <c r="E93" s="27" t="s">
        <v>706</v>
      </c>
      <c r="F93" s="34"/>
      <c r="G93" s="9" t="s">
        <v>8190</v>
      </c>
      <c r="H93" s="27">
        <f>COUNTIF(关系明细!$D$2:$D$2253,B93)</f>
        <v>0</v>
      </c>
      <c r="I93" s="27">
        <f>COUNTIF(关系明细!$G$2:$G$2253,B93)</f>
        <v>1</v>
      </c>
    </row>
    <row r="94" spans="1:9" ht="16.5">
      <c r="A94" s="35" t="s">
        <v>735</v>
      </c>
      <c r="B94" s="35" t="s">
        <v>732</v>
      </c>
      <c r="C94" s="39" t="s">
        <v>82</v>
      </c>
      <c r="D94" s="35" t="s">
        <v>8186</v>
      </c>
      <c r="E94" s="29" t="s">
        <v>706</v>
      </c>
      <c r="F94" s="35"/>
      <c r="G94" s="30" t="s">
        <v>8191</v>
      </c>
      <c r="H94" s="29">
        <f>COUNTIF(关系明细!$D$2:$D$2253,B94)</f>
        <v>0</v>
      </c>
      <c r="I94" s="29">
        <f>COUNTIF(关系明细!$G$2:$G$2253,B94)</f>
        <v>1</v>
      </c>
    </row>
    <row r="95" spans="1:9" ht="16.5">
      <c r="A95" s="34" t="s">
        <v>739</v>
      </c>
      <c r="B95" s="34" t="s">
        <v>736</v>
      </c>
      <c r="C95" s="40" t="s">
        <v>82</v>
      </c>
      <c r="D95" s="34" t="s">
        <v>8186</v>
      </c>
      <c r="E95" s="27" t="s">
        <v>706</v>
      </c>
      <c r="F95" s="34"/>
      <c r="G95" s="9" t="s">
        <v>8192</v>
      </c>
      <c r="H95" s="27">
        <f>COUNTIF(关系明细!$D$2:$D$2253,B95)</f>
        <v>0</v>
      </c>
      <c r="I95" s="27">
        <f>COUNTIF(关系明细!$G$2:$G$2253,B95)</f>
        <v>1</v>
      </c>
    </row>
    <row r="96" spans="1:9" ht="16.5">
      <c r="A96" s="35" t="s">
        <v>743</v>
      </c>
      <c r="B96" s="35" t="s">
        <v>740</v>
      </c>
      <c r="C96" s="39" t="s">
        <v>82</v>
      </c>
      <c r="D96" s="35" t="s">
        <v>8186</v>
      </c>
      <c r="E96" s="29" t="s">
        <v>706</v>
      </c>
      <c r="F96" s="35"/>
      <c r="G96" s="30" t="s">
        <v>8193</v>
      </c>
      <c r="H96" s="29">
        <f>COUNTIF(关系明细!$D$2:$D$2253,B96)</f>
        <v>0</v>
      </c>
      <c r="I96" s="29">
        <f>COUNTIF(关系明细!$G$2:$G$2253,B96)</f>
        <v>1</v>
      </c>
    </row>
    <row r="97" spans="1:9" ht="16.5">
      <c r="A97" s="34" t="s">
        <v>782</v>
      </c>
      <c r="B97" s="9" t="s">
        <v>779</v>
      </c>
      <c r="C97" s="40" t="s">
        <v>82</v>
      </c>
      <c r="D97" s="34" t="s">
        <v>8186</v>
      </c>
      <c r="E97" s="27" t="s">
        <v>706</v>
      </c>
      <c r="F97" s="34"/>
      <c r="G97" s="9" t="s">
        <v>8188</v>
      </c>
      <c r="H97" s="27">
        <f>COUNTIF(关系明细!$D$2:$D$2253,B97)</f>
        <v>0</v>
      </c>
      <c r="I97" s="27">
        <f>COUNTIF(关系明细!$G$2:$G$2253,B97)</f>
        <v>1</v>
      </c>
    </row>
    <row r="98" spans="1:9" ht="16.5">
      <c r="A98" s="35" t="s">
        <v>605</v>
      </c>
      <c r="B98" s="30" t="s">
        <v>601</v>
      </c>
      <c r="C98" s="39" t="s">
        <v>300</v>
      </c>
      <c r="D98" s="35" t="s">
        <v>8197</v>
      </c>
      <c r="E98" s="29" t="s">
        <v>706</v>
      </c>
      <c r="F98" s="35"/>
      <c r="G98" s="35" t="s">
        <v>8219</v>
      </c>
      <c r="H98" s="29">
        <f>COUNTIF(关系明细!$D$2:$D$2253,B98)</f>
        <v>1</v>
      </c>
      <c r="I98" s="29">
        <f>COUNTIF(关系明细!$G$2:$G$2253,B98)</f>
        <v>1</v>
      </c>
    </row>
    <row r="99" spans="1:9" ht="16.5">
      <c r="A99" s="34" t="s">
        <v>611</v>
      </c>
      <c r="B99" s="9" t="s">
        <v>608</v>
      </c>
      <c r="C99" s="40" t="s">
        <v>300</v>
      </c>
      <c r="D99" s="34" t="s">
        <v>8197</v>
      </c>
      <c r="E99" s="27" t="s">
        <v>706</v>
      </c>
      <c r="F99" s="34"/>
      <c r="G99" s="9" t="s">
        <v>8220</v>
      </c>
      <c r="H99" s="27">
        <f>COUNTIF(关系明细!$D$2:$D$2253,B99)</f>
        <v>4</v>
      </c>
      <c r="I99" s="27">
        <f>COUNTIF(关系明细!$G$2:$G$2253,B99)</f>
        <v>0</v>
      </c>
    </row>
    <row r="100" spans="1:9" ht="16.5">
      <c r="A100" s="35" t="s">
        <v>641</v>
      </c>
      <c r="B100" s="30" t="s">
        <v>636</v>
      </c>
      <c r="C100" s="39" t="s">
        <v>300</v>
      </c>
      <c r="D100" s="35" t="s">
        <v>8197</v>
      </c>
      <c r="E100" s="29" t="s">
        <v>706</v>
      </c>
      <c r="F100" s="35"/>
      <c r="G100" s="35" t="s">
        <v>8221</v>
      </c>
      <c r="H100" s="29">
        <f>COUNTIF(关系明细!$D$2:$D$2253,B100)</f>
        <v>3</v>
      </c>
      <c r="I100" s="29">
        <f>COUNTIF(关系明细!$G$2:$G$2253,B100)</f>
        <v>2</v>
      </c>
    </row>
    <row r="101" spans="1:9" ht="16.5">
      <c r="A101" s="34" t="s">
        <v>792</v>
      </c>
      <c r="B101" s="9" t="s">
        <v>789</v>
      </c>
      <c r="C101" s="40" t="s">
        <v>204</v>
      </c>
      <c r="D101" s="34" t="s">
        <v>8201</v>
      </c>
      <c r="E101" s="27" t="s">
        <v>706</v>
      </c>
      <c r="F101" s="34" t="s">
        <v>625</v>
      </c>
      <c r="G101" s="9" t="s">
        <v>790</v>
      </c>
      <c r="H101" s="27">
        <f>COUNTIF(关系明细!$D$2:$D$2253,B101)</f>
        <v>4</v>
      </c>
      <c r="I101" s="27">
        <f>COUNTIF(关系明细!$G$2:$G$2253,B101)</f>
        <v>1</v>
      </c>
    </row>
    <row r="102" spans="1:9" ht="16.5">
      <c r="A102" s="35" t="s">
        <v>797</v>
      </c>
      <c r="B102" s="30" t="s">
        <v>794</v>
      </c>
      <c r="C102" s="39" t="s">
        <v>204</v>
      </c>
      <c r="D102" s="35" t="s">
        <v>8201</v>
      </c>
      <c r="E102" s="29" t="s">
        <v>706</v>
      </c>
      <c r="F102" s="35" t="s">
        <v>625</v>
      </c>
      <c r="G102" s="30" t="s">
        <v>795</v>
      </c>
      <c r="H102" s="29">
        <f>COUNTIF(关系明细!$D$2:$D$2253,B102)</f>
        <v>6</v>
      </c>
      <c r="I102" s="29">
        <f>COUNTIF(关系明细!$G$2:$G$2253,B102)</f>
        <v>3</v>
      </c>
    </row>
    <row r="103" spans="1:9" ht="16.5">
      <c r="A103" s="34" t="s">
        <v>802</v>
      </c>
      <c r="B103" s="9" t="s">
        <v>799</v>
      </c>
      <c r="C103" s="40" t="s">
        <v>204</v>
      </c>
      <c r="D103" s="34" t="s">
        <v>8201</v>
      </c>
      <c r="E103" s="27" t="s">
        <v>706</v>
      </c>
      <c r="F103" s="34" t="s">
        <v>625</v>
      </c>
      <c r="G103" s="34" t="s">
        <v>584</v>
      </c>
      <c r="H103" s="27">
        <f>COUNTIF(关系明细!$D$2:$D$2253,B103)</f>
        <v>2</v>
      </c>
      <c r="I103" s="27">
        <f>COUNTIF(关系明细!$G$2:$G$2253,B103)</f>
        <v>1</v>
      </c>
    </row>
    <row r="104" spans="1:9" ht="16.5">
      <c r="A104" s="35" t="s">
        <v>807</v>
      </c>
      <c r="B104" s="35" t="s">
        <v>804</v>
      </c>
      <c r="C104" s="39" t="s">
        <v>204</v>
      </c>
      <c r="D104" s="35" t="s">
        <v>8201</v>
      </c>
      <c r="E104" s="29" t="s">
        <v>706</v>
      </c>
      <c r="F104" s="35" t="s">
        <v>625</v>
      </c>
      <c r="G104" s="30" t="s">
        <v>805</v>
      </c>
      <c r="H104" s="29">
        <f>COUNTIF(关系明细!$D$2:$D$2253,B104)</f>
        <v>5</v>
      </c>
      <c r="I104" s="29">
        <f>COUNTIF(关系明细!$G$2:$G$2253,B104)</f>
        <v>1</v>
      </c>
    </row>
    <row r="105" spans="1:9" ht="16.5">
      <c r="A105" s="34" t="s">
        <v>812</v>
      </c>
      <c r="B105" s="34" t="s">
        <v>809</v>
      </c>
      <c r="C105" s="40" t="s">
        <v>204</v>
      </c>
      <c r="D105" s="34" t="s">
        <v>8201</v>
      </c>
      <c r="E105" s="27" t="s">
        <v>706</v>
      </c>
      <c r="F105" s="34" t="s">
        <v>625</v>
      </c>
      <c r="G105" s="34" t="s">
        <v>584</v>
      </c>
      <c r="H105" s="27">
        <f>COUNTIF(关系明细!$D$2:$D$2253,B105)</f>
        <v>4</v>
      </c>
      <c r="I105" s="27">
        <f>COUNTIF(关系明细!$G$2:$G$2253,B105)</f>
        <v>1</v>
      </c>
    </row>
    <row r="106" spans="1:9" ht="16.5">
      <c r="A106" s="35" t="s">
        <v>817</v>
      </c>
      <c r="B106" s="30" t="s">
        <v>814</v>
      </c>
      <c r="C106" s="39" t="s">
        <v>204</v>
      </c>
      <c r="D106" s="35" t="s">
        <v>8201</v>
      </c>
      <c r="E106" s="29" t="s">
        <v>706</v>
      </c>
      <c r="F106" s="30" t="s">
        <v>744</v>
      </c>
      <c r="G106" s="35" t="s">
        <v>584</v>
      </c>
      <c r="H106" s="29">
        <f>COUNTIF(关系明细!$D$2:$D$2253,B106)</f>
        <v>2</v>
      </c>
      <c r="I106" s="29">
        <f>COUNTIF(关系明细!$G$2:$G$2253,B106)</f>
        <v>1</v>
      </c>
    </row>
    <row r="107" spans="1:9" ht="16.5">
      <c r="A107" s="34" t="s">
        <v>822</v>
      </c>
      <c r="B107" s="9" t="s">
        <v>819</v>
      </c>
      <c r="C107" s="40" t="s">
        <v>204</v>
      </c>
      <c r="D107" s="34" t="s">
        <v>8201</v>
      </c>
      <c r="E107" s="27" t="s">
        <v>706</v>
      </c>
      <c r="F107" s="9" t="s">
        <v>744</v>
      </c>
      <c r="G107" s="9" t="s">
        <v>820</v>
      </c>
      <c r="H107" s="27">
        <f>COUNTIF(关系明细!$D$2:$D$2253,B107)</f>
        <v>3</v>
      </c>
      <c r="I107" s="27">
        <f>COUNTIF(关系明细!$G$2:$G$2253,B107)</f>
        <v>2</v>
      </c>
    </row>
    <row r="108" spans="1:9" ht="16.5">
      <c r="A108" s="35" t="s">
        <v>827</v>
      </c>
      <c r="B108" s="30" t="s">
        <v>824</v>
      </c>
      <c r="C108" s="39" t="s">
        <v>204</v>
      </c>
      <c r="D108" s="35" t="s">
        <v>8201</v>
      </c>
      <c r="E108" s="29" t="s">
        <v>706</v>
      </c>
      <c r="F108" s="30" t="s">
        <v>744</v>
      </c>
      <c r="G108" s="35" t="s">
        <v>584</v>
      </c>
      <c r="H108" s="29">
        <f>COUNTIF(关系明细!$D$2:$D$2253,B108)</f>
        <v>2</v>
      </c>
      <c r="I108" s="29">
        <f>COUNTIF(关系明细!$G$2:$G$2253,B108)</f>
        <v>1</v>
      </c>
    </row>
    <row r="109" spans="1:9" ht="16.5">
      <c r="A109" s="34" t="s">
        <v>832</v>
      </c>
      <c r="B109" s="9" t="s">
        <v>829</v>
      </c>
      <c r="C109" s="40" t="s">
        <v>204</v>
      </c>
      <c r="D109" s="34" t="s">
        <v>8201</v>
      </c>
      <c r="E109" s="27" t="s">
        <v>706</v>
      </c>
      <c r="F109" s="9" t="s">
        <v>744</v>
      </c>
      <c r="G109" s="9" t="s">
        <v>830</v>
      </c>
      <c r="H109" s="27">
        <f>COUNTIF(关系明细!$D$2:$D$2253,B109)</f>
        <v>1</v>
      </c>
      <c r="I109" s="27">
        <f>COUNTIF(关系明细!$G$2:$G$2253,B109)</f>
        <v>1</v>
      </c>
    </row>
    <row r="110" spans="1:9" ht="16.5">
      <c r="A110" s="35" t="s">
        <v>837</v>
      </c>
      <c r="B110" s="35" t="s">
        <v>834</v>
      </c>
      <c r="C110" s="39" t="s">
        <v>204</v>
      </c>
      <c r="D110" s="35" t="s">
        <v>8201</v>
      </c>
      <c r="E110" s="29" t="s">
        <v>706</v>
      </c>
      <c r="F110" s="30" t="s">
        <v>744</v>
      </c>
      <c r="G110" s="30" t="s">
        <v>835</v>
      </c>
      <c r="H110" s="29">
        <f>COUNTIF(关系明细!$D$2:$D$2253,B110)</f>
        <v>1</v>
      </c>
      <c r="I110" s="29">
        <f>COUNTIF(关系明细!$G$2:$G$2253,B110)</f>
        <v>1</v>
      </c>
    </row>
    <row r="111" spans="1:9" ht="16.5">
      <c r="A111" s="34" t="s">
        <v>842</v>
      </c>
      <c r="B111" s="9" t="s">
        <v>839</v>
      </c>
      <c r="C111" s="40" t="s">
        <v>204</v>
      </c>
      <c r="D111" s="34" t="s">
        <v>8201</v>
      </c>
      <c r="E111" s="27" t="s">
        <v>706</v>
      </c>
      <c r="F111" s="9" t="s">
        <v>767</v>
      </c>
      <c r="G111" s="9" t="s">
        <v>840</v>
      </c>
      <c r="H111" s="27">
        <f>COUNTIF(关系明细!$D$2:$D$2253,B111)</f>
        <v>3</v>
      </c>
      <c r="I111" s="27">
        <f>COUNTIF(关系明细!$G$2:$G$2253,B111)</f>
        <v>2</v>
      </c>
    </row>
    <row r="112" spans="1:9" ht="16.5">
      <c r="A112" s="35" t="s">
        <v>847</v>
      </c>
      <c r="B112" s="30" t="s">
        <v>844</v>
      </c>
      <c r="C112" s="39" t="s">
        <v>204</v>
      </c>
      <c r="D112" s="35" t="s">
        <v>8201</v>
      </c>
      <c r="E112" s="29" t="s">
        <v>706</v>
      </c>
      <c r="F112" s="30" t="s">
        <v>621</v>
      </c>
      <c r="G112" s="35" t="s">
        <v>584</v>
      </c>
      <c r="H112" s="29">
        <f>COUNTIF(关系明细!$D$2:$D$2253,B112)</f>
        <v>1</v>
      </c>
      <c r="I112" s="29">
        <f>COUNTIF(关系明细!$G$2:$G$2253,B112)</f>
        <v>1</v>
      </c>
    </row>
    <row r="113" spans="1:9" ht="16.5">
      <c r="A113" s="34" t="s">
        <v>852</v>
      </c>
      <c r="B113" s="9" t="s">
        <v>849</v>
      </c>
      <c r="C113" s="40" t="s">
        <v>204</v>
      </c>
      <c r="D113" s="34" t="s">
        <v>8201</v>
      </c>
      <c r="E113" s="27" t="s">
        <v>706</v>
      </c>
      <c r="F113" s="9" t="s">
        <v>775</v>
      </c>
      <c r="G113" s="34" t="s">
        <v>584</v>
      </c>
      <c r="H113" s="27">
        <f>COUNTIF(关系明细!$D$2:$D$2253,B113)</f>
        <v>1</v>
      </c>
      <c r="I113" s="27">
        <f>COUNTIF(关系明细!$G$2:$G$2253,B113)</f>
        <v>1</v>
      </c>
    </row>
    <row r="114" spans="1:9" ht="16.5">
      <c r="A114" s="35" t="s">
        <v>310</v>
      </c>
      <c r="B114" s="30" t="s">
        <v>306</v>
      </c>
      <c r="C114" s="39" t="s">
        <v>295</v>
      </c>
      <c r="D114" s="35" t="s">
        <v>8202</v>
      </c>
      <c r="E114" s="29" t="s">
        <v>706</v>
      </c>
      <c r="F114" s="30" t="s">
        <v>621</v>
      </c>
      <c r="G114" s="30" t="s">
        <v>854</v>
      </c>
      <c r="H114" s="29">
        <f>COUNTIF(关系明细!$D$2:$D$2253,B114)</f>
        <v>0</v>
      </c>
      <c r="I114" s="29">
        <f>COUNTIF(关系明细!$G$2:$G$2253,B114)</f>
        <v>3</v>
      </c>
    </row>
    <row r="115" spans="1:9" ht="16.5">
      <c r="A115" s="34" t="s">
        <v>975</v>
      </c>
      <c r="B115" s="9" t="s">
        <v>972</v>
      </c>
      <c r="C115" s="40" t="s">
        <v>488</v>
      </c>
      <c r="D115" s="34" t="s">
        <v>8203</v>
      </c>
      <c r="E115" s="27" t="s">
        <v>706</v>
      </c>
      <c r="F115" s="34"/>
      <c r="G115" s="34" t="s">
        <v>584</v>
      </c>
      <c r="H115" s="27">
        <f>COUNTIF(关系明细!$D$2:$D$2253,B115)</f>
        <v>1</v>
      </c>
      <c r="I115" s="27">
        <f>COUNTIF(关系明细!$G$2:$G$2253,B115)</f>
        <v>1</v>
      </c>
    </row>
    <row r="116" spans="1:9" ht="16.5">
      <c r="A116" s="35" t="s">
        <v>986</v>
      </c>
      <c r="B116" s="30" t="s">
        <v>982</v>
      </c>
      <c r="C116" s="39" t="s">
        <v>488</v>
      </c>
      <c r="D116" s="35" t="s">
        <v>8203</v>
      </c>
      <c r="E116" s="29" t="s">
        <v>706</v>
      </c>
      <c r="F116" s="35"/>
      <c r="G116" s="30" t="s">
        <v>984</v>
      </c>
      <c r="H116" s="29">
        <f>COUNTIF(关系明细!$D$2:$D$2253,B116)</f>
        <v>1</v>
      </c>
      <c r="I116" s="29">
        <f>COUNTIF(关系明细!$G$2:$G$2253,B116)</f>
        <v>1</v>
      </c>
    </row>
    <row r="117" spans="1:9" ht="16.5">
      <c r="A117" s="34" t="s">
        <v>976</v>
      </c>
      <c r="B117" s="9" t="s">
        <v>973</v>
      </c>
      <c r="C117" s="40" t="s">
        <v>491</v>
      </c>
      <c r="D117" s="34" t="s">
        <v>8204</v>
      </c>
      <c r="E117" s="27" t="s">
        <v>706</v>
      </c>
      <c r="F117" s="34"/>
      <c r="G117" s="34" t="s">
        <v>977</v>
      </c>
      <c r="H117" s="27">
        <f>COUNTIF(关系明细!$D$2:$D$2253,B117)</f>
        <v>1</v>
      </c>
      <c r="I117" s="27">
        <f>COUNTIF(关系明细!$G$2:$G$2253,B117)</f>
        <v>1</v>
      </c>
    </row>
    <row r="118" spans="1:9" ht="16.5">
      <c r="A118" s="35" t="s">
        <v>987</v>
      </c>
      <c r="B118" s="30" t="s">
        <v>983</v>
      </c>
      <c r="C118" s="39" t="s">
        <v>491</v>
      </c>
      <c r="D118" s="35" t="s">
        <v>8204</v>
      </c>
      <c r="E118" s="29" t="s">
        <v>706</v>
      </c>
      <c r="F118" s="35"/>
      <c r="G118" s="35" t="s">
        <v>988</v>
      </c>
      <c r="H118" s="29">
        <f>COUNTIF(关系明细!$D$2:$D$2253,B118)</f>
        <v>1</v>
      </c>
      <c r="I118" s="29">
        <f>COUNTIF(关系明细!$G$2:$G$2253,B118)</f>
        <v>1</v>
      </c>
    </row>
    <row r="119" spans="1:9" ht="16.5">
      <c r="A119" s="34" t="s">
        <v>997</v>
      </c>
      <c r="B119" s="9" t="s">
        <v>993</v>
      </c>
      <c r="C119" s="40" t="s">
        <v>491</v>
      </c>
      <c r="D119" s="34" t="s">
        <v>8204</v>
      </c>
      <c r="E119" s="27" t="s">
        <v>706</v>
      </c>
      <c r="F119" s="34"/>
      <c r="G119" s="9" t="s">
        <v>8222</v>
      </c>
      <c r="H119" s="27">
        <f>COUNTIF(关系明细!$D$2:$D$2253,B119)</f>
        <v>1</v>
      </c>
      <c r="I119" s="27">
        <f>COUNTIF(关系明细!$G$2:$G$2253,B119)</f>
        <v>0</v>
      </c>
    </row>
    <row r="120" spans="1:9" ht="16.5">
      <c r="A120" s="35" t="s">
        <v>998</v>
      </c>
      <c r="B120" s="30" t="s">
        <v>994</v>
      </c>
      <c r="C120" s="39" t="s">
        <v>556</v>
      </c>
      <c r="D120" s="35" t="s">
        <v>8205</v>
      </c>
      <c r="E120" s="29" t="s">
        <v>706</v>
      </c>
      <c r="F120" s="35"/>
      <c r="G120" s="30" t="s">
        <v>995</v>
      </c>
      <c r="H120" s="29">
        <f>COUNTIF(关系明细!$D$2:$D$2253,B120)</f>
        <v>0</v>
      </c>
      <c r="I120" s="29">
        <f>COUNTIF(关系明细!$G$2:$G$2253,B120)</f>
        <v>1</v>
      </c>
    </row>
    <row r="121" spans="1:9" ht="16.5">
      <c r="A121" s="34" t="s">
        <v>1036</v>
      </c>
      <c r="B121" s="9" t="s">
        <v>1032</v>
      </c>
      <c r="C121" s="40" t="s">
        <v>44</v>
      </c>
      <c r="D121" s="34" t="s">
        <v>8172</v>
      </c>
      <c r="E121" s="27" t="s">
        <v>1034</v>
      </c>
      <c r="F121" s="34"/>
      <c r="G121" s="9" t="s">
        <v>8223</v>
      </c>
      <c r="H121" s="27">
        <f>COUNTIF(关系明细!$D$2:$D$2253,B121)</f>
        <v>6</v>
      </c>
      <c r="I121" s="27">
        <f>COUNTIF(关系明细!$G$2:$G$2253,B121)</f>
        <v>0</v>
      </c>
    </row>
    <row r="122" spans="1:9" ht="16.5">
      <c r="A122" s="35" t="s">
        <v>1058</v>
      </c>
      <c r="B122" s="30" t="s">
        <v>1055</v>
      </c>
      <c r="C122" s="39" t="s">
        <v>62</v>
      </c>
      <c r="D122" s="35" t="s">
        <v>8174</v>
      </c>
      <c r="E122" s="29" t="s">
        <v>1034</v>
      </c>
      <c r="F122" s="35"/>
      <c r="G122" s="30" t="s">
        <v>8224</v>
      </c>
      <c r="H122" s="29">
        <f>COUNTIF(关系明细!$D$2:$D$2253,B122)</f>
        <v>4</v>
      </c>
      <c r="I122" s="29">
        <f>COUNTIF(关系明细!$G$2:$G$2253,B122)</f>
        <v>2</v>
      </c>
    </row>
    <row r="123" spans="1:9" ht="16.5">
      <c r="A123" s="34" t="s">
        <v>1040</v>
      </c>
      <c r="B123" s="9" t="s">
        <v>1037</v>
      </c>
      <c r="C123" s="40" t="s">
        <v>62</v>
      </c>
      <c r="D123" s="34" t="s">
        <v>8174</v>
      </c>
      <c r="E123" s="27" t="s">
        <v>1034</v>
      </c>
      <c r="F123" s="34"/>
      <c r="G123" s="9" t="s">
        <v>8225</v>
      </c>
      <c r="H123" s="27">
        <f>COUNTIF(关系明细!$D$2:$D$2253,B123)</f>
        <v>6</v>
      </c>
      <c r="I123" s="27">
        <f>COUNTIF(关系明细!$G$2:$G$2253,B123)</f>
        <v>1</v>
      </c>
    </row>
    <row r="124" spans="1:9" ht="16.5">
      <c r="A124" s="35" t="s">
        <v>1101</v>
      </c>
      <c r="B124" s="30" t="s">
        <v>1098</v>
      </c>
      <c r="C124" s="39" t="s">
        <v>62</v>
      </c>
      <c r="D124" s="35" t="s">
        <v>8174</v>
      </c>
      <c r="E124" s="29" t="s">
        <v>1034</v>
      </c>
      <c r="F124" s="35"/>
      <c r="G124" s="30" t="s">
        <v>8226</v>
      </c>
      <c r="H124" s="29">
        <f>COUNTIF(关系明细!$D$2:$D$2253,B124)</f>
        <v>4</v>
      </c>
      <c r="I124" s="29">
        <f>COUNTIF(关系明细!$G$2:$G$2253,B124)</f>
        <v>2</v>
      </c>
    </row>
    <row r="125" spans="1:9" ht="16.5">
      <c r="A125" s="34" t="s">
        <v>1072</v>
      </c>
      <c r="B125" s="9" t="s">
        <v>1069</v>
      </c>
      <c r="C125" s="40" t="s">
        <v>62</v>
      </c>
      <c r="D125" s="34" t="s">
        <v>8174</v>
      </c>
      <c r="E125" s="27" t="s">
        <v>1034</v>
      </c>
      <c r="F125" s="34"/>
      <c r="G125" s="9" t="s">
        <v>8227</v>
      </c>
      <c r="H125" s="27">
        <f>COUNTIF(关系明细!$D$2:$D$2253,B125)</f>
        <v>12</v>
      </c>
      <c r="I125" s="27">
        <f>COUNTIF(关系明细!$G$2:$G$2253,B125)</f>
        <v>3</v>
      </c>
    </row>
    <row r="126" spans="1:9" ht="16.5">
      <c r="A126" s="35" t="s">
        <v>1109</v>
      </c>
      <c r="B126" s="30" t="s">
        <v>1106</v>
      </c>
      <c r="C126" s="39" t="s">
        <v>62</v>
      </c>
      <c r="D126" s="35" t="s">
        <v>8174</v>
      </c>
      <c r="E126" s="29" t="s">
        <v>1034</v>
      </c>
      <c r="F126" s="35"/>
      <c r="G126" s="30" t="s">
        <v>8228</v>
      </c>
      <c r="H126" s="29">
        <f>COUNTIF(关系明细!$D$2:$D$2253,B126)</f>
        <v>9</v>
      </c>
      <c r="I126" s="29">
        <f>COUNTIF(关系明细!$G$2:$G$2253,B126)</f>
        <v>2</v>
      </c>
    </row>
    <row r="127" spans="1:9" ht="16.5">
      <c r="A127" s="34" t="s">
        <v>1062</v>
      </c>
      <c r="B127" s="9" t="s">
        <v>1059</v>
      </c>
      <c r="C127" s="40" t="s">
        <v>72</v>
      </c>
      <c r="D127" s="34" t="s">
        <v>8181</v>
      </c>
      <c r="E127" s="27" t="s">
        <v>1034</v>
      </c>
      <c r="F127" s="34"/>
      <c r="G127" s="9" t="s">
        <v>8229</v>
      </c>
      <c r="H127" s="27">
        <f>COUNTIF(关系明细!$D$2:$D$2253,B127)</f>
        <v>0</v>
      </c>
      <c r="I127" s="27">
        <f>COUNTIF(关系明细!$G$2:$G$2253,B127)</f>
        <v>1</v>
      </c>
    </row>
    <row r="128" spans="1:9" ht="16.5">
      <c r="A128" s="35" t="s">
        <v>1065</v>
      </c>
      <c r="B128" s="30" t="s">
        <v>1063</v>
      </c>
      <c r="C128" s="39" t="s">
        <v>72</v>
      </c>
      <c r="D128" s="35" t="s">
        <v>8181</v>
      </c>
      <c r="E128" s="29" t="s">
        <v>1034</v>
      </c>
      <c r="F128" s="35"/>
      <c r="G128" s="30" t="s">
        <v>8229</v>
      </c>
      <c r="H128" s="29">
        <f>COUNTIF(关系明细!$D$2:$D$2253,B128)</f>
        <v>0</v>
      </c>
      <c r="I128" s="29">
        <f>COUNTIF(关系明细!$G$2:$G$2253,B128)</f>
        <v>1</v>
      </c>
    </row>
    <row r="129" spans="1:9" ht="16.5">
      <c r="A129" s="34" t="s">
        <v>1068</v>
      </c>
      <c r="B129" s="9" t="s">
        <v>1066</v>
      </c>
      <c r="C129" s="40" t="s">
        <v>72</v>
      </c>
      <c r="D129" s="34" t="s">
        <v>8181</v>
      </c>
      <c r="E129" s="27" t="s">
        <v>1034</v>
      </c>
      <c r="F129" s="34"/>
      <c r="G129" s="9" t="s">
        <v>8229</v>
      </c>
      <c r="H129" s="27">
        <f>COUNTIF(关系明细!$D$2:$D$2253,B129)</f>
        <v>0</v>
      </c>
      <c r="I129" s="27">
        <f>COUNTIF(关系明细!$G$2:$G$2253,B129)</f>
        <v>1</v>
      </c>
    </row>
    <row r="130" spans="1:9" ht="16.5">
      <c r="A130" s="35" t="s">
        <v>1044</v>
      </c>
      <c r="B130" s="30" t="s">
        <v>1041</v>
      </c>
      <c r="C130" s="39" t="s">
        <v>72</v>
      </c>
      <c r="D130" s="35" t="s">
        <v>8181</v>
      </c>
      <c r="E130" s="29" t="s">
        <v>1034</v>
      </c>
      <c r="F130" s="35"/>
      <c r="G130" s="30" t="s">
        <v>8230</v>
      </c>
      <c r="H130" s="29">
        <f>COUNTIF(关系明细!$D$2:$D$2253,B130)</f>
        <v>0</v>
      </c>
      <c r="I130" s="29">
        <f>COUNTIF(关系明细!$G$2:$G$2253,B130)</f>
        <v>1</v>
      </c>
    </row>
    <row r="131" spans="1:9" ht="16.5">
      <c r="A131" s="34" t="s">
        <v>1047</v>
      </c>
      <c r="B131" s="9" t="s">
        <v>1045</v>
      </c>
      <c r="C131" s="40" t="s">
        <v>72</v>
      </c>
      <c r="D131" s="34" t="s">
        <v>8181</v>
      </c>
      <c r="E131" s="27" t="s">
        <v>1034</v>
      </c>
      <c r="F131" s="34"/>
      <c r="G131" s="9" t="s">
        <v>8230</v>
      </c>
      <c r="H131" s="27">
        <f>COUNTIF(关系明细!$D$2:$D$2253,B131)</f>
        <v>0</v>
      </c>
      <c r="I131" s="27">
        <f>COUNTIF(关系明细!$G$2:$G$2253,B131)</f>
        <v>1</v>
      </c>
    </row>
    <row r="132" spans="1:9" ht="16.5">
      <c r="A132" s="35" t="s">
        <v>1050</v>
      </c>
      <c r="B132" s="30" t="s">
        <v>1048</v>
      </c>
      <c r="C132" s="39" t="s">
        <v>72</v>
      </c>
      <c r="D132" s="35" t="s">
        <v>8181</v>
      </c>
      <c r="E132" s="29" t="s">
        <v>1034</v>
      </c>
      <c r="F132" s="35"/>
      <c r="G132" s="30" t="s">
        <v>8230</v>
      </c>
      <c r="H132" s="29">
        <f>COUNTIF(关系明细!$D$2:$D$2253,B132)</f>
        <v>0</v>
      </c>
      <c r="I132" s="29">
        <f>COUNTIF(关系明细!$G$2:$G$2253,B132)</f>
        <v>1</v>
      </c>
    </row>
    <row r="133" spans="1:9" ht="16.5">
      <c r="A133" s="34" t="s">
        <v>1076</v>
      </c>
      <c r="B133" s="9" t="s">
        <v>1073</v>
      </c>
      <c r="C133" s="40" t="s">
        <v>72</v>
      </c>
      <c r="D133" s="34" t="s">
        <v>8181</v>
      </c>
      <c r="E133" s="27" t="s">
        <v>1034</v>
      </c>
      <c r="F133" s="34"/>
      <c r="G133" s="9" t="s">
        <v>8231</v>
      </c>
      <c r="H133" s="27">
        <f>COUNTIF(关系明细!$D$2:$D$2253,B133)</f>
        <v>0</v>
      </c>
      <c r="I133" s="27">
        <f>COUNTIF(关系明细!$G$2:$G$2253,B133)</f>
        <v>1</v>
      </c>
    </row>
    <row r="134" spans="1:9" ht="16.5">
      <c r="A134" s="35" t="s">
        <v>1079</v>
      </c>
      <c r="B134" s="30" t="s">
        <v>1077</v>
      </c>
      <c r="C134" s="39" t="s">
        <v>72</v>
      </c>
      <c r="D134" s="35" t="s">
        <v>8181</v>
      </c>
      <c r="E134" s="29" t="s">
        <v>1034</v>
      </c>
      <c r="F134" s="35"/>
      <c r="G134" s="30" t="s">
        <v>8231</v>
      </c>
      <c r="H134" s="29">
        <f>COUNTIF(关系明细!$D$2:$D$2253,B134)</f>
        <v>0</v>
      </c>
      <c r="I134" s="29">
        <f>COUNTIF(关系明细!$G$2:$G$2253,B134)</f>
        <v>1</v>
      </c>
    </row>
    <row r="135" spans="1:9" ht="16.5">
      <c r="A135" s="34" t="s">
        <v>1082</v>
      </c>
      <c r="B135" s="9" t="s">
        <v>1080</v>
      </c>
      <c r="C135" s="40" t="s">
        <v>72</v>
      </c>
      <c r="D135" s="34" t="s">
        <v>8181</v>
      </c>
      <c r="E135" s="27" t="s">
        <v>1034</v>
      </c>
      <c r="F135" s="34"/>
      <c r="G135" s="9" t="s">
        <v>8231</v>
      </c>
      <c r="H135" s="27">
        <f>COUNTIF(关系明细!$D$2:$D$2253,B135)</f>
        <v>0</v>
      </c>
      <c r="I135" s="27">
        <f>COUNTIF(关系明细!$G$2:$G$2253,B135)</f>
        <v>1</v>
      </c>
    </row>
    <row r="136" spans="1:9" ht="16.5">
      <c r="A136" s="35" t="s">
        <v>1085</v>
      </c>
      <c r="B136" s="30" t="s">
        <v>1083</v>
      </c>
      <c r="C136" s="39" t="s">
        <v>72</v>
      </c>
      <c r="D136" s="35" t="s">
        <v>8181</v>
      </c>
      <c r="E136" s="29" t="s">
        <v>1034</v>
      </c>
      <c r="F136" s="35"/>
      <c r="G136" s="30" t="s">
        <v>8231</v>
      </c>
      <c r="H136" s="29">
        <f>COUNTIF(关系明细!$D$2:$D$2253,B136)</f>
        <v>0</v>
      </c>
      <c r="I136" s="29">
        <f>COUNTIF(关系明细!$G$2:$G$2253,B136)</f>
        <v>1</v>
      </c>
    </row>
    <row r="137" spans="1:9" ht="16.5">
      <c r="A137" s="34" t="s">
        <v>1113</v>
      </c>
      <c r="B137" s="9" t="s">
        <v>1110</v>
      </c>
      <c r="C137" s="40" t="s">
        <v>72</v>
      </c>
      <c r="D137" s="34" t="s">
        <v>8181</v>
      </c>
      <c r="E137" s="27" t="s">
        <v>1034</v>
      </c>
      <c r="F137" s="34"/>
      <c r="G137" s="9" t="s">
        <v>8232</v>
      </c>
      <c r="H137" s="27">
        <f>COUNTIF(关系明细!$D$2:$D$2253,B137)</f>
        <v>0</v>
      </c>
      <c r="I137" s="27">
        <f>COUNTIF(关系明细!$G$2:$G$2253,B137)</f>
        <v>1</v>
      </c>
    </row>
    <row r="138" spans="1:9" ht="16.5">
      <c r="A138" s="35" t="s">
        <v>1116</v>
      </c>
      <c r="B138" s="30" t="s">
        <v>1114</v>
      </c>
      <c r="C138" s="39" t="s">
        <v>72</v>
      </c>
      <c r="D138" s="35" t="s">
        <v>8181</v>
      </c>
      <c r="E138" s="29" t="s">
        <v>1034</v>
      </c>
      <c r="F138" s="35"/>
      <c r="G138" s="30" t="s">
        <v>8232</v>
      </c>
      <c r="H138" s="29">
        <f>COUNTIF(关系明细!$D$2:$D$2253,B138)</f>
        <v>0</v>
      </c>
      <c r="I138" s="29">
        <f>COUNTIF(关系明细!$G$2:$G$2253,B138)</f>
        <v>1</v>
      </c>
    </row>
    <row r="139" spans="1:9" ht="16.5">
      <c r="A139" s="34" t="s">
        <v>1119</v>
      </c>
      <c r="B139" s="9" t="s">
        <v>1117</v>
      </c>
      <c r="C139" s="40" t="s">
        <v>72</v>
      </c>
      <c r="D139" s="34" t="s">
        <v>8181</v>
      </c>
      <c r="E139" s="27" t="s">
        <v>1034</v>
      </c>
      <c r="F139" s="34"/>
      <c r="G139" s="9" t="s">
        <v>8232</v>
      </c>
      <c r="H139" s="27">
        <f>COUNTIF(关系明细!$D$2:$D$2253,B139)</f>
        <v>0</v>
      </c>
      <c r="I139" s="27">
        <f>COUNTIF(关系明细!$G$2:$G$2253,B139)</f>
        <v>1</v>
      </c>
    </row>
    <row r="140" spans="1:9" ht="16.5">
      <c r="A140" s="35" t="s">
        <v>1122</v>
      </c>
      <c r="B140" s="30" t="s">
        <v>1120</v>
      </c>
      <c r="C140" s="39" t="s">
        <v>72</v>
      </c>
      <c r="D140" s="35" t="s">
        <v>8181</v>
      </c>
      <c r="E140" s="29" t="s">
        <v>1034</v>
      </c>
      <c r="F140" s="35"/>
      <c r="G140" s="30" t="s">
        <v>8232</v>
      </c>
      <c r="H140" s="29">
        <f>COUNTIF(关系明细!$D$2:$D$2253,B140)</f>
        <v>0</v>
      </c>
      <c r="I140" s="29">
        <f>COUNTIF(关系明细!$G$2:$G$2253,B140)</f>
        <v>1</v>
      </c>
    </row>
    <row r="141" spans="1:9" ht="16.5">
      <c r="A141" s="34" t="s">
        <v>1125</v>
      </c>
      <c r="B141" s="9" t="s">
        <v>1123</v>
      </c>
      <c r="C141" s="40" t="s">
        <v>72</v>
      </c>
      <c r="D141" s="34" t="s">
        <v>8181</v>
      </c>
      <c r="E141" s="27" t="s">
        <v>1034</v>
      </c>
      <c r="F141" s="34"/>
      <c r="G141" s="9" t="s">
        <v>8232</v>
      </c>
      <c r="H141" s="27">
        <f>COUNTIF(关系明细!$D$2:$D$2253,B141)</f>
        <v>0</v>
      </c>
      <c r="I141" s="27">
        <f>COUNTIF(关系明细!$G$2:$G$2253,B141)</f>
        <v>1</v>
      </c>
    </row>
    <row r="142" spans="1:9" ht="16.5">
      <c r="A142" s="35" t="s">
        <v>1128</v>
      </c>
      <c r="B142" s="30" t="s">
        <v>1126</v>
      </c>
      <c r="C142" s="39" t="s">
        <v>72</v>
      </c>
      <c r="D142" s="35" t="s">
        <v>8181</v>
      </c>
      <c r="E142" s="29" t="s">
        <v>1034</v>
      </c>
      <c r="F142" s="35"/>
      <c r="G142" s="30" t="s">
        <v>8232</v>
      </c>
      <c r="H142" s="29">
        <f>COUNTIF(关系明细!$D$2:$D$2253,B142)</f>
        <v>0</v>
      </c>
      <c r="I142" s="29">
        <f>COUNTIF(关系明细!$G$2:$G$2253,B142)</f>
        <v>1</v>
      </c>
    </row>
    <row r="143" spans="1:9" ht="16.5">
      <c r="A143" s="34" t="s">
        <v>1054</v>
      </c>
      <c r="B143" s="9" t="s">
        <v>1051</v>
      </c>
      <c r="C143" s="40" t="s">
        <v>82</v>
      </c>
      <c r="D143" s="34" t="s">
        <v>8186</v>
      </c>
      <c r="E143" s="27" t="s">
        <v>1034</v>
      </c>
      <c r="F143" s="34"/>
      <c r="G143" s="9" t="s">
        <v>8188</v>
      </c>
      <c r="H143" s="27">
        <f>COUNTIF(关系明细!$D$2:$D$2253,B143)</f>
        <v>0</v>
      </c>
      <c r="I143" s="27">
        <f>COUNTIF(关系明细!$G$2:$G$2253,B143)</f>
        <v>1</v>
      </c>
    </row>
    <row r="144" spans="1:9" ht="16.5">
      <c r="A144" s="35" t="s">
        <v>1105</v>
      </c>
      <c r="B144" s="30" t="s">
        <v>1102</v>
      </c>
      <c r="C144" s="39" t="s">
        <v>82</v>
      </c>
      <c r="D144" s="35" t="s">
        <v>8186</v>
      </c>
      <c r="E144" s="29" t="s">
        <v>1034</v>
      </c>
      <c r="F144" s="35"/>
      <c r="G144" s="30" t="s">
        <v>8188</v>
      </c>
      <c r="H144" s="29">
        <f>COUNTIF(关系明细!$D$2:$D$2253,B144)</f>
        <v>0</v>
      </c>
      <c r="I144" s="29">
        <f>COUNTIF(关系明细!$G$2:$G$2253,B144)</f>
        <v>1</v>
      </c>
    </row>
    <row r="145" spans="1:9" ht="16.5">
      <c r="A145" s="34" t="s">
        <v>1089</v>
      </c>
      <c r="B145" s="9" t="s">
        <v>1086</v>
      </c>
      <c r="C145" s="40" t="s">
        <v>82</v>
      </c>
      <c r="D145" s="34" t="s">
        <v>8186</v>
      </c>
      <c r="E145" s="27" t="s">
        <v>1034</v>
      </c>
      <c r="F145" s="34"/>
      <c r="G145" s="9" t="s">
        <v>8188</v>
      </c>
      <c r="H145" s="27">
        <f>COUNTIF(关系明细!$D$2:$D$2253,B145)</f>
        <v>0</v>
      </c>
      <c r="I145" s="27">
        <f>COUNTIF(关系明细!$G$2:$G$2253,B145)</f>
        <v>1</v>
      </c>
    </row>
    <row r="146" spans="1:9" ht="16.5">
      <c r="A146" s="35" t="s">
        <v>1093</v>
      </c>
      <c r="B146" s="30" t="s">
        <v>1090</v>
      </c>
      <c r="C146" s="39" t="s">
        <v>82</v>
      </c>
      <c r="D146" s="35" t="s">
        <v>8186</v>
      </c>
      <c r="E146" s="29" t="s">
        <v>1034</v>
      </c>
      <c r="F146" s="35"/>
      <c r="G146" s="30" t="s">
        <v>8233</v>
      </c>
      <c r="H146" s="29">
        <f>COUNTIF(关系明细!$D$2:$D$2253,B146)</f>
        <v>0</v>
      </c>
      <c r="I146" s="29">
        <f>COUNTIF(关系明细!$G$2:$G$2253,B146)</f>
        <v>1</v>
      </c>
    </row>
    <row r="147" spans="1:9" ht="16.5">
      <c r="A147" s="34" t="s">
        <v>1097</v>
      </c>
      <c r="B147" s="9" t="s">
        <v>1094</v>
      </c>
      <c r="C147" s="40" t="s">
        <v>82</v>
      </c>
      <c r="D147" s="34" t="s">
        <v>8186</v>
      </c>
      <c r="E147" s="27" t="s">
        <v>1034</v>
      </c>
      <c r="F147" s="34"/>
      <c r="G147" s="9" t="s">
        <v>8234</v>
      </c>
      <c r="H147" s="27">
        <f>COUNTIF(关系明细!$D$2:$D$2253,B147)</f>
        <v>0</v>
      </c>
      <c r="I147" s="27">
        <f>COUNTIF(关系明细!$G$2:$G$2253,B147)</f>
        <v>1</v>
      </c>
    </row>
    <row r="148" spans="1:9" ht="16.5">
      <c r="A148" s="35" t="s">
        <v>1132</v>
      </c>
      <c r="B148" s="30" t="s">
        <v>1129</v>
      </c>
      <c r="C148" s="39" t="s">
        <v>82</v>
      </c>
      <c r="D148" s="35" t="s">
        <v>8186</v>
      </c>
      <c r="E148" s="29" t="s">
        <v>1034</v>
      </c>
      <c r="F148" s="35"/>
      <c r="G148" s="30" t="s">
        <v>8235</v>
      </c>
      <c r="H148" s="29">
        <f>COUNTIF(关系明细!$D$2:$D$2253,B148)</f>
        <v>0</v>
      </c>
      <c r="I148" s="29">
        <f>COUNTIF(关系明细!$G$2:$G$2253,B148)</f>
        <v>1</v>
      </c>
    </row>
    <row r="149" spans="1:9" ht="16.5">
      <c r="A149" s="34" t="s">
        <v>593</v>
      </c>
      <c r="B149" s="9" t="s">
        <v>588</v>
      </c>
      <c r="C149" s="40" t="s">
        <v>300</v>
      </c>
      <c r="D149" s="34" t="s">
        <v>8197</v>
      </c>
      <c r="E149" s="27" t="s">
        <v>1034</v>
      </c>
      <c r="F149" s="34"/>
      <c r="G149" s="9" t="s">
        <v>8236</v>
      </c>
      <c r="H149" s="27">
        <f>COUNTIF(关系明细!$D$2:$D$2253,B149)</f>
        <v>4</v>
      </c>
      <c r="I149" s="27">
        <f>COUNTIF(关系明细!$G$2:$G$2253,B149)</f>
        <v>1</v>
      </c>
    </row>
    <row r="150" spans="1:9" ht="16.5">
      <c r="A150" s="35" t="s">
        <v>1136</v>
      </c>
      <c r="B150" s="30" t="s">
        <v>1133</v>
      </c>
      <c r="C150" s="39" t="s">
        <v>204</v>
      </c>
      <c r="D150" s="35" t="s">
        <v>8201</v>
      </c>
      <c r="E150" s="29" t="s">
        <v>1034</v>
      </c>
      <c r="F150" s="30" t="s">
        <v>1037</v>
      </c>
      <c r="G150" s="35" t="s">
        <v>584</v>
      </c>
      <c r="H150" s="29">
        <f>COUNTIF(关系明细!$D$2:$D$2253,B150)</f>
        <v>6</v>
      </c>
      <c r="I150" s="29">
        <f>COUNTIF(关系明细!$G$2:$G$2253,B150)</f>
        <v>1</v>
      </c>
    </row>
    <row r="151" spans="1:9" ht="16.5">
      <c r="A151" s="34" t="s">
        <v>1141</v>
      </c>
      <c r="B151" s="9" t="s">
        <v>1138</v>
      </c>
      <c r="C151" s="40" t="s">
        <v>204</v>
      </c>
      <c r="D151" s="34" t="s">
        <v>8201</v>
      </c>
      <c r="E151" s="27" t="s">
        <v>1034</v>
      </c>
      <c r="F151" s="9" t="s">
        <v>1069</v>
      </c>
      <c r="G151" s="9" t="s">
        <v>1139</v>
      </c>
      <c r="H151" s="27">
        <f>COUNTIF(关系明细!$D$2:$D$2253,B151)</f>
        <v>2</v>
      </c>
      <c r="I151" s="27">
        <f>COUNTIF(关系明细!$G$2:$G$2253,B151)</f>
        <v>1</v>
      </c>
    </row>
    <row r="152" spans="1:9" ht="16.5">
      <c r="A152" s="35" t="s">
        <v>1146</v>
      </c>
      <c r="B152" s="30" t="s">
        <v>1143</v>
      </c>
      <c r="C152" s="39" t="s">
        <v>204</v>
      </c>
      <c r="D152" s="35" t="s">
        <v>8201</v>
      </c>
      <c r="E152" s="29" t="s">
        <v>1034</v>
      </c>
      <c r="F152" s="30" t="s">
        <v>1069</v>
      </c>
      <c r="G152" s="35" t="s">
        <v>584</v>
      </c>
      <c r="H152" s="29">
        <f>COUNTIF(关系明细!$D$2:$D$2253,B152)</f>
        <v>2</v>
      </c>
      <c r="I152" s="29">
        <f>COUNTIF(关系明细!$G$2:$G$2253,B152)</f>
        <v>1</v>
      </c>
    </row>
    <row r="153" spans="1:9" ht="16.5">
      <c r="A153" s="34" t="s">
        <v>665</v>
      </c>
      <c r="B153" s="9" t="s">
        <v>662</v>
      </c>
      <c r="C153" s="40" t="s">
        <v>204</v>
      </c>
      <c r="D153" s="34" t="s">
        <v>8201</v>
      </c>
      <c r="E153" s="27" t="s">
        <v>1034</v>
      </c>
      <c r="F153" s="9" t="s">
        <v>1069</v>
      </c>
      <c r="G153" s="9" t="s">
        <v>1148</v>
      </c>
      <c r="H153" s="27">
        <f>COUNTIF(关系明细!$D$2:$D$2253,B153)</f>
        <v>2</v>
      </c>
      <c r="I153" s="27">
        <f>COUNTIF(关系明细!$G$2:$G$2253,B153)</f>
        <v>4</v>
      </c>
    </row>
    <row r="154" spans="1:9" ht="16.5">
      <c r="A154" s="35" t="s">
        <v>1154</v>
      </c>
      <c r="B154" s="30" t="s">
        <v>1151</v>
      </c>
      <c r="C154" s="39" t="s">
        <v>204</v>
      </c>
      <c r="D154" s="35" t="s">
        <v>8201</v>
      </c>
      <c r="E154" s="29" t="s">
        <v>1034</v>
      </c>
      <c r="F154" s="30" t="s">
        <v>1069</v>
      </c>
      <c r="G154" s="35" t="s">
        <v>584</v>
      </c>
      <c r="H154" s="29">
        <f>COUNTIF(关系明细!$D$2:$D$2253,B154)</f>
        <v>2</v>
      </c>
      <c r="I154" s="29">
        <f>COUNTIF(关系明细!$G$2:$G$2253,B154)</f>
        <v>1</v>
      </c>
    </row>
    <row r="155" spans="1:9" ht="16.5">
      <c r="A155" s="34" t="s">
        <v>1159</v>
      </c>
      <c r="B155" s="9" t="s">
        <v>1156</v>
      </c>
      <c r="C155" s="40" t="s">
        <v>204</v>
      </c>
      <c r="D155" s="34" t="s">
        <v>8201</v>
      </c>
      <c r="E155" s="27" t="s">
        <v>1034</v>
      </c>
      <c r="F155" s="9" t="s">
        <v>1098</v>
      </c>
      <c r="G155" s="34" t="s">
        <v>584</v>
      </c>
      <c r="H155" s="27">
        <f>COUNTIF(关系明细!$D$2:$D$2253,B155)</f>
        <v>1</v>
      </c>
      <c r="I155" s="27">
        <f>COUNTIF(关系明细!$G$2:$G$2253,B155)</f>
        <v>1</v>
      </c>
    </row>
    <row r="156" spans="1:9" ht="16.5">
      <c r="A156" s="35" t="s">
        <v>1164</v>
      </c>
      <c r="B156" s="30" t="s">
        <v>1161</v>
      </c>
      <c r="C156" s="39" t="s">
        <v>204</v>
      </c>
      <c r="D156" s="35" t="s">
        <v>8201</v>
      </c>
      <c r="E156" s="29" t="s">
        <v>1034</v>
      </c>
      <c r="F156" s="30" t="s">
        <v>1098</v>
      </c>
      <c r="G156" s="35" t="s">
        <v>584</v>
      </c>
      <c r="H156" s="29">
        <f>COUNTIF(关系明细!$D$2:$D$2253,B156)</f>
        <v>1</v>
      </c>
      <c r="I156" s="29">
        <f>COUNTIF(关系明细!$G$2:$G$2253,B156)</f>
        <v>1</v>
      </c>
    </row>
    <row r="157" spans="1:9" ht="16.5">
      <c r="A157" s="34" t="s">
        <v>1169</v>
      </c>
      <c r="B157" s="9" t="s">
        <v>1166</v>
      </c>
      <c r="C157" s="40" t="s">
        <v>204</v>
      </c>
      <c r="D157" s="34" t="s">
        <v>8201</v>
      </c>
      <c r="E157" s="27" t="s">
        <v>1034</v>
      </c>
      <c r="F157" s="9" t="s">
        <v>1106</v>
      </c>
      <c r="G157" s="34" t="s">
        <v>584</v>
      </c>
      <c r="H157" s="27">
        <f>COUNTIF(关系明细!$D$2:$D$2253,B157)</f>
        <v>6</v>
      </c>
      <c r="I157" s="27">
        <f>COUNTIF(关系明细!$G$2:$G$2253,B157)</f>
        <v>1</v>
      </c>
    </row>
    <row r="158" spans="1:9" ht="16.5">
      <c r="A158" s="35" t="s">
        <v>1243</v>
      </c>
      <c r="B158" s="30" t="s">
        <v>1240</v>
      </c>
      <c r="C158" s="39" t="s">
        <v>566</v>
      </c>
      <c r="D158" s="35" t="s">
        <v>8206</v>
      </c>
      <c r="E158" s="29" t="s">
        <v>1034</v>
      </c>
      <c r="F158" s="35"/>
      <c r="G158" s="30" t="s">
        <v>8237</v>
      </c>
      <c r="H158" s="29">
        <f>COUNTIF(关系明细!$D$2:$D$2253,B158)</f>
        <v>0</v>
      </c>
      <c r="I158" s="29">
        <f>COUNTIF(关系明细!$G$2:$G$2253,B158)</f>
        <v>1</v>
      </c>
    </row>
    <row r="159" spans="1:9" ht="16.5">
      <c r="A159" s="34" t="s">
        <v>1270</v>
      </c>
      <c r="B159" s="9" t="s">
        <v>1266</v>
      </c>
      <c r="C159" s="40" t="s">
        <v>44</v>
      </c>
      <c r="D159" s="34" t="s">
        <v>8172</v>
      </c>
      <c r="E159" s="27" t="s">
        <v>1268</v>
      </c>
      <c r="F159" s="34"/>
      <c r="G159" s="9" t="s">
        <v>8238</v>
      </c>
      <c r="H159" s="27">
        <f>COUNTIF(关系明细!$D$2:$D$2253,B159)</f>
        <v>4</v>
      </c>
      <c r="I159" s="27">
        <f>COUNTIF(关系明细!$G$2:$G$2253,B159)</f>
        <v>0</v>
      </c>
    </row>
    <row r="160" spans="1:9" ht="16.5">
      <c r="A160" s="35" t="s">
        <v>1315</v>
      </c>
      <c r="B160" s="30" t="s">
        <v>1312</v>
      </c>
      <c r="C160" s="39" t="s">
        <v>62</v>
      </c>
      <c r="D160" s="35" t="s">
        <v>8174</v>
      </c>
      <c r="E160" s="29" t="s">
        <v>1268</v>
      </c>
      <c r="F160" s="35"/>
      <c r="G160" s="30" t="s">
        <v>8239</v>
      </c>
      <c r="H160" s="29">
        <f>COUNTIF(关系明细!$D$2:$D$2253,B160)</f>
        <v>5</v>
      </c>
      <c r="I160" s="29">
        <f>COUNTIF(关系明细!$G$2:$G$2253,B160)</f>
        <v>2</v>
      </c>
    </row>
    <row r="161" spans="1:9" ht="16.5">
      <c r="A161" s="34" t="s">
        <v>1286</v>
      </c>
      <c r="B161" s="9" t="s">
        <v>1283</v>
      </c>
      <c r="C161" s="40" t="s">
        <v>62</v>
      </c>
      <c r="D161" s="34" t="s">
        <v>8174</v>
      </c>
      <c r="E161" s="27" t="s">
        <v>1268</v>
      </c>
      <c r="F161" s="34"/>
      <c r="G161" s="9" t="s">
        <v>8240</v>
      </c>
      <c r="H161" s="27">
        <f>COUNTIF(关系明细!$D$2:$D$2253,B161)</f>
        <v>12</v>
      </c>
      <c r="I161" s="27">
        <f>COUNTIF(关系明细!$G$2:$G$2253,B161)</f>
        <v>5</v>
      </c>
    </row>
    <row r="162" spans="1:9" ht="16.5">
      <c r="A162" s="35" t="s">
        <v>1274</v>
      </c>
      <c r="B162" s="30" t="s">
        <v>1271</v>
      </c>
      <c r="C162" s="39" t="s">
        <v>62</v>
      </c>
      <c r="D162" s="35" t="s">
        <v>8174</v>
      </c>
      <c r="E162" s="29" t="s">
        <v>1268</v>
      </c>
      <c r="F162" s="35"/>
      <c r="G162" s="30" t="s">
        <v>8241</v>
      </c>
      <c r="H162" s="29">
        <f>COUNTIF(关系明细!$D$2:$D$2253,B162)</f>
        <v>3</v>
      </c>
      <c r="I162" s="29">
        <f>COUNTIF(关系明细!$G$2:$G$2253,B162)</f>
        <v>1</v>
      </c>
    </row>
    <row r="163" spans="1:9" ht="16.5">
      <c r="A163" s="34" t="s">
        <v>1290</v>
      </c>
      <c r="B163" s="9" t="s">
        <v>1287</v>
      </c>
      <c r="C163" s="40" t="s">
        <v>72</v>
      </c>
      <c r="D163" s="34" t="s">
        <v>8181</v>
      </c>
      <c r="E163" s="27" t="s">
        <v>1268</v>
      </c>
      <c r="F163" s="34"/>
      <c r="G163" s="9" t="s">
        <v>8242</v>
      </c>
      <c r="H163" s="27">
        <f>COUNTIF(关系明细!$D$2:$D$2253,B163)</f>
        <v>0</v>
      </c>
      <c r="I163" s="27">
        <f>COUNTIF(关系明细!$G$2:$G$2253,B163)</f>
        <v>1</v>
      </c>
    </row>
    <row r="164" spans="1:9" ht="16.5">
      <c r="A164" s="35" t="s">
        <v>1293</v>
      </c>
      <c r="B164" s="30" t="s">
        <v>1291</v>
      </c>
      <c r="C164" s="39" t="s">
        <v>72</v>
      </c>
      <c r="D164" s="35" t="s">
        <v>8181</v>
      </c>
      <c r="E164" s="29" t="s">
        <v>1268</v>
      </c>
      <c r="F164" s="35"/>
      <c r="G164" s="30" t="s">
        <v>8242</v>
      </c>
      <c r="H164" s="29">
        <f>COUNTIF(关系明细!$D$2:$D$2253,B164)</f>
        <v>0</v>
      </c>
      <c r="I164" s="29">
        <f>COUNTIF(关系明细!$G$2:$G$2253,B164)</f>
        <v>1</v>
      </c>
    </row>
    <row r="165" spans="1:9" ht="16.5">
      <c r="A165" s="34" t="s">
        <v>1296</v>
      </c>
      <c r="B165" s="9" t="s">
        <v>1294</v>
      </c>
      <c r="C165" s="40" t="s">
        <v>72</v>
      </c>
      <c r="D165" s="34" t="s">
        <v>8181</v>
      </c>
      <c r="E165" s="27" t="s">
        <v>1268</v>
      </c>
      <c r="F165" s="34"/>
      <c r="G165" s="9" t="s">
        <v>8242</v>
      </c>
      <c r="H165" s="27">
        <f>COUNTIF(关系明细!$D$2:$D$2253,B165)</f>
        <v>0</v>
      </c>
      <c r="I165" s="27">
        <f>COUNTIF(关系明细!$G$2:$G$2253,B165)</f>
        <v>1</v>
      </c>
    </row>
    <row r="166" spans="1:9" ht="16.5">
      <c r="A166" s="35" t="s">
        <v>1299</v>
      </c>
      <c r="B166" s="30" t="s">
        <v>1297</v>
      </c>
      <c r="C166" s="39" t="s">
        <v>72</v>
      </c>
      <c r="D166" s="35" t="s">
        <v>8181</v>
      </c>
      <c r="E166" s="29" t="s">
        <v>1268</v>
      </c>
      <c r="F166" s="35"/>
      <c r="G166" s="30" t="s">
        <v>8242</v>
      </c>
      <c r="H166" s="29">
        <f>COUNTIF(关系明细!$D$2:$D$2253,B166)</f>
        <v>0</v>
      </c>
      <c r="I166" s="29">
        <f>COUNTIF(关系明细!$G$2:$G$2253,B166)</f>
        <v>1</v>
      </c>
    </row>
    <row r="167" spans="1:9" ht="16.5">
      <c r="A167" s="34" t="s">
        <v>1319</v>
      </c>
      <c r="B167" s="9" t="s">
        <v>1316</v>
      </c>
      <c r="C167" s="40" t="s">
        <v>82</v>
      </c>
      <c r="D167" s="34" t="s">
        <v>8186</v>
      </c>
      <c r="E167" s="27" t="s">
        <v>1268</v>
      </c>
      <c r="F167" s="34"/>
      <c r="G167" s="9" t="s">
        <v>8243</v>
      </c>
      <c r="H167" s="27">
        <f>COUNTIF(关系明细!$D$2:$D$2253,B167)</f>
        <v>0</v>
      </c>
      <c r="I167" s="27">
        <f>COUNTIF(关系明细!$G$2:$G$2253,B167)</f>
        <v>1</v>
      </c>
    </row>
    <row r="168" spans="1:9" ht="16.5">
      <c r="A168" s="35" t="s">
        <v>1303</v>
      </c>
      <c r="B168" s="30" t="s">
        <v>1300</v>
      </c>
      <c r="C168" s="39" t="s">
        <v>82</v>
      </c>
      <c r="D168" s="35" t="s">
        <v>8186</v>
      </c>
      <c r="E168" s="29" t="s">
        <v>1268</v>
      </c>
      <c r="F168" s="35"/>
      <c r="G168" s="30" t="s">
        <v>8244</v>
      </c>
      <c r="H168" s="29">
        <f>COUNTIF(关系明细!$D$2:$D$2253,B168)</f>
        <v>0</v>
      </c>
      <c r="I168" s="29">
        <f>COUNTIF(关系明细!$G$2:$G$2253,B168)</f>
        <v>1</v>
      </c>
    </row>
    <row r="169" spans="1:9" ht="16.5">
      <c r="A169" s="34" t="s">
        <v>1307</v>
      </c>
      <c r="B169" s="9" t="s">
        <v>1304</v>
      </c>
      <c r="C169" s="40" t="s">
        <v>82</v>
      </c>
      <c r="D169" s="34" t="s">
        <v>8186</v>
      </c>
      <c r="E169" s="27" t="s">
        <v>1268</v>
      </c>
      <c r="F169" s="34"/>
      <c r="G169" s="9" t="s">
        <v>8245</v>
      </c>
      <c r="H169" s="27">
        <f>COUNTIF(关系明细!$D$2:$D$2253,B169)</f>
        <v>0</v>
      </c>
      <c r="I169" s="27">
        <f>COUNTIF(关系明细!$G$2:$G$2253,B169)</f>
        <v>1</v>
      </c>
    </row>
    <row r="170" spans="1:9" ht="16.5">
      <c r="A170" s="35" t="s">
        <v>1311</v>
      </c>
      <c r="B170" s="30" t="s">
        <v>1308</v>
      </c>
      <c r="C170" s="39" t="s">
        <v>82</v>
      </c>
      <c r="D170" s="35" t="s">
        <v>8186</v>
      </c>
      <c r="E170" s="29" t="s">
        <v>1268</v>
      </c>
      <c r="F170" s="35"/>
      <c r="G170" s="30" t="s">
        <v>8246</v>
      </c>
      <c r="H170" s="29">
        <f>COUNTIF(关系明细!$D$2:$D$2253,B170)</f>
        <v>0</v>
      </c>
      <c r="I170" s="29">
        <f>COUNTIF(关系明细!$G$2:$G$2253,B170)</f>
        <v>1</v>
      </c>
    </row>
    <row r="171" spans="1:9" ht="16.5">
      <c r="A171" s="34" t="s">
        <v>1278</v>
      </c>
      <c r="B171" s="9" t="s">
        <v>1275</v>
      </c>
      <c r="C171" s="40" t="s">
        <v>82</v>
      </c>
      <c r="D171" s="34" t="s">
        <v>8186</v>
      </c>
      <c r="E171" s="27" t="s">
        <v>1268</v>
      </c>
      <c r="F171" s="34"/>
      <c r="G171" s="9" t="s">
        <v>8188</v>
      </c>
      <c r="H171" s="27">
        <f>COUNTIF(关系明细!$D$2:$D$2253,B171)</f>
        <v>0</v>
      </c>
      <c r="I171" s="27">
        <f>COUNTIF(关系明细!$G$2:$G$2253,B171)</f>
        <v>1</v>
      </c>
    </row>
    <row r="172" spans="1:9" ht="16.5">
      <c r="A172" s="35" t="s">
        <v>1282</v>
      </c>
      <c r="B172" s="30" t="s">
        <v>1279</v>
      </c>
      <c r="C172" s="39" t="s">
        <v>82</v>
      </c>
      <c r="D172" s="35" t="s">
        <v>8186</v>
      </c>
      <c r="E172" s="29" t="s">
        <v>1268</v>
      </c>
      <c r="F172" s="35"/>
      <c r="G172" s="30" t="s">
        <v>8218</v>
      </c>
      <c r="H172" s="29">
        <f>COUNTIF(关系明细!$D$2:$D$2253,B172)</f>
        <v>0</v>
      </c>
      <c r="I172" s="29">
        <f>COUNTIF(关系明细!$G$2:$G$2253,B172)</f>
        <v>1</v>
      </c>
    </row>
    <row r="173" spans="1:9" ht="16.5">
      <c r="A173" s="34" t="s">
        <v>600</v>
      </c>
      <c r="B173" s="9" t="s">
        <v>597</v>
      </c>
      <c r="C173" s="40" t="s">
        <v>300</v>
      </c>
      <c r="D173" s="34" t="s">
        <v>8197</v>
      </c>
      <c r="E173" s="27" t="s">
        <v>1268</v>
      </c>
      <c r="F173" s="34"/>
      <c r="G173" s="9" t="s">
        <v>8247</v>
      </c>
      <c r="H173" s="27">
        <f>COUNTIF(关系明细!$D$2:$D$2253,B173)</f>
        <v>4</v>
      </c>
      <c r="I173" s="27">
        <f>COUNTIF(关系明细!$G$2:$G$2253,B173)</f>
        <v>1</v>
      </c>
    </row>
    <row r="174" spans="1:9" ht="16.5">
      <c r="A174" s="35" t="s">
        <v>1323</v>
      </c>
      <c r="B174" s="30" t="s">
        <v>1320</v>
      </c>
      <c r="C174" s="39" t="s">
        <v>204</v>
      </c>
      <c r="D174" s="35" t="s">
        <v>8201</v>
      </c>
      <c r="E174" s="29" t="s">
        <v>1268</v>
      </c>
      <c r="F174" s="30" t="s">
        <v>1312</v>
      </c>
      <c r="G174" s="30" t="s">
        <v>1321</v>
      </c>
      <c r="H174" s="29">
        <f>COUNTIF(关系明细!$D$2:$D$2253,B174)</f>
        <v>2</v>
      </c>
      <c r="I174" s="29">
        <f>COUNTIF(关系明细!$G$2:$G$2253,B174)</f>
        <v>1</v>
      </c>
    </row>
    <row r="175" spans="1:9" ht="16.5">
      <c r="A175" s="34" t="s">
        <v>1328</v>
      </c>
      <c r="B175" s="9" t="s">
        <v>1325</v>
      </c>
      <c r="C175" s="40" t="s">
        <v>204</v>
      </c>
      <c r="D175" s="34" t="s">
        <v>8201</v>
      </c>
      <c r="E175" s="27" t="s">
        <v>1268</v>
      </c>
      <c r="F175" s="9" t="s">
        <v>1283</v>
      </c>
      <c r="G175" s="34" t="s">
        <v>584</v>
      </c>
      <c r="H175" s="27">
        <f>COUNTIF(关系明细!$D$2:$D$2253,B175)</f>
        <v>4</v>
      </c>
      <c r="I175" s="27">
        <f>COUNTIF(关系明细!$G$2:$G$2253,B175)</f>
        <v>1</v>
      </c>
    </row>
    <row r="176" spans="1:9" ht="16.5">
      <c r="A176" s="35" t="s">
        <v>1333</v>
      </c>
      <c r="B176" s="30" t="s">
        <v>1330</v>
      </c>
      <c r="C176" s="39" t="s">
        <v>204</v>
      </c>
      <c r="D176" s="35" t="s">
        <v>8201</v>
      </c>
      <c r="E176" s="29" t="s">
        <v>1268</v>
      </c>
      <c r="F176" s="30" t="s">
        <v>1283</v>
      </c>
      <c r="G176" s="35" t="s">
        <v>584</v>
      </c>
      <c r="H176" s="29">
        <f>COUNTIF(关系明细!$D$2:$D$2253,B176)</f>
        <v>1</v>
      </c>
      <c r="I176" s="29">
        <f>COUNTIF(关系明细!$G$2:$G$2253,B176)</f>
        <v>1</v>
      </c>
    </row>
    <row r="177" spans="1:9" ht="16.5">
      <c r="A177" s="34" t="s">
        <v>1338</v>
      </c>
      <c r="B177" s="9" t="s">
        <v>1335</v>
      </c>
      <c r="C177" s="40" t="s">
        <v>204</v>
      </c>
      <c r="D177" s="34" t="s">
        <v>8201</v>
      </c>
      <c r="E177" s="27" t="s">
        <v>1268</v>
      </c>
      <c r="F177" s="9" t="s">
        <v>1283</v>
      </c>
      <c r="G177" s="34" t="s">
        <v>1336</v>
      </c>
      <c r="H177" s="27">
        <f>COUNTIF(关系明细!$D$2:$D$2253,B177)</f>
        <v>1</v>
      </c>
      <c r="I177" s="27">
        <f>COUNTIF(关系明细!$G$2:$G$2253,B177)</f>
        <v>1</v>
      </c>
    </row>
    <row r="178" spans="1:9" ht="16.5">
      <c r="A178" s="35" t="s">
        <v>693</v>
      </c>
      <c r="B178" s="30" t="s">
        <v>690</v>
      </c>
      <c r="C178" s="39" t="s">
        <v>204</v>
      </c>
      <c r="D178" s="35" t="s">
        <v>8201</v>
      </c>
      <c r="E178" s="29" t="s">
        <v>1268</v>
      </c>
      <c r="F178" s="30" t="s">
        <v>1312</v>
      </c>
      <c r="G178" s="30" t="s">
        <v>1339</v>
      </c>
      <c r="H178" s="29">
        <f>COUNTIF(关系明细!$D$2:$D$2253,B178)</f>
        <v>3</v>
      </c>
      <c r="I178" s="29">
        <f>COUNTIF(关系明细!$G$2:$G$2253,B178)</f>
        <v>1</v>
      </c>
    </row>
    <row r="179" spans="1:9" ht="16.5">
      <c r="A179" s="34" t="s">
        <v>1403</v>
      </c>
      <c r="B179" s="9" t="s">
        <v>1400</v>
      </c>
      <c r="C179" s="40" t="s">
        <v>204</v>
      </c>
      <c r="D179" s="34" t="s">
        <v>8201</v>
      </c>
      <c r="E179" s="27" t="s">
        <v>1268</v>
      </c>
      <c r="F179" s="34"/>
      <c r="G179" s="9" t="s">
        <v>8248</v>
      </c>
      <c r="H179" s="27">
        <f>COUNTIF(关系明细!$D$2:$D$2253,B179)</f>
        <v>1</v>
      </c>
      <c r="I179" s="27">
        <f>COUNTIF(关系明细!$G$2:$G$2253,B179)</f>
        <v>1</v>
      </c>
    </row>
    <row r="180" spans="1:9" ht="16.5">
      <c r="A180" s="35" t="s">
        <v>1377</v>
      </c>
      <c r="B180" s="30" t="s">
        <v>1374</v>
      </c>
      <c r="C180" s="39" t="s">
        <v>556</v>
      </c>
      <c r="D180" s="35" t="s">
        <v>8205</v>
      </c>
      <c r="E180" s="29" t="s">
        <v>1268</v>
      </c>
      <c r="F180" s="35"/>
      <c r="G180" s="30" t="s">
        <v>1375</v>
      </c>
      <c r="H180" s="29">
        <f>COUNTIF(关系明细!$D$2:$D$2253,B180)</f>
        <v>0</v>
      </c>
      <c r="I180" s="29">
        <f>COUNTIF(关系明细!$G$2:$G$2253,B180)</f>
        <v>1</v>
      </c>
    </row>
    <row r="181" spans="1:9" ht="16.5">
      <c r="A181" s="34" t="s">
        <v>1381</v>
      </c>
      <c r="B181" s="9" t="s">
        <v>1378</v>
      </c>
      <c r="C181" s="40" t="s">
        <v>566</v>
      </c>
      <c r="D181" s="34" t="s">
        <v>8206</v>
      </c>
      <c r="E181" s="27" t="s">
        <v>1268</v>
      </c>
      <c r="F181" s="34"/>
      <c r="G181" s="9" t="s">
        <v>8249</v>
      </c>
      <c r="H181" s="27">
        <f>COUNTIF(关系明细!$D$2:$D$2253,B181)</f>
        <v>0</v>
      </c>
      <c r="I181" s="27">
        <f>COUNTIF(关系明细!$G$2:$G$2253,B181)</f>
        <v>1</v>
      </c>
    </row>
    <row r="182" spans="1:9" ht="16.5">
      <c r="A182" s="35" t="s">
        <v>59</v>
      </c>
      <c r="B182" s="35" t="s">
        <v>56</v>
      </c>
      <c r="C182" s="39" t="s">
        <v>44</v>
      </c>
      <c r="D182" s="35" t="s">
        <v>8172</v>
      </c>
      <c r="E182" s="29" t="s">
        <v>1407</v>
      </c>
      <c r="F182" s="35"/>
      <c r="G182" s="30" t="s">
        <v>8250</v>
      </c>
      <c r="H182" s="29">
        <f>COUNTIF(关系明细!$D$2:$D$2253,B182)</f>
        <v>8</v>
      </c>
      <c r="I182" s="29">
        <f>COUNTIF(关系明细!$G$2:$G$2253,B182)</f>
        <v>1</v>
      </c>
    </row>
    <row r="183" spans="1:9" ht="16.5">
      <c r="A183" s="34" t="s">
        <v>1467</v>
      </c>
      <c r="B183" s="9" t="s">
        <v>1464</v>
      </c>
      <c r="C183" s="40" t="s">
        <v>62</v>
      </c>
      <c r="D183" s="34" t="s">
        <v>8174</v>
      </c>
      <c r="E183" s="27" t="s">
        <v>1407</v>
      </c>
      <c r="F183" s="34"/>
      <c r="G183" s="9" t="s">
        <v>8251</v>
      </c>
      <c r="H183" s="27">
        <f>COUNTIF(关系明细!$D$2:$D$2253,B183)</f>
        <v>4</v>
      </c>
      <c r="I183" s="27">
        <f>COUNTIF(关系明细!$G$2:$G$2253,B183)</f>
        <v>1</v>
      </c>
    </row>
    <row r="184" spans="1:9" ht="16.5">
      <c r="A184" s="35" t="s">
        <v>1451</v>
      </c>
      <c r="B184" s="30" t="s">
        <v>1448</v>
      </c>
      <c r="C184" s="39" t="s">
        <v>62</v>
      </c>
      <c r="D184" s="35" t="s">
        <v>8174</v>
      </c>
      <c r="E184" s="29" t="s">
        <v>1407</v>
      </c>
      <c r="F184" s="35"/>
      <c r="G184" s="30" t="s">
        <v>8252</v>
      </c>
      <c r="H184" s="29">
        <f>COUNTIF(关系明细!$D$2:$D$2253,B184)</f>
        <v>6</v>
      </c>
      <c r="I184" s="29">
        <f>COUNTIF(关系明细!$G$2:$G$2253,B184)</f>
        <v>2</v>
      </c>
    </row>
    <row r="185" spans="1:9" ht="16.5">
      <c r="A185" s="34" t="s">
        <v>1502</v>
      </c>
      <c r="B185" s="9" t="s">
        <v>1499</v>
      </c>
      <c r="C185" s="40" t="s">
        <v>62</v>
      </c>
      <c r="D185" s="34" t="s">
        <v>8174</v>
      </c>
      <c r="E185" s="27" t="s">
        <v>1407</v>
      </c>
      <c r="F185" s="34"/>
      <c r="G185" s="9" t="s">
        <v>8253</v>
      </c>
      <c r="H185" s="27">
        <f>COUNTIF(关系明细!$D$2:$D$2253,B185)</f>
        <v>3</v>
      </c>
      <c r="I185" s="27">
        <f>COUNTIF(关系明细!$G$2:$G$2253,B185)</f>
        <v>1</v>
      </c>
    </row>
    <row r="186" spans="1:9" ht="16.5">
      <c r="A186" s="35" t="s">
        <v>1475</v>
      </c>
      <c r="B186" s="30" t="s">
        <v>1472</v>
      </c>
      <c r="C186" s="39" t="s">
        <v>62</v>
      </c>
      <c r="D186" s="35" t="s">
        <v>8174</v>
      </c>
      <c r="E186" s="29" t="s">
        <v>1407</v>
      </c>
      <c r="F186" s="35"/>
      <c r="G186" s="30" t="s">
        <v>8254</v>
      </c>
      <c r="H186" s="29">
        <f>COUNTIF(关系明细!$D$2:$D$2253,B186)</f>
        <v>7</v>
      </c>
      <c r="I186" s="29">
        <f>COUNTIF(关系明细!$G$2:$G$2253,B186)</f>
        <v>2</v>
      </c>
    </row>
    <row r="187" spans="1:9" ht="16.5">
      <c r="A187" s="34" t="s">
        <v>1416</v>
      </c>
      <c r="B187" s="9" t="s">
        <v>1413</v>
      </c>
      <c r="C187" s="40" t="s">
        <v>62</v>
      </c>
      <c r="D187" s="34" t="s">
        <v>8174</v>
      </c>
      <c r="E187" s="27" t="s">
        <v>1407</v>
      </c>
      <c r="F187" s="34"/>
      <c r="G187" s="9" t="s">
        <v>8255</v>
      </c>
      <c r="H187" s="27">
        <f>COUNTIF(关系明细!$D$2:$D$2253,B187)</f>
        <v>14</v>
      </c>
      <c r="I187" s="27">
        <f>COUNTIF(关系明细!$G$2:$G$2253,B187)</f>
        <v>4</v>
      </c>
    </row>
    <row r="188" spans="1:9" ht="16.5">
      <c r="A188" s="35" t="s">
        <v>1490</v>
      </c>
      <c r="B188" s="30" t="s">
        <v>1487</v>
      </c>
      <c r="C188" s="39" t="s">
        <v>62</v>
      </c>
      <c r="D188" s="35" t="s">
        <v>8174</v>
      </c>
      <c r="E188" s="29" t="s">
        <v>1407</v>
      </c>
      <c r="F188" s="35"/>
      <c r="G188" s="30" t="s">
        <v>8256</v>
      </c>
      <c r="H188" s="29">
        <f>COUNTIF(关系明细!$D$2:$D$2253,B188)</f>
        <v>4</v>
      </c>
      <c r="I188" s="29">
        <f>COUNTIF(关系明细!$G$2:$G$2253,B188)</f>
        <v>2</v>
      </c>
    </row>
    <row r="189" spans="1:9" ht="16.5">
      <c r="A189" s="34" t="s">
        <v>1479</v>
      </c>
      <c r="B189" s="9" t="s">
        <v>1476</v>
      </c>
      <c r="C189" s="40" t="s">
        <v>72</v>
      </c>
      <c r="D189" s="34" t="s">
        <v>8181</v>
      </c>
      <c r="E189" s="27" t="s">
        <v>1407</v>
      </c>
      <c r="F189" s="34"/>
      <c r="G189" s="9" t="s">
        <v>8257</v>
      </c>
      <c r="H189" s="27">
        <f>COUNTIF(关系明细!$D$2:$D$2253,B189)</f>
        <v>0</v>
      </c>
      <c r="I189" s="27">
        <f>COUNTIF(关系明细!$G$2:$G$2253,B189)</f>
        <v>1</v>
      </c>
    </row>
    <row r="190" spans="1:9" ht="16.5">
      <c r="A190" s="35" t="s">
        <v>1482</v>
      </c>
      <c r="B190" s="30" t="s">
        <v>1480</v>
      </c>
      <c r="C190" s="39" t="s">
        <v>72</v>
      </c>
      <c r="D190" s="35" t="s">
        <v>8181</v>
      </c>
      <c r="E190" s="29" t="s">
        <v>1407</v>
      </c>
      <c r="F190" s="35"/>
      <c r="G190" s="30" t="s">
        <v>8257</v>
      </c>
      <c r="H190" s="29">
        <f>COUNTIF(关系明细!$D$2:$D$2253,B190)</f>
        <v>0</v>
      </c>
      <c r="I190" s="29">
        <f>COUNTIF(关系明细!$G$2:$G$2253,B190)</f>
        <v>1</v>
      </c>
    </row>
    <row r="191" spans="1:9" ht="16.5">
      <c r="A191" s="34" t="s">
        <v>1421</v>
      </c>
      <c r="B191" s="9" t="s">
        <v>1418</v>
      </c>
      <c r="C191" s="40" t="s">
        <v>72</v>
      </c>
      <c r="D191" s="34" t="s">
        <v>8181</v>
      </c>
      <c r="E191" s="27" t="s">
        <v>1407</v>
      </c>
      <c r="F191" s="34"/>
      <c r="G191" s="9" t="s">
        <v>8258</v>
      </c>
      <c r="H191" s="27">
        <f>COUNTIF(关系明细!$D$2:$D$2253,B191)</f>
        <v>0</v>
      </c>
      <c r="I191" s="27">
        <f>COUNTIF(关系明细!$G$2:$G$2253,B191)</f>
        <v>1</v>
      </c>
    </row>
    <row r="192" spans="1:9" ht="16.5">
      <c r="A192" s="35" t="s">
        <v>1424</v>
      </c>
      <c r="B192" s="30" t="s">
        <v>1422</v>
      </c>
      <c r="C192" s="39" t="s">
        <v>72</v>
      </c>
      <c r="D192" s="35" t="s">
        <v>8181</v>
      </c>
      <c r="E192" s="29" t="s">
        <v>1407</v>
      </c>
      <c r="F192" s="35"/>
      <c r="G192" s="30" t="s">
        <v>8258</v>
      </c>
      <c r="H192" s="29">
        <f>COUNTIF(关系明细!$D$2:$D$2253,B192)</f>
        <v>0</v>
      </c>
      <c r="I192" s="29">
        <f>COUNTIF(关系明细!$G$2:$G$2253,B192)</f>
        <v>1</v>
      </c>
    </row>
    <row r="193" spans="1:9" ht="16.5">
      <c r="A193" s="34" t="s">
        <v>1427</v>
      </c>
      <c r="B193" s="9" t="s">
        <v>1425</v>
      </c>
      <c r="C193" s="40" t="s">
        <v>72</v>
      </c>
      <c r="D193" s="34" t="s">
        <v>8181</v>
      </c>
      <c r="E193" s="27" t="s">
        <v>1407</v>
      </c>
      <c r="F193" s="34"/>
      <c r="G193" s="9" t="s">
        <v>8258</v>
      </c>
      <c r="H193" s="27">
        <f>COUNTIF(关系明细!$D$2:$D$2253,B193)</f>
        <v>0</v>
      </c>
      <c r="I193" s="27">
        <f>COUNTIF(关系明细!$G$2:$G$2253,B193)</f>
        <v>1</v>
      </c>
    </row>
    <row r="194" spans="1:9" ht="16.5">
      <c r="A194" s="35" t="s">
        <v>1430</v>
      </c>
      <c r="B194" s="30" t="s">
        <v>1428</v>
      </c>
      <c r="C194" s="39" t="s">
        <v>72</v>
      </c>
      <c r="D194" s="35" t="s">
        <v>8181</v>
      </c>
      <c r="E194" s="29" t="s">
        <v>1407</v>
      </c>
      <c r="F194" s="35"/>
      <c r="G194" s="30" t="s">
        <v>8258</v>
      </c>
      <c r="H194" s="29">
        <f>COUNTIF(关系明细!$D$2:$D$2253,B194)</f>
        <v>0</v>
      </c>
      <c r="I194" s="29">
        <f>COUNTIF(关系明细!$G$2:$G$2253,B194)</f>
        <v>1</v>
      </c>
    </row>
    <row r="195" spans="1:9" ht="16.5">
      <c r="A195" s="34" t="s">
        <v>1433</v>
      </c>
      <c r="B195" s="9" t="s">
        <v>1431</v>
      </c>
      <c r="C195" s="40" t="s">
        <v>72</v>
      </c>
      <c r="D195" s="34" t="s">
        <v>8181</v>
      </c>
      <c r="E195" s="27" t="s">
        <v>1407</v>
      </c>
      <c r="F195" s="34"/>
      <c r="G195" s="9" t="s">
        <v>8258</v>
      </c>
      <c r="H195" s="27">
        <f>COUNTIF(关系明细!$D$2:$D$2253,B195)</f>
        <v>0</v>
      </c>
      <c r="I195" s="27">
        <f>COUNTIF(关系明细!$G$2:$G$2253,B195)</f>
        <v>1</v>
      </c>
    </row>
    <row r="196" spans="1:9" ht="16.5">
      <c r="A196" s="35" t="s">
        <v>1436</v>
      </c>
      <c r="B196" s="30" t="s">
        <v>1434</v>
      </c>
      <c r="C196" s="39" t="s">
        <v>72</v>
      </c>
      <c r="D196" s="35" t="s">
        <v>8181</v>
      </c>
      <c r="E196" s="29" t="s">
        <v>1407</v>
      </c>
      <c r="F196" s="35"/>
      <c r="G196" s="30" t="s">
        <v>8258</v>
      </c>
      <c r="H196" s="29">
        <f>COUNTIF(关系明细!$D$2:$D$2253,B196)</f>
        <v>0</v>
      </c>
      <c r="I196" s="29">
        <f>COUNTIF(关系明细!$G$2:$G$2253,B196)</f>
        <v>1</v>
      </c>
    </row>
    <row r="197" spans="1:9" ht="16.5">
      <c r="A197" s="34" t="s">
        <v>1439</v>
      </c>
      <c r="B197" s="9" t="s">
        <v>1437</v>
      </c>
      <c r="C197" s="40" t="s">
        <v>72</v>
      </c>
      <c r="D197" s="34" t="s">
        <v>8181</v>
      </c>
      <c r="E197" s="27" t="s">
        <v>1407</v>
      </c>
      <c r="F197" s="34"/>
      <c r="G197" s="9" t="s">
        <v>8258</v>
      </c>
      <c r="H197" s="27">
        <f>COUNTIF(关系明细!$D$2:$D$2253,B197)</f>
        <v>0</v>
      </c>
      <c r="I197" s="27">
        <f>COUNTIF(关系明细!$G$2:$G$2253,B197)</f>
        <v>1</v>
      </c>
    </row>
    <row r="198" spans="1:9" ht="16.5">
      <c r="A198" s="35" t="s">
        <v>1471</v>
      </c>
      <c r="B198" s="30" t="s">
        <v>1468</v>
      </c>
      <c r="C198" s="39" t="s">
        <v>82</v>
      </c>
      <c r="D198" s="35" t="s">
        <v>8186</v>
      </c>
      <c r="E198" s="29" t="s">
        <v>1407</v>
      </c>
      <c r="F198" s="35"/>
      <c r="G198" s="30" t="s">
        <v>8188</v>
      </c>
      <c r="H198" s="29">
        <f>COUNTIF(关系明细!$D$2:$D$2253,B198)</f>
        <v>0</v>
      </c>
      <c r="I198" s="29">
        <f>COUNTIF(关系明细!$G$2:$G$2253,B198)</f>
        <v>1</v>
      </c>
    </row>
    <row r="199" spans="1:9" ht="16.5">
      <c r="A199" s="34" t="s">
        <v>1455</v>
      </c>
      <c r="B199" s="9" t="s">
        <v>1452</v>
      </c>
      <c r="C199" s="40" t="s">
        <v>82</v>
      </c>
      <c r="D199" s="34" t="s">
        <v>8186</v>
      </c>
      <c r="E199" s="27" t="s">
        <v>1407</v>
      </c>
      <c r="F199" s="34"/>
      <c r="G199" s="9" t="s">
        <v>8188</v>
      </c>
      <c r="H199" s="27">
        <f>COUNTIF(关系明细!$D$2:$D$2253,B199)</f>
        <v>0</v>
      </c>
      <c r="I199" s="27">
        <f>COUNTIF(关系明细!$G$2:$G$2253,B199)</f>
        <v>1</v>
      </c>
    </row>
    <row r="200" spans="1:9" ht="16.5">
      <c r="A200" s="35" t="s">
        <v>1459</v>
      </c>
      <c r="B200" s="30" t="s">
        <v>1456</v>
      </c>
      <c r="C200" s="39" t="s">
        <v>82</v>
      </c>
      <c r="D200" s="35" t="s">
        <v>8186</v>
      </c>
      <c r="E200" s="29" t="s">
        <v>1407</v>
      </c>
      <c r="F200" s="35"/>
      <c r="G200" s="30" t="s">
        <v>8189</v>
      </c>
      <c r="H200" s="29">
        <f>COUNTIF(关系明细!$D$2:$D$2253,B200)</f>
        <v>0</v>
      </c>
      <c r="I200" s="29">
        <f>COUNTIF(关系明细!$G$2:$G$2253,B200)</f>
        <v>1</v>
      </c>
    </row>
    <row r="201" spans="1:9" ht="16.5">
      <c r="A201" s="34" t="s">
        <v>1463</v>
      </c>
      <c r="B201" s="9" t="s">
        <v>1460</v>
      </c>
      <c r="C201" s="40" t="s">
        <v>82</v>
      </c>
      <c r="D201" s="34" t="s">
        <v>8186</v>
      </c>
      <c r="E201" s="27" t="s">
        <v>1407</v>
      </c>
      <c r="F201" s="34"/>
      <c r="G201" s="9" t="s">
        <v>8259</v>
      </c>
      <c r="H201" s="27">
        <f>COUNTIF(关系明细!$D$2:$D$2253,B201)</f>
        <v>0</v>
      </c>
      <c r="I201" s="27">
        <f>COUNTIF(关系明细!$G$2:$G$2253,B201)</f>
        <v>1</v>
      </c>
    </row>
    <row r="202" spans="1:9" ht="16.5">
      <c r="A202" s="35" t="s">
        <v>1506</v>
      </c>
      <c r="B202" s="30" t="s">
        <v>1503</v>
      </c>
      <c r="C202" s="39" t="s">
        <v>82</v>
      </c>
      <c r="D202" s="35" t="s">
        <v>8186</v>
      </c>
      <c r="E202" s="29" t="s">
        <v>1407</v>
      </c>
      <c r="F202" s="35"/>
      <c r="G202" s="30" t="s">
        <v>8188</v>
      </c>
      <c r="H202" s="29">
        <f>COUNTIF(关系明细!$D$2:$D$2253,B202)</f>
        <v>0</v>
      </c>
      <c r="I202" s="29">
        <f>COUNTIF(关系明细!$G$2:$G$2253,B202)</f>
        <v>1</v>
      </c>
    </row>
    <row r="203" spans="1:9" ht="16.5">
      <c r="A203" s="34" t="s">
        <v>1486</v>
      </c>
      <c r="B203" s="9" t="s">
        <v>1483</v>
      </c>
      <c r="C203" s="40" t="s">
        <v>82</v>
      </c>
      <c r="D203" s="34" t="s">
        <v>8186</v>
      </c>
      <c r="E203" s="27" t="s">
        <v>1407</v>
      </c>
      <c r="F203" s="34"/>
      <c r="G203" s="9" t="s">
        <v>8188</v>
      </c>
      <c r="H203" s="27">
        <f>COUNTIF(关系明细!$D$2:$D$2253,B203)</f>
        <v>0</v>
      </c>
      <c r="I203" s="27">
        <f>COUNTIF(关系明细!$G$2:$G$2253,B203)</f>
        <v>1</v>
      </c>
    </row>
    <row r="204" spans="1:9" ht="16.5">
      <c r="A204" s="35" t="s">
        <v>1443</v>
      </c>
      <c r="B204" s="30" t="s">
        <v>1440</v>
      </c>
      <c r="C204" s="39" t="s">
        <v>82</v>
      </c>
      <c r="D204" s="35" t="s">
        <v>8186</v>
      </c>
      <c r="E204" s="29" t="s">
        <v>1407</v>
      </c>
      <c r="F204" s="35"/>
      <c r="G204" s="30" t="s">
        <v>8190</v>
      </c>
      <c r="H204" s="29">
        <f>COUNTIF(关系明细!$D$2:$D$2253,B204)</f>
        <v>0</v>
      </c>
      <c r="I204" s="29">
        <f>COUNTIF(关系明细!$G$2:$G$2253,B204)</f>
        <v>1</v>
      </c>
    </row>
    <row r="205" spans="1:9" ht="16.5">
      <c r="A205" s="34" t="s">
        <v>1447</v>
      </c>
      <c r="B205" s="9" t="s">
        <v>1444</v>
      </c>
      <c r="C205" s="40" t="s">
        <v>82</v>
      </c>
      <c r="D205" s="34" t="s">
        <v>8186</v>
      </c>
      <c r="E205" s="27" t="s">
        <v>1407</v>
      </c>
      <c r="F205" s="34"/>
      <c r="G205" s="9" t="s">
        <v>8193</v>
      </c>
      <c r="H205" s="27">
        <f>COUNTIF(关系明细!$D$2:$D$2253,B205)</f>
        <v>0</v>
      </c>
      <c r="I205" s="27">
        <f>COUNTIF(关系明细!$G$2:$G$2253,B205)</f>
        <v>1</v>
      </c>
    </row>
    <row r="206" spans="1:9" ht="16.5">
      <c r="A206" s="35" t="s">
        <v>1494</v>
      </c>
      <c r="B206" s="30" t="s">
        <v>1491</v>
      </c>
      <c r="C206" s="39" t="s">
        <v>82</v>
      </c>
      <c r="D206" s="35" t="s">
        <v>8186</v>
      </c>
      <c r="E206" s="29" t="s">
        <v>1407</v>
      </c>
      <c r="F206" s="35"/>
      <c r="G206" s="30" t="s">
        <v>8188</v>
      </c>
      <c r="H206" s="29">
        <f>COUNTIF(关系明细!$D$2:$D$2253,B206)</f>
        <v>0</v>
      </c>
      <c r="I206" s="29">
        <f>COUNTIF(关系明细!$G$2:$G$2253,B206)</f>
        <v>1</v>
      </c>
    </row>
    <row r="207" spans="1:9" ht="16.5">
      <c r="A207" s="34" t="s">
        <v>1498</v>
      </c>
      <c r="B207" s="9" t="s">
        <v>1495</v>
      </c>
      <c r="C207" s="40" t="s">
        <v>82</v>
      </c>
      <c r="D207" s="34" t="s">
        <v>8186</v>
      </c>
      <c r="E207" s="27" t="s">
        <v>1407</v>
      </c>
      <c r="F207" s="34"/>
      <c r="G207" s="9" t="s">
        <v>8260</v>
      </c>
      <c r="H207" s="27">
        <f>COUNTIF(关系明细!$D$2:$D$2253,B207)</f>
        <v>0</v>
      </c>
      <c r="I207" s="27">
        <f>COUNTIF(关系明细!$G$2:$G$2253,B207)</f>
        <v>1</v>
      </c>
    </row>
    <row r="208" spans="1:9" ht="16.5">
      <c r="A208" s="35" t="s">
        <v>1569</v>
      </c>
      <c r="B208" s="30" t="s">
        <v>1566</v>
      </c>
      <c r="C208" s="39" t="s">
        <v>300</v>
      </c>
      <c r="D208" s="35" t="s">
        <v>8197</v>
      </c>
      <c r="E208" s="29" t="s">
        <v>1407</v>
      </c>
      <c r="F208" s="35"/>
      <c r="G208" s="30" t="s">
        <v>8261</v>
      </c>
      <c r="H208" s="29">
        <f>COUNTIF(关系明细!$D$2:$D$2253,B208)</f>
        <v>3</v>
      </c>
      <c r="I208" s="29">
        <f>COUNTIF(关系明细!$G$2:$G$2253,B208)</f>
        <v>1</v>
      </c>
    </row>
    <row r="209" spans="1:9" ht="16.5">
      <c r="A209" s="34" t="s">
        <v>647</v>
      </c>
      <c r="B209" s="9" t="s">
        <v>642</v>
      </c>
      <c r="C209" s="40" t="s">
        <v>300</v>
      </c>
      <c r="D209" s="34" t="s">
        <v>8197</v>
      </c>
      <c r="E209" s="27" t="s">
        <v>1407</v>
      </c>
      <c r="F209" s="34"/>
      <c r="G209" s="9" t="s">
        <v>8262</v>
      </c>
      <c r="H209" s="27">
        <f>COUNTIF(关系明细!$D$2:$D$2253,B209)</f>
        <v>2</v>
      </c>
      <c r="I209" s="27">
        <f>COUNTIF(关系明细!$G$2:$G$2253,B209)</f>
        <v>1</v>
      </c>
    </row>
    <row r="210" spans="1:9" ht="16.5">
      <c r="A210" s="35" t="s">
        <v>1510</v>
      </c>
      <c r="B210" s="30" t="s">
        <v>1507</v>
      </c>
      <c r="C210" s="39" t="s">
        <v>204</v>
      </c>
      <c r="D210" s="35" t="s">
        <v>8201</v>
      </c>
      <c r="E210" s="29" t="s">
        <v>1407</v>
      </c>
      <c r="F210" s="30" t="s">
        <v>1413</v>
      </c>
      <c r="G210" s="35" t="s">
        <v>584</v>
      </c>
      <c r="H210" s="29">
        <f>COUNTIF(关系明细!$D$2:$D$2253,B210)</f>
        <v>7</v>
      </c>
      <c r="I210" s="29">
        <f>COUNTIF(关系明细!$G$2:$G$2253,B210)</f>
        <v>1</v>
      </c>
    </row>
    <row r="211" spans="1:9" ht="16.5">
      <c r="A211" s="34" t="s">
        <v>1515</v>
      </c>
      <c r="B211" s="9" t="s">
        <v>1512</v>
      </c>
      <c r="C211" s="40" t="s">
        <v>204</v>
      </c>
      <c r="D211" s="34" t="s">
        <v>8201</v>
      </c>
      <c r="E211" s="27" t="s">
        <v>1407</v>
      </c>
      <c r="F211" s="9" t="s">
        <v>1413</v>
      </c>
      <c r="G211" s="34" t="s">
        <v>584</v>
      </c>
      <c r="H211" s="27">
        <f>COUNTIF(关系明细!$D$2:$D$2253,B211)</f>
        <v>9</v>
      </c>
      <c r="I211" s="27">
        <f>COUNTIF(关系明细!$G$2:$G$2253,B211)</f>
        <v>1</v>
      </c>
    </row>
    <row r="212" spans="1:9" ht="16.5">
      <c r="A212" s="35" t="s">
        <v>1520</v>
      </c>
      <c r="B212" s="30" t="s">
        <v>1517</v>
      </c>
      <c r="C212" s="39" t="s">
        <v>204</v>
      </c>
      <c r="D212" s="35" t="s">
        <v>8201</v>
      </c>
      <c r="E212" s="29" t="s">
        <v>1407</v>
      </c>
      <c r="F212" s="30" t="s">
        <v>1413</v>
      </c>
      <c r="G212" s="35" t="s">
        <v>584</v>
      </c>
      <c r="H212" s="29">
        <f>COUNTIF(关系明细!$D$2:$D$2253,B212)</f>
        <v>7</v>
      </c>
      <c r="I212" s="29">
        <f>COUNTIF(关系明细!$G$2:$G$2253,B212)</f>
        <v>1</v>
      </c>
    </row>
    <row r="213" spans="1:9" ht="16.5">
      <c r="A213" s="34" t="s">
        <v>1525</v>
      </c>
      <c r="B213" s="9" t="s">
        <v>1522</v>
      </c>
      <c r="C213" s="40" t="s">
        <v>204</v>
      </c>
      <c r="D213" s="34" t="s">
        <v>8201</v>
      </c>
      <c r="E213" s="27" t="s">
        <v>1407</v>
      </c>
      <c r="F213" s="9" t="s">
        <v>1487</v>
      </c>
      <c r="G213" s="34" t="s">
        <v>584</v>
      </c>
      <c r="H213" s="27">
        <f>COUNTIF(关系明细!$D$2:$D$2253,B213)</f>
        <v>2</v>
      </c>
      <c r="I213" s="27">
        <f>COUNTIF(关系明细!$G$2:$G$2253,B213)</f>
        <v>2</v>
      </c>
    </row>
    <row r="214" spans="1:9" ht="16.5">
      <c r="A214" s="35" t="s">
        <v>1530</v>
      </c>
      <c r="B214" s="30" t="s">
        <v>1527</v>
      </c>
      <c r="C214" s="39" t="s">
        <v>204</v>
      </c>
      <c r="D214" s="35" t="s">
        <v>8201</v>
      </c>
      <c r="E214" s="29" t="s">
        <v>1407</v>
      </c>
      <c r="F214" s="30" t="s">
        <v>1487</v>
      </c>
      <c r="G214" s="30" t="s">
        <v>1528</v>
      </c>
      <c r="H214" s="29">
        <f>COUNTIF(关系明细!$D$2:$D$2253,B214)</f>
        <v>3</v>
      </c>
      <c r="I214" s="29">
        <f>COUNTIF(关系明细!$G$2:$G$2253,B214)</f>
        <v>2</v>
      </c>
    </row>
    <row r="215" spans="1:9" ht="16.5">
      <c r="A215" s="34" t="s">
        <v>1535</v>
      </c>
      <c r="B215" s="9" t="s">
        <v>1532</v>
      </c>
      <c r="C215" s="40" t="s">
        <v>204</v>
      </c>
      <c r="D215" s="34" t="s">
        <v>8201</v>
      </c>
      <c r="E215" s="27" t="s">
        <v>1407</v>
      </c>
      <c r="F215" s="9" t="s">
        <v>1472</v>
      </c>
      <c r="G215" s="34" t="s">
        <v>584</v>
      </c>
      <c r="H215" s="27">
        <f>COUNTIF(关系明细!$D$2:$D$2253,B215)</f>
        <v>3</v>
      </c>
      <c r="I215" s="27">
        <f>COUNTIF(关系明细!$G$2:$G$2253,B215)</f>
        <v>2</v>
      </c>
    </row>
    <row r="216" spans="1:9" ht="16.5">
      <c r="A216" s="35" t="s">
        <v>1540</v>
      </c>
      <c r="B216" s="30" t="s">
        <v>1537</v>
      </c>
      <c r="C216" s="39" t="s">
        <v>204</v>
      </c>
      <c r="D216" s="35" t="s">
        <v>8201</v>
      </c>
      <c r="E216" s="29" t="s">
        <v>1407</v>
      </c>
      <c r="F216" s="30" t="s">
        <v>1472</v>
      </c>
      <c r="G216" s="30" t="s">
        <v>1538</v>
      </c>
      <c r="H216" s="29">
        <f>COUNTIF(关系明细!$D$2:$D$2253,B216)</f>
        <v>1</v>
      </c>
      <c r="I216" s="29">
        <f>COUNTIF(关系明细!$G$2:$G$2253,B216)</f>
        <v>1</v>
      </c>
    </row>
    <row r="217" spans="1:9" ht="16.5">
      <c r="A217" s="34" t="s">
        <v>1545</v>
      </c>
      <c r="B217" s="9" t="s">
        <v>1542</v>
      </c>
      <c r="C217" s="40" t="s">
        <v>204</v>
      </c>
      <c r="D217" s="34" t="s">
        <v>8201</v>
      </c>
      <c r="E217" s="27" t="s">
        <v>1407</v>
      </c>
      <c r="F217" s="9" t="s">
        <v>1448</v>
      </c>
      <c r="G217" s="34" t="s">
        <v>584</v>
      </c>
      <c r="H217" s="27">
        <f>COUNTIF(关系明细!$D$2:$D$2253,B217)</f>
        <v>2</v>
      </c>
      <c r="I217" s="27">
        <f>COUNTIF(关系明细!$G$2:$G$2253,B217)</f>
        <v>1</v>
      </c>
    </row>
    <row r="218" spans="1:9" ht="16.5">
      <c r="A218" s="35" t="s">
        <v>1550</v>
      </c>
      <c r="B218" s="30" t="s">
        <v>1547</v>
      </c>
      <c r="C218" s="39" t="s">
        <v>204</v>
      </c>
      <c r="D218" s="35" t="s">
        <v>8201</v>
      </c>
      <c r="E218" s="29" t="s">
        <v>1407</v>
      </c>
      <c r="F218" s="30" t="s">
        <v>1448</v>
      </c>
      <c r="G218" s="30" t="s">
        <v>1548</v>
      </c>
      <c r="H218" s="29">
        <f>COUNTIF(关系明细!$D$2:$D$2253,B218)</f>
        <v>1</v>
      </c>
      <c r="I218" s="29">
        <f>COUNTIF(关系明细!$G$2:$G$2253,B218)</f>
        <v>1</v>
      </c>
    </row>
    <row r="219" spans="1:9" ht="16.5">
      <c r="A219" s="34" t="s">
        <v>1555</v>
      </c>
      <c r="B219" s="9" t="s">
        <v>1552</v>
      </c>
      <c r="C219" s="40" t="s">
        <v>204</v>
      </c>
      <c r="D219" s="34" t="s">
        <v>8201</v>
      </c>
      <c r="E219" s="27" t="s">
        <v>1407</v>
      </c>
      <c r="F219" s="9" t="s">
        <v>1464</v>
      </c>
      <c r="G219" s="34" t="s">
        <v>584</v>
      </c>
      <c r="H219" s="27">
        <f>COUNTIF(关系明细!$D$2:$D$2253,B219)</f>
        <v>1</v>
      </c>
      <c r="I219" s="27">
        <f>COUNTIF(关系明细!$G$2:$G$2253,B219)</f>
        <v>1</v>
      </c>
    </row>
    <row r="220" spans="1:9" ht="16.5">
      <c r="A220" s="35" t="s">
        <v>1560</v>
      </c>
      <c r="B220" s="30" t="s">
        <v>1557</v>
      </c>
      <c r="C220" s="39" t="s">
        <v>204</v>
      </c>
      <c r="D220" s="35" t="s">
        <v>8201</v>
      </c>
      <c r="E220" s="29" t="s">
        <v>1407</v>
      </c>
      <c r="F220" s="30" t="s">
        <v>1499</v>
      </c>
      <c r="G220" s="35" t="s">
        <v>584</v>
      </c>
      <c r="H220" s="29">
        <f>COUNTIF(关系明细!$D$2:$D$2253,B220)</f>
        <v>1</v>
      </c>
      <c r="I220" s="29">
        <f>COUNTIF(关系明细!$G$2:$G$2253,B220)</f>
        <v>1</v>
      </c>
    </row>
    <row r="221" spans="1:9" ht="16.5">
      <c r="A221" s="34" t="s">
        <v>1565</v>
      </c>
      <c r="B221" s="9" t="s">
        <v>1562</v>
      </c>
      <c r="C221" s="40" t="s">
        <v>295</v>
      </c>
      <c r="D221" s="34" t="s">
        <v>8202</v>
      </c>
      <c r="E221" s="27" t="s">
        <v>1407</v>
      </c>
      <c r="F221" s="9" t="s">
        <v>1472</v>
      </c>
      <c r="G221" s="34" t="s">
        <v>584</v>
      </c>
      <c r="H221" s="27">
        <f>COUNTIF(关系明细!$D$2:$D$2253,B221)</f>
        <v>1</v>
      </c>
      <c r="I221" s="27">
        <f>COUNTIF(关系明细!$G$2:$G$2253,B221)</f>
        <v>3</v>
      </c>
    </row>
    <row r="222" spans="1:9" ht="16.5">
      <c r="A222" s="35" t="s">
        <v>1691</v>
      </c>
      <c r="B222" s="30" t="s">
        <v>1688</v>
      </c>
      <c r="C222" s="39" t="s">
        <v>488</v>
      </c>
      <c r="D222" s="35" t="s">
        <v>8203</v>
      </c>
      <c r="E222" s="29" t="s">
        <v>1407</v>
      </c>
      <c r="F222" s="35"/>
      <c r="G222" s="35" t="s">
        <v>584</v>
      </c>
      <c r="H222" s="29">
        <f>COUNTIF(关系明细!$D$2:$D$2253,B222)</f>
        <v>1</v>
      </c>
      <c r="I222" s="29">
        <f>COUNTIF(关系明细!$G$2:$G$2253,B222)</f>
        <v>1</v>
      </c>
    </row>
    <row r="223" spans="1:9" ht="16.5">
      <c r="A223" s="34" t="s">
        <v>1701</v>
      </c>
      <c r="B223" s="9" t="s">
        <v>1698</v>
      </c>
      <c r="C223" s="40" t="s">
        <v>488</v>
      </c>
      <c r="D223" s="34" t="s">
        <v>8203</v>
      </c>
      <c r="E223" s="27" t="s">
        <v>1407</v>
      </c>
      <c r="F223" s="34"/>
      <c r="G223" s="34" t="s">
        <v>584</v>
      </c>
      <c r="H223" s="27">
        <f>COUNTIF(关系明细!$D$2:$D$2253,B223)</f>
        <v>1</v>
      </c>
      <c r="I223" s="27">
        <f>COUNTIF(关系明细!$G$2:$G$2253,B223)</f>
        <v>1</v>
      </c>
    </row>
    <row r="224" spans="1:9" ht="16.5">
      <c r="A224" s="35" t="s">
        <v>1692</v>
      </c>
      <c r="B224" s="30" t="s">
        <v>1689</v>
      </c>
      <c r="C224" s="39" t="s">
        <v>491</v>
      </c>
      <c r="D224" s="35" t="s">
        <v>8204</v>
      </c>
      <c r="E224" s="29" t="s">
        <v>1407</v>
      </c>
      <c r="F224" s="35"/>
      <c r="G224" s="35" t="s">
        <v>1693</v>
      </c>
      <c r="H224" s="29">
        <f>COUNTIF(关系明细!$D$2:$D$2253,B224)</f>
        <v>1</v>
      </c>
      <c r="I224" s="29">
        <f>COUNTIF(关系明细!$G$2:$G$2253,B224)</f>
        <v>1</v>
      </c>
    </row>
    <row r="225" spans="1:9" ht="16.5">
      <c r="A225" s="34" t="s">
        <v>1702</v>
      </c>
      <c r="B225" s="9" t="s">
        <v>1699</v>
      </c>
      <c r="C225" s="40" t="s">
        <v>491</v>
      </c>
      <c r="D225" s="34" t="s">
        <v>8204</v>
      </c>
      <c r="E225" s="27" t="s">
        <v>1407</v>
      </c>
      <c r="F225" s="34"/>
      <c r="G225" s="34" t="s">
        <v>1703</v>
      </c>
      <c r="H225" s="27">
        <f>COUNTIF(关系明细!$D$2:$D$2253,B225)</f>
        <v>1</v>
      </c>
      <c r="I225" s="27">
        <f>COUNTIF(关系明细!$G$2:$G$2253,B225)</f>
        <v>1</v>
      </c>
    </row>
    <row r="226" spans="1:9" ht="16.5">
      <c r="A226" s="35" t="s">
        <v>1711</v>
      </c>
      <c r="B226" s="30" t="s">
        <v>1708</v>
      </c>
      <c r="C226" s="39" t="s">
        <v>566</v>
      </c>
      <c r="D226" s="35" t="s">
        <v>8206</v>
      </c>
      <c r="E226" s="29" t="s">
        <v>1407</v>
      </c>
      <c r="F226" s="35"/>
      <c r="G226" s="30" t="s">
        <v>8263</v>
      </c>
      <c r="H226" s="29">
        <f>COUNTIF(关系明细!$D$2:$D$2253,B226)</f>
        <v>0</v>
      </c>
      <c r="I226" s="29">
        <f>COUNTIF(关系明细!$G$2:$G$2253,B226)</f>
        <v>1</v>
      </c>
    </row>
    <row r="227" spans="1:9" ht="16.5">
      <c r="A227" s="34" t="s">
        <v>1412</v>
      </c>
      <c r="B227" s="9" t="s">
        <v>1409</v>
      </c>
      <c r="C227" s="40" t="s">
        <v>44</v>
      </c>
      <c r="D227" s="34" t="s">
        <v>8172</v>
      </c>
      <c r="E227" s="27" t="s">
        <v>1742</v>
      </c>
      <c r="F227" s="34"/>
      <c r="G227" s="9" t="s">
        <v>8264</v>
      </c>
      <c r="H227" s="27">
        <f>COUNTIF(关系明细!$D$2:$D$2253,B227)</f>
        <v>8</v>
      </c>
      <c r="I227" s="27">
        <f>COUNTIF(关系明细!$G$2:$G$2253,B227)</f>
        <v>1</v>
      </c>
    </row>
    <row r="228" spans="1:9" ht="16.5">
      <c r="A228" s="35" t="s">
        <v>1798</v>
      </c>
      <c r="B228" s="30" t="s">
        <v>1795</v>
      </c>
      <c r="C228" s="39" t="s">
        <v>62</v>
      </c>
      <c r="D228" s="35" t="s">
        <v>8174</v>
      </c>
      <c r="E228" s="29" t="s">
        <v>1742</v>
      </c>
      <c r="F228" s="35"/>
      <c r="G228" s="30" t="s">
        <v>8265</v>
      </c>
      <c r="H228" s="29">
        <f>COUNTIF(关系明细!$D$2:$D$2253,B228)</f>
        <v>6</v>
      </c>
      <c r="I228" s="29">
        <f>COUNTIF(关系明细!$G$2:$G$2253,B228)</f>
        <v>3</v>
      </c>
    </row>
    <row r="229" spans="1:9" ht="16.5">
      <c r="A229" s="34" t="s">
        <v>1851</v>
      </c>
      <c r="B229" s="9" t="s">
        <v>1848</v>
      </c>
      <c r="C229" s="40" t="s">
        <v>62</v>
      </c>
      <c r="D229" s="34" t="s">
        <v>8174</v>
      </c>
      <c r="E229" s="27" t="s">
        <v>1742</v>
      </c>
      <c r="F229" s="34"/>
      <c r="G229" s="9" t="s">
        <v>8266</v>
      </c>
      <c r="H229" s="27">
        <f>COUNTIF(关系明细!$D$2:$D$2253,B229)</f>
        <v>3</v>
      </c>
      <c r="I229" s="27">
        <f>COUNTIF(关系明细!$G$2:$G$2253,B229)</f>
        <v>2</v>
      </c>
    </row>
    <row r="230" spans="1:9" ht="16.5">
      <c r="A230" s="35" t="s">
        <v>1859</v>
      </c>
      <c r="B230" s="30" t="s">
        <v>1856</v>
      </c>
      <c r="C230" s="39" t="s">
        <v>62</v>
      </c>
      <c r="D230" s="35" t="s">
        <v>8174</v>
      </c>
      <c r="E230" s="29" t="s">
        <v>1742</v>
      </c>
      <c r="F230" s="35"/>
      <c r="G230" s="30" t="s">
        <v>8267</v>
      </c>
      <c r="H230" s="29">
        <f>COUNTIF(关系明细!$D$2:$D$2253,B230)</f>
        <v>12</v>
      </c>
      <c r="I230" s="29">
        <f>COUNTIF(关系明细!$G$2:$G$2253,B230)</f>
        <v>2</v>
      </c>
    </row>
    <row r="231" spans="1:9" ht="16.5">
      <c r="A231" s="34" t="s">
        <v>1730</v>
      </c>
      <c r="B231" s="9" t="s">
        <v>1727</v>
      </c>
      <c r="C231" s="40" t="s">
        <v>62</v>
      </c>
      <c r="D231" s="34" t="s">
        <v>8174</v>
      </c>
      <c r="E231" s="27" t="s">
        <v>1742</v>
      </c>
      <c r="F231" s="34"/>
      <c r="G231" s="9" t="s">
        <v>8268</v>
      </c>
      <c r="H231" s="27">
        <f>COUNTIF(关系明细!$D$2:$D$2253,B231)</f>
        <v>18</v>
      </c>
      <c r="I231" s="27">
        <f>COUNTIF(关系明细!$G$2:$G$2253,B231)</f>
        <v>4</v>
      </c>
    </row>
    <row r="232" spans="1:9" ht="16.5">
      <c r="A232" s="35" t="s">
        <v>1822</v>
      </c>
      <c r="B232" s="30" t="s">
        <v>1819</v>
      </c>
      <c r="C232" s="39" t="s">
        <v>62</v>
      </c>
      <c r="D232" s="35" t="s">
        <v>8174</v>
      </c>
      <c r="E232" s="29" t="s">
        <v>1742</v>
      </c>
      <c r="F232" s="35"/>
      <c r="G232" s="30" t="s">
        <v>8269</v>
      </c>
      <c r="H232" s="29">
        <f>COUNTIF(关系明细!$D$2:$D$2253,B232)</f>
        <v>14</v>
      </c>
      <c r="I232" s="29">
        <f>COUNTIF(关系明细!$G$2:$G$2253,B232)</f>
        <v>3</v>
      </c>
    </row>
    <row r="233" spans="1:9" ht="16.5">
      <c r="A233" s="34" t="s">
        <v>1880</v>
      </c>
      <c r="B233" s="9" t="s">
        <v>1877</v>
      </c>
      <c r="C233" s="40" t="s">
        <v>62</v>
      </c>
      <c r="D233" s="34" t="s">
        <v>8174</v>
      </c>
      <c r="E233" s="27" t="s">
        <v>1742</v>
      </c>
      <c r="F233" s="34"/>
      <c r="G233" s="9" t="s">
        <v>8270</v>
      </c>
      <c r="H233" s="27">
        <f>COUNTIF(关系明细!$D$2:$D$2253,B233)</f>
        <v>4</v>
      </c>
      <c r="I233" s="27">
        <f>COUNTIF(关系明细!$G$2:$G$2253,B233)</f>
        <v>2</v>
      </c>
    </row>
    <row r="234" spans="1:9" ht="16.5">
      <c r="A234" s="35" t="s">
        <v>1863</v>
      </c>
      <c r="B234" s="30" t="s">
        <v>1860</v>
      </c>
      <c r="C234" s="39" t="s">
        <v>72</v>
      </c>
      <c r="D234" s="35" t="s">
        <v>8181</v>
      </c>
      <c r="E234" s="29" t="s">
        <v>1742</v>
      </c>
      <c r="F234" s="35"/>
      <c r="G234" s="30" t="s">
        <v>8271</v>
      </c>
      <c r="H234" s="29">
        <f>COUNTIF(关系明细!$D$2:$D$2253,B234)</f>
        <v>0</v>
      </c>
      <c r="I234" s="29">
        <f>COUNTIF(关系明细!$G$2:$G$2253,B234)</f>
        <v>1</v>
      </c>
    </row>
    <row r="235" spans="1:9" ht="16.5">
      <c r="A235" s="34" t="s">
        <v>1866</v>
      </c>
      <c r="B235" s="9" t="s">
        <v>1864</v>
      </c>
      <c r="C235" s="40" t="s">
        <v>72</v>
      </c>
      <c r="D235" s="34" t="s">
        <v>8181</v>
      </c>
      <c r="E235" s="27" t="s">
        <v>1742</v>
      </c>
      <c r="F235" s="34"/>
      <c r="G235" s="9" t="s">
        <v>8271</v>
      </c>
      <c r="H235" s="27">
        <f>COUNTIF(关系明细!$D$2:$D$2253,B235)</f>
        <v>0</v>
      </c>
      <c r="I235" s="27">
        <f>COUNTIF(关系明细!$G$2:$G$2253,B235)</f>
        <v>1</v>
      </c>
    </row>
    <row r="236" spans="1:9" ht="16.5">
      <c r="A236" s="35" t="s">
        <v>1869</v>
      </c>
      <c r="B236" s="30" t="s">
        <v>1867</v>
      </c>
      <c r="C236" s="39" t="s">
        <v>72</v>
      </c>
      <c r="D236" s="35" t="s">
        <v>8181</v>
      </c>
      <c r="E236" s="29" t="s">
        <v>1742</v>
      </c>
      <c r="F236" s="35"/>
      <c r="G236" s="30" t="s">
        <v>8271</v>
      </c>
      <c r="H236" s="29">
        <f>COUNTIF(关系明细!$D$2:$D$2253,B236)</f>
        <v>0</v>
      </c>
      <c r="I236" s="29">
        <f>COUNTIF(关系明细!$G$2:$G$2253,B236)</f>
        <v>1</v>
      </c>
    </row>
    <row r="237" spans="1:9" ht="16.5">
      <c r="A237" s="34" t="s">
        <v>1872</v>
      </c>
      <c r="B237" s="9" t="s">
        <v>1870</v>
      </c>
      <c r="C237" s="40" t="s">
        <v>72</v>
      </c>
      <c r="D237" s="34" t="s">
        <v>8181</v>
      </c>
      <c r="E237" s="27" t="s">
        <v>1742</v>
      </c>
      <c r="F237" s="34"/>
      <c r="G237" s="9" t="s">
        <v>8271</v>
      </c>
      <c r="H237" s="27">
        <f>COUNTIF(关系明细!$D$2:$D$2253,B237)</f>
        <v>0</v>
      </c>
      <c r="I237" s="27">
        <f>COUNTIF(关系明细!$G$2:$G$2253,B237)</f>
        <v>1</v>
      </c>
    </row>
    <row r="238" spans="1:9" ht="16.5">
      <c r="A238" s="35" t="s">
        <v>1755</v>
      </c>
      <c r="B238" s="30" t="s">
        <v>1752</v>
      </c>
      <c r="C238" s="39" t="s">
        <v>72</v>
      </c>
      <c r="D238" s="35" t="s">
        <v>8181</v>
      </c>
      <c r="E238" s="29" t="s">
        <v>1742</v>
      </c>
      <c r="F238" s="35"/>
      <c r="G238" s="30" t="s">
        <v>8272</v>
      </c>
      <c r="H238" s="29">
        <f>COUNTIF(关系明细!$D$2:$D$2253,B238)</f>
        <v>0</v>
      </c>
      <c r="I238" s="29">
        <f>COUNTIF(关系明细!$G$2:$G$2253,B238)</f>
        <v>1</v>
      </c>
    </row>
    <row r="239" spans="1:9" ht="16.5">
      <c r="A239" s="34" t="s">
        <v>1758</v>
      </c>
      <c r="B239" s="9" t="s">
        <v>1756</v>
      </c>
      <c r="C239" s="40" t="s">
        <v>72</v>
      </c>
      <c r="D239" s="34" t="s">
        <v>8181</v>
      </c>
      <c r="E239" s="27" t="s">
        <v>1742</v>
      </c>
      <c r="F239" s="34"/>
      <c r="G239" s="9" t="s">
        <v>8272</v>
      </c>
      <c r="H239" s="27">
        <f>COUNTIF(关系明细!$D$2:$D$2253,B239)</f>
        <v>0</v>
      </c>
      <c r="I239" s="27">
        <f>COUNTIF(关系明细!$G$2:$G$2253,B239)</f>
        <v>1</v>
      </c>
    </row>
    <row r="240" spans="1:9" ht="16.5">
      <c r="A240" s="35" t="s">
        <v>1761</v>
      </c>
      <c r="B240" s="30" t="s">
        <v>1759</v>
      </c>
      <c r="C240" s="39" t="s">
        <v>72</v>
      </c>
      <c r="D240" s="35" t="s">
        <v>8181</v>
      </c>
      <c r="E240" s="29" t="s">
        <v>1742</v>
      </c>
      <c r="F240" s="35"/>
      <c r="G240" s="30" t="s">
        <v>8272</v>
      </c>
      <c r="H240" s="29">
        <f>COUNTIF(关系明细!$D$2:$D$2253,B240)</f>
        <v>0</v>
      </c>
      <c r="I240" s="29">
        <f>COUNTIF(关系明细!$G$2:$G$2253,B240)</f>
        <v>1</v>
      </c>
    </row>
    <row r="241" spans="1:9" ht="16.5">
      <c r="A241" s="34" t="s">
        <v>1764</v>
      </c>
      <c r="B241" s="9" t="s">
        <v>1762</v>
      </c>
      <c r="C241" s="40" t="s">
        <v>72</v>
      </c>
      <c r="D241" s="34" t="s">
        <v>8181</v>
      </c>
      <c r="E241" s="27" t="s">
        <v>1742</v>
      </c>
      <c r="F241" s="34"/>
      <c r="G241" s="9" t="s">
        <v>8272</v>
      </c>
      <c r="H241" s="27">
        <f>COUNTIF(关系明细!$D$2:$D$2253,B241)</f>
        <v>0</v>
      </c>
      <c r="I241" s="27">
        <f>COUNTIF(关系明细!$G$2:$G$2253,B241)</f>
        <v>1</v>
      </c>
    </row>
    <row r="242" spans="1:9" ht="16.5">
      <c r="A242" s="35" t="s">
        <v>1767</v>
      </c>
      <c r="B242" s="30" t="s">
        <v>1765</v>
      </c>
      <c r="C242" s="39" t="s">
        <v>72</v>
      </c>
      <c r="D242" s="35" t="s">
        <v>8181</v>
      </c>
      <c r="E242" s="29" t="s">
        <v>1742</v>
      </c>
      <c r="F242" s="35"/>
      <c r="G242" s="30" t="s">
        <v>8272</v>
      </c>
      <c r="H242" s="29">
        <f>COUNTIF(关系明细!$D$2:$D$2253,B242)</f>
        <v>0</v>
      </c>
      <c r="I242" s="29">
        <f>COUNTIF(关系明细!$G$2:$G$2253,B242)</f>
        <v>1</v>
      </c>
    </row>
    <row r="243" spans="1:9" ht="16.5">
      <c r="A243" s="34" t="s">
        <v>1770</v>
      </c>
      <c r="B243" s="9" t="s">
        <v>1768</v>
      </c>
      <c r="C243" s="40" t="s">
        <v>72</v>
      </c>
      <c r="D243" s="34" t="s">
        <v>8181</v>
      </c>
      <c r="E243" s="27" t="s">
        <v>1742</v>
      </c>
      <c r="F243" s="34"/>
      <c r="G243" s="9" t="s">
        <v>8272</v>
      </c>
      <c r="H243" s="27">
        <f>COUNTIF(关系明细!$D$2:$D$2253,B243)</f>
        <v>0</v>
      </c>
      <c r="I243" s="27">
        <f>COUNTIF(关系明细!$G$2:$G$2253,B243)</f>
        <v>1</v>
      </c>
    </row>
    <row r="244" spans="1:9" ht="16.5">
      <c r="A244" s="35" t="s">
        <v>1826</v>
      </c>
      <c r="B244" s="30" t="s">
        <v>1823</v>
      </c>
      <c r="C244" s="39" t="s">
        <v>72</v>
      </c>
      <c r="D244" s="35" t="s">
        <v>8181</v>
      </c>
      <c r="E244" s="29" t="s">
        <v>1742</v>
      </c>
      <c r="F244" s="35"/>
      <c r="G244" s="30" t="s">
        <v>8273</v>
      </c>
      <c r="H244" s="29">
        <f>COUNTIF(关系明细!$D$2:$D$2253,B244)</f>
        <v>0</v>
      </c>
      <c r="I244" s="29">
        <f>COUNTIF(关系明细!$G$2:$G$2253,B244)</f>
        <v>1</v>
      </c>
    </row>
    <row r="245" spans="1:9" ht="16.5">
      <c r="A245" s="34" t="s">
        <v>1829</v>
      </c>
      <c r="B245" s="9" t="s">
        <v>1827</v>
      </c>
      <c r="C245" s="40" t="s">
        <v>72</v>
      </c>
      <c r="D245" s="34" t="s">
        <v>8181</v>
      </c>
      <c r="E245" s="27" t="s">
        <v>1742</v>
      </c>
      <c r="F245" s="34"/>
      <c r="G245" s="9" t="s">
        <v>8273</v>
      </c>
      <c r="H245" s="27">
        <f>COUNTIF(关系明细!$D$2:$D$2253,B245)</f>
        <v>0</v>
      </c>
      <c r="I245" s="27">
        <f>COUNTIF(关系明细!$G$2:$G$2253,B245)</f>
        <v>1</v>
      </c>
    </row>
    <row r="246" spans="1:9" ht="16.5">
      <c r="A246" s="35" t="s">
        <v>1832</v>
      </c>
      <c r="B246" s="30" t="s">
        <v>1830</v>
      </c>
      <c r="C246" s="39" t="s">
        <v>72</v>
      </c>
      <c r="D246" s="35" t="s">
        <v>8181</v>
      </c>
      <c r="E246" s="29" t="s">
        <v>1742</v>
      </c>
      <c r="F246" s="35"/>
      <c r="G246" s="30" t="s">
        <v>8273</v>
      </c>
      <c r="H246" s="29">
        <f>COUNTIF(关系明细!$D$2:$D$2253,B246)</f>
        <v>0</v>
      </c>
      <c r="I246" s="29">
        <f>COUNTIF(关系明细!$G$2:$G$2253,B246)</f>
        <v>1</v>
      </c>
    </row>
    <row r="247" spans="1:9" ht="16.5">
      <c r="A247" s="34" t="s">
        <v>1835</v>
      </c>
      <c r="B247" s="9" t="s">
        <v>1833</v>
      </c>
      <c r="C247" s="40" t="s">
        <v>72</v>
      </c>
      <c r="D247" s="34" t="s">
        <v>8181</v>
      </c>
      <c r="E247" s="27" t="s">
        <v>1742</v>
      </c>
      <c r="F247" s="34"/>
      <c r="G247" s="9" t="s">
        <v>8273</v>
      </c>
      <c r="H247" s="27">
        <f>COUNTIF(关系明细!$D$2:$D$2253,B247)</f>
        <v>0</v>
      </c>
      <c r="I247" s="27">
        <f>COUNTIF(关系明细!$G$2:$G$2253,B247)</f>
        <v>1</v>
      </c>
    </row>
    <row r="248" spans="1:9" ht="16.5">
      <c r="A248" s="35" t="s">
        <v>1802</v>
      </c>
      <c r="B248" s="30" t="s">
        <v>1799</v>
      </c>
      <c r="C248" s="39" t="s">
        <v>82</v>
      </c>
      <c r="D248" s="35" t="s">
        <v>8186</v>
      </c>
      <c r="E248" s="29" t="s">
        <v>1742</v>
      </c>
      <c r="F248" s="35"/>
      <c r="G248" s="30" t="s">
        <v>8274</v>
      </c>
      <c r="H248" s="29">
        <f>COUNTIF(关系明细!$D$2:$D$2253,B248)</f>
        <v>0</v>
      </c>
      <c r="I248" s="29">
        <f>COUNTIF(关系明细!$G$2:$G$2253,B248)</f>
        <v>1</v>
      </c>
    </row>
    <row r="249" spans="1:9" ht="16.5">
      <c r="A249" s="34" t="s">
        <v>1806</v>
      </c>
      <c r="B249" s="9" t="s">
        <v>1803</v>
      </c>
      <c r="C249" s="40" t="s">
        <v>82</v>
      </c>
      <c r="D249" s="34" t="s">
        <v>8186</v>
      </c>
      <c r="E249" s="27" t="s">
        <v>1742</v>
      </c>
      <c r="F249" s="34"/>
      <c r="G249" s="9" t="s">
        <v>8275</v>
      </c>
      <c r="H249" s="27">
        <f>COUNTIF(关系明细!$D$2:$D$2253,B249)</f>
        <v>0</v>
      </c>
      <c r="I249" s="27">
        <f>COUNTIF(关系明细!$G$2:$G$2253,B249)</f>
        <v>1</v>
      </c>
    </row>
    <row r="250" spans="1:9" ht="16.5">
      <c r="A250" s="35" t="s">
        <v>1810</v>
      </c>
      <c r="B250" s="30" t="s">
        <v>1807</v>
      </c>
      <c r="C250" s="39" t="s">
        <v>82</v>
      </c>
      <c r="D250" s="35" t="s">
        <v>8186</v>
      </c>
      <c r="E250" s="29" t="s">
        <v>1742</v>
      </c>
      <c r="F250" s="35"/>
      <c r="G250" s="30" t="s">
        <v>8276</v>
      </c>
      <c r="H250" s="29">
        <f>COUNTIF(关系明细!$D$2:$D$2253,B250)</f>
        <v>0</v>
      </c>
      <c r="I250" s="29">
        <f>COUNTIF(关系明细!$G$2:$G$2253,B250)</f>
        <v>1</v>
      </c>
    </row>
    <row r="251" spans="1:9" ht="16.5">
      <c r="A251" s="34" t="s">
        <v>1814</v>
      </c>
      <c r="B251" s="9" t="s">
        <v>1811</v>
      </c>
      <c r="C251" s="40" t="s">
        <v>82</v>
      </c>
      <c r="D251" s="34" t="s">
        <v>8186</v>
      </c>
      <c r="E251" s="27" t="s">
        <v>1742</v>
      </c>
      <c r="F251" s="34"/>
      <c r="G251" s="9" t="s">
        <v>8277</v>
      </c>
      <c r="H251" s="27">
        <f>COUNTIF(关系明细!$D$2:$D$2253,B251)</f>
        <v>0</v>
      </c>
      <c r="I251" s="27">
        <f>COUNTIF(关系明细!$G$2:$G$2253,B251)</f>
        <v>1</v>
      </c>
    </row>
    <row r="252" spans="1:9" ht="16.5">
      <c r="A252" s="35" t="s">
        <v>1818</v>
      </c>
      <c r="B252" s="30" t="s">
        <v>1815</v>
      </c>
      <c r="C252" s="39" t="s">
        <v>82</v>
      </c>
      <c r="D252" s="35" t="s">
        <v>8186</v>
      </c>
      <c r="E252" s="29" t="s">
        <v>1742</v>
      </c>
      <c r="F252" s="35"/>
      <c r="G252" s="30" t="s">
        <v>8278</v>
      </c>
      <c r="H252" s="29">
        <f>COUNTIF(关系明细!$D$2:$D$2253,B252)</f>
        <v>0</v>
      </c>
      <c r="I252" s="29">
        <f>COUNTIF(关系明细!$G$2:$G$2253,B252)</f>
        <v>1</v>
      </c>
    </row>
    <row r="253" spans="1:9" ht="16.5">
      <c r="A253" s="34" t="s">
        <v>1855</v>
      </c>
      <c r="B253" s="9" t="s">
        <v>1852</v>
      </c>
      <c r="C253" s="40" t="s">
        <v>82</v>
      </c>
      <c r="D253" s="34" t="s">
        <v>8186</v>
      </c>
      <c r="E253" s="27" t="s">
        <v>1742</v>
      </c>
      <c r="F253" s="34"/>
      <c r="G253" s="9" t="s">
        <v>8188</v>
      </c>
      <c r="H253" s="27">
        <f>COUNTIF(关系明细!$D$2:$D$2253,B253)</f>
        <v>0</v>
      </c>
      <c r="I253" s="27">
        <f>COUNTIF(关系明细!$G$2:$G$2253,B253)</f>
        <v>1</v>
      </c>
    </row>
    <row r="254" spans="1:9" ht="16.5">
      <c r="A254" s="35" t="s">
        <v>1876</v>
      </c>
      <c r="B254" s="30" t="s">
        <v>1873</v>
      </c>
      <c r="C254" s="39" t="s">
        <v>82</v>
      </c>
      <c r="D254" s="35" t="s">
        <v>8186</v>
      </c>
      <c r="E254" s="29" t="s">
        <v>1742</v>
      </c>
      <c r="F254" s="35"/>
      <c r="G254" s="30" t="s">
        <v>8188</v>
      </c>
      <c r="H254" s="29">
        <f>COUNTIF(关系明细!$D$2:$D$2253,B254)</f>
        <v>0</v>
      </c>
      <c r="I254" s="29">
        <f>COUNTIF(关系明细!$G$2:$G$2253,B254)</f>
        <v>1</v>
      </c>
    </row>
    <row r="255" spans="1:9" ht="16.5">
      <c r="A255" s="34" t="s">
        <v>1774</v>
      </c>
      <c r="B255" s="9" t="s">
        <v>1771</v>
      </c>
      <c r="C255" s="40" t="s">
        <v>82</v>
      </c>
      <c r="D255" s="34" t="s">
        <v>8186</v>
      </c>
      <c r="E255" s="27" t="s">
        <v>1742</v>
      </c>
      <c r="F255" s="34"/>
      <c r="G255" s="9" t="s">
        <v>8244</v>
      </c>
      <c r="H255" s="27">
        <f>COUNTIF(关系明细!$D$2:$D$2253,B255)</f>
        <v>0</v>
      </c>
      <c r="I255" s="27">
        <f>COUNTIF(关系明细!$G$2:$G$2253,B255)</f>
        <v>1</v>
      </c>
    </row>
    <row r="256" spans="1:9" ht="16.5">
      <c r="A256" s="35" t="s">
        <v>1778</v>
      </c>
      <c r="B256" s="30" t="s">
        <v>1775</v>
      </c>
      <c r="C256" s="39" t="s">
        <v>82</v>
      </c>
      <c r="D256" s="35" t="s">
        <v>8186</v>
      </c>
      <c r="E256" s="29" t="s">
        <v>1742</v>
      </c>
      <c r="F256" s="35"/>
      <c r="G256" s="30" t="s">
        <v>8279</v>
      </c>
      <c r="H256" s="29">
        <f>COUNTIF(关系明细!$D$2:$D$2253,B256)</f>
        <v>0</v>
      </c>
      <c r="I256" s="29">
        <f>COUNTIF(关系明细!$G$2:$G$2253,B256)</f>
        <v>1</v>
      </c>
    </row>
    <row r="257" spans="1:9" ht="16.5">
      <c r="A257" s="34" t="s">
        <v>1782</v>
      </c>
      <c r="B257" s="9" t="s">
        <v>1779</v>
      </c>
      <c r="C257" s="40" t="s">
        <v>82</v>
      </c>
      <c r="D257" s="34" t="s">
        <v>8186</v>
      </c>
      <c r="E257" s="27" t="s">
        <v>1742</v>
      </c>
      <c r="F257" s="34"/>
      <c r="G257" s="9" t="s">
        <v>8280</v>
      </c>
      <c r="H257" s="27">
        <f>COUNTIF(关系明细!$D$2:$D$2253,B257)</f>
        <v>0</v>
      </c>
      <c r="I257" s="27">
        <f>COUNTIF(关系明细!$G$2:$G$2253,B257)</f>
        <v>1</v>
      </c>
    </row>
    <row r="258" spans="1:9" ht="16.5">
      <c r="A258" s="35" t="s">
        <v>1786</v>
      </c>
      <c r="B258" s="30" t="s">
        <v>1783</v>
      </c>
      <c r="C258" s="39" t="s">
        <v>82</v>
      </c>
      <c r="D258" s="35" t="s">
        <v>8186</v>
      </c>
      <c r="E258" s="29" t="s">
        <v>1742</v>
      </c>
      <c r="F258" s="35"/>
      <c r="G258" s="30" t="s">
        <v>8281</v>
      </c>
      <c r="H258" s="29">
        <f>COUNTIF(关系明细!$D$2:$D$2253,B258)</f>
        <v>0</v>
      </c>
      <c r="I258" s="29">
        <f>COUNTIF(关系明细!$G$2:$G$2253,B258)</f>
        <v>1</v>
      </c>
    </row>
    <row r="259" spans="1:9" ht="16.5">
      <c r="A259" s="34" t="s">
        <v>1790</v>
      </c>
      <c r="B259" s="9" t="s">
        <v>1787</v>
      </c>
      <c r="C259" s="40" t="s">
        <v>82</v>
      </c>
      <c r="D259" s="34" t="s">
        <v>8186</v>
      </c>
      <c r="E259" s="27" t="s">
        <v>1742</v>
      </c>
      <c r="F259" s="34"/>
      <c r="G259" s="9" t="s">
        <v>8282</v>
      </c>
      <c r="H259" s="27">
        <f>COUNTIF(关系明细!$D$2:$D$2253,B259)</f>
        <v>0</v>
      </c>
      <c r="I259" s="27">
        <f>COUNTIF(关系明细!$G$2:$G$2253,B259)</f>
        <v>1</v>
      </c>
    </row>
    <row r="260" spans="1:9" ht="16.5">
      <c r="A260" s="35" t="s">
        <v>1794</v>
      </c>
      <c r="B260" s="30" t="s">
        <v>1791</v>
      </c>
      <c r="C260" s="39" t="s">
        <v>82</v>
      </c>
      <c r="D260" s="35" t="s">
        <v>8186</v>
      </c>
      <c r="E260" s="29" t="s">
        <v>1742</v>
      </c>
      <c r="F260" s="35"/>
      <c r="G260" s="30" t="s">
        <v>8283</v>
      </c>
      <c r="H260" s="29">
        <f>COUNTIF(关系明细!$D$2:$D$2253,B260)</f>
        <v>0</v>
      </c>
      <c r="I260" s="29">
        <f>COUNTIF(关系明细!$G$2:$G$2253,B260)</f>
        <v>1</v>
      </c>
    </row>
    <row r="261" spans="1:9" ht="16.5">
      <c r="A261" s="34" t="s">
        <v>1839</v>
      </c>
      <c r="B261" s="9" t="s">
        <v>1836</v>
      </c>
      <c r="C261" s="40" t="s">
        <v>82</v>
      </c>
      <c r="D261" s="34" t="s">
        <v>8186</v>
      </c>
      <c r="E261" s="27" t="s">
        <v>1742</v>
      </c>
      <c r="F261" s="34"/>
      <c r="G261" s="9" t="s">
        <v>8284</v>
      </c>
      <c r="H261" s="27">
        <f>COUNTIF(关系明细!$D$2:$D$2253,B261)</f>
        <v>0</v>
      </c>
      <c r="I261" s="27">
        <f>COUNTIF(关系明细!$G$2:$G$2253,B261)</f>
        <v>1</v>
      </c>
    </row>
    <row r="262" spans="1:9" ht="16.5">
      <c r="A262" s="35" t="s">
        <v>1843</v>
      </c>
      <c r="B262" s="30" t="s">
        <v>1840</v>
      </c>
      <c r="C262" s="39" t="s">
        <v>82</v>
      </c>
      <c r="D262" s="35" t="s">
        <v>8186</v>
      </c>
      <c r="E262" s="29" t="s">
        <v>1742</v>
      </c>
      <c r="F262" s="35"/>
      <c r="G262" s="30" t="s">
        <v>8285</v>
      </c>
      <c r="H262" s="29">
        <f>COUNTIF(关系明细!$D$2:$D$2253,B262)</f>
        <v>0</v>
      </c>
      <c r="I262" s="29">
        <f>COUNTIF(关系明细!$G$2:$G$2253,B262)</f>
        <v>1</v>
      </c>
    </row>
    <row r="263" spans="1:9" ht="16.5">
      <c r="A263" s="34" t="s">
        <v>1847</v>
      </c>
      <c r="B263" s="9" t="s">
        <v>1844</v>
      </c>
      <c r="C263" s="40" t="s">
        <v>82</v>
      </c>
      <c r="D263" s="34" t="s">
        <v>8186</v>
      </c>
      <c r="E263" s="27" t="s">
        <v>1742</v>
      </c>
      <c r="F263" s="34"/>
      <c r="G263" s="9" t="s">
        <v>8286</v>
      </c>
      <c r="H263" s="27">
        <f>COUNTIF(关系明细!$D$2:$D$2253,B263)</f>
        <v>0</v>
      </c>
      <c r="I263" s="27">
        <f>COUNTIF(关系明细!$G$2:$G$2253,B263)</f>
        <v>1</v>
      </c>
    </row>
    <row r="264" spans="1:9" ht="16.5">
      <c r="A264" s="35" t="s">
        <v>1884</v>
      </c>
      <c r="B264" s="30" t="s">
        <v>1881</v>
      </c>
      <c r="C264" s="39" t="s">
        <v>82</v>
      </c>
      <c r="D264" s="35" t="s">
        <v>8186</v>
      </c>
      <c r="E264" s="29" t="s">
        <v>1742</v>
      </c>
      <c r="F264" s="35"/>
      <c r="G264" s="30" t="s">
        <v>8244</v>
      </c>
      <c r="H264" s="29">
        <f>COUNTIF(关系明细!$D$2:$D$2253,B264)</f>
        <v>0</v>
      </c>
      <c r="I264" s="29">
        <f>COUNTIF(关系明细!$G$2:$G$2253,B264)</f>
        <v>1</v>
      </c>
    </row>
    <row r="265" spans="1:9" ht="16.5">
      <c r="A265" s="34" t="s">
        <v>1888</v>
      </c>
      <c r="B265" s="9" t="s">
        <v>1885</v>
      </c>
      <c r="C265" s="40" t="s">
        <v>82</v>
      </c>
      <c r="D265" s="34" t="s">
        <v>8186</v>
      </c>
      <c r="E265" s="27" t="s">
        <v>1742</v>
      </c>
      <c r="F265" s="34"/>
      <c r="G265" s="9" t="s">
        <v>8218</v>
      </c>
      <c r="H265" s="27">
        <f>COUNTIF(关系明细!$D$2:$D$2253,B265)</f>
        <v>0</v>
      </c>
      <c r="I265" s="27">
        <f>COUNTIF(关系明细!$G$2:$G$2253,B265)</f>
        <v>1</v>
      </c>
    </row>
    <row r="266" spans="1:9" ht="16.5">
      <c r="A266" s="35" t="s">
        <v>2122</v>
      </c>
      <c r="B266" s="30" t="s">
        <v>2119</v>
      </c>
      <c r="C266" s="39" t="s">
        <v>300</v>
      </c>
      <c r="D266" s="35" t="s">
        <v>8197</v>
      </c>
      <c r="E266" s="29" t="s">
        <v>1742</v>
      </c>
      <c r="F266" s="35"/>
      <c r="G266" s="30" t="s">
        <v>8287</v>
      </c>
      <c r="H266" s="29">
        <f>COUNTIF(关系明细!$D$2:$D$2253,B266)</f>
        <v>1</v>
      </c>
      <c r="I266" s="29">
        <f>COUNTIF(关系明细!$G$2:$G$2253,B266)</f>
        <v>0</v>
      </c>
    </row>
    <row r="267" spans="1:9" ht="16.5">
      <c r="A267" s="34" t="s">
        <v>1965</v>
      </c>
      <c r="B267" s="9" t="s">
        <v>1962</v>
      </c>
      <c r="C267" s="40" t="s">
        <v>300</v>
      </c>
      <c r="D267" s="34" t="s">
        <v>8197</v>
      </c>
      <c r="E267" s="27" t="s">
        <v>1742</v>
      </c>
      <c r="F267" s="34"/>
      <c r="G267" s="9" t="s">
        <v>8288</v>
      </c>
      <c r="H267" s="27">
        <f>COUNTIF(关系明细!$D$2:$D$2253,B267)</f>
        <v>4</v>
      </c>
      <c r="I267" s="27">
        <f>COUNTIF(关系明细!$G$2:$G$2253,B267)</f>
        <v>1</v>
      </c>
    </row>
    <row r="268" spans="1:9" ht="16.5">
      <c r="A268" s="35" t="s">
        <v>2128</v>
      </c>
      <c r="B268" s="30" t="s">
        <v>2125</v>
      </c>
      <c r="C268" s="39" t="s">
        <v>300</v>
      </c>
      <c r="D268" s="35" t="s">
        <v>8197</v>
      </c>
      <c r="E268" s="29" t="s">
        <v>1742</v>
      </c>
      <c r="F268" s="35"/>
      <c r="G268" s="30" t="s">
        <v>8289</v>
      </c>
      <c r="H268" s="29">
        <f>COUNTIF(关系明细!$D$2:$D$2253,B268)</f>
        <v>1</v>
      </c>
      <c r="I268" s="29">
        <f>COUNTIF(关系明细!$G$2:$G$2253,B268)</f>
        <v>1</v>
      </c>
    </row>
    <row r="269" spans="1:9" ht="16.5">
      <c r="A269" s="34" t="s">
        <v>2138</v>
      </c>
      <c r="B269" s="9" t="s">
        <v>2134</v>
      </c>
      <c r="C269" s="40" t="s">
        <v>300</v>
      </c>
      <c r="D269" s="34" t="s">
        <v>8197</v>
      </c>
      <c r="E269" s="27" t="s">
        <v>1742</v>
      </c>
      <c r="F269" s="34"/>
      <c r="G269" s="9" t="s">
        <v>8290</v>
      </c>
      <c r="H269" s="27">
        <f>COUNTIF(关系明细!$D$2:$D$2253,B269)</f>
        <v>1</v>
      </c>
      <c r="I269" s="27">
        <f>COUNTIF(关系明细!$G$2:$G$2253,B269)</f>
        <v>1</v>
      </c>
    </row>
    <row r="270" spans="1:9" ht="16.5">
      <c r="A270" s="35" t="s">
        <v>1892</v>
      </c>
      <c r="B270" s="30" t="s">
        <v>1889</v>
      </c>
      <c r="C270" s="39" t="s">
        <v>204</v>
      </c>
      <c r="D270" s="35" t="s">
        <v>8201</v>
      </c>
      <c r="E270" s="29" t="s">
        <v>1742</v>
      </c>
      <c r="F270" s="30" t="s">
        <v>1727</v>
      </c>
      <c r="G270" s="35" t="s">
        <v>584</v>
      </c>
      <c r="H270" s="29">
        <f>COUNTIF(关系明细!$D$2:$D$2253,B270)</f>
        <v>6</v>
      </c>
      <c r="I270" s="29">
        <f>COUNTIF(关系明细!$G$2:$G$2253,B270)</f>
        <v>1</v>
      </c>
    </row>
    <row r="271" spans="1:9" ht="16.5">
      <c r="A271" s="34" t="s">
        <v>1897</v>
      </c>
      <c r="B271" s="9" t="s">
        <v>1894</v>
      </c>
      <c r="C271" s="40" t="s">
        <v>204</v>
      </c>
      <c r="D271" s="34" t="s">
        <v>8201</v>
      </c>
      <c r="E271" s="27" t="s">
        <v>1742</v>
      </c>
      <c r="F271" s="9" t="s">
        <v>1819</v>
      </c>
      <c r="G271" s="9" t="s">
        <v>1895</v>
      </c>
      <c r="H271" s="27">
        <f>COUNTIF(关系明细!$D$2:$D$2253,B271)</f>
        <v>6</v>
      </c>
      <c r="I271" s="27">
        <f>COUNTIF(关系明细!$G$2:$G$2253,B271)</f>
        <v>1</v>
      </c>
    </row>
    <row r="272" spans="1:9" ht="16.5">
      <c r="A272" s="35" t="s">
        <v>1902</v>
      </c>
      <c r="B272" s="30" t="s">
        <v>1899</v>
      </c>
      <c r="C272" s="39" t="s">
        <v>204</v>
      </c>
      <c r="D272" s="35" t="s">
        <v>8201</v>
      </c>
      <c r="E272" s="29" t="s">
        <v>1742</v>
      </c>
      <c r="F272" s="30" t="s">
        <v>1819</v>
      </c>
      <c r="G272" s="30" t="s">
        <v>1900</v>
      </c>
      <c r="H272" s="29">
        <f>COUNTIF(关系明细!$D$2:$D$2253,B272)</f>
        <v>6</v>
      </c>
      <c r="I272" s="29">
        <f>COUNTIF(关系明细!$G$2:$G$2253,B272)</f>
        <v>1</v>
      </c>
    </row>
    <row r="273" spans="1:9" ht="16.5">
      <c r="A273" s="34" t="s">
        <v>1907</v>
      </c>
      <c r="B273" s="9" t="s">
        <v>1904</v>
      </c>
      <c r="C273" s="40" t="s">
        <v>204</v>
      </c>
      <c r="D273" s="34" t="s">
        <v>8201</v>
      </c>
      <c r="E273" s="27" t="s">
        <v>1742</v>
      </c>
      <c r="F273" s="9" t="s">
        <v>1819</v>
      </c>
      <c r="G273" s="34" t="s">
        <v>584</v>
      </c>
      <c r="H273" s="27">
        <f>COUNTIF(关系明细!$D$2:$D$2253,B273)</f>
        <v>4</v>
      </c>
      <c r="I273" s="27">
        <f>COUNTIF(关系明细!$G$2:$G$2253,B273)</f>
        <v>2</v>
      </c>
    </row>
    <row r="274" spans="1:9" ht="16.5">
      <c r="A274" s="35" t="s">
        <v>1912</v>
      </c>
      <c r="B274" s="30" t="s">
        <v>1909</v>
      </c>
      <c r="C274" s="39" t="s">
        <v>204</v>
      </c>
      <c r="D274" s="35" t="s">
        <v>8201</v>
      </c>
      <c r="E274" s="29" t="s">
        <v>1742</v>
      </c>
      <c r="F274" s="30" t="s">
        <v>1819</v>
      </c>
      <c r="G274" s="35" t="s">
        <v>584</v>
      </c>
      <c r="H274" s="29">
        <f>COUNTIF(关系明细!$D$2:$D$2253,B274)</f>
        <v>1</v>
      </c>
      <c r="I274" s="29">
        <f>COUNTIF(关系明细!$G$2:$G$2253,B274)</f>
        <v>1</v>
      </c>
    </row>
    <row r="275" spans="1:9" ht="16.5">
      <c r="A275" s="34" t="s">
        <v>1917</v>
      </c>
      <c r="B275" s="9" t="s">
        <v>1914</v>
      </c>
      <c r="C275" s="40" t="s">
        <v>204</v>
      </c>
      <c r="D275" s="34" t="s">
        <v>8201</v>
      </c>
      <c r="E275" s="27" t="s">
        <v>1742</v>
      </c>
      <c r="F275" s="9" t="s">
        <v>1848</v>
      </c>
      <c r="G275" s="34" t="s">
        <v>584</v>
      </c>
      <c r="H275" s="27">
        <f>COUNTIF(关系明细!$D$2:$D$2253,B275)</f>
        <v>2</v>
      </c>
      <c r="I275" s="27">
        <f>COUNTIF(关系明细!$G$2:$G$2253,B275)</f>
        <v>2</v>
      </c>
    </row>
    <row r="276" spans="1:9" ht="16.5">
      <c r="A276" s="35" t="s">
        <v>1922</v>
      </c>
      <c r="B276" s="30" t="s">
        <v>1919</v>
      </c>
      <c r="C276" s="39" t="s">
        <v>204</v>
      </c>
      <c r="D276" s="35" t="s">
        <v>8201</v>
      </c>
      <c r="E276" s="29" t="s">
        <v>1742</v>
      </c>
      <c r="F276" s="30" t="s">
        <v>1856</v>
      </c>
      <c r="G276" s="35" t="s">
        <v>584</v>
      </c>
      <c r="H276" s="29">
        <f>COUNTIF(关系明细!$D$2:$D$2253,B276)</f>
        <v>4</v>
      </c>
      <c r="I276" s="29">
        <f>COUNTIF(关系明细!$G$2:$G$2253,B276)</f>
        <v>1</v>
      </c>
    </row>
    <row r="277" spans="1:9" ht="16.5">
      <c r="A277" s="34" t="s">
        <v>1927</v>
      </c>
      <c r="B277" s="9" t="s">
        <v>1924</v>
      </c>
      <c r="C277" s="40" t="s">
        <v>204</v>
      </c>
      <c r="D277" s="34" t="s">
        <v>8201</v>
      </c>
      <c r="E277" s="27" t="s">
        <v>1742</v>
      </c>
      <c r="F277" s="9" t="s">
        <v>1856</v>
      </c>
      <c r="G277" s="34" t="s">
        <v>584</v>
      </c>
      <c r="H277" s="27">
        <f>COUNTIF(关系明细!$D$2:$D$2253,B277)</f>
        <v>2</v>
      </c>
      <c r="I277" s="27">
        <f>COUNTIF(关系明细!$G$2:$G$2253,B277)</f>
        <v>2</v>
      </c>
    </row>
    <row r="278" spans="1:9" ht="16.5">
      <c r="A278" s="35" t="s">
        <v>1932</v>
      </c>
      <c r="B278" s="30" t="s">
        <v>1929</v>
      </c>
      <c r="C278" s="39" t="s">
        <v>204</v>
      </c>
      <c r="D278" s="35" t="s">
        <v>8201</v>
      </c>
      <c r="E278" s="29" t="s">
        <v>1742</v>
      </c>
      <c r="F278" s="30" t="s">
        <v>1856</v>
      </c>
      <c r="G278" s="35" t="s">
        <v>584</v>
      </c>
      <c r="H278" s="29">
        <f>COUNTIF(关系明细!$D$2:$D$2253,B278)</f>
        <v>1</v>
      </c>
      <c r="I278" s="29">
        <f>COUNTIF(关系明细!$G$2:$G$2253,B278)</f>
        <v>1</v>
      </c>
    </row>
    <row r="279" spans="1:9" ht="16.5">
      <c r="A279" s="34" t="s">
        <v>1937</v>
      </c>
      <c r="B279" s="9" t="s">
        <v>1934</v>
      </c>
      <c r="C279" s="40" t="s">
        <v>204</v>
      </c>
      <c r="D279" s="34" t="s">
        <v>8201</v>
      </c>
      <c r="E279" s="27" t="s">
        <v>1742</v>
      </c>
      <c r="F279" s="9" t="s">
        <v>1877</v>
      </c>
      <c r="G279" s="34" t="s">
        <v>584</v>
      </c>
      <c r="H279" s="27">
        <f>COUNTIF(关系明细!$D$2:$D$2253,B279)</f>
        <v>2</v>
      </c>
      <c r="I279" s="27">
        <f>COUNTIF(关系明细!$G$2:$G$2253,B279)</f>
        <v>1</v>
      </c>
    </row>
    <row r="280" spans="1:9" ht="16.5">
      <c r="A280" s="35" t="s">
        <v>1942</v>
      </c>
      <c r="B280" s="30" t="s">
        <v>1939</v>
      </c>
      <c r="C280" s="39" t="s">
        <v>204</v>
      </c>
      <c r="D280" s="35" t="s">
        <v>8201</v>
      </c>
      <c r="E280" s="29" t="s">
        <v>1742</v>
      </c>
      <c r="F280" s="30" t="s">
        <v>1877</v>
      </c>
      <c r="G280" s="35" t="s">
        <v>584</v>
      </c>
      <c r="H280" s="29">
        <f>COUNTIF(关系明细!$D$2:$D$2253,B280)</f>
        <v>1</v>
      </c>
      <c r="I280" s="29">
        <f>COUNTIF(关系明细!$G$2:$G$2253,B280)</f>
        <v>1</v>
      </c>
    </row>
    <row r="281" spans="1:9" ht="16.5">
      <c r="A281" s="34" t="s">
        <v>1953</v>
      </c>
      <c r="B281" s="9" t="s">
        <v>1950</v>
      </c>
      <c r="C281" s="40" t="s">
        <v>204</v>
      </c>
      <c r="D281" s="34" t="s">
        <v>8201</v>
      </c>
      <c r="E281" s="27" t="s">
        <v>1742</v>
      </c>
      <c r="F281" s="9" t="s">
        <v>1727</v>
      </c>
      <c r="G281" s="9" t="s">
        <v>1951</v>
      </c>
      <c r="H281" s="27">
        <f>COUNTIF(关系明细!$D$2:$D$2253,B281)</f>
        <v>2</v>
      </c>
      <c r="I281" s="27">
        <f>COUNTIF(关系明细!$G$2:$G$2253,B281)</f>
        <v>1</v>
      </c>
    </row>
    <row r="282" spans="1:9" ht="16.5">
      <c r="A282" s="35" t="s">
        <v>1957</v>
      </c>
      <c r="B282" s="30" t="s">
        <v>1954</v>
      </c>
      <c r="C282" s="39" t="s">
        <v>204</v>
      </c>
      <c r="D282" s="35" t="s">
        <v>8201</v>
      </c>
      <c r="E282" s="29" t="s">
        <v>1742</v>
      </c>
      <c r="F282" s="30" t="s">
        <v>1727</v>
      </c>
      <c r="G282" s="30" t="s">
        <v>1955</v>
      </c>
      <c r="H282" s="29">
        <f>COUNTIF(关系明细!$D$2:$D$2253,B282)</f>
        <v>1</v>
      </c>
      <c r="I282" s="29">
        <f>COUNTIF(关系明细!$G$2:$G$2253,B282)</f>
        <v>1</v>
      </c>
    </row>
    <row r="283" spans="1:9" ht="16.5">
      <c r="A283" s="34" t="s">
        <v>1739</v>
      </c>
      <c r="B283" s="9" t="s">
        <v>1737</v>
      </c>
      <c r="C283" s="40" t="s">
        <v>295</v>
      </c>
      <c r="D283" s="34" t="s">
        <v>8202</v>
      </c>
      <c r="E283" s="27" t="s">
        <v>1742</v>
      </c>
      <c r="F283" s="9" t="s">
        <v>1856</v>
      </c>
      <c r="G283" s="34" t="s">
        <v>1944</v>
      </c>
      <c r="H283" s="27">
        <f>COUNTIF(关系明细!$D$2:$D$2253,B283)</f>
        <v>1</v>
      </c>
      <c r="I283" s="27">
        <f>COUNTIF(关系明细!$G$2:$G$2253,B283)</f>
        <v>6</v>
      </c>
    </row>
    <row r="284" spans="1:9" ht="16.5">
      <c r="A284" s="35" t="s">
        <v>1949</v>
      </c>
      <c r="B284" s="30" t="s">
        <v>1946</v>
      </c>
      <c r="C284" s="39" t="s">
        <v>295</v>
      </c>
      <c r="D284" s="35" t="s">
        <v>8202</v>
      </c>
      <c r="E284" s="29" t="s">
        <v>1742</v>
      </c>
      <c r="F284" s="30" t="s">
        <v>1856</v>
      </c>
      <c r="G284" s="35" t="s">
        <v>1947</v>
      </c>
      <c r="H284" s="29">
        <f>COUNTIF(关系明细!$D$2:$D$2253,B284)</f>
        <v>0</v>
      </c>
      <c r="I284" s="29">
        <f>COUNTIF(关系明细!$G$2:$G$2253,B284)</f>
        <v>1</v>
      </c>
    </row>
    <row r="285" spans="1:9" ht="16.5">
      <c r="A285" s="34" t="s">
        <v>1961</v>
      </c>
      <c r="B285" s="9" t="s">
        <v>1958</v>
      </c>
      <c r="C285" s="40" t="s">
        <v>295</v>
      </c>
      <c r="D285" s="34" t="s">
        <v>8202</v>
      </c>
      <c r="E285" s="27" t="s">
        <v>1742</v>
      </c>
      <c r="F285" s="9" t="s">
        <v>1727</v>
      </c>
      <c r="G285" s="9" t="s">
        <v>1959</v>
      </c>
      <c r="H285" s="27">
        <f>COUNTIF(关系明细!$D$2:$D$2253,B285)</f>
        <v>1</v>
      </c>
      <c r="I285" s="27">
        <f>COUNTIF(关系明细!$G$2:$G$2253,B285)</f>
        <v>2</v>
      </c>
    </row>
    <row r="286" spans="1:9" ht="16.5">
      <c r="A286" s="35" t="s">
        <v>2080</v>
      </c>
      <c r="B286" s="30" t="s">
        <v>2077</v>
      </c>
      <c r="C286" s="39" t="s">
        <v>488</v>
      </c>
      <c r="D286" s="35" t="s">
        <v>8203</v>
      </c>
      <c r="E286" s="29" t="s">
        <v>1742</v>
      </c>
      <c r="F286" s="35"/>
      <c r="G286" s="35" t="s">
        <v>584</v>
      </c>
      <c r="H286" s="29">
        <f>COUNTIF(关系明细!$D$2:$D$2253,B286)</f>
        <v>1</v>
      </c>
      <c r="I286" s="29">
        <f>COUNTIF(关系明细!$G$2:$G$2253,B286)</f>
        <v>1</v>
      </c>
    </row>
    <row r="287" spans="1:9" ht="16.5">
      <c r="A287" s="34" t="s">
        <v>2091</v>
      </c>
      <c r="B287" s="9" t="s">
        <v>2087</v>
      </c>
      <c r="C287" s="40" t="s">
        <v>488</v>
      </c>
      <c r="D287" s="34" t="s">
        <v>8203</v>
      </c>
      <c r="E287" s="27" t="s">
        <v>1742</v>
      </c>
      <c r="F287" s="34"/>
      <c r="G287" s="9" t="s">
        <v>2089</v>
      </c>
      <c r="H287" s="27">
        <f>COUNTIF(关系明细!$D$2:$D$2253,B287)</f>
        <v>1</v>
      </c>
      <c r="I287" s="27">
        <f>COUNTIF(关系明细!$G$2:$G$2253,B287)</f>
        <v>1</v>
      </c>
    </row>
    <row r="288" spans="1:9" ht="16.5">
      <c r="A288" s="35" t="s">
        <v>2081</v>
      </c>
      <c r="B288" s="30" t="s">
        <v>2078</v>
      </c>
      <c r="C288" s="39" t="s">
        <v>491</v>
      </c>
      <c r="D288" s="35" t="s">
        <v>8204</v>
      </c>
      <c r="E288" s="29" t="s">
        <v>1742</v>
      </c>
      <c r="F288" s="35"/>
      <c r="G288" s="35" t="s">
        <v>2082</v>
      </c>
      <c r="H288" s="29">
        <f>COUNTIF(关系明细!$D$2:$D$2253,B288)</f>
        <v>1</v>
      </c>
      <c r="I288" s="29">
        <f>COUNTIF(关系明细!$G$2:$G$2253,B288)</f>
        <v>1</v>
      </c>
    </row>
    <row r="289" spans="1:9" ht="16.5">
      <c r="A289" s="34" t="s">
        <v>2092</v>
      </c>
      <c r="B289" s="9" t="s">
        <v>2088</v>
      </c>
      <c r="C289" s="40" t="s">
        <v>491</v>
      </c>
      <c r="D289" s="34" t="s">
        <v>8204</v>
      </c>
      <c r="E289" s="27" t="s">
        <v>1742</v>
      </c>
      <c r="F289" s="34"/>
      <c r="G289" s="34" t="s">
        <v>2093</v>
      </c>
      <c r="H289" s="27">
        <f>COUNTIF(关系明细!$D$2:$D$2253,B289)</f>
        <v>1</v>
      </c>
      <c r="I289" s="27">
        <f>COUNTIF(关系明细!$G$2:$G$2253,B289)</f>
        <v>1</v>
      </c>
    </row>
    <row r="290" spans="1:9" ht="16.5">
      <c r="A290" s="35" t="s">
        <v>2101</v>
      </c>
      <c r="B290" s="30" t="s">
        <v>2098</v>
      </c>
      <c r="C290" s="39" t="s">
        <v>556</v>
      </c>
      <c r="D290" s="35" t="s">
        <v>8205</v>
      </c>
      <c r="E290" s="29" t="s">
        <v>1742</v>
      </c>
      <c r="F290" s="35"/>
      <c r="G290" s="30" t="s">
        <v>2099</v>
      </c>
      <c r="H290" s="29">
        <f>COUNTIF(关系明细!$D$2:$D$2253,B290)</f>
        <v>0</v>
      </c>
      <c r="I290" s="29">
        <f>COUNTIF(关系明细!$G$2:$G$2253,B290)</f>
        <v>2</v>
      </c>
    </row>
    <row r="291" spans="1:9" ht="16.5">
      <c r="A291" s="34" t="s">
        <v>2108</v>
      </c>
      <c r="B291" s="9" t="s">
        <v>2104</v>
      </c>
      <c r="C291" s="40" t="s">
        <v>566</v>
      </c>
      <c r="D291" s="34" t="s">
        <v>8206</v>
      </c>
      <c r="E291" s="27" t="s">
        <v>1742</v>
      </c>
      <c r="F291" s="34"/>
      <c r="G291" s="9" t="s">
        <v>8291</v>
      </c>
      <c r="H291" s="27">
        <f>COUNTIF(关系明细!$D$2:$D$2253,B291)</f>
        <v>0</v>
      </c>
      <c r="I291" s="27">
        <f>COUNTIF(关系明细!$G$2:$G$2253,B291)</f>
        <v>1</v>
      </c>
    </row>
    <row r="292" spans="1:9" ht="16.5">
      <c r="A292" s="35" t="s">
        <v>2113</v>
      </c>
      <c r="B292" s="30" t="s">
        <v>2110</v>
      </c>
      <c r="C292" s="39" t="s">
        <v>566</v>
      </c>
      <c r="D292" s="35" t="s">
        <v>8206</v>
      </c>
      <c r="E292" s="29" t="s">
        <v>1742</v>
      </c>
      <c r="F292" s="35"/>
      <c r="G292" s="30" t="s">
        <v>8292</v>
      </c>
      <c r="H292" s="29">
        <f>COUNTIF(关系明细!$D$2:$D$2253,B292)</f>
        <v>0</v>
      </c>
      <c r="I292" s="29">
        <f>COUNTIF(关系明细!$G$2:$G$2253,B292)</f>
        <v>1</v>
      </c>
    </row>
    <row r="293" spans="1:9" ht="16.5">
      <c r="A293" s="34" t="s">
        <v>2117</v>
      </c>
      <c r="B293" s="9" t="s">
        <v>2114</v>
      </c>
      <c r="C293" s="40" t="s">
        <v>566</v>
      </c>
      <c r="D293" s="34" t="s">
        <v>8206</v>
      </c>
      <c r="E293" s="27" t="s">
        <v>1742</v>
      </c>
      <c r="F293" s="34"/>
      <c r="G293" s="9" t="s">
        <v>8293</v>
      </c>
      <c r="H293" s="27">
        <f>COUNTIF(关系明细!$D$2:$D$2253,B293)</f>
        <v>0</v>
      </c>
      <c r="I293" s="27">
        <f>COUNTIF(关系明细!$G$2:$G$2253,B293)</f>
        <v>1</v>
      </c>
    </row>
    <row r="294" spans="1:9" ht="16.5">
      <c r="A294" s="35" t="s">
        <v>1744</v>
      </c>
      <c r="B294" s="35" t="s">
        <v>1740</v>
      </c>
      <c r="C294" s="39" t="s">
        <v>44</v>
      </c>
      <c r="D294" s="35" t="s">
        <v>8172</v>
      </c>
      <c r="E294" s="29" t="s">
        <v>2175</v>
      </c>
      <c r="F294" s="35"/>
      <c r="G294" s="30" t="s">
        <v>8294</v>
      </c>
      <c r="H294" s="29">
        <f>COUNTIF(关系明细!$D$2:$D$2253,B294)</f>
        <v>9</v>
      </c>
      <c r="I294" s="29">
        <f>COUNTIF(关系明细!$G$2:$G$2253,B294)</f>
        <v>2</v>
      </c>
    </row>
    <row r="295" spans="1:9" ht="16.5">
      <c r="A295" s="34" t="s">
        <v>2298</v>
      </c>
      <c r="B295" s="9" t="s">
        <v>2295</v>
      </c>
      <c r="C295" s="40" t="s">
        <v>62</v>
      </c>
      <c r="D295" s="34" t="s">
        <v>8174</v>
      </c>
      <c r="E295" s="27" t="s">
        <v>2175</v>
      </c>
      <c r="F295" s="34"/>
      <c r="G295" s="9" t="s">
        <v>8295</v>
      </c>
      <c r="H295" s="27">
        <f>COUNTIF(关系明细!$D$2:$D$2253,B295)</f>
        <v>18</v>
      </c>
      <c r="I295" s="27">
        <f>COUNTIF(关系明细!$G$2:$G$2253,B295)</f>
        <v>2</v>
      </c>
    </row>
    <row r="296" spans="1:9" ht="16.5">
      <c r="A296" s="35" t="s">
        <v>2333</v>
      </c>
      <c r="B296" s="30" t="s">
        <v>2330</v>
      </c>
      <c r="C296" s="39" t="s">
        <v>62</v>
      </c>
      <c r="D296" s="35" t="s">
        <v>8174</v>
      </c>
      <c r="E296" s="29" t="s">
        <v>2175</v>
      </c>
      <c r="F296" s="35"/>
      <c r="G296" s="30" t="s">
        <v>8296</v>
      </c>
      <c r="H296" s="29">
        <f>COUNTIF(关系明细!$D$2:$D$2253,B296)</f>
        <v>14</v>
      </c>
      <c r="I296" s="29">
        <f>COUNTIF(关系明细!$G$2:$G$2253,B296)</f>
        <v>2</v>
      </c>
    </row>
    <row r="297" spans="1:9" ht="16.5">
      <c r="A297" s="34" t="s">
        <v>2240</v>
      </c>
      <c r="B297" s="9" t="s">
        <v>2237</v>
      </c>
      <c r="C297" s="40" t="s">
        <v>62</v>
      </c>
      <c r="D297" s="34" t="s">
        <v>8174</v>
      </c>
      <c r="E297" s="27" t="s">
        <v>2175</v>
      </c>
      <c r="F297" s="34"/>
      <c r="G297" s="9" t="s">
        <v>8297</v>
      </c>
      <c r="H297" s="27">
        <f>COUNTIF(关系明细!$D$2:$D$2253,B297)</f>
        <v>11</v>
      </c>
      <c r="I297" s="27">
        <f>COUNTIF(关系明细!$G$2:$G$2253,B297)</f>
        <v>2</v>
      </c>
    </row>
    <row r="298" spans="1:9" ht="16.5">
      <c r="A298" s="35" t="s">
        <v>2211</v>
      </c>
      <c r="B298" s="30" t="s">
        <v>2208</v>
      </c>
      <c r="C298" s="39" t="s">
        <v>62</v>
      </c>
      <c r="D298" s="35" t="s">
        <v>8174</v>
      </c>
      <c r="E298" s="29" t="s">
        <v>2175</v>
      </c>
      <c r="F298" s="35"/>
      <c r="G298" s="30" t="s">
        <v>8298</v>
      </c>
      <c r="H298" s="29">
        <f>COUNTIF(关系明细!$D$2:$D$2253,B298)</f>
        <v>10</v>
      </c>
      <c r="I298" s="29">
        <f>COUNTIF(关系明细!$G$2:$G$2253,B298)</f>
        <v>3</v>
      </c>
    </row>
    <row r="299" spans="1:9" ht="16.5">
      <c r="A299" s="34" t="s">
        <v>2184</v>
      </c>
      <c r="B299" s="9" t="s">
        <v>2181</v>
      </c>
      <c r="C299" s="40" t="s">
        <v>62</v>
      </c>
      <c r="D299" s="34" t="s">
        <v>8174</v>
      </c>
      <c r="E299" s="27" t="s">
        <v>2175</v>
      </c>
      <c r="F299" s="34"/>
      <c r="G299" s="9" t="s">
        <v>8299</v>
      </c>
      <c r="H299" s="27">
        <f>COUNTIF(关系明细!$D$2:$D$2253,B299)</f>
        <v>7</v>
      </c>
      <c r="I299" s="27">
        <f>COUNTIF(关系明细!$G$2:$G$2253,B299)</f>
        <v>1</v>
      </c>
    </row>
    <row r="300" spans="1:9" ht="16.5">
      <c r="A300" s="35" t="s">
        <v>2146</v>
      </c>
      <c r="B300" s="30" t="s">
        <v>2143</v>
      </c>
      <c r="C300" s="39" t="s">
        <v>62</v>
      </c>
      <c r="D300" s="35" t="s">
        <v>8174</v>
      </c>
      <c r="E300" s="29" t="s">
        <v>2175</v>
      </c>
      <c r="F300" s="35"/>
      <c r="G300" s="30" t="s">
        <v>8300</v>
      </c>
      <c r="H300" s="29">
        <f>COUNTIF(关系明细!$D$2:$D$2253,B300)</f>
        <v>10</v>
      </c>
      <c r="I300" s="29">
        <f>COUNTIF(关系明细!$G$2:$G$2253,B300)</f>
        <v>6</v>
      </c>
    </row>
    <row r="301" spans="1:9" ht="16.5">
      <c r="A301" s="34" t="s">
        <v>2282</v>
      </c>
      <c r="B301" s="9" t="s">
        <v>2279</v>
      </c>
      <c r="C301" s="40" t="s">
        <v>62</v>
      </c>
      <c r="D301" s="34" t="s">
        <v>8174</v>
      </c>
      <c r="E301" s="27" t="s">
        <v>2175</v>
      </c>
      <c r="F301" s="34"/>
      <c r="G301" s="9" t="s">
        <v>8301</v>
      </c>
      <c r="H301" s="27">
        <f>COUNTIF(关系明细!$D$2:$D$2253,B301)</f>
        <v>9</v>
      </c>
      <c r="I301" s="27">
        <f>COUNTIF(关系明细!$G$2:$G$2253,B301)</f>
        <v>3</v>
      </c>
    </row>
    <row r="302" spans="1:9" ht="16.5">
      <c r="A302" s="35" t="s">
        <v>2302</v>
      </c>
      <c r="B302" s="30" t="s">
        <v>2299</v>
      </c>
      <c r="C302" s="39" t="s">
        <v>72</v>
      </c>
      <c r="D302" s="35" t="s">
        <v>8181</v>
      </c>
      <c r="E302" s="29" t="s">
        <v>2175</v>
      </c>
      <c r="F302" s="35"/>
      <c r="G302" s="30" t="s">
        <v>8302</v>
      </c>
      <c r="H302" s="29">
        <f>COUNTIF(关系明细!$D$2:$D$2253,B302)</f>
        <v>0</v>
      </c>
      <c r="I302" s="29">
        <f>COUNTIF(关系明细!$G$2:$G$2253,B302)</f>
        <v>1</v>
      </c>
    </row>
    <row r="303" spans="1:9" ht="16.5">
      <c r="A303" s="34" t="s">
        <v>2305</v>
      </c>
      <c r="B303" s="9" t="s">
        <v>2303</v>
      </c>
      <c r="C303" s="40" t="s">
        <v>72</v>
      </c>
      <c r="D303" s="34" t="s">
        <v>8181</v>
      </c>
      <c r="E303" s="27" t="s">
        <v>2175</v>
      </c>
      <c r="F303" s="34"/>
      <c r="G303" s="9" t="s">
        <v>8302</v>
      </c>
      <c r="H303" s="27">
        <f>COUNTIF(关系明细!$D$2:$D$2253,B303)</f>
        <v>0</v>
      </c>
      <c r="I303" s="27">
        <f>COUNTIF(关系明细!$G$2:$G$2253,B303)</f>
        <v>1</v>
      </c>
    </row>
    <row r="304" spans="1:9" ht="16.5">
      <c r="A304" s="35" t="s">
        <v>2308</v>
      </c>
      <c r="B304" s="30" t="s">
        <v>2306</v>
      </c>
      <c r="C304" s="39" t="s">
        <v>72</v>
      </c>
      <c r="D304" s="35" t="s">
        <v>8181</v>
      </c>
      <c r="E304" s="29" t="s">
        <v>2175</v>
      </c>
      <c r="F304" s="35"/>
      <c r="G304" s="30" t="s">
        <v>8302</v>
      </c>
      <c r="H304" s="29">
        <f>COUNTIF(关系明细!$D$2:$D$2253,B304)</f>
        <v>0</v>
      </c>
      <c r="I304" s="29">
        <f>COUNTIF(关系明细!$G$2:$G$2253,B304)</f>
        <v>1</v>
      </c>
    </row>
    <row r="305" spans="1:9" ht="16.5">
      <c r="A305" s="34" t="s">
        <v>2311</v>
      </c>
      <c r="B305" s="9" t="s">
        <v>2309</v>
      </c>
      <c r="C305" s="40" t="s">
        <v>72</v>
      </c>
      <c r="D305" s="34" t="s">
        <v>8181</v>
      </c>
      <c r="E305" s="27" t="s">
        <v>2175</v>
      </c>
      <c r="F305" s="34"/>
      <c r="G305" s="9" t="s">
        <v>8302</v>
      </c>
      <c r="H305" s="27">
        <f>COUNTIF(关系明细!$D$2:$D$2253,B305)</f>
        <v>0</v>
      </c>
      <c r="I305" s="27">
        <f>COUNTIF(关系明细!$G$2:$G$2253,B305)</f>
        <v>1</v>
      </c>
    </row>
    <row r="306" spans="1:9" ht="16.5">
      <c r="A306" s="35" t="s">
        <v>2314</v>
      </c>
      <c r="B306" s="30" t="s">
        <v>2312</v>
      </c>
      <c r="C306" s="39" t="s">
        <v>72</v>
      </c>
      <c r="D306" s="35" t="s">
        <v>8181</v>
      </c>
      <c r="E306" s="29" t="s">
        <v>2175</v>
      </c>
      <c r="F306" s="35"/>
      <c r="G306" s="30" t="s">
        <v>8302</v>
      </c>
      <c r="H306" s="29">
        <f>COUNTIF(关系明细!$D$2:$D$2253,B306)</f>
        <v>0</v>
      </c>
      <c r="I306" s="29">
        <f>COUNTIF(关系明细!$G$2:$G$2253,B306)</f>
        <v>1</v>
      </c>
    </row>
    <row r="307" spans="1:9" ht="16.5">
      <c r="A307" s="34" t="s">
        <v>2317</v>
      </c>
      <c r="B307" s="9" t="s">
        <v>2315</v>
      </c>
      <c r="C307" s="40" t="s">
        <v>72</v>
      </c>
      <c r="D307" s="34" t="s">
        <v>8181</v>
      </c>
      <c r="E307" s="27" t="s">
        <v>2175</v>
      </c>
      <c r="F307" s="34"/>
      <c r="G307" s="9" t="s">
        <v>8302</v>
      </c>
      <c r="H307" s="27">
        <f>COUNTIF(关系明细!$D$2:$D$2253,B307)</f>
        <v>0</v>
      </c>
      <c r="I307" s="27">
        <f>COUNTIF(关系明细!$G$2:$G$2253,B307)</f>
        <v>1</v>
      </c>
    </row>
    <row r="308" spans="1:9" ht="16.5">
      <c r="A308" s="35" t="s">
        <v>2337</v>
      </c>
      <c r="B308" s="30" t="s">
        <v>2334</v>
      </c>
      <c r="C308" s="39" t="s">
        <v>72</v>
      </c>
      <c r="D308" s="35" t="s">
        <v>8181</v>
      </c>
      <c r="E308" s="29" t="s">
        <v>2175</v>
      </c>
      <c r="F308" s="35"/>
      <c r="G308" s="30" t="s">
        <v>8303</v>
      </c>
      <c r="H308" s="29">
        <f>COUNTIF(关系明细!$D$2:$D$2253,B308)</f>
        <v>0</v>
      </c>
      <c r="I308" s="29">
        <f>COUNTIF(关系明细!$G$2:$G$2253,B308)</f>
        <v>1</v>
      </c>
    </row>
    <row r="309" spans="1:9" ht="16.5">
      <c r="A309" s="34" t="s">
        <v>2340</v>
      </c>
      <c r="B309" s="9" t="s">
        <v>2338</v>
      </c>
      <c r="C309" s="40" t="s">
        <v>72</v>
      </c>
      <c r="D309" s="34" t="s">
        <v>8181</v>
      </c>
      <c r="E309" s="27" t="s">
        <v>2175</v>
      </c>
      <c r="F309" s="34"/>
      <c r="G309" s="9" t="s">
        <v>8303</v>
      </c>
      <c r="H309" s="27">
        <f>COUNTIF(关系明细!$D$2:$D$2253,B309)</f>
        <v>0</v>
      </c>
      <c r="I309" s="27">
        <f>COUNTIF(关系明细!$G$2:$G$2253,B309)</f>
        <v>1</v>
      </c>
    </row>
    <row r="310" spans="1:9" ht="16.5">
      <c r="A310" s="35" t="s">
        <v>2343</v>
      </c>
      <c r="B310" s="30" t="s">
        <v>2341</v>
      </c>
      <c r="C310" s="39" t="s">
        <v>72</v>
      </c>
      <c r="D310" s="35" t="s">
        <v>8181</v>
      </c>
      <c r="E310" s="29" t="s">
        <v>2175</v>
      </c>
      <c r="F310" s="35"/>
      <c r="G310" s="30" t="s">
        <v>8303</v>
      </c>
      <c r="H310" s="29">
        <f>COUNTIF(关系明细!$D$2:$D$2253,B310)</f>
        <v>0</v>
      </c>
      <c r="I310" s="29">
        <f>COUNTIF(关系明细!$G$2:$G$2253,B310)</f>
        <v>1</v>
      </c>
    </row>
    <row r="311" spans="1:9" ht="16.5">
      <c r="A311" s="34" t="s">
        <v>2346</v>
      </c>
      <c r="B311" s="9" t="s">
        <v>2344</v>
      </c>
      <c r="C311" s="40" t="s">
        <v>72</v>
      </c>
      <c r="D311" s="34" t="s">
        <v>8181</v>
      </c>
      <c r="E311" s="27" t="s">
        <v>2175</v>
      </c>
      <c r="F311" s="34"/>
      <c r="G311" s="9" t="s">
        <v>8303</v>
      </c>
      <c r="H311" s="27">
        <f>COUNTIF(关系明细!$D$2:$D$2253,B311)</f>
        <v>0</v>
      </c>
      <c r="I311" s="27">
        <f>COUNTIF(关系明细!$G$2:$G$2253,B311)</f>
        <v>1</v>
      </c>
    </row>
    <row r="312" spans="1:9" ht="16.5">
      <c r="A312" s="35" t="s">
        <v>2244</v>
      </c>
      <c r="B312" s="35" t="s">
        <v>2241</v>
      </c>
      <c r="C312" s="39" t="s">
        <v>72</v>
      </c>
      <c r="D312" s="35" t="s">
        <v>8181</v>
      </c>
      <c r="E312" s="29" t="s">
        <v>2175</v>
      </c>
      <c r="F312" s="35"/>
      <c r="G312" s="30" t="s">
        <v>8304</v>
      </c>
      <c r="H312" s="29">
        <f>COUNTIF(关系明细!$D$2:$D$2253,B312)</f>
        <v>0</v>
      </c>
      <c r="I312" s="29">
        <f>COUNTIF(关系明细!$G$2:$G$2253,B312)</f>
        <v>1</v>
      </c>
    </row>
    <row r="313" spans="1:9" ht="16.5">
      <c r="A313" s="34" t="s">
        <v>2247</v>
      </c>
      <c r="B313" s="34" t="s">
        <v>2245</v>
      </c>
      <c r="C313" s="40" t="s">
        <v>72</v>
      </c>
      <c r="D313" s="34" t="s">
        <v>8181</v>
      </c>
      <c r="E313" s="27" t="s">
        <v>2175</v>
      </c>
      <c r="F313" s="34"/>
      <c r="G313" s="9" t="s">
        <v>8304</v>
      </c>
      <c r="H313" s="27">
        <f>COUNTIF(关系明细!$D$2:$D$2253,B313)</f>
        <v>0</v>
      </c>
      <c r="I313" s="27">
        <f>COUNTIF(关系明细!$G$2:$G$2253,B313)</f>
        <v>1</v>
      </c>
    </row>
    <row r="314" spans="1:9" ht="16.5">
      <c r="A314" s="35" t="s">
        <v>2250</v>
      </c>
      <c r="B314" s="30" t="s">
        <v>2248</v>
      </c>
      <c r="C314" s="39" t="s">
        <v>72</v>
      </c>
      <c r="D314" s="35" t="s">
        <v>8181</v>
      </c>
      <c r="E314" s="29" t="s">
        <v>2175</v>
      </c>
      <c r="F314" s="35"/>
      <c r="G314" s="30" t="s">
        <v>8304</v>
      </c>
      <c r="H314" s="29">
        <f>COUNTIF(关系明细!$D$2:$D$2253,B314)</f>
        <v>0</v>
      </c>
      <c r="I314" s="29">
        <f>COUNTIF(关系明细!$G$2:$G$2253,B314)</f>
        <v>1</v>
      </c>
    </row>
    <row r="315" spans="1:9" ht="16.5">
      <c r="A315" s="34" t="s">
        <v>2253</v>
      </c>
      <c r="B315" s="9" t="s">
        <v>2251</v>
      </c>
      <c r="C315" s="40" t="s">
        <v>72</v>
      </c>
      <c r="D315" s="34" t="s">
        <v>8181</v>
      </c>
      <c r="E315" s="27" t="s">
        <v>2175</v>
      </c>
      <c r="F315" s="34"/>
      <c r="G315" s="9" t="s">
        <v>8304</v>
      </c>
      <c r="H315" s="27">
        <f>COUNTIF(关系明细!$D$2:$D$2253,B315)</f>
        <v>0</v>
      </c>
      <c r="I315" s="27">
        <f>COUNTIF(关系明细!$G$2:$G$2253,B315)</f>
        <v>1</v>
      </c>
    </row>
    <row r="316" spans="1:9" ht="16.5">
      <c r="A316" s="35" t="s">
        <v>2256</v>
      </c>
      <c r="B316" s="30" t="s">
        <v>2254</v>
      </c>
      <c r="C316" s="39" t="s">
        <v>72</v>
      </c>
      <c r="D316" s="35" t="s">
        <v>8181</v>
      </c>
      <c r="E316" s="29" t="s">
        <v>2175</v>
      </c>
      <c r="F316" s="35"/>
      <c r="G316" s="30" t="s">
        <v>8304</v>
      </c>
      <c r="H316" s="29">
        <f>COUNTIF(关系明细!$D$2:$D$2253,B316)</f>
        <v>0</v>
      </c>
      <c r="I316" s="29">
        <f>COUNTIF(关系明细!$G$2:$G$2253,B316)</f>
        <v>1</v>
      </c>
    </row>
    <row r="317" spans="1:9" ht="16.5">
      <c r="A317" s="34" t="s">
        <v>2215</v>
      </c>
      <c r="B317" s="9" t="s">
        <v>2212</v>
      </c>
      <c r="C317" s="40" t="s">
        <v>72</v>
      </c>
      <c r="D317" s="34" t="s">
        <v>8181</v>
      </c>
      <c r="E317" s="27" t="s">
        <v>2175</v>
      </c>
      <c r="F317" s="34"/>
      <c r="G317" s="9" t="s">
        <v>8305</v>
      </c>
      <c r="H317" s="27">
        <f>COUNTIF(关系明细!$D$2:$D$2253,B317)</f>
        <v>0</v>
      </c>
      <c r="I317" s="27">
        <f>COUNTIF(关系明细!$G$2:$G$2253,B317)</f>
        <v>1</v>
      </c>
    </row>
    <row r="318" spans="1:9" ht="16.5">
      <c r="A318" s="35" t="s">
        <v>2218</v>
      </c>
      <c r="B318" s="30" t="s">
        <v>2216</v>
      </c>
      <c r="C318" s="39" t="s">
        <v>72</v>
      </c>
      <c r="D318" s="35" t="s">
        <v>8181</v>
      </c>
      <c r="E318" s="29" t="s">
        <v>2175</v>
      </c>
      <c r="F318" s="35"/>
      <c r="G318" s="30" t="s">
        <v>8305</v>
      </c>
      <c r="H318" s="29">
        <f>COUNTIF(关系明细!$D$2:$D$2253,B318)</f>
        <v>0</v>
      </c>
      <c r="I318" s="29">
        <f>COUNTIF(关系明细!$G$2:$G$2253,B318)</f>
        <v>1</v>
      </c>
    </row>
    <row r="319" spans="1:9" ht="16.5">
      <c r="A319" s="34" t="s">
        <v>2221</v>
      </c>
      <c r="B319" s="9" t="s">
        <v>2219</v>
      </c>
      <c r="C319" s="40" t="s">
        <v>72</v>
      </c>
      <c r="D319" s="34" t="s">
        <v>8181</v>
      </c>
      <c r="E319" s="27" t="s">
        <v>2175</v>
      </c>
      <c r="F319" s="34"/>
      <c r="G319" s="9" t="s">
        <v>8305</v>
      </c>
      <c r="H319" s="27">
        <f>COUNTIF(关系明细!$D$2:$D$2253,B319)</f>
        <v>0</v>
      </c>
      <c r="I319" s="27">
        <f>COUNTIF(关系明细!$G$2:$G$2253,B319)</f>
        <v>1</v>
      </c>
    </row>
    <row r="320" spans="1:9" ht="16.5">
      <c r="A320" s="35" t="s">
        <v>2224</v>
      </c>
      <c r="B320" s="30" t="s">
        <v>2222</v>
      </c>
      <c r="C320" s="39" t="s">
        <v>72</v>
      </c>
      <c r="D320" s="35" t="s">
        <v>8181</v>
      </c>
      <c r="E320" s="29" t="s">
        <v>2175</v>
      </c>
      <c r="F320" s="35"/>
      <c r="G320" s="30" t="s">
        <v>8305</v>
      </c>
      <c r="H320" s="29">
        <f>COUNTIF(关系明细!$D$2:$D$2253,B320)</f>
        <v>0</v>
      </c>
      <c r="I320" s="29">
        <f>COUNTIF(关系明细!$G$2:$G$2253,B320)</f>
        <v>1</v>
      </c>
    </row>
    <row r="321" spans="1:9" ht="16.5">
      <c r="A321" s="34" t="s">
        <v>2189</v>
      </c>
      <c r="B321" s="34" t="s">
        <v>2186</v>
      </c>
      <c r="C321" s="40" t="s">
        <v>72</v>
      </c>
      <c r="D321" s="34" t="s">
        <v>8181</v>
      </c>
      <c r="E321" s="27" t="s">
        <v>2175</v>
      </c>
      <c r="F321" s="34"/>
      <c r="G321" s="9" t="s">
        <v>8306</v>
      </c>
      <c r="H321" s="27">
        <f>COUNTIF(关系明细!$D$2:$D$2253,B321)</f>
        <v>0</v>
      </c>
      <c r="I321" s="27">
        <f>COUNTIF(关系明细!$G$2:$G$2253,B321)</f>
        <v>1</v>
      </c>
    </row>
    <row r="322" spans="1:9" ht="16.5">
      <c r="A322" s="35" t="s">
        <v>2192</v>
      </c>
      <c r="B322" s="35" t="s">
        <v>2190</v>
      </c>
      <c r="C322" s="39" t="s">
        <v>72</v>
      </c>
      <c r="D322" s="35" t="s">
        <v>8181</v>
      </c>
      <c r="E322" s="29" t="s">
        <v>2175</v>
      </c>
      <c r="F322" s="35"/>
      <c r="G322" s="30" t="s">
        <v>8306</v>
      </c>
      <c r="H322" s="29">
        <f>COUNTIF(关系明细!$D$2:$D$2253,B322)</f>
        <v>0</v>
      </c>
      <c r="I322" s="29">
        <f>COUNTIF(关系明细!$G$2:$G$2253,B322)</f>
        <v>1</v>
      </c>
    </row>
    <row r="323" spans="1:9" ht="16.5">
      <c r="A323" s="34" t="s">
        <v>2195</v>
      </c>
      <c r="B323" s="34" t="s">
        <v>2193</v>
      </c>
      <c r="C323" s="40" t="s">
        <v>72</v>
      </c>
      <c r="D323" s="34" t="s">
        <v>8181</v>
      </c>
      <c r="E323" s="27" t="s">
        <v>2175</v>
      </c>
      <c r="F323" s="34"/>
      <c r="G323" s="9" t="s">
        <v>8306</v>
      </c>
      <c r="H323" s="27">
        <f>COUNTIF(关系明细!$D$2:$D$2253,B323)</f>
        <v>0</v>
      </c>
      <c r="I323" s="27">
        <f>COUNTIF(关系明细!$G$2:$G$2253,B323)</f>
        <v>1</v>
      </c>
    </row>
    <row r="324" spans="1:9" ht="16.5">
      <c r="A324" s="35" t="s">
        <v>2321</v>
      </c>
      <c r="B324" s="30" t="s">
        <v>2318</v>
      </c>
      <c r="C324" s="39" t="s">
        <v>82</v>
      </c>
      <c r="D324" s="35" t="s">
        <v>8186</v>
      </c>
      <c r="E324" s="29" t="s">
        <v>2175</v>
      </c>
      <c r="F324" s="35"/>
      <c r="G324" s="30" t="s">
        <v>8190</v>
      </c>
      <c r="H324" s="29">
        <f>COUNTIF(关系明细!$D$2:$D$2253,B324)</f>
        <v>0</v>
      </c>
      <c r="I324" s="29">
        <f>COUNTIF(关系明细!$G$2:$G$2253,B324)</f>
        <v>1</v>
      </c>
    </row>
    <row r="325" spans="1:9" ht="16.5">
      <c r="A325" s="34" t="s">
        <v>2325</v>
      </c>
      <c r="B325" s="9" t="s">
        <v>2322</v>
      </c>
      <c r="C325" s="40" t="s">
        <v>82</v>
      </c>
      <c r="D325" s="34" t="s">
        <v>8186</v>
      </c>
      <c r="E325" s="27" t="s">
        <v>2175</v>
      </c>
      <c r="F325" s="34"/>
      <c r="G325" s="34" t="s">
        <v>8307</v>
      </c>
      <c r="H325" s="27">
        <f>COUNTIF(关系明细!$D$2:$D$2253,B325)</f>
        <v>0</v>
      </c>
      <c r="I325" s="27">
        <f>COUNTIF(关系明细!$G$2:$G$2253,B325)</f>
        <v>1</v>
      </c>
    </row>
    <row r="326" spans="1:9" ht="16.5">
      <c r="A326" s="35" t="s">
        <v>2329</v>
      </c>
      <c r="B326" s="30" t="s">
        <v>2326</v>
      </c>
      <c r="C326" s="39" t="s">
        <v>82</v>
      </c>
      <c r="D326" s="35" t="s">
        <v>8186</v>
      </c>
      <c r="E326" s="29" t="s">
        <v>2175</v>
      </c>
      <c r="F326" s="35"/>
      <c r="G326" s="30" t="s">
        <v>8193</v>
      </c>
      <c r="H326" s="29">
        <f>COUNTIF(关系明细!$D$2:$D$2253,B326)</f>
        <v>0</v>
      </c>
      <c r="I326" s="29">
        <f>COUNTIF(关系明细!$G$2:$G$2253,B326)</f>
        <v>1</v>
      </c>
    </row>
    <row r="327" spans="1:9" ht="16.5">
      <c r="A327" s="34" t="s">
        <v>2350</v>
      </c>
      <c r="B327" s="9" t="s">
        <v>2347</v>
      </c>
      <c r="C327" s="40" t="s">
        <v>82</v>
      </c>
      <c r="D327" s="34" t="s">
        <v>8186</v>
      </c>
      <c r="E327" s="27" t="s">
        <v>2175</v>
      </c>
      <c r="F327" s="34"/>
      <c r="G327" s="9" t="s">
        <v>8190</v>
      </c>
      <c r="H327" s="27">
        <f>COUNTIF(关系明细!$D$2:$D$2253,B327)</f>
        <v>0</v>
      </c>
      <c r="I327" s="27">
        <f>COUNTIF(关系明细!$G$2:$G$2253,B327)</f>
        <v>1</v>
      </c>
    </row>
    <row r="328" spans="1:9" ht="16.5">
      <c r="A328" s="35" t="s">
        <v>2354</v>
      </c>
      <c r="B328" s="30" t="s">
        <v>2351</v>
      </c>
      <c r="C328" s="39" t="s">
        <v>82</v>
      </c>
      <c r="D328" s="35" t="s">
        <v>8186</v>
      </c>
      <c r="E328" s="29" t="s">
        <v>2175</v>
      </c>
      <c r="F328" s="35"/>
      <c r="G328" s="35" t="s">
        <v>8308</v>
      </c>
      <c r="H328" s="29">
        <f>COUNTIF(关系明细!$D$2:$D$2253,B328)</f>
        <v>0</v>
      </c>
      <c r="I328" s="29">
        <f>COUNTIF(关系明细!$G$2:$G$2253,B328)</f>
        <v>1</v>
      </c>
    </row>
    <row r="329" spans="1:9" ht="16.5">
      <c r="A329" s="34" t="s">
        <v>2358</v>
      </c>
      <c r="B329" s="9" t="s">
        <v>2355</v>
      </c>
      <c r="C329" s="40" t="s">
        <v>82</v>
      </c>
      <c r="D329" s="34" t="s">
        <v>8186</v>
      </c>
      <c r="E329" s="27" t="s">
        <v>2175</v>
      </c>
      <c r="F329" s="34"/>
      <c r="G329" s="9" t="s">
        <v>8193</v>
      </c>
      <c r="H329" s="27">
        <f>COUNTIF(关系明细!$D$2:$D$2253,B329)</f>
        <v>0</v>
      </c>
      <c r="I329" s="27">
        <f>COUNTIF(关系明细!$G$2:$G$2253,B329)</f>
        <v>1</v>
      </c>
    </row>
    <row r="330" spans="1:9" ht="16.5">
      <c r="A330" s="35" t="s">
        <v>2260</v>
      </c>
      <c r="B330" s="30" t="s">
        <v>2257</v>
      </c>
      <c r="C330" s="39" t="s">
        <v>82</v>
      </c>
      <c r="D330" s="35" t="s">
        <v>8186</v>
      </c>
      <c r="E330" s="29" t="s">
        <v>2175</v>
      </c>
      <c r="F330" s="35"/>
      <c r="G330" s="30" t="s">
        <v>8188</v>
      </c>
      <c r="H330" s="29">
        <f>COUNTIF(关系明细!$D$2:$D$2253,B330)</f>
        <v>0</v>
      </c>
      <c r="I330" s="29">
        <f>COUNTIF(关系明细!$G$2:$G$2253,B330)</f>
        <v>1</v>
      </c>
    </row>
    <row r="331" spans="1:9" ht="16.5">
      <c r="A331" s="34" t="s">
        <v>2264</v>
      </c>
      <c r="B331" s="9" t="s">
        <v>2261</v>
      </c>
      <c r="C331" s="40" t="s">
        <v>82</v>
      </c>
      <c r="D331" s="34" t="s">
        <v>8186</v>
      </c>
      <c r="E331" s="27" t="s">
        <v>2175</v>
      </c>
      <c r="F331" s="34"/>
      <c r="G331" s="34" t="s">
        <v>8195</v>
      </c>
      <c r="H331" s="27">
        <f>COUNTIF(关系明细!$D$2:$D$2253,B331)</f>
        <v>0</v>
      </c>
      <c r="I331" s="27">
        <f>COUNTIF(关系明细!$G$2:$G$2253,B331)</f>
        <v>1</v>
      </c>
    </row>
    <row r="332" spans="1:9" ht="16.5">
      <c r="A332" s="35" t="s">
        <v>2228</v>
      </c>
      <c r="B332" s="30" t="s">
        <v>2225</v>
      </c>
      <c r="C332" s="39" t="s">
        <v>82</v>
      </c>
      <c r="D332" s="35" t="s">
        <v>8186</v>
      </c>
      <c r="E332" s="29" t="s">
        <v>2175</v>
      </c>
      <c r="F332" s="35"/>
      <c r="G332" s="30" t="s">
        <v>8244</v>
      </c>
      <c r="H332" s="29">
        <f>COUNTIF(关系明细!$D$2:$D$2253,B332)</f>
        <v>0</v>
      </c>
      <c r="I332" s="29">
        <f>COUNTIF(关系明细!$G$2:$G$2253,B332)</f>
        <v>1</v>
      </c>
    </row>
    <row r="333" spans="1:9" ht="16.5">
      <c r="A333" s="34" t="s">
        <v>2232</v>
      </c>
      <c r="B333" s="9" t="s">
        <v>2229</v>
      </c>
      <c r="C333" s="40" t="s">
        <v>82</v>
      </c>
      <c r="D333" s="34" t="s">
        <v>8186</v>
      </c>
      <c r="E333" s="27" t="s">
        <v>2175</v>
      </c>
      <c r="F333" s="34"/>
      <c r="G333" s="9" t="s">
        <v>8309</v>
      </c>
      <c r="H333" s="27">
        <f>COUNTIF(关系明细!$D$2:$D$2253,B333)</f>
        <v>0</v>
      </c>
      <c r="I333" s="27">
        <f>COUNTIF(关系明细!$G$2:$G$2253,B333)</f>
        <v>1</v>
      </c>
    </row>
    <row r="334" spans="1:9" ht="16.5">
      <c r="A334" s="35" t="s">
        <v>2236</v>
      </c>
      <c r="B334" s="30" t="s">
        <v>2233</v>
      </c>
      <c r="C334" s="39" t="s">
        <v>82</v>
      </c>
      <c r="D334" s="35" t="s">
        <v>8186</v>
      </c>
      <c r="E334" s="29" t="s">
        <v>2175</v>
      </c>
      <c r="F334" s="35"/>
      <c r="G334" s="30" t="s">
        <v>8310</v>
      </c>
      <c r="H334" s="29">
        <f>COUNTIF(关系明细!$D$2:$D$2253,B334)</f>
        <v>0</v>
      </c>
      <c r="I334" s="29">
        <f>COUNTIF(关系明细!$G$2:$G$2253,B334)</f>
        <v>1</v>
      </c>
    </row>
    <row r="335" spans="1:9" ht="16.5">
      <c r="A335" s="34" t="s">
        <v>2199</v>
      </c>
      <c r="B335" s="9" t="s">
        <v>2196</v>
      </c>
      <c r="C335" s="40" t="s">
        <v>82</v>
      </c>
      <c r="D335" s="34" t="s">
        <v>8186</v>
      </c>
      <c r="E335" s="27" t="s">
        <v>2175</v>
      </c>
      <c r="F335" s="34"/>
      <c r="G335" s="9" t="s">
        <v>8311</v>
      </c>
      <c r="H335" s="27">
        <f>COUNTIF(关系明细!$D$2:$D$2253,B335)</f>
        <v>0</v>
      </c>
      <c r="I335" s="27">
        <f>COUNTIF(关系明细!$G$2:$G$2253,B335)</f>
        <v>1</v>
      </c>
    </row>
    <row r="336" spans="1:9" ht="16.5">
      <c r="A336" s="35" t="s">
        <v>2203</v>
      </c>
      <c r="B336" s="30" t="s">
        <v>2200</v>
      </c>
      <c r="C336" s="39" t="s">
        <v>82</v>
      </c>
      <c r="D336" s="35" t="s">
        <v>8186</v>
      </c>
      <c r="E336" s="29" t="s">
        <v>2175</v>
      </c>
      <c r="F336" s="35"/>
      <c r="G336" s="30" t="s">
        <v>8312</v>
      </c>
      <c r="H336" s="29">
        <f>COUNTIF(关系明细!$D$2:$D$2253,B336)</f>
        <v>0</v>
      </c>
      <c r="I336" s="29">
        <f>COUNTIF(关系明细!$G$2:$G$2253,B336)</f>
        <v>1</v>
      </c>
    </row>
    <row r="337" spans="1:9" ht="16.5">
      <c r="A337" s="34" t="s">
        <v>2207</v>
      </c>
      <c r="B337" s="9" t="s">
        <v>2204</v>
      </c>
      <c r="C337" s="40" t="s">
        <v>82</v>
      </c>
      <c r="D337" s="34" t="s">
        <v>8186</v>
      </c>
      <c r="E337" s="27" t="s">
        <v>2175</v>
      </c>
      <c r="F337" s="34"/>
      <c r="G337" s="9" t="s">
        <v>8313</v>
      </c>
      <c r="H337" s="27">
        <f>COUNTIF(关系明细!$D$2:$D$2253,B337)</f>
        <v>0</v>
      </c>
      <c r="I337" s="27">
        <f>COUNTIF(关系明细!$G$2:$G$2253,B337)</f>
        <v>1</v>
      </c>
    </row>
    <row r="338" spans="1:9" ht="16.5">
      <c r="A338" s="35" t="s">
        <v>2270</v>
      </c>
      <c r="B338" s="30" t="s">
        <v>2267</v>
      </c>
      <c r="C338" s="39" t="s">
        <v>82</v>
      </c>
      <c r="D338" s="35" t="s">
        <v>8186</v>
      </c>
      <c r="E338" s="29" t="s">
        <v>2175</v>
      </c>
      <c r="F338" s="35"/>
      <c r="G338" s="30" t="s">
        <v>8314</v>
      </c>
      <c r="H338" s="29">
        <f>COUNTIF(关系明细!$D$2:$D$2253,B338)</f>
        <v>0</v>
      </c>
      <c r="I338" s="29">
        <f>COUNTIF(关系明细!$G$2:$G$2253,B338)</f>
        <v>1</v>
      </c>
    </row>
    <row r="339" spans="1:9" ht="16.5">
      <c r="A339" s="34" t="s">
        <v>2274</v>
      </c>
      <c r="B339" s="9" t="s">
        <v>2271</v>
      </c>
      <c r="C339" s="40" t="s">
        <v>82</v>
      </c>
      <c r="D339" s="34" t="s">
        <v>8186</v>
      </c>
      <c r="E339" s="27" t="s">
        <v>2175</v>
      </c>
      <c r="F339" s="34"/>
      <c r="G339" s="34" t="s">
        <v>8195</v>
      </c>
      <c r="H339" s="27">
        <f>COUNTIF(关系明细!$D$2:$D$2253,B339)</f>
        <v>0</v>
      </c>
      <c r="I339" s="27">
        <f>COUNTIF(关系明细!$G$2:$G$2253,B339)</f>
        <v>1</v>
      </c>
    </row>
    <row r="340" spans="1:9" ht="16.5">
      <c r="A340" s="35" t="s">
        <v>2278</v>
      </c>
      <c r="B340" s="30" t="s">
        <v>2275</v>
      </c>
      <c r="C340" s="39" t="s">
        <v>82</v>
      </c>
      <c r="D340" s="35" t="s">
        <v>8186</v>
      </c>
      <c r="E340" s="29" t="s">
        <v>2175</v>
      </c>
      <c r="F340" s="35"/>
      <c r="G340" s="30" t="s">
        <v>8189</v>
      </c>
      <c r="H340" s="29">
        <f>COUNTIF(关系明细!$D$2:$D$2253,B340)</f>
        <v>0</v>
      </c>
      <c r="I340" s="29">
        <f>COUNTIF(关系明细!$G$2:$G$2253,B340)</f>
        <v>1</v>
      </c>
    </row>
    <row r="341" spans="1:9" ht="16.5">
      <c r="A341" s="34" t="s">
        <v>2286</v>
      </c>
      <c r="B341" s="9" t="s">
        <v>2283</v>
      </c>
      <c r="C341" s="40" t="s">
        <v>82</v>
      </c>
      <c r="D341" s="34" t="s">
        <v>8186</v>
      </c>
      <c r="E341" s="27" t="s">
        <v>2175</v>
      </c>
      <c r="F341" s="34"/>
      <c r="G341" s="9" t="s">
        <v>8315</v>
      </c>
      <c r="H341" s="27">
        <f>COUNTIF(关系明细!$D$2:$D$2253,B341)</f>
        <v>0</v>
      </c>
      <c r="I341" s="27">
        <f>COUNTIF(关系明细!$G$2:$G$2253,B341)</f>
        <v>1</v>
      </c>
    </row>
    <row r="342" spans="1:9" ht="16.5">
      <c r="A342" s="35" t="s">
        <v>2290</v>
      </c>
      <c r="B342" s="30" t="s">
        <v>2287</v>
      </c>
      <c r="C342" s="39" t="s">
        <v>82</v>
      </c>
      <c r="D342" s="35" t="s">
        <v>8186</v>
      </c>
      <c r="E342" s="29" t="s">
        <v>2175</v>
      </c>
      <c r="F342" s="35"/>
      <c r="G342" s="35" t="s">
        <v>8195</v>
      </c>
      <c r="H342" s="29">
        <f>COUNTIF(关系明细!$D$2:$D$2253,B342)</f>
        <v>0</v>
      </c>
      <c r="I342" s="29">
        <f>COUNTIF(关系明细!$G$2:$G$2253,B342)</f>
        <v>1</v>
      </c>
    </row>
    <row r="343" spans="1:9" ht="16.5">
      <c r="A343" s="34" t="s">
        <v>2294</v>
      </c>
      <c r="B343" s="9" t="s">
        <v>2291</v>
      </c>
      <c r="C343" s="40" t="s">
        <v>82</v>
      </c>
      <c r="D343" s="34" t="s">
        <v>8186</v>
      </c>
      <c r="E343" s="27" t="s">
        <v>2175</v>
      </c>
      <c r="F343" s="34"/>
      <c r="G343" s="9" t="s">
        <v>8189</v>
      </c>
      <c r="H343" s="27">
        <f>COUNTIF(关系明细!$D$2:$D$2253,B343)</f>
        <v>0</v>
      </c>
      <c r="I343" s="27">
        <f>COUNTIF(关系明细!$G$2:$G$2253,B343)</f>
        <v>1</v>
      </c>
    </row>
    <row r="344" spans="1:9" ht="16.5">
      <c r="A344" s="35" t="s">
        <v>2756</v>
      </c>
      <c r="B344" s="30" t="s">
        <v>2754</v>
      </c>
      <c r="C344" s="39" t="s">
        <v>300</v>
      </c>
      <c r="D344" s="35" t="s">
        <v>8197</v>
      </c>
      <c r="E344" s="29" t="s">
        <v>2175</v>
      </c>
      <c r="F344" s="35"/>
      <c r="G344" s="35" t="s">
        <v>8316</v>
      </c>
      <c r="H344" s="29">
        <f>COUNTIF(关系明细!$D$2:$D$2253,B344)</f>
        <v>2</v>
      </c>
      <c r="I344" s="29">
        <f>COUNTIF(关系明细!$G$2:$G$2253,B344)</f>
        <v>1</v>
      </c>
    </row>
    <row r="345" spans="1:9" ht="16.5">
      <c r="A345" s="34" t="s">
        <v>2769</v>
      </c>
      <c r="B345" s="9" t="s">
        <v>2766</v>
      </c>
      <c r="C345" s="40" t="s">
        <v>300</v>
      </c>
      <c r="D345" s="34" t="s">
        <v>8197</v>
      </c>
      <c r="E345" s="27" t="s">
        <v>2175</v>
      </c>
      <c r="F345" s="34"/>
      <c r="G345" s="9" t="s">
        <v>8317</v>
      </c>
      <c r="H345" s="27">
        <f>COUNTIF(关系明细!$D$2:$D$2253,B345)</f>
        <v>1</v>
      </c>
      <c r="I345" s="27">
        <f>COUNTIF(关系明细!$G$2:$G$2253,B345)</f>
        <v>1</v>
      </c>
    </row>
    <row r="346" spans="1:9" ht="16.5">
      <c r="A346" s="35" t="s">
        <v>2781</v>
      </c>
      <c r="B346" s="30" t="s">
        <v>2779</v>
      </c>
      <c r="C346" s="39" t="s">
        <v>300</v>
      </c>
      <c r="D346" s="35" t="s">
        <v>8197</v>
      </c>
      <c r="E346" s="29" t="s">
        <v>2175</v>
      </c>
      <c r="F346" s="35"/>
      <c r="G346" s="30" t="s">
        <v>8318</v>
      </c>
      <c r="H346" s="29">
        <f>COUNTIF(关系明细!$D$2:$D$2253,B346)</f>
        <v>1</v>
      </c>
      <c r="I346" s="29">
        <f>COUNTIF(关系明细!$G$2:$G$2253,B346)</f>
        <v>1</v>
      </c>
    </row>
    <row r="347" spans="1:9" ht="16.5">
      <c r="A347" s="34" t="s">
        <v>2489</v>
      </c>
      <c r="B347" s="34" t="s">
        <v>2486</v>
      </c>
      <c r="C347" s="40" t="s">
        <v>300</v>
      </c>
      <c r="D347" s="34" t="s">
        <v>8197</v>
      </c>
      <c r="E347" s="27" t="s">
        <v>2175</v>
      </c>
      <c r="F347" s="34"/>
      <c r="G347" s="9" t="s">
        <v>8319</v>
      </c>
      <c r="H347" s="27">
        <f>COUNTIF(关系明细!$D$2:$D$2253,B347)</f>
        <v>3</v>
      </c>
      <c r="I347" s="27">
        <f>COUNTIF(关系明细!$G$2:$G$2253,B347)</f>
        <v>1</v>
      </c>
    </row>
    <row r="348" spans="1:9" ht="16.5">
      <c r="A348" s="35" t="s">
        <v>1017</v>
      </c>
      <c r="B348" s="30" t="s">
        <v>1013</v>
      </c>
      <c r="C348" s="39" t="s">
        <v>300</v>
      </c>
      <c r="D348" s="35" t="s">
        <v>8197</v>
      </c>
      <c r="E348" s="29" t="s">
        <v>2175</v>
      </c>
      <c r="F348" s="35"/>
      <c r="G348" s="30" t="s">
        <v>8320</v>
      </c>
      <c r="H348" s="29">
        <f>COUNTIF(关系明细!$D$2:$D$2253,B348)</f>
        <v>2</v>
      </c>
      <c r="I348" s="29">
        <f>COUNTIF(关系明细!$G$2:$G$2253,B348)</f>
        <v>2</v>
      </c>
    </row>
    <row r="349" spans="1:9" ht="16.5">
      <c r="A349" s="34" t="s">
        <v>2777</v>
      </c>
      <c r="B349" s="9" t="s">
        <v>2775</v>
      </c>
      <c r="C349" s="40" t="s">
        <v>300</v>
      </c>
      <c r="D349" s="34" t="s">
        <v>8197</v>
      </c>
      <c r="E349" s="27" t="s">
        <v>2175</v>
      </c>
      <c r="F349" s="34"/>
      <c r="G349" s="9" t="s">
        <v>8321</v>
      </c>
      <c r="H349" s="27">
        <f>COUNTIF(关系明细!$D$2:$D$2253,B349)</f>
        <v>1</v>
      </c>
      <c r="I349" s="27">
        <f>COUNTIF(关系明细!$G$2:$G$2253,B349)</f>
        <v>1</v>
      </c>
    </row>
    <row r="350" spans="1:9" ht="16.5">
      <c r="A350" s="35" t="s">
        <v>2765</v>
      </c>
      <c r="B350" s="30" t="s">
        <v>2762</v>
      </c>
      <c r="C350" s="39" t="s">
        <v>300</v>
      </c>
      <c r="D350" s="35" t="s">
        <v>8197</v>
      </c>
      <c r="E350" s="29" t="s">
        <v>2175</v>
      </c>
      <c r="F350" s="35"/>
      <c r="G350" s="30" t="s">
        <v>8322</v>
      </c>
      <c r="H350" s="29">
        <f>COUNTIF(关系明细!$D$2:$D$2253,B350)</f>
        <v>1</v>
      </c>
      <c r="I350" s="29">
        <f>COUNTIF(关系明细!$G$2:$G$2253,B350)</f>
        <v>1</v>
      </c>
    </row>
    <row r="351" spans="1:9" ht="16.5">
      <c r="A351" s="34" t="s">
        <v>2362</v>
      </c>
      <c r="B351" s="9" t="s">
        <v>2359</v>
      </c>
      <c r="C351" s="40" t="s">
        <v>204</v>
      </c>
      <c r="D351" s="34" t="s">
        <v>8201</v>
      </c>
      <c r="E351" s="27" t="s">
        <v>2175</v>
      </c>
      <c r="F351" s="9" t="s">
        <v>2208</v>
      </c>
      <c r="G351" s="34" t="s">
        <v>584</v>
      </c>
      <c r="H351" s="27">
        <f>COUNTIF(关系明细!$D$2:$D$2253,B351)</f>
        <v>3</v>
      </c>
      <c r="I351" s="27">
        <f>COUNTIF(关系明细!$G$2:$G$2253,B351)</f>
        <v>1</v>
      </c>
    </row>
    <row r="352" spans="1:9" ht="16.5">
      <c r="A352" s="35" t="s">
        <v>2367</v>
      </c>
      <c r="B352" s="30" t="s">
        <v>2364</v>
      </c>
      <c r="C352" s="39" t="s">
        <v>204</v>
      </c>
      <c r="D352" s="35" t="s">
        <v>8201</v>
      </c>
      <c r="E352" s="29" t="s">
        <v>2175</v>
      </c>
      <c r="F352" s="30" t="s">
        <v>2208</v>
      </c>
      <c r="G352" s="30" t="s">
        <v>2365</v>
      </c>
      <c r="H352" s="29">
        <f>COUNTIF(关系明细!$D$2:$D$2253,B352)</f>
        <v>1</v>
      </c>
      <c r="I352" s="29">
        <f>COUNTIF(关系明细!$G$2:$G$2253,B352)</f>
        <v>1</v>
      </c>
    </row>
    <row r="353" spans="1:9" ht="16.5">
      <c r="A353" s="34" t="s">
        <v>2372</v>
      </c>
      <c r="B353" s="9" t="s">
        <v>2369</v>
      </c>
      <c r="C353" s="40" t="s">
        <v>204</v>
      </c>
      <c r="D353" s="34" t="s">
        <v>8201</v>
      </c>
      <c r="E353" s="27" t="s">
        <v>2175</v>
      </c>
      <c r="F353" s="9" t="s">
        <v>2237</v>
      </c>
      <c r="G353" s="34" t="s">
        <v>2370</v>
      </c>
      <c r="H353" s="27">
        <f>COUNTIF(关系明细!$D$2:$D$2253,B353)</f>
        <v>3</v>
      </c>
      <c r="I353" s="27">
        <f>COUNTIF(关系明细!$G$2:$G$2253,B353)</f>
        <v>1</v>
      </c>
    </row>
    <row r="354" spans="1:9" ht="16.5">
      <c r="A354" s="35" t="s">
        <v>2377</v>
      </c>
      <c r="B354" s="30" t="s">
        <v>2374</v>
      </c>
      <c r="C354" s="39" t="s">
        <v>204</v>
      </c>
      <c r="D354" s="35" t="s">
        <v>8201</v>
      </c>
      <c r="E354" s="29" t="s">
        <v>2175</v>
      </c>
      <c r="F354" s="30" t="s">
        <v>2237</v>
      </c>
      <c r="G354" s="30" t="s">
        <v>2375</v>
      </c>
      <c r="H354" s="29">
        <f>COUNTIF(关系明细!$D$2:$D$2253,B354)</f>
        <v>3</v>
      </c>
      <c r="I354" s="29">
        <f>COUNTIF(关系明细!$G$2:$G$2253,B354)</f>
        <v>2</v>
      </c>
    </row>
    <row r="355" spans="1:9" ht="16.5">
      <c r="A355" s="34" t="s">
        <v>2382</v>
      </c>
      <c r="B355" s="9" t="s">
        <v>2379</v>
      </c>
      <c r="C355" s="40" t="s">
        <v>204</v>
      </c>
      <c r="D355" s="34" t="s">
        <v>8201</v>
      </c>
      <c r="E355" s="27" t="s">
        <v>2175</v>
      </c>
      <c r="F355" s="9" t="s">
        <v>2143</v>
      </c>
      <c r="G355" s="34" t="s">
        <v>584</v>
      </c>
      <c r="H355" s="27">
        <f>COUNTIF(关系明细!$D$2:$D$2253,B355)</f>
        <v>2</v>
      </c>
      <c r="I355" s="27">
        <f>COUNTIF(关系明细!$G$2:$G$2253,B355)</f>
        <v>1</v>
      </c>
    </row>
    <row r="356" spans="1:9" ht="16.5">
      <c r="A356" s="35" t="s">
        <v>2387</v>
      </c>
      <c r="B356" s="30" t="s">
        <v>2384</v>
      </c>
      <c r="C356" s="39" t="s">
        <v>204</v>
      </c>
      <c r="D356" s="35" t="s">
        <v>8201</v>
      </c>
      <c r="E356" s="29" t="s">
        <v>2175</v>
      </c>
      <c r="F356" s="30" t="s">
        <v>2143</v>
      </c>
      <c r="G356" s="35" t="s">
        <v>584</v>
      </c>
      <c r="H356" s="29">
        <f>COUNTIF(关系明细!$D$2:$D$2253,B356)</f>
        <v>1</v>
      </c>
      <c r="I356" s="29">
        <f>COUNTIF(关系明细!$G$2:$G$2253,B356)</f>
        <v>1</v>
      </c>
    </row>
    <row r="357" spans="1:9" ht="16.5">
      <c r="A357" s="34" t="s">
        <v>2392</v>
      </c>
      <c r="B357" s="9" t="s">
        <v>2389</v>
      </c>
      <c r="C357" s="40" t="s">
        <v>204</v>
      </c>
      <c r="D357" s="34" t="s">
        <v>8201</v>
      </c>
      <c r="E357" s="27" t="s">
        <v>2175</v>
      </c>
      <c r="F357" s="9" t="s">
        <v>2143</v>
      </c>
      <c r="G357" s="34" t="s">
        <v>584</v>
      </c>
      <c r="H357" s="27">
        <f>COUNTIF(关系明细!$D$2:$D$2253,B357)</f>
        <v>2</v>
      </c>
      <c r="I357" s="27">
        <f>COUNTIF(关系明细!$G$2:$G$2253,B357)</f>
        <v>1</v>
      </c>
    </row>
    <row r="358" spans="1:9" ht="16.5">
      <c r="A358" s="35" t="s">
        <v>2397</v>
      </c>
      <c r="B358" s="30" t="s">
        <v>2394</v>
      </c>
      <c r="C358" s="39" t="s">
        <v>204</v>
      </c>
      <c r="D358" s="35" t="s">
        <v>8201</v>
      </c>
      <c r="E358" s="29" t="s">
        <v>2175</v>
      </c>
      <c r="F358" s="30" t="s">
        <v>2143</v>
      </c>
      <c r="G358" s="35" t="s">
        <v>584</v>
      </c>
      <c r="H358" s="29">
        <f>COUNTIF(关系明细!$D$2:$D$2253,B358)</f>
        <v>2</v>
      </c>
      <c r="I358" s="29">
        <f>COUNTIF(关系明细!$G$2:$G$2253,B358)</f>
        <v>1</v>
      </c>
    </row>
    <row r="359" spans="1:9" ht="16.5">
      <c r="A359" s="34" t="s">
        <v>2402</v>
      </c>
      <c r="B359" s="9" t="s">
        <v>2399</v>
      </c>
      <c r="C359" s="40" t="s">
        <v>204</v>
      </c>
      <c r="D359" s="34" t="s">
        <v>8201</v>
      </c>
      <c r="E359" s="27" t="s">
        <v>2175</v>
      </c>
      <c r="F359" s="9" t="s">
        <v>2143</v>
      </c>
      <c r="G359" s="34" t="s">
        <v>584</v>
      </c>
      <c r="H359" s="27">
        <f>COUNTIF(关系明细!$D$2:$D$2253,B359)</f>
        <v>3</v>
      </c>
      <c r="I359" s="27">
        <f>COUNTIF(关系明细!$G$2:$G$2253,B359)</f>
        <v>2</v>
      </c>
    </row>
    <row r="360" spans="1:9" ht="16.5">
      <c r="A360" s="35" t="s">
        <v>2407</v>
      </c>
      <c r="B360" s="30" t="s">
        <v>2404</v>
      </c>
      <c r="C360" s="39" t="s">
        <v>204</v>
      </c>
      <c r="D360" s="35" t="s">
        <v>8201</v>
      </c>
      <c r="E360" s="29" t="s">
        <v>2175</v>
      </c>
      <c r="F360" s="30" t="s">
        <v>2279</v>
      </c>
      <c r="G360" s="35" t="s">
        <v>584</v>
      </c>
      <c r="H360" s="29">
        <f>COUNTIF(关系明细!$D$2:$D$2253,B360)</f>
        <v>2</v>
      </c>
      <c r="I360" s="29">
        <f>COUNTIF(关系明细!$G$2:$G$2253,B360)</f>
        <v>1</v>
      </c>
    </row>
    <row r="361" spans="1:9" ht="16.5">
      <c r="A361" s="34" t="s">
        <v>2412</v>
      </c>
      <c r="B361" s="9" t="s">
        <v>2409</v>
      </c>
      <c r="C361" s="40" t="s">
        <v>204</v>
      </c>
      <c r="D361" s="34" t="s">
        <v>8201</v>
      </c>
      <c r="E361" s="27" t="s">
        <v>2175</v>
      </c>
      <c r="F361" s="9" t="s">
        <v>2279</v>
      </c>
      <c r="G361" s="34" t="s">
        <v>584</v>
      </c>
      <c r="H361" s="27">
        <f>COUNTIF(关系明细!$D$2:$D$2253,B361)</f>
        <v>1</v>
      </c>
      <c r="I361" s="27">
        <f>COUNTIF(关系明细!$G$2:$G$2253,B361)</f>
        <v>1</v>
      </c>
    </row>
    <row r="362" spans="1:9" ht="16.5">
      <c r="A362" s="35" t="s">
        <v>2417</v>
      </c>
      <c r="B362" s="30" t="s">
        <v>2414</v>
      </c>
      <c r="C362" s="39" t="s">
        <v>204</v>
      </c>
      <c r="D362" s="35" t="s">
        <v>8201</v>
      </c>
      <c r="E362" s="29" t="s">
        <v>2175</v>
      </c>
      <c r="F362" s="30" t="s">
        <v>2279</v>
      </c>
      <c r="G362" s="35" t="s">
        <v>584</v>
      </c>
      <c r="H362" s="29">
        <f>COUNTIF(关系明细!$D$2:$D$2253,B362)</f>
        <v>1</v>
      </c>
      <c r="I362" s="29">
        <f>COUNTIF(关系明细!$G$2:$G$2253,B362)</f>
        <v>1</v>
      </c>
    </row>
    <row r="363" spans="1:9" ht="16.5">
      <c r="A363" s="34" t="s">
        <v>2422</v>
      </c>
      <c r="B363" s="9" t="s">
        <v>2419</v>
      </c>
      <c r="C363" s="40" t="s">
        <v>204</v>
      </c>
      <c r="D363" s="34" t="s">
        <v>8201</v>
      </c>
      <c r="E363" s="27" t="s">
        <v>2175</v>
      </c>
      <c r="F363" s="9" t="s">
        <v>2279</v>
      </c>
      <c r="G363" s="34" t="s">
        <v>584</v>
      </c>
      <c r="H363" s="27">
        <f>COUNTIF(关系明细!$D$2:$D$2253,B363)</f>
        <v>1</v>
      </c>
      <c r="I363" s="27">
        <f>COUNTIF(关系明细!$G$2:$G$2253,B363)</f>
        <v>1</v>
      </c>
    </row>
    <row r="364" spans="1:9" ht="16.5">
      <c r="A364" s="35" t="s">
        <v>2427</v>
      </c>
      <c r="B364" s="30" t="s">
        <v>2424</v>
      </c>
      <c r="C364" s="39" t="s">
        <v>204</v>
      </c>
      <c r="D364" s="35" t="s">
        <v>8201</v>
      </c>
      <c r="E364" s="29" t="s">
        <v>2175</v>
      </c>
      <c r="F364" s="30" t="s">
        <v>2279</v>
      </c>
      <c r="G364" s="35" t="s">
        <v>584</v>
      </c>
      <c r="H364" s="29">
        <f>COUNTIF(关系明细!$D$2:$D$2253,B364)</f>
        <v>3</v>
      </c>
      <c r="I364" s="29">
        <f>COUNTIF(关系明细!$G$2:$G$2253,B364)</f>
        <v>2</v>
      </c>
    </row>
    <row r="365" spans="1:9" ht="16.5">
      <c r="A365" s="34" t="s">
        <v>2432</v>
      </c>
      <c r="B365" s="9" t="s">
        <v>2429</v>
      </c>
      <c r="C365" s="40" t="s">
        <v>204</v>
      </c>
      <c r="D365" s="34" t="s">
        <v>8201</v>
      </c>
      <c r="E365" s="27" t="s">
        <v>2175</v>
      </c>
      <c r="F365" s="9" t="s">
        <v>2295</v>
      </c>
      <c r="G365" s="34" t="s">
        <v>584</v>
      </c>
      <c r="H365" s="27">
        <f>COUNTIF(关系明细!$D$2:$D$2253,B365)</f>
        <v>7</v>
      </c>
      <c r="I365" s="27">
        <f>COUNTIF(关系明细!$G$2:$G$2253,B365)</f>
        <v>2</v>
      </c>
    </row>
    <row r="366" spans="1:9" ht="16.5">
      <c r="A366" s="35" t="s">
        <v>2437</v>
      </c>
      <c r="B366" s="30" t="s">
        <v>2434</v>
      </c>
      <c r="C366" s="39" t="s">
        <v>204</v>
      </c>
      <c r="D366" s="35" t="s">
        <v>8201</v>
      </c>
      <c r="E366" s="29" t="s">
        <v>2175</v>
      </c>
      <c r="F366" s="30" t="s">
        <v>2295</v>
      </c>
      <c r="G366" s="30" t="s">
        <v>2435</v>
      </c>
      <c r="H366" s="29">
        <f>COUNTIF(关系明细!$D$2:$D$2253,B366)</f>
        <v>4</v>
      </c>
      <c r="I366" s="29">
        <f>COUNTIF(关系明细!$G$2:$G$2253,B366)</f>
        <v>4</v>
      </c>
    </row>
    <row r="367" spans="1:9" ht="16.5">
      <c r="A367" s="34" t="s">
        <v>2442</v>
      </c>
      <c r="B367" s="34" t="s">
        <v>2439</v>
      </c>
      <c r="C367" s="40" t="s">
        <v>204</v>
      </c>
      <c r="D367" s="34" t="s">
        <v>8201</v>
      </c>
      <c r="E367" s="27" t="s">
        <v>2175</v>
      </c>
      <c r="F367" s="9" t="s">
        <v>2295</v>
      </c>
      <c r="G367" s="34" t="s">
        <v>584</v>
      </c>
      <c r="H367" s="27">
        <f>COUNTIF(关系明细!$D$2:$D$2253,B367)</f>
        <v>1</v>
      </c>
      <c r="I367" s="27">
        <f>COUNTIF(关系明细!$G$2:$G$2253,B367)</f>
        <v>2</v>
      </c>
    </row>
    <row r="368" spans="1:9" ht="16.5">
      <c r="A368" s="35" t="s">
        <v>2447</v>
      </c>
      <c r="B368" s="30" t="s">
        <v>2444</v>
      </c>
      <c r="C368" s="39" t="s">
        <v>204</v>
      </c>
      <c r="D368" s="35" t="s">
        <v>8201</v>
      </c>
      <c r="E368" s="29" t="s">
        <v>2175</v>
      </c>
      <c r="F368" s="30" t="s">
        <v>2295</v>
      </c>
      <c r="G368" s="35" t="s">
        <v>584</v>
      </c>
      <c r="H368" s="29">
        <f>COUNTIF(关系明细!$D$2:$D$2253,B368)</f>
        <v>3</v>
      </c>
      <c r="I368" s="29">
        <f>COUNTIF(关系明细!$G$2:$G$2253,B368)</f>
        <v>1</v>
      </c>
    </row>
    <row r="369" spans="1:9" ht="16.5">
      <c r="A369" s="34" t="s">
        <v>2452</v>
      </c>
      <c r="B369" s="9" t="s">
        <v>2449</v>
      </c>
      <c r="C369" s="40" t="s">
        <v>204</v>
      </c>
      <c r="D369" s="34" t="s">
        <v>8201</v>
      </c>
      <c r="E369" s="27" t="s">
        <v>2175</v>
      </c>
      <c r="F369" s="9" t="s">
        <v>2295</v>
      </c>
      <c r="G369" s="34" t="s">
        <v>584</v>
      </c>
      <c r="H369" s="27">
        <f>COUNTIF(关系明细!$D$2:$D$2253,B369)</f>
        <v>6</v>
      </c>
      <c r="I369" s="27">
        <f>COUNTIF(关系明细!$G$2:$G$2253,B369)</f>
        <v>1</v>
      </c>
    </row>
    <row r="370" spans="1:9" ht="16.5">
      <c r="A370" s="35" t="s">
        <v>2457</v>
      </c>
      <c r="B370" s="30" t="s">
        <v>2454</v>
      </c>
      <c r="C370" s="39" t="s">
        <v>204</v>
      </c>
      <c r="D370" s="35" t="s">
        <v>8201</v>
      </c>
      <c r="E370" s="29" t="s">
        <v>2175</v>
      </c>
      <c r="F370" s="30" t="s">
        <v>2330</v>
      </c>
      <c r="G370" s="35" t="s">
        <v>584</v>
      </c>
      <c r="H370" s="29">
        <f>COUNTIF(关系明细!$D$2:$D$2253,B370)</f>
        <v>5</v>
      </c>
      <c r="I370" s="29">
        <f>COUNTIF(关系明细!$G$2:$G$2253,B370)</f>
        <v>2</v>
      </c>
    </row>
    <row r="371" spans="1:9" ht="16.5">
      <c r="A371" s="34" t="s">
        <v>2462</v>
      </c>
      <c r="B371" s="9" t="s">
        <v>2459</v>
      </c>
      <c r="C371" s="40" t="s">
        <v>204</v>
      </c>
      <c r="D371" s="34" t="s">
        <v>8201</v>
      </c>
      <c r="E371" s="27" t="s">
        <v>2175</v>
      </c>
      <c r="F371" s="9" t="s">
        <v>2330</v>
      </c>
      <c r="G371" s="9" t="s">
        <v>2460</v>
      </c>
      <c r="H371" s="27">
        <f>COUNTIF(关系明细!$D$2:$D$2253,B371)</f>
        <v>2</v>
      </c>
      <c r="I371" s="27">
        <f>COUNTIF(关系明细!$G$2:$G$2253,B371)</f>
        <v>3</v>
      </c>
    </row>
    <row r="372" spans="1:9" ht="16.5">
      <c r="A372" s="35" t="s">
        <v>2467</v>
      </c>
      <c r="B372" s="30" t="s">
        <v>2464</v>
      </c>
      <c r="C372" s="39" t="s">
        <v>204</v>
      </c>
      <c r="D372" s="35" t="s">
        <v>8201</v>
      </c>
      <c r="E372" s="29" t="s">
        <v>2175</v>
      </c>
      <c r="F372" s="30" t="s">
        <v>2330</v>
      </c>
      <c r="G372" s="35" t="s">
        <v>584</v>
      </c>
      <c r="H372" s="29">
        <f>COUNTIF(关系明细!$D$2:$D$2253,B372)</f>
        <v>2</v>
      </c>
      <c r="I372" s="29">
        <f>COUNTIF(关系明细!$G$2:$G$2253,B372)</f>
        <v>1</v>
      </c>
    </row>
    <row r="373" spans="1:9" ht="16.5">
      <c r="A373" s="34" t="s">
        <v>2472</v>
      </c>
      <c r="B373" s="9" t="s">
        <v>2469</v>
      </c>
      <c r="C373" s="40" t="s">
        <v>204</v>
      </c>
      <c r="D373" s="34" t="s">
        <v>8201</v>
      </c>
      <c r="E373" s="27" t="s">
        <v>2175</v>
      </c>
      <c r="F373" s="9" t="s">
        <v>2330</v>
      </c>
      <c r="G373" s="34" t="s">
        <v>584</v>
      </c>
      <c r="H373" s="27">
        <f>COUNTIF(关系明细!$D$2:$D$2253,B373)</f>
        <v>4</v>
      </c>
      <c r="I373" s="27">
        <f>COUNTIF(关系明细!$G$2:$G$2253,B373)</f>
        <v>1</v>
      </c>
    </row>
    <row r="374" spans="1:9" ht="16.5">
      <c r="A374" s="35" t="s">
        <v>2477</v>
      </c>
      <c r="B374" s="35" t="s">
        <v>2474</v>
      </c>
      <c r="C374" s="39" t="s">
        <v>204</v>
      </c>
      <c r="D374" s="35" t="s">
        <v>8201</v>
      </c>
      <c r="E374" s="29" t="s">
        <v>2175</v>
      </c>
      <c r="F374" s="30" t="s">
        <v>2143</v>
      </c>
      <c r="G374" s="30" t="s">
        <v>2475</v>
      </c>
      <c r="H374" s="29">
        <f>COUNTIF(关系明细!$D$2:$D$2253,B374)</f>
        <v>1</v>
      </c>
      <c r="I374" s="29">
        <f>COUNTIF(关系明细!$G$2:$G$2253,B374)</f>
        <v>2</v>
      </c>
    </row>
    <row r="375" spans="1:9" ht="16.5">
      <c r="A375" s="34" t="s">
        <v>2481</v>
      </c>
      <c r="B375" s="9" t="s">
        <v>2478</v>
      </c>
      <c r="C375" s="40" t="s">
        <v>204</v>
      </c>
      <c r="D375" s="34" t="s">
        <v>8201</v>
      </c>
      <c r="E375" s="27" t="s">
        <v>2175</v>
      </c>
      <c r="F375" s="9" t="s">
        <v>2295</v>
      </c>
      <c r="G375" s="34" t="s">
        <v>584</v>
      </c>
      <c r="H375" s="27">
        <f>COUNTIF(关系明细!$D$2:$D$2253,B375)</f>
        <v>0</v>
      </c>
      <c r="I375" s="27">
        <f>COUNTIF(关系明细!$G$2:$G$2253,B375)</f>
        <v>2</v>
      </c>
    </row>
    <row r="376" spans="1:9" ht="16.5">
      <c r="A376" s="35" t="s">
        <v>2485</v>
      </c>
      <c r="B376" s="30" t="s">
        <v>2482</v>
      </c>
      <c r="C376" s="39" t="s">
        <v>295</v>
      </c>
      <c r="D376" s="35" t="s">
        <v>8202</v>
      </c>
      <c r="E376" s="29" t="s">
        <v>2175</v>
      </c>
      <c r="F376" s="30" t="s">
        <v>2330</v>
      </c>
      <c r="G376" s="30" t="s">
        <v>2483</v>
      </c>
      <c r="H376" s="29">
        <f>COUNTIF(关系明细!$D$2:$D$2253,B376)</f>
        <v>1</v>
      </c>
      <c r="I376" s="29">
        <f>COUNTIF(关系明细!$G$2:$G$2253,B376)</f>
        <v>3</v>
      </c>
    </row>
    <row r="377" spans="1:9" ht="16.5">
      <c r="A377" s="34" t="s">
        <v>2681</v>
      </c>
      <c r="B377" s="9" t="s">
        <v>2677</v>
      </c>
      <c r="C377" s="40" t="s">
        <v>488</v>
      </c>
      <c r="D377" s="34" t="s">
        <v>8203</v>
      </c>
      <c r="E377" s="27" t="s">
        <v>2175</v>
      </c>
      <c r="F377" s="34"/>
      <c r="G377" s="9" t="s">
        <v>2679</v>
      </c>
      <c r="H377" s="27">
        <f>COUNTIF(关系明细!$D$2:$D$2253,B377)</f>
        <v>1</v>
      </c>
      <c r="I377" s="27">
        <f>COUNTIF(关系明细!$G$2:$G$2253,B377)</f>
        <v>1</v>
      </c>
    </row>
    <row r="378" spans="1:9" ht="16.5">
      <c r="A378" s="35" t="s">
        <v>2691</v>
      </c>
      <c r="B378" s="30" t="s">
        <v>2688</v>
      </c>
      <c r="C378" s="39" t="s">
        <v>488</v>
      </c>
      <c r="D378" s="35" t="s">
        <v>8203</v>
      </c>
      <c r="E378" s="29" t="s">
        <v>2175</v>
      </c>
      <c r="F378" s="35"/>
      <c r="G378" s="35" t="s">
        <v>584</v>
      </c>
      <c r="H378" s="29">
        <f>COUNTIF(关系明细!$D$2:$D$2253,B378)</f>
        <v>1</v>
      </c>
      <c r="I378" s="29">
        <f>COUNTIF(关系明细!$G$2:$G$2253,B378)</f>
        <v>1</v>
      </c>
    </row>
    <row r="379" spans="1:9" ht="16.5">
      <c r="A379" s="34" t="s">
        <v>2702</v>
      </c>
      <c r="B379" s="9" t="s">
        <v>2698</v>
      </c>
      <c r="C379" s="40" t="s">
        <v>488</v>
      </c>
      <c r="D379" s="34" t="s">
        <v>8203</v>
      </c>
      <c r="E379" s="27" t="s">
        <v>2175</v>
      </c>
      <c r="F379" s="34"/>
      <c r="G379" s="9" t="s">
        <v>2700</v>
      </c>
      <c r="H379" s="27">
        <f>COUNTIF(关系明细!$D$2:$D$2253,B379)</f>
        <v>1</v>
      </c>
      <c r="I379" s="27">
        <f>COUNTIF(关系明细!$G$2:$G$2253,B379)</f>
        <v>1</v>
      </c>
    </row>
    <row r="380" spans="1:9" ht="16.5">
      <c r="A380" s="35" t="s">
        <v>2712</v>
      </c>
      <c r="B380" s="30" t="s">
        <v>2709</v>
      </c>
      <c r="C380" s="39" t="s">
        <v>488</v>
      </c>
      <c r="D380" s="35" t="s">
        <v>8203</v>
      </c>
      <c r="E380" s="29" t="s">
        <v>2175</v>
      </c>
      <c r="F380" s="35"/>
      <c r="G380" s="35" t="s">
        <v>584</v>
      </c>
      <c r="H380" s="29">
        <f>COUNTIF(关系明细!$D$2:$D$2253,B380)</f>
        <v>1</v>
      </c>
      <c r="I380" s="29">
        <f>COUNTIF(关系明细!$G$2:$G$2253,B380)</f>
        <v>1</v>
      </c>
    </row>
    <row r="381" spans="1:9" ht="16.5">
      <c r="A381" s="34" t="s">
        <v>2722</v>
      </c>
      <c r="B381" s="9" t="s">
        <v>2719</v>
      </c>
      <c r="C381" s="40" t="s">
        <v>488</v>
      </c>
      <c r="D381" s="34" t="s">
        <v>8203</v>
      </c>
      <c r="E381" s="27" t="s">
        <v>2175</v>
      </c>
      <c r="F381" s="34"/>
      <c r="G381" s="34" t="s">
        <v>584</v>
      </c>
      <c r="H381" s="27">
        <f>COUNTIF(关系明细!$D$2:$D$2253,B381)</f>
        <v>1</v>
      </c>
      <c r="I381" s="27">
        <f>COUNTIF(关系明细!$G$2:$G$2253,B381)</f>
        <v>1</v>
      </c>
    </row>
    <row r="382" spans="1:9" ht="16.5">
      <c r="A382" s="35" t="s">
        <v>2732</v>
      </c>
      <c r="B382" s="30" t="s">
        <v>2729</v>
      </c>
      <c r="C382" s="39" t="s">
        <v>488</v>
      </c>
      <c r="D382" s="35" t="s">
        <v>8203</v>
      </c>
      <c r="E382" s="29" t="s">
        <v>2175</v>
      </c>
      <c r="F382" s="35"/>
      <c r="G382" s="35" t="s">
        <v>584</v>
      </c>
      <c r="H382" s="29">
        <f>COUNTIF(关系明细!$D$2:$D$2253,B382)</f>
        <v>1</v>
      </c>
      <c r="I382" s="29">
        <f>COUNTIF(关系明细!$G$2:$G$2253,B382)</f>
        <v>1</v>
      </c>
    </row>
    <row r="383" spans="1:9" ht="16.5">
      <c r="A383" s="34" t="s">
        <v>2742</v>
      </c>
      <c r="B383" s="9" t="s">
        <v>2739</v>
      </c>
      <c r="C383" s="40" t="s">
        <v>488</v>
      </c>
      <c r="D383" s="34" t="s">
        <v>8203</v>
      </c>
      <c r="E383" s="27" t="s">
        <v>2175</v>
      </c>
      <c r="F383" s="34"/>
      <c r="G383" s="34" t="s">
        <v>584</v>
      </c>
      <c r="H383" s="27">
        <f>COUNTIF(关系明细!$D$2:$D$2253,B383)</f>
        <v>1</v>
      </c>
      <c r="I383" s="27">
        <f>COUNTIF(关系明细!$G$2:$G$2253,B383)</f>
        <v>1</v>
      </c>
    </row>
    <row r="384" spans="1:9" ht="16.5">
      <c r="A384" s="35" t="s">
        <v>2682</v>
      </c>
      <c r="B384" s="30" t="s">
        <v>2678</v>
      </c>
      <c r="C384" s="39" t="s">
        <v>491</v>
      </c>
      <c r="D384" s="35" t="s">
        <v>8204</v>
      </c>
      <c r="E384" s="29" t="s">
        <v>2175</v>
      </c>
      <c r="F384" s="35"/>
      <c r="G384" s="35" t="s">
        <v>2683</v>
      </c>
      <c r="H384" s="29">
        <f>COUNTIF(关系明细!$D$2:$D$2253,B384)</f>
        <v>1</v>
      </c>
      <c r="I384" s="29">
        <f>COUNTIF(关系明细!$G$2:$G$2253,B384)</f>
        <v>1</v>
      </c>
    </row>
    <row r="385" spans="1:9" ht="16.5">
      <c r="A385" s="34" t="s">
        <v>2692</v>
      </c>
      <c r="B385" s="9" t="s">
        <v>2689</v>
      </c>
      <c r="C385" s="40" t="s">
        <v>491</v>
      </c>
      <c r="D385" s="34" t="s">
        <v>8204</v>
      </c>
      <c r="E385" s="27" t="s">
        <v>2175</v>
      </c>
      <c r="F385" s="34"/>
      <c r="G385" s="34" t="s">
        <v>2693</v>
      </c>
      <c r="H385" s="27">
        <f>COUNTIF(关系明细!$D$2:$D$2253,B385)</f>
        <v>1</v>
      </c>
      <c r="I385" s="27">
        <f>COUNTIF(关系明细!$G$2:$G$2253,B385)</f>
        <v>1</v>
      </c>
    </row>
    <row r="386" spans="1:9" ht="16.5">
      <c r="A386" s="35" t="s">
        <v>2703</v>
      </c>
      <c r="B386" s="30" t="s">
        <v>2699</v>
      </c>
      <c r="C386" s="39" t="s">
        <v>491</v>
      </c>
      <c r="D386" s="35" t="s">
        <v>8204</v>
      </c>
      <c r="E386" s="29" t="s">
        <v>2175</v>
      </c>
      <c r="F386" s="35"/>
      <c r="G386" s="35" t="s">
        <v>2704</v>
      </c>
      <c r="H386" s="29">
        <f>COUNTIF(关系明细!$D$2:$D$2253,B386)</f>
        <v>1</v>
      </c>
      <c r="I386" s="29">
        <f>COUNTIF(关系明细!$G$2:$G$2253,B386)</f>
        <v>1</v>
      </c>
    </row>
    <row r="387" spans="1:9" ht="16.5">
      <c r="A387" s="34" t="s">
        <v>2713</v>
      </c>
      <c r="B387" s="9" t="s">
        <v>2710</v>
      </c>
      <c r="C387" s="40" t="s">
        <v>491</v>
      </c>
      <c r="D387" s="34" t="s">
        <v>8204</v>
      </c>
      <c r="E387" s="27" t="s">
        <v>2175</v>
      </c>
      <c r="F387" s="34"/>
      <c r="G387" s="34" t="s">
        <v>2714</v>
      </c>
      <c r="H387" s="27">
        <f>COUNTIF(关系明细!$D$2:$D$2253,B387)</f>
        <v>1</v>
      </c>
      <c r="I387" s="27">
        <f>COUNTIF(关系明细!$G$2:$G$2253,B387)</f>
        <v>1</v>
      </c>
    </row>
    <row r="388" spans="1:9" ht="16.5">
      <c r="A388" s="35" t="s">
        <v>2723</v>
      </c>
      <c r="B388" s="30" t="s">
        <v>2720</v>
      </c>
      <c r="C388" s="39" t="s">
        <v>491</v>
      </c>
      <c r="D388" s="35" t="s">
        <v>8204</v>
      </c>
      <c r="E388" s="29" t="s">
        <v>2175</v>
      </c>
      <c r="F388" s="35"/>
      <c r="G388" s="35" t="s">
        <v>2724</v>
      </c>
      <c r="H388" s="29">
        <f>COUNTIF(关系明细!$D$2:$D$2253,B388)</f>
        <v>1</v>
      </c>
      <c r="I388" s="29">
        <f>COUNTIF(关系明细!$G$2:$G$2253,B388)</f>
        <v>1</v>
      </c>
    </row>
    <row r="389" spans="1:9" ht="16.5">
      <c r="A389" s="34" t="s">
        <v>2733</v>
      </c>
      <c r="B389" s="9" t="s">
        <v>2730</v>
      </c>
      <c r="C389" s="40" t="s">
        <v>491</v>
      </c>
      <c r="D389" s="34" t="s">
        <v>8204</v>
      </c>
      <c r="E389" s="27" t="s">
        <v>2175</v>
      </c>
      <c r="F389" s="34"/>
      <c r="G389" s="34" t="s">
        <v>2734</v>
      </c>
      <c r="H389" s="27">
        <f>COUNTIF(关系明细!$D$2:$D$2253,B389)</f>
        <v>1</v>
      </c>
      <c r="I389" s="27">
        <f>COUNTIF(关系明细!$G$2:$G$2253,B389)</f>
        <v>1</v>
      </c>
    </row>
    <row r="390" spans="1:9" ht="16.5">
      <c r="A390" s="35" t="s">
        <v>2743</v>
      </c>
      <c r="B390" s="30" t="s">
        <v>2740</v>
      </c>
      <c r="C390" s="39" t="s">
        <v>491</v>
      </c>
      <c r="D390" s="35" t="s">
        <v>8204</v>
      </c>
      <c r="E390" s="29" t="s">
        <v>2175</v>
      </c>
      <c r="F390" s="35"/>
      <c r="G390" s="35" t="s">
        <v>2744</v>
      </c>
      <c r="H390" s="29">
        <f>COUNTIF(关系明细!$D$2:$D$2253,B390)</f>
        <v>1</v>
      </c>
      <c r="I390" s="29">
        <f>COUNTIF(关系明细!$G$2:$G$2253,B390)</f>
        <v>1</v>
      </c>
    </row>
    <row r="391" spans="1:9" ht="16.5">
      <c r="A391" s="34" t="s">
        <v>1748</v>
      </c>
      <c r="B391" s="9" t="s">
        <v>1745</v>
      </c>
      <c r="C391" s="40" t="s">
        <v>44</v>
      </c>
      <c r="D391" s="34" t="s">
        <v>8172</v>
      </c>
      <c r="E391" s="27" t="s">
        <v>2810</v>
      </c>
      <c r="F391" s="34"/>
      <c r="G391" s="9" t="s">
        <v>8323</v>
      </c>
      <c r="H391" s="27">
        <f>COUNTIF(关系明细!$D$2:$D$2253,B391)</f>
        <v>7</v>
      </c>
      <c r="I391" s="27">
        <f>COUNTIF(关系明细!$G$2:$G$2253,B391)</f>
        <v>1</v>
      </c>
    </row>
    <row r="392" spans="1:9" ht="16.5">
      <c r="A392" s="35" t="s">
        <v>2925</v>
      </c>
      <c r="B392" s="30" t="s">
        <v>2922</v>
      </c>
      <c r="C392" s="39" t="s">
        <v>62</v>
      </c>
      <c r="D392" s="35" t="s">
        <v>8174</v>
      </c>
      <c r="E392" s="29" t="s">
        <v>2810</v>
      </c>
      <c r="F392" s="35"/>
      <c r="G392" s="30" t="s">
        <v>8324</v>
      </c>
      <c r="H392" s="29">
        <f>COUNTIF(关系明细!$D$2:$D$2253,B392)</f>
        <v>6</v>
      </c>
      <c r="I392" s="29">
        <f>COUNTIF(关系明细!$G$2:$G$2253,B392)</f>
        <v>2</v>
      </c>
    </row>
    <row r="393" spans="1:9" ht="16.5">
      <c r="A393" s="34" t="s">
        <v>2833</v>
      </c>
      <c r="B393" s="9" t="s">
        <v>2830</v>
      </c>
      <c r="C393" s="40" t="s">
        <v>62</v>
      </c>
      <c r="D393" s="34" t="s">
        <v>8174</v>
      </c>
      <c r="E393" s="27" t="s">
        <v>2810</v>
      </c>
      <c r="F393" s="34"/>
      <c r="G393" s="9" t="s">
        <v>8325</v>
      </c>
      <c r="H393" s="27">
        <f>COUNTIF(关系明细!$D$2:$D$2253,B393)</f>
        <v>9</v>
      </c>
      <c r="I393" s="27">
        <f>COUNTIF(关系明细!$G$2:$G$2253,B393)</f>
        <v>2</v>
      </c>
    </row>
    <row r="394" spans="1:9" ht="16.5">
      <c r="A394" s="35" t="s">
        <v>2882</v>
      </c>
      <c r="B394" s="30" t="s">
        <v>2879</v>
      </c>
      <c r="C394" s="39" t="s">
        <v>62</v>
      </c>
      <c r="D394" s="35" t="s">
        <v>8174</v>
      </c>
      <c r="E394" s="29" t="s">
        <v>2810</v>
      </c>
      <c r="F394" s="35"/>
      <c r="G394" s="30" t="s">
        <v>8326</v>
      </c>
      <c r="H394" s="29">
        <f>COUNTIF(关系明细!$D$2:$D$2253,B394)</f>
        <v>16</v>
      </c>
      <c r="I394" s="29">
        <f>COUNTIF(关系明细!$G$2:$G$2253,B394)</f>
        <v>4</v>
      </c>
    </row>
    <row r="395" spans="1:9" ht="16.5">
      <c r="A395" s="34" t="s">
        <v>2150</v>
      </c>
      <c r="B395" s="9" t="s">
        <v>2147</v>
      </c>
      <c r="C395" s="40" t="s">
        <v>62</v>
      </c>
      <c r="D395" s="34" t="s">
        <v>8174</v>
      </c>
      <c r="E395" s="27" t="s">
        <v>2810</v>
      </c>
      <c r="F395" s="34"/>
      <c r="G395" s="9" t="s">
        <v>8327</v>
      </c>
      <c r="H395" s="27">
        <f>COUNTIF(关系明细!$D$2:$D$2253,B395)</f>
        <v>4</v>
      </c>
      <c r="I395" s="27">
        <f>COUNTIF(关系明细!$G$2:$G$2253,B395)</f>
        <v>4</v>
      </c>
    </row>
    <row r="396" spans="1:9" ht="16.5">
      <c r="A396" s="35" t="s">
        <v>2860</v>
      </c>
      <c r="B396" s="30" t="s">
        <v>2857</v>
      </c>
      <c r="C396" s="39" t="s">
        <v>62</v>
      </c>
      <c r="D396" s="35" t="s">
        <v>8174</v>
      </c>
      <c r="E396" s="29" t="s">
        <v>2810</v>
      </c>
      <c r="F396" s="35"/>
      <c r="G396" s="30" t="s">
        <v>8328</v>
      </c>
      <c r="H396" s="29">
        <f>COUNTIF(关系明细!$D$2:$D$2253,B396)</f>
        <v>8</v>
      </c>
      <c r="I396" s="29">
        <f>COUNTIF(关系明细!$G$2:$G$2253,B396)</f>
        <v>2</v>
      </c>
    </row>
    <row r="397" spans="1:9" ht="16.5">
      <c r="A397" s="34" t="s">
        <v>2929</v>
      </c>
      <c r="B397" s="9" t="s">
        <v>2926</v>
      </c>
      <c r="C397" s="40" t="s">
        <v>72</v>
      </c>
      <c r="D397" s="34" t="s">
        <v>8181</v>
      </c>
      <c r="E397" s="27" t="s">
        <v>2810</v>
      </c>
      <c r="F397" s="34"/>
      <c r="G397" s="9" t="s">
        <v>8329</v>
      </c>
      <c r="H397" s="27">
        <f>COUNTIF(关系明细!$D$2:$D$2253,B397)</f>
        <v>0</v>
      </c>
      <c r="I397" s="27">
        <f>COUNTIF(关系明细!$G$2:$G$2253,B397)</f>
        <v>1</v>
      </c>
    </row>
    <row r="398" spans="1:9" ht="16.5">
      <c r="A398" s="35" t="s">
        <v>2932</v>
      </c>
      <c r="B398" s="30" t="s">
        <v>2930</v>
      </c>
      <c r="C398" s="39" t="s">
        <v>72</v>
      </c>
      <c r="D398" s="35" t="s">
        <v>8181</v>
      </c>
      <c r="E398" s="29" t="s">
        <v>2810</v>
      </c>
      <c r="F398" s="35"/>
      <c r="G398" s="30" t="s">
        <v>8329</v>
      </c>
      <c r="H398" s="29">
        <f>COUNTIF(关系明细!$D$2:$D$2253,B398)</f>
        <v>0</v>
      </c>
      <c r="I398" s="29">
        <f>COUNTIF(关系明细!$G$2:$G$2253,B398)</f>
        <v>1</v>
      </c>
    </row>
    <row r="399" spans="1:9" ht="16.5">
      <c r="A399" s="34" t="s">
        <v>2935</v>
      </c>
      <c r="B399" s="9" t="s">
        <v>2933</v>
      </c>
      <c r="C399" s="40" t="s">
        <v>72</v>
      </c>
      <c r="D399" s="34" t="s">
        <v>8181</v>
      </c>
      <c r="E399" s="27" t="s">
        <v>2810</v>
      </c>
      <c r="F399" s="34"/>
      <c r="G399" s="9" t="s">
        <v>8329</v>
      </c>
      <c r="H399" s="27">
        <f>COUNTIF(关系明细!$D$2:$D$2253,B399)</f>
        <v>0</v>
      </c>
      <c r="I399" s="27">
        <f>COUNTIF(关系明细!$G$2:$G$2253,B399)</f>
        <v>1</v>
      </c>
    </row>
    <row r="400" spans="1:9" ht="16.5">
      <c r="A400" s="35" t="s">
        <v>2938</v>
      </c>
      <c r="B400" s="30" t="s">
        <v>2936</v>
      </c>
      <c r="C400" s="39" t="s">
        <v>72</v>
      </c>
      <c r="D400" s="35" t="s">
        <v>8181</v>
      </c>
      <c r="E400" s="29" t="s">
        <v>2810</v>
      </c>
      <c r="F400" s="35"/>
      <c r="G400" s="30" t="s">
        <v>8329</v>
      </c>
      <c r="H400" s="29">
        <f>COUNTIF(关系明细!$D$2:$D$2253,B400)</f>
        <v>0</v>
      </c>
      <c r="I400" s="29">
        <f>COUNTIF(关系明细!$G$2:$G$2253,B400)</f>
        <v>1</v>
      </c>
    </row>
    <row r="401" spans="1:9" ht="16.5">
      <c r="A401" s="34" t="s">
        <v>2837</v>
      </c>
      <c r="B401" s="9" t="s">
        <v>2834</v>
      </c>
      <c r="C401" s="40" t="s">
        <v>72</v>
      </c>
      <c r="D401" s="34" t="s">
        <v>8181</v>
      </c>
      <c r="E401" s="27" t="s">
        <v>2810</v>
      </c>
      <c r="F401" s="34"/>
      <c r="G401" s="9" t="s">
        <v>8330</v>
      </c>
      <c r="H401" s="27">
        <f>COUNTIF(关系明细!$D$2:$D$2253,B401)</f>
        <v>0</v>
      </c>
      <c r="I401" s="27">
        <f>COUNTIF(关系明细!$G$2:$G$2253,B401)</f>
        <v>1</v>
      </c>
    </row>
    <row r="402" spans="1:9" ht="16.5">
      <c r="A402" s="35" t="s">
        <v>2840</v>
      </c>
      <c r="B402" s="30" t="s">
        <v>2838</v>
      </c>
      <c r="C402" s="39" t="s">
        <v>72</v>
      </c>
      <c r="D402" s="35" t="s">
        <v>8181</v>
      </c>
      <c r="E402" s="29" t="s">
        <v>2810</v>
      </c>
      <c r="F402" s="35"/>
      <c r="G402" s="30" t="s">
        <v>8330</v>
      </c>
      <c r="H402" s="29">
        <f>COUNTIF(关系明细!$D$2:$D$2253,B402)</f>
        <v>0</v>
      </c>
      <c r="I402" s="29">
        <f>COUNTIF(关系明细!$G$2:$G$2253,B402)</f>
        <v>1</v>
      </c>
    </row>
    <row r="403" spans="1:9" ht="16.5">
      <c r="A403" s="34" t="s">
        <v>2843</v>
      </c>
      <c r="B403" s="9" t="s">
        <v>2841</v>
      </c>
      <c r="C403" s="40" t="s">
        <v>72</v>
      </c>
      <c r="D403" s="34" t="s">
        <v>8181</v>
      </c>
      <c r="E403" s="27" t="s">
        <v>2810</v>
      </c>
      <c r="F403" s="34"/>
      <c r="G403" s="9" t="s">
        <v>8330</v>
      </c>
      <c r="H403" s="27">
        <f>COUNTIF(关系明细!$D$2:$D$2253,B403)</f>
        <v>0</v>
      </c>
      <c r="I403" s="27">
        <f>COUNTIF(关系明细!$G$2:$G$2253,B403)</f>
        <v>1</v>
      </c>
    </row>
    <row r="404" spans="1:9" ht="16.5">
      <c r="A404" s="35" t="s">
        <v>2846</v>
      </c>
      <c r="B404" s="30" t="s">
        <v>2844</v>
      </c>
      <c r="C404" s="39" t="s">
        <v>72</v>
      </c>
      <c r="D404" s="35" t="s">
        <v>8181</v>
      </c>
      <c r="E404" s="29" t="s">
        <v>2810</v>
      </c>
      <c r="F404" s="35"/>
      <c r="G404" s="30" t="s">
        <v>8330</v>
      </c>
      <c r="H404" s="29">
        <f>COUNTIF(关系明细!$D$2:$D$2253,B404)</f>
        <v>0</v>
      </c>
      <c r="I404" s="29">
        <f>COUNTIF(关系明细!$G$2:$G$2253,B404)</f>
        <v>1</v>
      </c>
    </row>
    <row r="405" spans="1:9" ht="16.5">
      <c r="A405" s="34" t="s">
        <v>2849</v>
      </c>
      <c r="B405" s="9" t="s">
        <v>2847</v>
      </c>
      <c r="C405" s="40" t="s">
        <v>72</v>
      </c>
      <c r="D405" s="34" t="s">
        <v>8181</v>
      </c>
      <c r="E405" s="27" t="s">
        <v>2810</v>
      </c>
      <c r="F405" s="34"/>
      <c r="G405" s="9" t="s">
        <v>8330</v>
      </c>
      <c r="H405" s="27">
        <f>COUNTIF(关系明细!$D$2:$D$2253,B405)</f>
        <v>0</v>
      </c>
      <c r="I405" s="27">
        <f>COUNTIF(关系明细!$G$2:$G$2253,B405)</f>
        <v>1</v>
      </c>
    </row>
    <row r="406" spans="1:9" ht="16.5">
      <c r="A406" s="35" t="s">
        <v>2852</v>
      </c>
      <c r="B406" s="30" t="s">
        <v>2850</v>
      </c>
      <c r="C406" s="39" t="s">
        <v>72</v>
      </c>
      <c r="D406" s="35" t="s">
        <v>8181</v>
      </c>
      <c r="E406" s="29" t="s">
        <v>2810</v>
      </c>
      <c r="F406" s="35"/>
      <c r="G406" s="30" t="s">
        <v>8330</v>
      </c>
      <c r="H406" s="29">
        <f>COUNTIF(关系明细!$D$2:$D$2253,B406)</f>
        <v>0</v>
      </c>
      <c r="I406" s="29">
        <f>COUNTIF(关系明细!$G$2:$G$2253,B406)</f>
        <v>1</v>
      </c>
    </row>
    <row r="407" spans="1:9" ht="16.5">
      <c r="A407" s="34" t="s">
        <v>2886</v>
      </c>
      <c r="B407" s="9" t="s">
        <v>2883</v>
      </c>
      <c r="C407" s="40" t="s">
        <v>72</v>
      </c>
      <c r="D407" s="34" t="s">
        <v>8181</v>
      </c>
      <c r="E407" s="27" t="s">
        <v>2810</v>
      </c>
      <c r="F407" s="34"/>
      <c r="G407" s="9" t="s">
        <v>8331</v>
      </c>
      <c r="H407" s="27">
        <f>COUNTIF(关系明细!$D$2:$D$2253,B407)</f>
        <v>0</v>
      </c>
      <c r="I407" s="27">
        <f>COUNTIF(关系明细!$G$2:$G$2253,B407)</f>
        <v>1</v>
      </c>
    </row>
    <row r="408" spans="1:9" ht="16.5">
      <c r="A408" s="35" t="s">
        <v>2889</v>
      </c>
      <c r="B408" s="30" t="s">
        <v>2887</v>
      </c>
      <c r="C408" s="39" t="s">
        <v>72</v>
      </c>
      <c r="D408" s="35" t="s">
        <v>8181</v>
      </c>
      <c r="E408" s="29" t="s">
        <v>2810</v>
      </c>
      <c r="F408" s="35"/>
      <c r="G408" s="30" t="s">
        <v>8331</v>
      </c>
      <c r="H408" s="29">
        <f>COUNTIF(关系明细!$D$2:$D$2253,B408)</f>
        <v>0</v>
      </c>
      <c r="I408" s="29">
        <f>COUNTIF(关系明细!$G$2:$G$2253,B408)</f>
        <v>1</v>
      </c>
    </row>
    <row r="409" spans="1:9" ht="16.5">
      <c r="A409" s="34" t="s">
        <v>2892</v>
      </c>
      <c r="B409" s="9" t="s">
        <v>2890</v>
      </c>
      <c r="C409" s="40" t="s">
        <v>72</v>
      </c>
      <c r="D409" s="34" t="s">
        <v>8181</v>
      </c>
      <c r="E409" s="27" t="s">
        <v>2810</v>
      </c>
      <c r="F409" s="34"/>
      <c r="G409" s="9" t="s">
        <v>8331</v>
      </c>
      <c r="H409" s="27">
        <f>COUNTIF(关系明细!$D$2:$D$2253,B409)</f>
        <v>0</v>
      </c>
      <c r="I409" s="27">
        <f>COUNTIF(关系明细!$G$2:$G$2253,B409)</f>
        <v>1</v>
      </c>
    </row>
    <row r="410" spans="1:9" ht="16.5">
      <c r="A410" s="35" t="s">
        <v>2895</v>
      </c>
      <c r="B410" s="30" t="s">
        <v>2893</v>
      </c>
      <c r="C410" s="39" t="s">
        <v>72</v>
      </c>
      <c r="D410" s="35" t="s">
        <v>8181</v>
      </c>
      <c r="E410" s="29" t="s">
        <v>2810</v>
      </c>
      <c r="F410" s="35"/>
      <c r="G410" s="30" t="s">
        <v>8331</v>
      </c>
      <c r="H410" s="29">
        <f>COUNTIF(关系明细!$D$2:$D$2253,B410)</f>
        <v>0</v>
      </c>
      <c r="I410" s="29">
        <f>COUNTIF(关系明细!$G$2:$G$2253,B410)</f>
        <v>1</v>
      </c>
    </row>
    <row r="411" spans="1:9" ht="16.5">
      <c r="A411" s="34" t="s">
        <v>2898</v>
      </c>
      <c r="B411" s="9" t="s">
        <v>2896</v>
      </c>
      <c r="C411" s="40" t="s">
        <v>72</v>
      </c>
      <c r="D411" s="34" t="s">
        <v>8181</v>
      </c>
      <c r="E411" s="27" t="s">
        <v>2810</v>
      </c>
      <c r="F411" s="34"/>
      <c r="G411" s="9" t="s">
        <v>8331</v>
      </c>
      <c r="H411" s="27">
        <f>COUNTIF(关系明细!$D$2:$D$2253,B411)</f>
        <v>0</v>
      </c>
      <c r="I411" s="27">
        <f>COUNTIF(关系明细!$G$2:$G$2253,B411)</f>
        <v>1</v>
      </c>
    </row>
    <row r="412" spans="1:9" ht="16.5">
      <c r="A412" s="35" t="s">
        <v>2901</v>
      </c>
      <c r="B412" s="30" t="s">
        <v>2899</v>
      </c>
      <c r="C412" s="39" t="s">
        <v>72</v>
      </c>
      <c r="D412" s="35" t="s">
        <v>8181</v>
      </c>
      <c r="E412" s="29" t="s">
        <v>2810</v>
      </c>
      <c r="F412" s="35"/>
      <c r="G412" s="30" t="s">
        <v>8331</v>
      </c>
      <c r="H412" s="29">
        <f>COUNTIF(关系明细!$D$2:$D$2253,B412)</f>
        <v>0</v>
      </c>
      <c r="I412" s="29">
        <f>COUNTIF(关系明细!$G$2:$G$2253,B412)</f>
        <v>1</v>
      </c>
    </row>
    <row r="413" spans="1:9" ht="16.5">
      <c r="A413" s="34" t="s">
        <v>2822</v>
      </c>
      <c r="B413" s="9" t="s">
        <v>2819</v>
      </c>
      <c r="C413" s="40" t="s">
        <v>72</v>
      </c>
      <c r="D413" s="34" t="s">
        <v>8181</v>
      </c>
      <c r="E413" s="27" t="s">
        <v>2810</v>
      </c>
      <c r="F413" s="34"/>
      <c r="G413" s="9" t="s">
        <v>8332</v>
      </c>
      <c r="H413" s="27">
        <f>COUNTIF(关系明细!$D$2:$D$2253,B413)</f>
        <v>0</v>
      </c>
      <c r="I413" s="27">
        <f>COUNTIF(关系明细!$G$2:$G$2253,B413)</f>
        <v>1</v>
      </c>
    </row>
    <row r="414" spans="1:9" ht="16.5">
      <c r="A414" s="35" t="s">
        <v>2825</v>
      </c>
      <c r="B414" s="30" t="s">
        <v>2823</v>
      </c>
      <c r="C414" s="39" t="s">
        <v>72</v>
      </c>
      <c r="D414" s="35" t="s">
        <v>8181</v>
      </c>
      <c r="E414" s="29" t="s">
        <v>2810</v>
      </c>
      <c r="F414" s="35"/>
      <c r="G414" s="30" t="s">
        <v>8332</v>
      </c>
      <c r="H414" s="29">
        <f>COUNTIF(关系明细!$D$2:$D$2253,B414)</f>
        <v>0</v>
      </c>
      <c r="I414" s="29">
        <f>COUNTIF(关系明细!$G$2:$G$2253,B414)</f>
        <v>1</v>
      </c>
    </row>
    <row r="415" spans="1:9" ht="16.5">
      <c r="A415" s="34" t="s">
        <v>2864</v>
      </c>
      <c r="B415" s="9" t="s">
        <v>2861</v>
      </c>
      <c r="C415" s="40" t="s">
        <v>72</v>
      </c>
      <c r="D415" s="34" t="s">
        <v>8181</v>
      </c>
      <c r="E415" s="27" t="s">
        <v>2810</v>
      </c>
      <c r="F415" s="34"/>
      <c r="G415" s="9" t="s">
        <v>8333</v>
      </c>
      <c r="H415" s="27">
        <f>COUNTIF(关系明细!$D$2:$D$2253,B415)</f>
        <v>0</v>
      </c>
      <c r="I415" s="27">
        <f>COUNTIF(关系明细!$G$2:$G$2253,B415)</f>
        <v>1</v>
      </c>
    </row>
    <row r="416" spans="1:9" ht="16.5">
      <c r="A416" s="35" t="s">
        <v>2867</v>
      </c>
      <c r="B416" s="30" t="s">
        <v>2865</v>
      </c>
      <c r="C416" s="39" t="s">
        <v>72</v>
      </c>
      <c r="D416" s="35" t="s">
        <v>8181</v>
      </c>
      <c r="E416" s="29" t="s">
        <v>2810</v>
      </c>
      <c r="F416" s="35"/>
      <c r="G416" s="30" t="s">
        <v>8333</v>
      </c>
      <c r="H416" s="29">
        <f>COUNTIF(关系明细!$D$2:$D$2253,B416)</f>
        <v>0</v>
      </c>
      <c r="I416" s="29">
        <f>COUNTIF(关系明细!$G$2:$G$2253,B416)</f>
        <v>1</v>
      </c>
    </row>
    <row r="417" spans="1:9" ht="16.5">
      <c r="A417" s="34" t="s">
        <v>2870</v>
      </c>
      <c r="B417" s="34" t="s">
        <v>2868</v>
      </c>
      <c r="C417" s="40" t="s">
        <v>72</v>
      </c>
      <c r="D417" s="34" t="s">
        <v>8181</v>
      </c>
      <c r="E417" s="27" t="s">
        <v>2810</v>
      </c>
      <c r="F417" s="34"/>
      <c r="G417" s="9" t="s">
        <v>8333</v>
      </c>
      <c r="H417" s="27">
        <f>COUNTIF(关系明细!$D$2:$D$2253,B417)</f>
        <v>0</v>
      </c>
      <c r="I417" s="27">
        <f>COUNTIF(关系明细!$G$2:$G$2253,B417)</f>
        <v>1</v>
      </c>
    </row>
    <row r="418" spans="1:9" ht="16.5">
      <c r="A418" s="35" t="s">
        <v>2942</v>
      </c>
      <c r="B418" s="30" t="s">
        <v>2939</v>
      </c>
      <c r="C418" s="39" t="s">
        <v>82</v>
      </c>
      <c r="D418" s="35" t="s">
        <v>8186</v>
      </c>
      <c r="E418" s="29" t="s">
        <v>2810</v>
      </c>
      <c r="F418" s="35"/>
      <c r="G418" s="30" t="s">
        <v>8334</v>
      </c>
      <c r="H418" s="29">
        <f>COUNTIF(关系明细!$D$2:$D$2253,B418)</f>
        <v>0</v>
      </c>
      <c r="I418" s="29">
        <f>COUNTIF(关系明细!$G$2:$G$2253,B418)</f>
        <v>1</v>
      </c>
    </row>
    <row r="419" spans="1:9" ht="16.5">
      <c r="A419" s="34" t="s">
        <v>2856</v>
      </c>
      <c r="B419" s="9" t="s">
        <v>2853</v>
      </c>
      <c r="C419" s="40" t="s">
        <v>82</v>
      </c>
      <c r="D419" s="34" t="s">
        <v>8186</v>
      </c>
      <c r="E419" s="27" t="s">
        <v>2810</v>
      </c>
      <c r="F419" s="34"/>
      <c r="G419" s="9" t="s">
        <v>8193</v>
      </c>
      <c r="H419" s="27">
        <f>COUNTIF(关系明细!$D$2:$D$2253,B419)</f>
        <v>0</v>
      </c>
      <c r="I419" s="27">
        <f>COUNTIF(关系明细!$G$2:$G$2253,B419)</f>
        <v>1</v>
      </c>
    </row>
    <row r="420" spans="1:9" ht="16.5">
      <c r="A420" s="35" t="s">
        <v>2905</v>
      </c>
      <c r="B420" s="30" t="s">
        <v>2902</v>
      </c>
      <c r="C420" s="39" t="s">
        <v>82</v>
      </c>
      <c r="D420" s="35" t="s">
        <v>8186</v>
      </c>
      <c r="E420" s="29" t="s">
        <v>2810</v>
      </c>
      <c r="F420" s="35"/>
      <c r="G420" s="30" t="s">
        <v>8335</v>
      </c>
      <c r="H420" s="29">
        <f>COUNTIF(关系明细!$D$2:$D$2253,B420)</f>
        <v>0</v>
      </c>
      <c r="I420" s="29">
        <f>COUNTIF(关系明细!$G$2:$G$2253,B420)</f>
        <v>1</v>
      </c>
    </row>
    <row r="421" spans="1:9" ht="16.5">
      <c r="A421" s="34" t="s">
        <v>2909</v>
      </c>
      <c r="B421" s="9" t="s">
        <v>2906</v>
      </c>
      <c r="C421" s="40" t="s">
        <v>82</v>
      </c>
      <c r="D421" s="34" t="s">
        <v>8186</v>
      </c>
      <c r="E421" s="27" t="s">
        <v>2810</v>
      </c>
      <c r="F421" s="34"/>
      <c r="G421" s="9" t="s">
        <v>8336</v>
      </c>
      <c r="H421" s="27">
        <f>COUNTIF(关系明细!$D$2:$D$2253,B421)</f>
        <v>0</v>
      </c>
      <c r="I421" s="27">
        <f>COUNTIF(关系明细!$G$2:$G$2253,B421)</f>
        <v>1</v>
      </c>
    </row>
    <row r="422" spans="1:9" ht="16.5">
      <c r="A422" s="35" t="s">
        <v>2913</v>
      </c>
      <c r="B422" s="30" t="s">
        <v>2910</v>
      </c>
      <c r="C422" s="39" t="s">
        <v>82</v>
      </c>
      <c r="D422" s="35" t="s">
        <v>8186</v>
      </c>
      <c r="E422" s="29" t="s">
        <v>2810</v>
      </c>
      <c r="F422" s="35"/>
      <c r="G422" s="30" t="s">
        <v>8337</v>
      </c>
      <c r="H422" s="29">
        <f>COUNTIF(关系明细!$D$2:$D$2253,B422)</f>
        <v>0</v>
      </c>
      <c r="I422" s="29">
        <f>COUNTIF(关系明细!$G$2:$G$2253,B422)</f>
        <v>1</v>
      </c>
    </row>
    <row r="423" spans="1:9" ht="16.5">
      <c r="A423" s="34" t="s">
        <v>2917</v>
      </c>
      <c r="B423" s="9" t="s">
        <v>2914</v>
      </c>
      <c r="C423" s="40" t="s">
        <v>82</v>
      </c>
      <c r="D423" s="34" t="s">
        <v>8186</v>
      </c>
      <c r="E423" s="27" t="s">
        <v>2810</v>
      </c>
      <c r="F423" s="34"/>
      <c r="G423" s="9" t="s">
        <v>8338</v>
      </c>
      <c r="H423" s="27">
        <f>COUNTIF(关系明细!$D$2:$D$2253,B423)</f>
        <v>0</v>
      </c>
      <c r="I423" s="27">
        <f>COUNTIF(关系明细!$G$2:$G$2253,B423)</f>
        <v>1</v>
      </c>
    </row>
    <row r="424" spans="1:9" ht="16.5">
      <c r="A424" s="35" t="s">
        <v>2921</v>
      </c>
      <c r="B424" s="30" t="s">
        <v>2918</v>
      </c>
      <c r="C424" s="39" t="s">
        <v>82</v>
      </c>
      <c r="D424" s="35" t="s">
        <v>8186</v>
      </c>
      <c r="E424" s="29" t="s">
        <v>2810</v>
      </c>
      <c r="F424" s="35"/>
      <c r="G424" s="30" t="s">
        <v>8244</v>
      </c>
      <c r="H424" s="29">
        <f>COUNTIF(关系明细!$D$2:$D$2253,B424)</f>
        <v>0</v>
      </c>
      <c r="I424" s="29">
        <f>COUNTIF(关系明细!$G$2:$G$2253,B424)</f>
        <v>1</v>
      </c>
    </row>
    <row r="425" spans="1:9" ht="16.5">
      <c r="A425" s="34" t="s">
        <v>2829</v>
      </c>
      <c r="B425" s="9" t="s">
        <v>2826</v>
      </c>
      <c r="C425" s="40" t="s">
        <v>82</v>
      </c>
      <c r="D425" s="34" t="s">
        <v>8186</v>
      </c>
      <c r="E425" s="27" t="s">
        <v>2810</v>
      </c>
      <c r="F425" s="34"/>
      <c r="G425" s="9" t="s">
        <v>8244</v>
      </c>
      <c r="H425" s="27">
        <f>COUNTIF(关系明细!$D$2:$D$2253,B425)</f>
        <v>0</v>
      </c>
      <c r="I425" s="27">
        <f>COUNTIF(关系明细!$G$2:$G$2253,B425)</f>
        <v>1</v>
      </c>
    </row>
    <row r="426" spans="1:9" ht="16.5">
      <c r="A426" s="35" t="s">
        <v>2874</v>
      </c>
      <c r="B426" s="30" t="s">
        <v>2871</v>
      </c>
      <c r="C426" s="39" t="s">
        <v>82</v>
      </c>
      <c r="D426" s="35" t="s">
        <v>8186</v>
      </c>
      <c r="E426" s="29" t="s">
        <v>2810</v>
      </c>
      <c r="F426" s="35"/>
      <c r="G426" s="30" t="s">
        <v>8339</v>
      </c>
      <c r="H426" s="29">
        <f>COUNTIF(关系明细!$D$2:$D$2253,B426)</f>
        <v>0</v>
      </c>
      <c r="I426" s="29">
        <f>COUNTIF(关系明细!$G$2:$G$2253,B426)</f>
        <v>1</v>
      </c>
    </row>
    <row r="427" spans="1:9" ht="16.5">
      <c r="A427" s="34" t="s">
        <v>2878</v>
      </c>
      <c r="B427" s="9" t="s">
        <v>2875</v>
      </c>
      <c r="C427" s="40" t="s">
        <v>82</v>
      </c>
      <c r="D427" s="34" t="s">
        <v>8186</v>
      </c>
      <c r="E427" s="27" t="s">
        <v>2810</v>
      </c>
      <c r="F427" s="34"/>
      <c r="G427" s="9" t="s">
        <v>8340</v>
      </c>
      <c r="H427" s="27">
        <f>COUNTIF(关系明细!$D$2:$D$2253,B427)</f>
        <v>0</v>
      </c>
      <c r="I427" s="27">
        <f>COUNTIF(关系明细!$G$2:$G$2253,B427)</f>
        <v>1</v>
      </c>
    </row>
    <row r="428" spans="1:9" ht="16.5">
      <c r="A428" s="35" t="s">
        <v>3119</v>
      </c>
      <c r="B428" s="30" t="s">
        <v>3117</v>
      </c>
      <c r="C428" s="39" t="s">
        <v>300</v>
      </c>
      <c r="D428" s="35" t="s">
        <v>8197</v>
      </c>
      <c r="E428" s="29" t="s">
        <v>2810</v>
      </c>
      <c r="F428" s="35"/>
      <c r="G428" s="30" t="s">
        <v>8341</v>
      </c>
      <c r="H428" s="29">
        <f>COUNTIF(关系明细!$D$2:$D$2253,B428)</f>
        <v>0</v>
      </c>
      <c r="I428" s="29">
        <f>COUNTIF(关系明细!$G$2:$G$2253,B428)</f>
        <v>1</v>
      </c>
    </row>
    <row r="429" spans="1:9" ht="16.5">
      <c r="A429" s="34" t="s">
        <v>2946</v>
      </c>
      <c r="B429" s="9" t="s">
        <v>2943</v>
      </c>
      <c r="C429" s="40" t="s">
        <v>204</v>
      </c>
      <c r="D429" s="34" t="s">
        <v>8201</v>
      </c>
      <c r="E429" s="27" t="s">
        <v>2810</v>
      </c>
      <c r="F429" s="9" t="s">
        <v>2857</v>
      </c>
      <c r="G429" s="34" t="s">
        <v>584</v>
      </c>
      <c r="H429" s="27">
        <f>COUNTIF(关系明细!$D$2:$D$2253,B429)</f>
        <v>2</v>
      </c>
      <c r="I429" s="27">
        <f>COUNTIF(关系明细!$G$2:$G$2253,B429)</f>
        <v>2</v>
      </c>
    </row>
    <row r="430" spans="1:9" ht="16.5">
      <c r="A430" s="35" t="s">
        <v>2951</v>
      </c>
      <c r="B430" s="30" t="s">
        <v>2948</v>
      </c>
      <c r="C430" s="39" t="s">
        <v>204</v>
      </c>
      <c r="D430" s="35" t="s">
        <v>8201</v>
      </c>
      <c r="E430" s="29" t="s">
        <v>2810</v>
      </c>
      <c r="F430" s="30" t="s">
        <v>2857</v>
      </c>
      <c r="G430" s="35" t="s">
        <v>584</v>
      </c>
      <c r="H430" s="29">
        <f>COUNTIF(关系明细!$D$2:$D$2253,B430)</f>
        <v>1</v>
      </c>
      <c r="I430" s="29">
        <f>COUNTIF(关系明细!$G$2:$G$2253,B430)</f>
        <v>1</v>
      </c>
    </row>
    <row r="431" spans="1:9" ht="16.5">
      <c r="A431" s="34" t="s">
        <v>2956</v>
      </c>
      <c r="B431" s="9" t="s">
        <v>2953</v>
      </c>
      <c r="C431" s="40" t="s">
        <v>204</v>
      </c>
      <c r="D431" s="34" t="s">
        <v>8201</v>
      </c>
      <c r="E431" s="27" t="s">
        <v>2810</v>
      </c>
      <c r="F431" s="9" t="s">
        <v>2879</v>
      </c>
      <c r="G431" s="34" t="s">
        <v>584</v>
      </c>
      <c r="H431" s="27">
        <f>COUNTIF(关系明细!$D$2:$D$2253,B431)</f>
        <v>7</v>
      </c>
      <c r="I431" s="27">
        <f>COUNTIF(关系明细!$G$2:$G$2253,B431)</f>
        <v>3</v>
      </c>
    </row>
    <row r="432" spans="1:9" ht="16.5">
      <c r="A432" s="35" t="s">
        <v>2961</v>
      </c>
      <c r="B432" s="30" t="s">
        <v>2958</v>
      </c>
      <c r="C432" s="39" t="s">
        <v>204</v>
      </c>
      <c r="D432" s="35" t="s">
        <v>8201</v>
      </c>
      <c r="E432" s="29" t="s">
        <v>2810</v>
      </c>
      <c r="F432" s="30" t="s">
        <v>2879</v>
      </c>
      <c r="G432" s="35" t="s">
        <v>584</v>
      </c>
      <c r="H432" s="29">
        <f>COUNTIF(关系明细!$D$2:$D$2253,B432)</f>
        <v>7</v>
      </c>
      <c r="I432" s="29">
        <f>COUNTIF(关系明细!$G$2:$G$2253,B432)</f>
        <v>1</v>
      </c>
    </row>
    <row r="433" spans="1:9" ht="16.5">
      <c r="A433" s="34" t="s">
        <v>2966</v>
      </c>
      <c r="B433" s="9" t="s">
        <v>2963</v>
      </c>
      <c r="C433" s="40" t="s">
        <v>204</v>
      </c>
      <c r="D433" s="34" t="s">
        <v>8201</v>
      </c>
      <c r="E433" s="27" t="s">
        <v>2810</v>
      </c>
      <c r="F433" s="9" t="s">
        <v>2879</v>
      </c>
      <c r="G433" s="34" t="s">
        <v>584</v>
      </c>
      <c r="H433" s="27">
        <f>COUNTIF(关系明细!$D$2:$D$2253,B433)</f>
        <v>8</v>
      </c>
      <c r="I433" s="27">
        <f>COUNTIF(关系明细!$G$2:$G$2253,B433)</f>
        <v>2</v>
      </c>
    </row>
    <row r="434" spans="1:9" ht="16.5">
      <c r="A434" s="35" t="s">
        <v>2971</v>
      </c>
      <c r="B434" s="30" t="s">
        <v>2968</v>
      </c>
      <c r="C434" s="39" t="s">
        <v>204</v>
      </c>
      <c r="D434" s="35" t="s">
        <v>8201</v>
      </c>
      <c r="E434" s="29" t="s">
        <v>2810</v>
      </c>
      <c r="F434" s="30" t="s">
        <v>2879</v>
      </c>
      <c r="G434" s="35" t="s">
        <v>584</v>
      </c>
      <c r="H434" s="29">
        <f>COUNTIF(关系明细!$D$2:$D$2253,B434)</f>
        <v>6</v>
      </c>
      <c r="I434" s="29">
        <f>COUNTIF(关系明细!$G$2:$G$2253,B434)</f>
        <v>1</v>
      </c>
    </row>
    <row r="435" spans="1:9" ht="16.5">
      <c r="A435" s="34" t="s">
        <v>3130</v>
      </c>
      <c r="B435" s="9" t="s">
        <v>3127</v>
      </c>
      <c r="C435" s="40" t="s">
        <v>204</v>
      </c>
      <c r="D435" s="34" t="s">
        <v>8201</v>
      </c>
      <c r="E435" s="27" t="s">
        <v>2810</v>
      </c>
      <c r="F435" s="34"/>
      <c r="G435" s="9" t="s">
        <v>8248</v>
      </c>
      <c r="H435" s="27">
        <f>COUNTIF(关系明细!$D$2:$D$2253,B435)</f>
        <v>0</v>
      </c>
      <c r="I435" s="27">
        <f>COUNTIF(关系明细!$G$2:$G$2253,B435)</f>
        <v>1</v>
      </c>
    </row>
    <row r="436" spans="1:9" ht="16.5">
      <c r="A436" s="35" t="s">
        <v>3078</v>
      </c>
      <c r="B436" s="30" t="s">
        <v>3075</v>
      </c>
      <c r="C436" s="39" t="s">
        <v>488</v>
      </c>
      <c r="D436" s="35" t="s">
        <v>8203</v>
      </c>
      <c r="E436" s="29" t="s">
        <v>2810</v>
      </c>
      <c r="F436" s="35"/>
      <c r="G436" s="35" t="s">
        <v>584</v>
      </c>
      <c r="H436" s="29">
        <f>COUNTIF(关系明细!$D$2:$D$2253,B436)</f>
        <v>1</v>
      </c>
      <c r="I436" s="29">
        <f>COUNTIF(关系明细!$G$2:$G$2253,B436)</f>
        <v>1</v>
      </c>
    </row>
    <row r="437" spans="1:9" ht="16.5">
      <c r="A437" s="34" t="s">
        <v>3089</v>
      </c>
      <c r="B437" s="9" t="s">
        <v>3085</v>
      </c>
      <c r="C437" s="40" t="s">
        <v>488</v>
      </c>
      <c r="D437" s="34" t="s">
        <v>8203</v>
      </c>
      <c r="E437" s="27" t="s">
        <v>2810</v>
      </c>
      <c r="F437" s="34"/>
      <c r="G437" s="9" t="s">
        <v>3087</v>
      </c>
      <c r="H437" s="27">
        <f>COUNTIF(关系明细!$D$2:$D$2253,B437)</f>
        <v>1</v>
      </c>
      <c r="I437" s="27">
        <f>COUNTIF(关系明细!$G$2:$G$2253,B437)</f>
        <v>1</v>
      </c>
    </row>
    <row r="438" spans="1:9" ht="16.5">
      <c r="A438" s="35" t="s">
        <v>3099</v>
      </c>
      <c r="B438" s="30" t="s">
        <v>3096</v>
      </c>
      <c r="C438" s="39" t="s">
        <v>488</v>
      </c>
      <c r="D438" s="35" t="s">
        <v>8203</v>
      </c>
      <c r="E438" s="29" t="s">
        <v>2810</v>
      </c>
      <c r="F438" s="35"/>
      <c r="G438" s="35" t="s">
        <v>584</v>
      </c>
      <c r="H438" s="29">
        <f>COUNTIF(关系明细!$D$2:$D$2253,B438)</f>
        <v>1</v>
      </c>
      <c r="I438" s="29">
        <f>COUNTIF(关系明细!$G$2:$G$2253,B438)</f>
        <v>1</v>
      </c>
    </row>
    <row r="439" spans="1:9" ht="16.5">
      <c r="A439" s="34" t="s">
        <v>3079</v>
      </c>
      <c r="B439" s="9" t="s">
        <v>3076</v>
      </c>
      <c r="C439" s="40" t="s">
        <v>491</v>
      </c>
      <c r="D439" s="34" t="s">
        <v>8204</v>
      </c>
      <c r="E439" s="27" t="s">
        <v>2810</v>
      </c>
      <c r="F439" s="34"/>
      <c r="G439" s="34" t="s">
        <v>3080</v>
      </c>
      <c r="H439" s="27">
        <f>COUNTIF(关系明细!$D$2:$D$2253,B439)</f>
        <v>1</v>
      </c>
      <c r="I439" s="27">
        <f>COUNTIF(关系明细!$G$2:$G$2253,B439)</f>
        <v>1</v>
      </c>
    </row>
    <row r="440" spans="1:9" ht="16.5">
      <c r="A440" s="35" t="s">
        <v>3090</v>
      </c>
      <c r="B440" s="30" t="s">
        <v>3086</v>
      </c>
      <c r="C440" s="39" t="s">
        <v>491</v>
      </c>
      <c r="D440" s="35" t="s">
        <v>8204</v>
      </c>
      <c r="E440" s="29" t="s">
        <v>2810</v>
      </c>
      <c r="F440" s="35"/>
      <c r="G440" s="35" t="s">
        <v>3091</v>
      </c>
      <c r="H440" s="29">
        <f>COUNTIF(关系明细!$D$2:$D$2253,B440)</f>
        <v>1</v>
      </c>
      <c r="I440" s="29">
        <f>COUNTIF(关系明细!$G$2:$G$2253,B440)</f>
        <v>1</v>
      </c>
    </row>
    <row r="441" spans="1:9" ht="16.5">
      <c r="A441" s="34" t="s">
        <v>3100</v>
      </c>
      <c r="B441" s="9" t="s">
        <v>3097</v>
      </c>
      <c r="C441" s="40" t="s">
        <v>491</v>
      </c>
      <c r="D441" s="34" t="s">
        <v>8204</v>
      </c>
      <c r="E441" s="27" t="s">
        <v>2810</v>
      </c>
      <c r="F441" s="34"/>
      <c r="G441" s="34" t="s">
        <v>3101</v>
      </c>
      <c r="H441" s="27">
        <f>COUNTIF(关系明细!$D$2:$D$2253,B441)</f>
        <v>1</v>
      </c>
      <c r="I441" s="27">
        <f>COUNTIF(关系明细!$G$2:$G$2253,B441)</f>
        <v>1</v>
      </c>
    </row>
    <row r="442" spans="1:9" ht="16.5">
      <c r="A442" s="35" t="s">
        <v>2180</v>
      </c>
      <c r="B442" s="30" t="s">
        <v>2177</v>
      </c>
      <c r="C442" s="39" t="s">
        <v>44</v>
      </c>
      <c r="D442" s="35" t="s">
        <v>8172</v>
      </c>
      <c r="E442" s="29" t="s">
        <v>3133</v>
      </c>
      <c r="F442" s="35"/>
      <c r="G442" s="35" t="s">
        <v>8342</v>
      </c>
      <c r="H442" s="29">
        <f>COUNTIF(关系明细!$D$2:$D$2253,B442)</f>
        <v>10</v>
      </c>
      <c r="I442" s="29">
        <f>COUNTIF(关系明细!$G$2:$G$2253,B442)</f>
        <v>2</v>
      </c>
    </row>
    <row r="443" spans="1:9" ht="16.5">
      <c r="A443" s="34" t="s">
        <v>3248</v>
      </c>
      <c r="B443" s="34" t="s">
        <v>3245</v>
      </c>
      <c r="C443" s="40" t="s">
        <v>62</v>
      </c>
      <c r="D443" s="34" t="s">
        <v>8174</v>
      </c>
      <c r="E443" s="27" t="s">
        <v>3133</v>
      </c>
      <c r="F443" s="34"/>
      <c r="G443" s="9" t="s">
        <v>8343</v>
      </c>
      <c r="H443" s="27">
        <f>COUNTIF(关系明细!$D$2:$D$2253,B443)</f>
        <v>11</v>
      </c>
      <c r="I443" s="27">
        <f>COUNTIF(关系明细!$G$2:$G$2253,B443)</f>
        <v>2</v>
      </c>
    </row>
    <row r="444" spans="1:9" ht="16.5">
      <c r="A444" s="35" t="s">
        <v>3177</v>
      </c>
      <c r="B444" s="30" t="s">
        <v>3174</v>
      </c>
      <c r="C444" s="39" t="s">
        <v>62</v>
      </c>
      <c r="D444" s="35" t="s">
        <v>8174</v>
      </c>
      <c r="E444" s="29" t="s">
        <v>3133</v>
      </c>
      <c r="F444" s="35"/>
      <c r="G444" s="30" t="s">
        <v>8344</v>
      </c>
      <c r="H444" s="29">
        <f>COUNTIF(关系明细!$D$2:$D$2253,B444)</f>
        <v>7</v>
      </c>
      <c r="I444" s="29">
        <f>COUNTIF(关系明细!$G$2:$G$2253,B444)</f>
        <v>3</v>
      </c>
    </row>
    <row r="445" spans="1:9" ht="16.5">
      <c r="A445" s="34" t="s">
        <v>3143</v>
      </c>
      <c r="B445" s="9" t="s">
        <v>3140</v>
      </c>
      <c r="C445" s="40" t="s">
        <v>62</v>
      </c>
      <c r="D445" s="34" t="s">
        <v>8174</v>
      </c>
      <c r="E445" s="27" t="s">
        <v>3133</v>
      </c>
      <c r="F445" s="34"/>
      <c r="G445" s="9" t="s">
        <v>8345</v>
      </c>
      <c r="H445" s="27">
        <f>COUNTIF(关系明细!$D$2:$D$2253,B445)</f>
        <v>18</v>
      </c>
      <c r="I445" s="27">
        <f>COUNTIF(关系明细!$G$2:$G$2253,B445)</f>
        <v>6</v>
      </c>
    </row>
    <row r="446" spans="1:9" ht="16.5">
      <c r="A446" s="35" t="s">
        <v>3198</v>
      </c>
      <c r="B446" s="30" t="s">
        <v>3195</v>
      </c>
      <c r="C446" s="39" t="s">
        <v>62</v>
      </c>
      <c r="D446" s="35" t="s">
        <v>8174</v>
      </c>
      <c r="E446" s="29" t="s">
        <v>3133</v>
      </c>
      <c r="F446" s="35"/>
      <c r="G446" s="30" t="s">
        <v>8346</v>
      </c>
      <c r="H446" s="29">
        <f>COUNTIF(关系明细!$D$2:$D$2253,B446)</f>
        <v>7</v>
      </c>
      <c r="I446" s="29">
        <f>COUNTIF(关系明细!$G$2:$G$2253,B446)</f>
        <v>2</v>
      </c>
    </row>
    <row r="447" spans="1:9" ht="16.5">
      <c r="A447" s="34" t="s">
        <v>3267</v>
      </c>
      <c r="B447" s="9" t="s">
        <v>3264</v>
      </c>
      <c r="C447" s="40" t="s">
        <v>62</v>
      </c>
      <c r="D447" s="34" t="s">
        <v>8174</v>
      </c>
      <c r="E447" s="27" t="s">
        <v>3133</v>
      </c>
      <c r="F447" s="34"/>
      <c r="G447" s="9" t="s">
        <v>8347</v>
      </c>
      <c r="H447" s="27">
        <f>COUNTIF(关系明细!$D$2:$D$2253,B447)</f>
        <v>6</v>
      </c>
      <c r="I447" s="27">
        <f>COUNTIF(关系明细!$G$2:$G$2253,B447)</f>
        <v>1</v>
      </c>
    </row>
    <row r="448" spans="1:9" ht="16.5">
      <c r="A448" s="35" t="s">
        <v>3219</v>
      </c>
      <c r="B448" s="30" t="s">
        <v>3216</v>
      </c>
      <c r="C448" s="39" t="s">
        <v>62</v>
      </c>
      <c r="D448" s="35" t="s">
        <v>8174</v>
      </c>
      <c r="E448" s="29" t="s">
        <v>3133</v>
      </c>
      <c r="F448" s="35"/>
      <c r="G448" s="30" t="s">
        <v>8348</v>
      </c>
      <c r="H448" s="29">
        <f>COUNTIF(关系明细!$D$2:$D$2253,B448)</f>
        <v>7</v>
      </c>
      <c r="I448" s="29">
        <f>COUNTIF(关系明细!$G$2:$G$2253,B448)</f>
        <v>2</v>
      </c>
    </row>
    <row r="449" spans="1:9" ht="16.5">
      <c r="A449" s="34" t="s">
        <v>3283</v>
      </c>
      <c r="B449" s="9" t="s">
        <v>3280</v>
      </c>
      <c r="C449" s="40" t="s">
        <v>62</v>
      </c>
      <c r="D449" s="34" t="s">
        <v>8174</v>
      </c>
      <c r="E449" s="27" t="s">
        <v>3133</v>
      </c>
      <c r="F449" s="34"/>
      <c r="G449" s="9" t="s">
        <v>8349</v>
      </c>
      <c r="H449" s="27">
        <f>COUNTIF(关系明细!$D$2:$D$2253,B449)</f>
        <v>2</v>
      </c>
      <c r="I449" s="27">
        <f>COUNTIF(关系明细!$G$2:$G$2253,B449)</f>
        <v>1</v>
      </c>
    </row>
    <row r="450" spans="1:9" ht="16.5">
      <c r="A450" s="35" t="s">
        <v>3240</v>
      </c>
      <c r="B450" s="30" t="s">
        <v>3237</v>
      </c>
      <c r="C450" s="39" t="s">
        <v>62</v>
      </c>
      <c r="D450" s="35" t="s">
        <v>8174</v>
      </c>
      <c r="E450" s="29" t="s">
        <v>3133</v>
      </c>
      <c r="F450" s="35"/>
      <c r="G450" s="30" t="s">
        <v>8350</v>
      </c>
      <c r="H450" s="29">
        <f>COUNTIF(关系明细!$D$2:$D$2253,B450)</f>
        <v>2</v>
      </c>
      <c r="I450" s="29">
        <f>COUNTIF(关系明细!$G$2:$G$2253,B450)</f>
        <v>2</v>
      </c>
    </row>
    <row r="451" spans="1:9" ht="16.5">
      <c r="A451" s="34" t="s">
        <v>3252</v>
      </c>
      <c r="B451" s="34" t="s">
        <v>3249</v>
      </c>
      <c r="C451" s="40" t="s">
        <v>72</v>
      </c>
      <c r="D451" s="34" t="s">
        <v>8181</v>
      </c>
      <c r="E451" s="27" t="s">
        <v>3133</v>
      </c>
      <c r="F451" s="34"/>
      <c r="G451" s="34" t="s">
        <v>8351</v>
      </c>
      <c r="H451" s="27">
        <f>COUNTIF(关系明细!$D$2:$D$2253,B451)</f>
        <v>0</v>
      </c>
      <c r="I451" s="27">
        <f>COUNTIF(关系明细!$G$2:$G$2253,B451)</f>
        <v>1</v>
      </c>
    </row>
    <row r="452" spans="1:9" ht="16.5">
      <c r="A452" s="35" t="s">
        <v>3255</v>
      </c>
      <c r="B452" s="35" t="s">
        <v>3253</v>
      </c>
      <c r="C452" s="39" t="s">
        <v>72</v>
      </c>
      <c r="D452" s="35" t="s">
        <v>8181</v>
      </c>
      <c r="E452" s="29" t="s">
        <v>3133</v>
      </c>
      <c r="F452" s="35"/>
      <c r="G452" s="35" t="s">
        <v>8351</v>
      </c>
      <c r="H452" s="29">
        <f>COUNTIF(关系明细!$D$2:$D$2253,B452)</f>
        <v>0</v>
      </c>
      <c r="I452" s="29">
        <f>COUNTIF(关系明细!$G$2:$G$2253,B452)</f>
        <v>1</v>
      </c>
    </row>
    <row r="453" spans="1:9" ht="16.5">
      <c r="A453" s="34" t="s">
        <v>3181</v>
      </c>
      <c r="B453" s="9" t="s">
        <v>3178</v>
      </c>
      <c r="C453" s="40" t="s">
        <v>72</v>
      </c>
      <c r="D453" s="34" t="s">
        <v>8181</v>
      </c>
      <c r="E453" s="27" t="s">
        <v>3133</v>
      </c>
      <c r="F453" s="34"/>
      <c r="G453" s="9" t="s">
        <v>8352</v>
      </c>
      <c r="H453" s="27">
        <f>COUNTIF(关系明细!$D$2:$D$2253,B453)</f>
        <v>0</v>
      </c>
      <c r="I453" s="27">
        <f>COUNTIF(关系明细!$G$2:$G$2253,B453)</f>
        <v>1</v>
      </c>
    </row>
    <row r="454" spans="1:9" ht="16.5">
      <c r="A454" s="35" t="s">
        <v>3184</v>
      </c>
      <c r="B454" s="30" t="s">
        <v>3182</v>
      </c>
      <c r="C454" s="39" t="s">
        <v>72</v>
      </c>
      <c r="D454" s="35" t="s">
        <v>8181</v>
      </c>
      <c r="E454" s="29" t="s">
        <v>3133</v>
      </c>
      <c r="F454" s="35"/>
      <c r="G454" s="30" t="s">
        <v>8352</v>
      </c>
      <c r="H454" s="29">
        <f>COUNTIF(关系明细!$D$2:$D$2253,B454)</f>
        <v>0</v>
      </c>
      <c r="I454" s="29">
        <f>COUNTIF(关系明细!$G$2:$G$2253,B454)</f>
        <v>1</v>
      </c>
    </row>
    <row r="455" spans="1:9" ht="16.5">
      <c r="A455" s="34" t="s">
        <v>3187</v>
      </c>
      <c r="B455" s="9" t="s">
        <v>3185</v>
      </c>
      <c r="C455" s="40" t="s">
        <v>72</v>
      </c>
      <c r="D455" s="34" t="s">
        <v>8181</v>
      </c>
      <c r="E455" s="27" t="s">
        <v>3133</v>
      </c>
      <c r="F455" s="34"/>
      <c r="G455" s="9" t="s">
        <v>8352</v>
      </c>
      <c r="H455" s="27">
        <f>COUNTIF(关系明细!$D$2:$D$2253,B455)</f>
        <v>0</v>
      </c>
      <c r="I455" s="27">
        <f>COUNTIF(关系明细!$G$2:$G$2253,B455)</f>
        <v>1</v>
      </c>
    </row>
    <row r="456" spans="1:9" ht="16.5">
      <c r="A456" s="35" t="s">
        <v>3190</v>
      </c>
      <c r="B456" s="30" t="s">
        <v>3188</v>
      </c>
      <c r="C456" s="39" t="s">
        <v>72</v>
      </c>
      <c r="D456" s="35" t="s">
        <v>8181</v>
      </c>
      <c r="E456" s="29" t="s">
        <v>3133</v>
      </c>
      <c r="F456" s="35"/>
      <c r="G456" s="30" t="s">
        <v>8352</v>
      </c>
      <c r="H456" s="29">
        <f>COUNTIF(关系明细!$D$2:$D$2253,B456)</f>
        <v>0</v>
      </c>
      <c r="I456" s="29">
        <f>COUNTIF(关系明细!$G$2:$G$2253,B456)</f>
        <v>1</v>
      </c>
    </row>
    <row r="457" spans="1:9" ht="16.5">
      <c r="A457" s="34" t="s">
        <v>3148</v>
      </c>
      <c r="B457" s="9" t="s">
        <v>3145</v>
      </c>
      <c r="C457" s="40" t="s">
        <v>72</v>
      </c>
      <c r="D457" s="34" t="s">
        <v>8181</v>
      </c>
      <c r="E457" s="27" t="s">
        <v>3133</v>
      </c>
      <c r="F457" s="34"/>
      <c r="G457" s="9" t="s">
        <v>8353</v>
      </c>
      <c r="H457" s="27">
        <f>COUNTIF(关系明细!$D$2:$D$2253,B457)</f>
        <v>0</v>
      </c>
      <c r="I457" s="27">
        <f>COUNTIF(关系明细!$G$2:$G$2253,B457)</f>
        <v>1</v>
      </c>
    </row>
    <row r="458" spans="1:9" ht="16.5">
      <c r="A458" s="35" t="s">
        <v>3151</v>
      </c>
      <c r="B458" s="30" t="s">
        <v>3149</v>
      </c>
      <c r="C458" s="39" t="s">
        <v>72</v>
      </c>
      <c r="D458" s="35" t="s">
        <v>8181</v>
      </c>
      <c r="E458" s="29" t="s">
        <v>3133</v>
      </c>
      <c r="F458" s="35"/>
      <c r="G458" s="30" t="s">
        <v>8353</v>
      </c>
      <c r="H458" s="29">
        <f>COUNTIF(关系明细!$D$2:$D$2253,B458)</f>
        <v>0</v>
      </c>
      <c r="I458" s="29">
        <f>COUNTIF(关系明细!$G$2:$G$2253,B458)</f>
        <v>1</v>
      </c>
    </row>
    <row r="459" spans="1:9" ht="16.5">
      <c r="A459" s="34" t="s">
        <v>3154</v>
      </c>
      <c r="B459" s="9" t="s">
        <v>3152</v>
      </c>
      <c r="C459" s="40" t="s">
        <v>72</v>
      </c>
      <c r="D459" s="34" t="s">
        <v>8181</v>
      </c>
      <c r="E459" s="27" t="s">
        <v>3133</v>
      </c>
      <c r="F459" s="34"/>
      <c r="G459" s="9" t="s">
        <v>8353</v>
      </c>
      <c r="H459" s="27">
        <f>COUNTIF(关系明细!$D$2:$D$2253,B459)</f>
        <v>0</v>
      </c>
      <c r="I459" s="27">
        <f>COUNTIF(关系明细!$G$2:$G$2253,B459)</f>
        <v>1</v>
      </c>
    </row>
    <row r="460" spans="1:9" ht="16.5">
      <c r="A460" s="35" t="s">
        <v>3157</v>
      </c>
      <c r="B460" s="30" t="s">
        <v>3155</v>
      </c>
      <c r="C460" s="39" t="s">
        <v>72</v>
      </c>
      <c r="D460" s="35" t="s">
        <v>8181</v>
      </c>
      <c r="E460" s="29" t="s">
        <v>3133</v>
      </c>
      <c r="F460" s="35"/>
      <c r="G460" s="30" t="s">
        <v>8353</v>
      </c>
      <c r="H460" s="29">
        <f>COUNTIF(关系明细!$D$2:$D$2253,B460)</f>
        <v>0</v>
      </c>
      <c r="I460" s="29">
        <f>COUNTIF(关系明细!$G$2:$G$2253,B460)</f>
        <v>1</v>
      </c>
    </row>
    <row r="461" spans="1:9" ht="16.5">
      <c r="A461" s="34" t="s">
        <v>3202</v>
      </c>
      <c r="B461" s="9" t="s">
        <v>3199</v>
      </c>
      <c r="C461" s="40" t="s">
        <v>72</v>
      </c>
      <c r="D461" s="34" t="s">
        <v>8181</v>
      </c>
      <c r="E461" s="27" t="s">
        <v>3133</v>
      </c>
      <c r="F461" s="34"/>
      <c r="G461" s="9" t="s">
        <v>8354</v>
      </c>
      <c r="H461" s="27">
        <f>COUNTIF(关系明细!$D$2:$D$2253,B461)</f>
        <v>0</v>
      </c>
      <c r="I461" s="27">
        <f>COUNTIF(关系明细!$G$2:$G$2253,B461)</f>
        <v>1</v>
      </c>
    </row>
    <row r="462" spans="1:9" ht="16.5">
      <c r="A462" s="35" t="s">
        <v>3205</v>
      </c>
      <c r="B462" s="30" t="s">
        <v>3203</v>
      </c>
      <c r="C462" s="39" t="s">
        <v>72</v>
      </c>
      <c r="D462" s="35" t="s">
        <v>8181</v>
      </c>
      <c r="E462" s="29" t="s">
        <v>3133</v>
      </c>
      <c r="F462" s="35"/>
      <c r="G462" s="30" t="s">
        <v>8354</v>
      </c>
      <c r="H462" s="29">
        <f>COUNTIF(关系明细!$D$2:$D$2253,B462)</f>
        <v>0</v>
      </c>
      <c r="I462" s="29">
        <f>COUNTIF(关系明细!$G$2:$G$2253,B462)</f>
        <v>1</v>
      </c>
    </row>
    <row r="463" spans="1:9" ht="16.5">
      <c r="A463" s="34" t="s">
        <v>3208</v>
      </c>
      <c r="B463" s="9" t="s">
        <v>3206</v>
      </c>
      <c r="C463" s="40" t="s">
        <v>72</v>
      </c>
      <c r="D463" s="34" t="s">
        <v>8181</v>
      </c>
      <c r="E463" s="27" t="s">
        <v>3133</v>
      </c>
      <c r="F463" s="34"/>
      <c r="G463" s="9" t="s">
        <v>8354</v>
      </c>
      <c r="H463" s="27">
        <f>COUNTIF(关系明细!$D$2:$D$2253,B463)</f>
        <v>0</v>
      </c>
      <c r="I463" s="27">
        <f>COUNTIF(关系明细!$G$2:$G$2253,B463)</f>
        <v>1</v>
      </c>
    </row>
    <row r="464" spans="1:9" ht="16.5">
      <c r="A464" s="35" t="s">
        <v>3211</v>
      </c>
      <c r="B464" s="30" t="s">
        <v>3209</v>
      </c>
      <c r="C464" s="39" t="s">
        <v>72</v>
      </c>
      <c r="D464" s="35" t="s">
        <v>8181</v>
      </c>
      <c r="E464" s="29" t="s">
        <v>3133</v>
      </c>
      <c r="F464" s="35"/>
      <c r="G464" s="30" t="s">
        <v>8354</v>
      </c>
      <c r="H464" s="29">
        <f>COUNTIF(关系明细!$D$2:$D$2253,B464)</f>
        <v>0</v>
      </c>
      <c r="I464" s="29">
        <f>COUNTIF(关系明细!$G$2:$G$2253,B464)</f>
        <v>1</v>
      </c>
    </row>
    <row r="465" spans="1:9" ht="16.5">
      <c r="A465" s="34" t="s">
        <v>3223</v>
      </c>
      <c r="B465" s="9" t="s">
        <v>3220</v>
      </c>
      <c r="C465" s="40" t="s">
        <v>72</v>
      </c>
      <c r="D465" s="34" t="s">
        <v>8181</v>
      </c>
      <c r="E465" s="27" t="s">
        <v>3133</v>
      </c>
      <c r="F465" s="34"/>
      <c r="G465" s="9" t="s">
        <v>8355</v>
      </c>
      <c r="H465" s="27">
        <f>COUNTIF(关系明细!$D$2:$D$2253,B465)</f>
        <v>0</v>
      </c>
      <c r="I465" s="27">
        <f>COUNTIF(关系明细!$G$2:$G$2253,B465)</f>
        <v>1</v>
      </c>
    </row>
    <row r="466" spans="1:9" ht="16.5">
      <c r="A466" s="35" t="s">
        <v>3226</v>
      </c>
      <c r="B466" s="30" t="s">
        <v>3224</v>
      </c>
      <c r="C466" s="39" t="s">
        <v>72</v>
      </c>
      <c r="D466" s="35" t="s">
        <v>8181</v>
      </c>
      <c r="E466" s="29" t="s">
        <v>3133</v>
      </c>
      <c r="F466" s="35"/>
      <c r="G466" s="30" t="s">
        <v>8355</v>
      </c>
      <c r="H466" s="29">
        <f>COUNTIF(关系明细!$D$2:$D$2253,B466)</f>
        <v>0</v>
      </c>
      <c r="I466" s="29">
        <f>COUNTIF(关系明细!$G$2:$G$2253,B466)</f>
        <v>1</v>
      </c>
    </row>
    <row r="467" spans="1:9" ht="16.5">
      <c r="A467" s="34" t="s">
        <v>3229</v>
      </c>
      <c r="B467" s="9" t="s">
        <v>3227</v>
      </c>
      <c r="C467" s="40" t="s">
        <v>72</v>
      </c>
      <c r="D467" s="34" t="s">
        <v>8181</v>
      </c>
      <c r="E467" s="27" t="s">
        <v>3133</v>
      </c>
      <c r="F467" s="34"/>
      <c r="G467" s="9" t="s">
        <v>8355</v>
      </c>
      <c r="H467" s="27">
        <f>COUNTIF(关系明细!$D$2:$D$2253,B467)</f>
        <v>0</v>
      </c>
      <c r="I467" s="27">
        <f>COUNTIF(关系明细!$G$2:$G$2253,B467)</f>
        <v>1</v>
      </c>
    </row>
    <row r="468" spans="1:9" ht="16.5">
      <c r="A468" s="35" t="s">
        <v>3232</v>
      </c>
      <c r="B468" s="30" t="s">
        <v>3230</v>
      </c>
      <c r="C468" s="39" t="s">
        <v>72</v>
      </c>
      <c r="D468" s="35" t="s">
        <v>8181</v>
      </c>
      <c r="E468" s="29" t="s">
        <v>3133</v>
      </c>
      <c r="F468" s="35"/>
      <c r="G468" s="30" t="s">
        <v>8355</v>
      </c>
      <c r="H468" s="29">
        <f>COUNTIF(关系明细!$D$2:$D$2253,B468)</f>
        <v>0</v>
      </c>
      <c r="I468" s="29">
        <f>COUNTIF(关系明细!$G$2:$G$2253,B468)</f>
        <v>1</v>
      </c>
    </row>
    <row r="469" spans="1:9" ht="16.5">
      <c r="A469" s="34" t="s">
        <v>3259</v>
      </c>
      <c r="B469" s="34" t="s">
        <v>3256</v>
      </c>
      <c r="C469" s="40" t="s">
        <v>82</v>
      </c>
      <c r="D469" s="34" t="s">
        <v>8186</v>
      </c>
      <c r="E469" s="27" t="s">
        <v>3133</v>
      </c>
      <c r="F469" s="34"/>
      <c r="G469" s="9" t="s">
        <v>8188</v>
      </c>
      <c r="H469" s="27">
        <f>COUNTIF(关系明细!$D$2:$D$2253,B469)</f>
        <v>0</v>
      </c>
      <c r="I469" s="27">
        <f>COUNTIF(关系明细!$G$2:$G$2253,B469)</f>
        <v>1</v>
      </c>
    </row>
    <row r="470" spans="1:9" ht="16.5">
      <c r="A470" s="35" t="s">
        <v>3263</v>
      </c>
      <c r="B470" s="35" t="s">
        <v>3260</v>
      </c>
      <c r="C470" s="39" t="s">
        <v>82</v>
      </c>
      <c r="D470" s="35" t="s">
        <v>8186</v>
      </c>
      <c r="E470" s="29" t="s">
        <v>3133</v>
      </c>
      <c r="F470" s="35"/>
      <c r="G470" s="30" t="s">
        <v>8189</v>
      </c>
      <c r="H470" s="29">
        <f>COUNTIF(关系明细!$D$2:$D$2253,B470)</f>
        <v>0</v>
      </c>
      <c r="I470" s="29">
        <f>COUNTIF(关系明细!$G$2:$G$2253,B470)</f>
        <v>1</v>
      </c>
    </row>
    <row r="471" spans="1:9" ht="16.5">
      <c r="A471" s="34" t="s">
        <v>3194</v>
      </c>
      <c r="B471" s="9" t="s">
        <v>3191</v>
      </c>
      <c r="C471" s="40" t="s">
        <v>82</v>
      </c>
      <c r="D471" s="34" t="s">
        <v>8186</v>
      </c>
      <c r="E471" s="27" t="s">
        <v>3133</v>
      </c>
      <c r="F471" s="34"/>
      <c r="G471" s="9" t="s">
        <v>8356</v>
      </c>
      <c r="H471" s="27">
        <f>COUNTIF(关系明细!$D$2:$D$2253,B471)</f>
        <v>0</v>
      </c>
      <c r="I471" s="27">
        <f>COUNTIF(关系明细!$G$2:$G$2253,B471)</f>
        <v>1</v>
      </c>
    </row>
    <row r="472" spans="1:9" ht="16.5">
      <c r="A472" s="35" t="s">
        <v>3161</v>
      </c>
      <c r="B472" s="30" t="s">
        <v>3158</v>
      </c>
      <c r="C472" s="39" t="s">
        <v>82</v>
      </c>
      <c r="D472" s="35" t="s">
        <v>8186</v>
      </c>
      <c r="E472" s="29" t="s">
        <v>3133</v>
      </c>
      <c r="F472" s="35"/>
      <c r="G472" s="30" t="s">
        <v>8357</v>
      </c>
      <c r="H472" s="29">
        <f>COUNTIF(关系明细!$D$2:$D$2253,B472)</f>
        <v>0</v>
      </c>
      <c r="I472" s="29">
        <f>COUNTIF(关系明细!$G$2:$G$2253,B472)</f>
        <v>1</v>
      </c>
    </row>
    <row r="473" spans="1:9" ht="16.5">
      <c r="A473" s="34" t="s">
        <v>3165</v>
      </c>
      <c r="B473" s="9" t="s">
        <v>3162</v>
      </c>
      <c r="C473" s="40" t="s">
        <v>82</v>
      </c>
      <c r="D473" s="34" t="s">
        <v>8186</v>
      </c>
      <c r="E473" s="27" t="s">
        <v>3133</v>
      </c>
      <c r="F473" s="34"/>
      <c r="G473" s="9" t="s">
        <v>8358</v>
      </c>
      <c r="H473" s="27">
        <f>COUNTIF(关系明细!$D$2:$D$2253,B473)</f>
        <v>0</v>
      </c>
      <c r="I473" s="27">
        <f>COUNTIF(关系明细!$G$2:$G$2253,B473)</f>
        <v>1</v>
      </c>
    </row>
    <row r="474" spans="1:9" ht="16.5">
      <c r="A474" s="35" t="s">
        <v>3169</v>
      </c>
      <c r="B474" s="30" t="s">
        <v>3166</v>
      </c>
      <c r="C474" s="39" t="s">
        <v>82</v>
      </c>
      <c r="D474" s="35" t="s">
        <v>8186</v>
      </c>
      <c r="E474" s="29" t="s">
        <v>3133</v>
      </c>
      <c r="F474" s="35"/>
      <c r="G474" s="30" t="s">
        <v>8359</v>
      </c>
      <c r="H474" s="29">
        <f>COUNTIF(关系明细!$D$2:$D$2253,B474)</f>
        <v>0</v>
      </c>
      <c r="I474" s="29">
        <f>COUNTIF(关系明细!$G$2:$G$2253,B474)</f>
        <v>1</v>
      </c>
    </row>
    <row r="475" spans="1:9" ht="16.5">
      <c r="A475" s="34" t="s">
        <v>3173</v>
      </c>
      <c r="B475" s="9" t="s">
        <v>3170</v>
      </c>
      <c r="C475" s="40" t="s">
        <v>82</v>
      </c>
      <c r="D475" s="34" t="s">
        <v>8186</v>
      </c>
      <c r="E475" s="27" t="s">
        <v>3133</v>
      </c>
      <c r="F475" s="34"/>
      <c r="G475" s="9" t="s">
        <v>8360</v>
      </c>
      <c r="H475" s="27">
        <f>COUNTIF(关系明细!$D$2:$D$2253,B475)</f>
        <v>0</v>
      </c>
      <c r="I475" s="27">
        <f>COUNTIF(关系明细!$G$2:$G$2253,B475)</f>
        <v>1</v>
      </c>
    </row>
    <row r="476" spans="1:9" ht="16.5">
      <c r="A476" s="35" t="s">
        <v>3215</v>
      </c>
      <c r="B476" s="30" t="s">
        <v>3212</v>
      </c>
      <c r="C476" s="39" t="s">
        <v>82</v>
      </c>
      <c r="D476" s="35" t="s">
        <v>8186</v>
      </c>
      <c r="E476" s="29" t="s">
        <v>3133</v>
      </c>
      <c r="F476" s="35"/>
      <c r="G476" s="30" t="s">
        <v>8188</v>
      </c>
      <c r="H476" s="29">
        <f>COUNTIF(关系明细!$D$2:$D$2253,B476)</f>
        <v>0</v>
      </c>
      <c r="I476" s="29">
        <f>COUNTIF(关系明细!$G$2:$G$2253,B476)</f>
        <v>1</v>
      </c>
    </row>
    <row r="477" spans="1:9" ht="16.5">
      <c r="A477" s="34" t="s">
        <v>3271</v>
      </c>
      <c r="B477" s="9" t="s">
        <v>3268</v>
      </c>
      <c r="C477" s="40" t="s">
        <v>82</v>
      </c>
      <c r="D477" s="34" t="s">
        <v>8186</v>
      </c>
      <c r="E477" s="27" t="s">
        <v>3133</v>
      </c>
      <c r="F477" s="34"/>
      <c r="G477" s="9" t="s">
        <v>8361</v>
      </c>
      <c r="H477" s="27">
        <f>COUNTIF(关系明细!$D$2:$D$2253,B477)</f>
        <v>0</v>
      </c>
      <c r="I477" s="27">
        <f>COUNTIF(关系明细!$G$2:$G$2253,B477)</f>
        <v>1</v>
      </c>
    </row>
    <row r="478" spans="1:9" ht="16.5">
      <c r="A478" s="35" t="s">
        <v>3275</v>
      </c>
      <c r="B478" s="30" t="s">
        <v>3272</v>
      </c>
      <c r="C478" s="39" t="s">
        <v>82</v>
      </c>
      <c r="D478" s="35" t="s">
        <v>8186</v>
      </c>
      <c r="E478" s="29" t="s">
        <v>3133</v>
      </c>
      <c r="F478" s="35"/>
      <c r="G478" s="30" t="s">
        <v>8188</v>
      </c>
      <c r="H478" s="29">
        <f>COUNTIF(关系明细!$D$2:$D$2253,B478)</f>
        <v>0</v>
      </c>
      <c r="I478" s="29">
        <f>COUNTIF(关系明细!$G$2:$G$2253,B478)</f>
        <v>1</v>
      </c>
    </row>
    <row r="479" spans="1:9" ht="16.5">
      <c r="A479" s="34" t="s">
        <v>3279</v>
      </c>
      <c r="B479" s="9" t="s">
        <v>3276</v>
      </c>
      <c r="C479" s="40" t="s">
        <v>82</v>
      </c>
      <c r="D479" s="34" t="s">
        <v>8186</v>
      </c>
      <c r="E479" s="27" t="s">
        <v>3133</v>
      </c>
      <c r="F479" s="34"/>
      <c r="G479" s="9" t="s">
        <v>8189</v>
      </c>
      <c r="H479" s="27">
        <f>COUNTIF(关系明细!$D$2:$D$2253,B479)</f>
        <v>0</v>
      </c>
      <c r="I479" s="27">
        <f>COUNTIF(关系明细!$G$2:$G$2253,B479)</f>
        <v>1</v>
      </c>
    </row>
    <row r="480" spans="1:9" ht="16.5">
      <c r="A480" s="35" t="s">
        <v>3236</v>
      </c>
      <c r="B480" s="30" t="s">
        <v>3233</v>
      </c>
      <c r="C480" s="39" t="s">
        <v>82</v>
      </c>
      <c r="D480" s="35" t="s">
        <v>8186</v>
      </c>
      <c r="E480" s="29" t="s">
        <v>3133</v>
      </c>
      <c r="F480" s="35"/>
      <c r="G480" s="30" t="s">
        <v>8188</v>
      </c>
      <c r="H480" s="29">
        <f>COUNTIF(关系明细!$D$2:$D$2253,B480)</f>
        <v>0</v>
      </c>
      <c r="I480" s="29">
        <f>COUNTIF(关系明细!$G$2:$G$2253,B480)</f>
        <v>1</v>
      </c>
    </row>
    <row r="481" spans="1:9" ht="16.5">
      <c r="A481" s="34" t="s">
        <v>3287</v>
      </c>
      <c r="B481" s="9" t="s">
        <v>3284</v>
      </c>
      <c r="C481" s="40" t="s">
        <v>82</v>
      </c>
      <c r="D481" s="34" t="s">
        <v>8186</v>
      </c>
      <c r="E481" s="27" t="s">
        <v>3133</v>
      </c>
      <c r="F481" s="34"/>
      <c r="G481" s="9" t="s">
        <v>775</v>
      </c>
      <c r="H481" s="27">
        <f>COUNTIF(关系明细!$D$2:$D$2253,B481)</f>
        <v>0</v>
      </c>
      <c r="I481" s="27">
        <f>COUNTIF(关系明细!$G$2:$G$2253,B481)</f>
        <v>1</v>
      </c>
    </row>
    <row r="482" spans="1:9" ht="16.5">
      <c r="A482" s="35" t="s">
        <v>3244</v>
      </c>
      <c r="B482" s="30" t="s">
        <v>3241</v>
      </c>
      <c r="C482" s="39" t="s">
        <v>82</v>
      </c>
      <c r="D482" s="35" t="s">
        <v>8186</v>
      </c>
      <c r="E482" s="29" t="s">
        <v>3133</v>
      </c>
      <c r="F482" s="35"/>
      <c r="G482" s="30" t="s">
        <v>8188</v>
      </c>
      <c r="H482" s="29">
        <f>COUNTIF(关系明细!$D$2:$D$2253,B482)</f>
        <v>0</v>
      </c>
      <c r="I482" s="29">
        <f>COUNTIF(关系明细!$G$2:$G$2253,B482)</f>
        <v>1</v>
      </c>
    </row>
    <row r="483" spans="1:9" ht="16.5">
      <c r="A483" s="34" t="s">
        <v>3382</v>
      </c>
      <c r="B483" s="9" t="s">
        <v>3378</v>
      </c>
      <c r="C483" s="40" t="s">
        <v>300</v>
      </c>
      <c r="D483" s="34" t="s">
        <v>8197</v>
      </c>
      <c r="E483" s="27" t="s">
        <v>3133</v>
      </c>
      <c r="F483" s="34"/>
      <c r="G483" s="9" t="s">
        <v>8362</v>
      </c>
      <c r="H483" s="27">
        <f>COUNTIF(关系明细!$D$2:$D$2253,B483)</f>
        <v>8</v>
      </c>
      <c r="I483" s="27">
        <f>COUNTIF(关系明细!$G$2:$G$2253,B483)</f>
        <v>1</v>
      </c>
    </row>
    <row r="484" spans="1:9" ht="16.5">
      <c r="A484" s="35" t="s">
        <v>3603</v>
      </c>
      <c r="B484" s="30" t="s">
        <v>3600</v>
      </c>
      <c r="C484" s="39" t="s">
        <v>300</v>
      </c>
      <c r="D484" s="35" t="s">
        <v>8197</v>
      </c>
      <c r="E484" s="29" t="s">
        <v>3133</v>
      </c>
      <c r="F484" s="35"/>
      <c r="G484" s="30" t="s">
        <v>8363</v>
      </c>
      <c r="H484" s="29">
        <f>COUNTIF(关系明细!$D$2:$D$2253,B484)</f>
        <v>2</v>
      </c>
      <c r="I484" s="29">
        <f>COUNTIF(关系明细!$G$2:$G$2253,B484)</f>
        <v>1</v>
      </c>
    </row>
    <row r="485" spans="1:9" ht="16.5">
      <c r="A485" s="34" t="s">
        <v>3291</v>
      </c>
      <c r="B485" s="9" t="s">
        <v>3288</v>
      </c>
      <c r="C485" s="40" t="s">
        <v>204</v>
      </c>
      <c r="D485" s="34" t="s">
        <v>8201</v>
      </c>
      <c r="E485" s="27" t="s">
        <v>3133</v>
      </c>
      <c r="F485" s="9" t="s">
        <v>3140</v>
      </c>
      <c r="G485" s="34" t="s">
        <v>584</v>
      </c>
      <c r="H485" s="27">
        <f>COUNTIF(关系明细!$D$2:$D$2253,B485)</f>
        <v>6</v>
      </c>
      <c r="I485" s="27">
        <f>COUNTIF(关系明细!$G$2:$G$2253,B485)</f>
        <v>2</v>
      </c>
    </row>
    <row r="486" spans="1:9" ht="16.5">
      <c r="A486" s="35" t="s">
        <v>3296</v>
      </c>
      <c r="B486" s="30" t="s">
        <v>3293</v>
      </c>
      <c r="C486" s="39" t="s">
        <v>204</v>
      </c>
      <c r="D486" s="35" t="s">
        <v>8201</v>
      </c>
      <c r="E486" s="29" t="s">
        <v>3133</v>
      </c>
      <c r="F486" s="30" t="s">
        <v>3140</v>
      </c>
      <c r="G486" s="35" t="s">
        <v>584</v>
      </c>
      <c r="H486" s="29">
        <f>COUNTIF(关系明细!$D$2:$D$2253,B486)</f>
        <v>6</v>
      </c>
      <c r="I486" s="29">
        <f>COUNTIF(关系明细!$G$2:$G$2253,B486)</f>
        <v>3</v>
      </c>
    </row>
    <row r="487" spans="1:9" ht="16.5">
      <c r="A487" s="34" t="s">
        <v>3301</v>
      </c>
      <c r="B487" s="9" t="s">
        <v>3298</v>
      </c>
      <c r="C487" s="40" t="s">
        <v>204</v>
      </c>
      <c r="D487" s="34" t="s">
        <v>8201</v>
      </c>
      <c r="E487" s="27" t="s">
        <v>3133</v>
      </c>
      <c r="F487" s="9" t="s">
        <v>3140</v>
      </c>
      <c r="G487" s="34" t="s">
        <v>584</v>
      </c>
      <c r="H487" s="27">
        <f>COUNTIF(关系明细!$D$2:$D$2253,B487)</f>
        <v>5</v>
      </c>
      <c r="I487" s="27">
        <f>COUNTIF(关系明细!$G$2:$G$2253,B487)</f>
        <v>1</v>
      </c>
    </row>
    <row r="488" spans="1:9" ht="16.5">
      <c r="A488" s="35" t="s">
        <v>3306</v>
      </c>
      <c r="B488" s="30" t="s">
        <v>3303</v>
      </c>
      <c r="C488" s="39" t="s">
        <v>204</v>
      </c>
      <c r="D488" s="35" t="s">
        <v>8201</v>
      </c>
      <c r="E488" s="29" t="s">
        <v>3133</v>
      </c>
      <c r="F488" s="30" t="s">
        <v>3140</v>
      </c>
      <c r="G488" s="35" t="s">
        <v>584</v>
      </c>
      <c r="H488" s="29">
        <f>COUNTIF(关系明细!$D$2:$D$2253,B488)</f>
        <v>4</v>
      </c>
      <c r="I488" s="29">
        <f>COUNTIF(关系明细!$G$2:$G$2253,B488)</f>
        <v>1</v>
      </c>
    </row>
    <row r="489" spans="1:9" ht="16.5">
      <c r="A489" s="34" t="s">
        <v>3311</v>
      </c>
      <c r="B489" s="9" t="s">
        <v>3308</v>
      </c>
      <c r="C489" s="40" t="s">
        <v>204</v>
      </c>
      <c r="D489" s="34" t="s">
        <v>8201</v>
      </c>
      <c r="E489" s="27" t="s">
        <v>3133</v>
      </c>
      <c r="F489" s="9" t="s">
        <v>3174</v>
      </c>
      <c r="G489" s="34" t="s">
        <v>584</v>
      </c>
      <c r="H489" s="27">
        <f>COUNTIF(关系明细!$D$2:$D$2253,B489)</f>
        <v>6</v>
      </c>
      <c r="I489" s="27">
        <f>COUNTIF(关系明细!$G$2:$G$2253,B489)</f>
        <v>3</v>
      </c>
    </row>
    <row r="490" spans="1:9" ht="16.5">
      <c r="A490" s="35" t="s">
        <v>3316</v>
      </c>
      <c r="B490" s="30" t="s">
        <v>3313</v>
      </c>
      <c r="C490" s="39" t="s">
        <v>204</v>
      </c>
      <c r="D490" s="35" t="s">
        <v>8201</v>
      </c>
      <c r="E490" s="29" t="s">
        <v>3133</v>
      </c>
      <c r="F490" s="30" t="s">
        <v>3195</v>
      </c>
      <c r="G490" s="35" t="s">
        <v>584</v>
      </c>
      <c r="H490" s="29">
        <f>COUNTIF(关系明细!$D$2:$D$2253,B490)</f>
        <v>5</v>
      </c>
      <c r="I490" s="29">
        <f>COUNTIF(关系明细!$G$2:$G$2253,B490)</f>
        <v>2</v>
      </c>
    </row>
    <row r="491" spans="1:9" ht="16.5">
      <c r="A491" s="34" t="s">
        <v>3321</v>
      </c>
      <c r="B491" s="9" t="s">
        <v>3318</v>
      </c>
      <c r="C491" s="40" t="s">
        <v>204</v>
      </c>
      <c r="D491" s="34" t="s">
        <v>8201</v>
      </c>
      <c r="E491" s="27" t="s">
        <v>3133</v>
      </c>
      <c r="F491" s="9" t="s">
        <v>3216</v>
      </c>
      <c r="G491" s="34" t="s">
        <v>584</v>
      </c>
      <c r="H491" s="27">
        <f>COUNTIF(关系明细!$D$2:$D$2253,B491)</f>
        <v>4</v>
      </c>
      <c r="I491" s="27">
        <f>COUNTIF(关系明细!$G$2:$G$2253,B491)</f>
        <v>1</v>
      </c>
    </row>
    <row r="492" spans="1:9" ht="16.5">
      <c r="A492" s="35" t="s">
        <v>3326</v>
      </c>
      <c r="B492" s="30" t="s">
        <v>3323</v>
      </c>
      <c r="C492" s="39" t="s">
        <v>204</v>
      </c>
      <c r="D492" s="35" t="s">
        <v>8201</v>
      </c>
      <c r="E492" s="29" t="s">
        <v>3133</v>
      </c>
      <c r="F492" s="30" t="s">
        <v>3237</v>
      </c>
      <c r="G492" s="35" t="s">
        <v>584</v>
      </c>
      <c r="H492" s="29">
        <f>COUNTIF(关系明细!$D$2:$D$2253,B492)</f>
        <v>1</v>
      </c>
      <c r="I492" s="29">
        <f>COUNTIF(关系明细!$G$2:$G$2253,B492)</f>
        <v>1</v>
      </c>
    </row>
    <row r="493" spans="1:9" ht="16.5">
      <c r="A493" s="34" t="s">
        <v>3331</v>
      </c>
      <c r="B493" s="34" t="s">
        <v>3328</v>
      </c>
      <c r="C493" s="40" t="s">
        <v>204</v>
      </c>
      <c r="D493" s="34" t="s">
        <v>8201</v>
      </c>
      <c r="E493" s="27" t="s">
        <v>3133</v>
      </c>
      <c r="F493" s="34" t="s">
        <v>3245</v>
      </c>
      <c r="G493" s="34" t="s">
        <v>584</v>
      </c>
      <c r="H493" s="27">
        <f>COUNTIF(关系明细!$D$2:$D$2253,B493)</f>
        <v>2</v>
      </c>
      <c r="I493" s="27">
        <f>COUNTIF(关系明细!$G$2:$G$2253,B493)</f>
        <v>1</v>
      </c>
    </row>
    <row r="494" spans="1:9" ht="16.5">
      <c r="A494" s="35" t="s">
        <v>3336</v>
      </c>
      <c r="B494" s="35" t="s">
        <v>3333</v>
      </c>
      <c r="C494" s="39" t="s">
        <v>204</v>
      </c>
      <c r="D494" s="35" t="s">
        <v>8201</v>
      </c>
      <c r="E494" s="29" t="s">
        <v>3133</v>
      </c>
      <c r="F494" s="35" t="s">
        <v>3245</v>
      </c>
      <c r="G494" s="35" t="s">
        <v>584</v>
      </c>
      <c r="H494" s="29">
        <f>COUNTIF(关系明细!$D$2:$D$2253,B494)</f>
        <v>2</v>
      </c>
      <c r="I494" s="29">
        <f>COUNTIF(关系明细!$G$2:$G$2253,B494)</f>
        <v>1</v>
      </c>
    </row>
    <row r="495" spans="1:9" ht="16.5">
      <c r="A495" s="34" t="s">
        <v>3341</v>
      </c>
      <c r="B495" s="34" t="s">
        <v>3338</v>
      </c>
      <c r="C495" s="40" t="s">
        <v>204</v>
      </c>
      <c r="D495" s="34" t="s">
        <v>8201</v>
      </c>
      <c r="E495" s="27" t="s">
        <v>3133</v>
      </c>
      <c r="F495" s="34" t="s">
        <v>3245</v>
      </c>
      <c r="G495" s="9" t="s">
        <v>3339</v>
      </c>
      <c r="H495" s="27">
        <f>COUNTIF(关系明细!$D$2:$D$2253,B495)</f>
        <v>2</v>
      </c>
      <c r="I495" s="27">
        <f>COUNTIF(关系明细!$G$2:$G$2253,B495)</f>
        <v>3</v>
      </c>
    </row>
    <row r="496" spans="1:9" ht="16.5">
      <c r="A496" s="35" t="s">
        <v>3346</v>
      </c>
      <c r="B496" s="35" t="s">
        <v>3343</v>
      </c>
      <c r="C496" s="39" t="s">
        <v>204</v>
      </c>
      <c r="D496" s="35" t="s">
        <v>8201</v>
      </c>
      <c r="E496" s="29" t="s">
        <v>3133</v>
      </c>
      <c r="F496" s="35" t="s">
        <v>3245</v>
      </c>
      <c r="G496" s="30" t="s">
        <v>3344</v>
      </c>
      <c r="H496" s="29">
        <f>COUNTIF(关系明细!$D$2:$D$2253,B496)</f>
        <v>2</v>
      </c>
      <c r="I496" s="29">
        <f>COUNTIF(关系明细!$G$2:$G$2253,B496)</f>
        <v>2</v>
      </c>
    </row>
    <row r="497" spans="1:9" ht="16.5">
      <c r="A497" s="34" t="s">
        <v>3351</v>
      </c>
      <c r="B497" s="9" t="s">
        <v>3348</v>
      </c>
      <c r="C497" s="40" t="s">
        <v>204</v>
      </c>
      <c r="D497" s="34" t="s">
        <v>8201</v>
      </c>
      <c r="E497" s="27" t="s">
        <v>3133</v>
      </c>
      <c r="F497" s="34" t="s">
        <v>3245</v>
      </c>
      <c r="G497" s="34" t="s">
        <v>584</v>
      </c>
      <c r="H497" s="27">
        <f>COUNTIF(关系明细!$D$2:$D$2253,B497)</f>
        <v>1</v>
      </c>
      <c r="I497" s="27">
        <f>COUNTIF(关系明细!$G$2:$G$2253,B497)</f>
        <v>1</v>
      </c>
    </row>
    <row r="498" spans="1:9" ht="16.5">
      <c r="A498" s="35" t="s">
        <v>3356</v>
      </c>
      <c r="B498" s="30" t="s">
        <v>3353</v>
      </c>
      <c r="C498" s="39" t="s">
        <v>204</v>
      </c>
      <c r="D498" s="35" t="s">
        <v>8201</v>
      </c>
      <c r="E498" s="29" t="s">
        <v>3133</v>
      </c>
      <c r="F498" s="30" t="s">
        <v>3264</v>
      </c>
      <c r="G498" s="30" t="s">
        <v>3354</v>
      </c>
      <c r="H498" s="29">
        <f>COUNTIF(关系明细!$D$2:$D$2253,B498)</f>
        <v>3</v>
      </c>
      <c r="I498" s="29">
        <f>COUNTIF(关系明细!$G$2:$G$2253,B498)</f>
        <v>1</v>
      </c>
    </row>
    <row r="499" spans="1:9" ht="16.5">
      <c r="A499" s="34" t="s">
        <v>3361</v>
      </c>
      <c r="B499" s="9" t="s">
        <v>3358</v>
      </c>
      <c r="C499" s="40" t="s">
        <v>204</v>
      </c>
      <c r="D499" s="34" t="s">
        <v>8201</v>
      </c>
      <c r="E499" s="27" t="s">
        <v>3133</v>
      </c>
      <c r="F499" s="9" t="s">
        <v>3264</v>
      </c>
      <c r="G499" s="34" t="s">
        <v>584</v>
      </c>
      <c r="H499" s="27">
        <f>COUNTIF(关系明细!$D$2:$D$2253,B499)</f>
        <v>2</v>
      </c>
      <c r="I499" s="27">
        <f>COUNTIF(关系明细!$G$2:$G$2253,B499)</f>
        <v>1</v>
      </c>
    </row>
    <row r="500" spans="1:9" ht="16.5">
      <c r="A500" s="35" t="s">
        <v>3366</v>
      </c>
      <c r="B500" s="30" t="s">
        <v>3363</v>
      </c>
      <c r="C500" s="39" t="s">
        <v>204</v>
      </c>
      <c r="D500" s="35" t="s">
        <v>8201</v>
      </c>
      <c r="E500" s="29" t="s">
        <v>3133</v>
      </c>
      <c r="F500" s="30" t="s">
        <v>3140</v>
      </c>
      <c r="G500" s="35" t="s">
        <v>584</v>
      </c>
      <c r="H500" s="29">
        <f>COUNTIF(关系明细!$D$2:$D$2253,B500)</f>
        <v>1</v>
      </c>
      <c r="I500" s="29">
        <f>COUNTIF(关系明细!$G$2:$G$2253,B500)</f>
        <v>1</v>
      </c>
    </row>
    <row r="501" spans="1:9" ht="16.5">
      <c r="A501" s="34" t="s">
        <v>3377</v>
      </c>
      <c r="B501" s="9" t="s">
        <v>3374</v>
      </c>
      <c r="C501" s="40" t="s">
        <v>204</v>
      </c>
      <c r="D501" s="34" t="s">
        <v>8201</v>
      </c>
      <c r="E501" s="27" t="s">
        <v>3133</v>
      </c>
      <c r="F501" s="9" t="s">
        <v>3140</v>
      </c>
      <c r="G501" s="34" t="s">
        <v>584</v>
      </c>
      <c r="H501" s="27">
        <f>COUNTIF(关系明细!$D$2:$D$2253,B501)</f>
        <v>2</v>
      </c>
      <c r="I501" s="27">
        <f>COUNTIF(关系明细!$G$2:$G$2253,B501)</f>
        <v>2</v>
      </c>
    </row>
    <row r="502" spans="1:9" ht="16.5">
      <c r="A502" s="35" t="s">
        <v>3371</v>
      </c>
      <c r="B502" s="35" t="s">
        <v>3368</v>
      </c>
      <c r="C502" s="39" t="s">
        <v>295</v>
      </c>
      <c r="D502" s="35" t="s">
        <v>8202</v>
      </c>
      <c r="E502" s="29" t="s">
        <v>3133</v>
      </c>
      <c r="F502" s="35" t="s">
        <v>3245</v>
      </c>
      <c r="G502" s="30" t="s">
        <v>3369</v>
      </c>
      <c r="H502" s="29">
        <f>COUNTIF(关系明细!$D$2:$D$2253,B502)</f>
        <v>1</v>
      </c>
      <c r="I502" s="29">
        <f>COUNTIF(关系明细!$G$2:$G$2253,B502)</f>
        <v>4</v>
      </c>
    </row>
    <row r="503" spans="1:9" ht="16.5">
      <c r="A503" s="34" t="s">
        <v>2804</v>
      </c>
      <c r="B503" s="34" t="s">
        <v>2801</v>
      </c>
      <c r="C503" s="40" t="s">
        <v>295</v>
      </c>
      <c r="D503" s="34" t="s">
        <v>8202</v>
      </c>
      <c r="E503" s="27" t="s">
        <v>3133</v>
      </c>
      <c r="F503" s="9" t="s">
        <v>3140</v>
      </c>
      <c r="G503" s="9" t="s">
        <v>3372</v>
      </c>
      <c r="H503" s="27">
        <f>COUNTIF(关系明细!$D$2:$D$2253,B503)</f>
        <v>1</v>
      </c>
      <c r="I503" s="27">
        <f>COUNTIF(关系明细!$G$2:$G$2253,B503)</f>
        <v>5</v>
      </c>
    </row>
    <row r="504" spans="1:9" ht="16.5">
      <c r="A504" s="35" t="s">
        <v>3553</v>
      </c>
      <c r="B504" s="30" t="s">
        <v>3550</v>
      </c>
      <c r="C504" s="39" t="s">
        <v>488</v>
      </c>
      <c r="D504" s="35" t="s">
        <v>8203</v>
      </c>
      <c r="E504" s="29" t="s">
        <v>3133</v>
      </c>
      <c r="F504" s="35"/>
      <c r="G504" s="35" t="s">
        <v>584</v>
      </c>
      <c r="H504" s="29">
        <f>COUNTIF(关系明细!$D$2:$D$2253,B504)</f>
        <v>1</v>
      </c>
      <c r="I504" s="29">
        <f>COUNTIF(关系明细!$G$2:$G$2253,B504)</f>
        <v>1</v>
      </c>
    </row>
    <row r="505" spans="1:9" ht="16.5">
      <c r="A505" s="34" t="s">
        <v>3563</v>
      </c>
      <c r="B505" s="9" t="s">
        <v>3560</v>
      </c>
      <c r="C505" s="40" t="s">
        <v>488</v>
      </c>
      <c r="D505" s="34" t="s">
        <v>8203</v>
      </c>
      <c r="E505" s="27" t="s">
        <v>3133</v>
      </c>
      <c r="F505" s="34"/>
      <c r="G505" s="34" t="s">
        <v>584</v>
      </c>
      <c r="H505" s="27">
        <f>COUNTIF(关系明细!$D$2:$D$2253,B505)</f>
        <v>1</v>
      </c>
      <c r="I505" s="27">
        <f>COUNTIF(关系明细!$G$2:$G$2253,B505)</f>
        <v>1</v>
      </c>
    </row>
    <row r="506" spans="1:9" ht="16.5">
      <c r="A506" s="35" t="s">
        <v>3573</v>
      </c>
      <c r="B506" s="30" t="s">
        <v>3570</v>
      </c>
      <c r="C506" s="39" t="s">
        <v>488</v>
      </c>
      <c r="D506" s="35" t="s">
        <v>8203</v>
      </c>
      <c r="E506" s="29" t="s">
        <v>3133</v>
      </c>
      <c r="F506" s="35"/>
      <c r="G506" s="35" t="s">
        <v>584</v>
      </c>
      <c r="H506" s="29">
        <f>COUNTIF(关系明细!$D$2:$D$2253,B506)</f>
        <v>1</v>
      </c>
      <c r="I506" s="29">
        <f>COUNTIF(关系明细!$G$2:$G$2253,B506)</f>
        <v>1</v>
      </c>
    </row>
    <row r="507" spans="1:9" ht="16.5">
      <c r="A507" s="34" t="s">
        <v>3554</v>
      </c>
      <c r="B507" s="9" t="s">
        <v>3551</v>
      </c>
      <c r="C507" s="40" t="s">
        <v>491</v>
      </c>
      <c r="D507" s="34" t="s">
        <v>8204</v>
      </c>
      <c r="E507" s="27" t="s">
        <v>3133</v>
      </c>
      <c r="F507" s="34"/>
      <c r="G507" s="34" t="s">
        <v>3555</v>
      </c>
      <c r="H507" s="27">
        <f>COUNTIF(关系明细!$D$2:$D$2253,B507)</f>
        <v>1</v>
      </c>
      <c r="I507" s="27">
        <f>COUNTIF(关系明细!$G$2:$G$2253,B507)</f>
        <v>1</v>
      </c>
    </row>
    <row r="508" spans="1:9" ht="16.5">
      <c r="A508" s="35" t="s">
        <v>3564</v>
      </c>
      <c r="B508" s="30" t="s">
        <v>3561</v>
      </c>
      <c r="C508" s="39" t="s">
        <v>491</v>
      </c>
      <c r="D508" s="35" t="s">
        <v>8204</v>
      </c>
      <c r="E508" s="29" t="s">
        <v>3133</v>
      </c>
      <c r="F508" s="35"/>
      <c r="G508" s="35" t="s">
        <v>3565</v>
      </c>
      <c r="H508" s="29">
        <f>COUNTIF(关系明细!$D$2:$D$2253,B508)</f>
        <v>1</v>
      </c>
      <c r="I508" s="29">
        <f>COUNTIF(关系明细!$G$2:$G$2253,B508)</f>
        <v>1</v>
      </c>
    </row>
    <row r="509" spans="1:9" ht="16.5">
      <c r="A509" s="34" t="s">
        <v>3574</v>
      </c>
      <c r="B509" s="9" t="s">
        <v>3571</v>
      </c>
      <c r="C509" s="40" t="s">
        <v>491</v>
      </c>
      <c r="D509" s="34" t="s">
        <v>8204</v>
      </c>
      <c r="E509" s="27" t="s">
        <v>3133</v>
      </c>
      <c r="F509" s="34"/>
      <c r="G509" s="34" t="s">
        <v>3575</v>
      </c>
      <c r="H509" s="27">
        <f>COUNTIF(关系明细!$D$2:$D$2253,B509)</f>
        <v>1</v>
      </c>
      <c r="I509" s="27">
        <f>COUNTIF(关系明细!$G$2:$G$2253,B509)</f>
        <v>1</v>
      </c>
    </row>
    <row r="510" spans="1:9" ht="16.5">
      <c r="A510" s="35" t="s">
        <v>3582</v>
      </c>
      <c r="B510" s="30" t="s">
        <v>3580</v>
      </c>
      <c r="C510" s="39" t="s">
        <v>556</v>
      </c>
      <c r="D510" s="35" t="s">
        <v>8205</v>
      </c>
      <c r="E510" s="29" t="s">
        <v>3133</v>
      </c>
      <c r="F510" s="35"/>
      <c r="G510" s="35" t="s">
        <v>584</v>
      </c>
      <c r="H510" s="29">
        <f>COUNTIF(关系明细!$D$2:$D$2253,B510)</f>
        <v>0</v>
      </c>
      <c r="I510" s="29">
        <f>COUNTIF(关系明细!$G$2:$G$2253,B510)</f>
        <v>1</v>
      </c>
    </row>
    <row r="511" spans="1:9" ht="16.5">
      <c r="A511" s="34" t="s">
        <v>3588</v>
      </c>
      <c r="B511" s="34" t="s">
        <v>3584</v>
      </c>
      <c r="C511" s="40" t="s">
        <v>566</v>
      </c>
      <c r="D511" s="34" t="s">
        <v>8206</v>
      </c>
      <c r="E511" s="27" t="s">
        <v>3133</v>
      </c>
      <c r="F511" s="34"/>
      <c r="G511" s="34" t="s">
        <v>8364</v>
      </c>
      <c r="H511" s="27">
        <f>COUNTIF(关系明细!$D$2:$D$2253,B511)</f>
        <v>0</v>
      </c>
      <c r="I511" s="27">
        <f>COUNTIF(关系明细!$G$2:$G$2253,B511)</f>
        <v>1</v>
      </c>
    </row>
    <row r="512" spans="1:9" ht="16.5">
      <c r="A512" s="35" t="s">
        <v>3657</v>
      </c>
      <c r="B512" s="30" t="s">
        <v>3653</v>
      </c>
      <c r="C512" s="39" t="s">
        <v>44</v>
      </c>
      <c r="D512" s="35" t="s">
        <v>8172</v>
      </c>
      <c r="E512" s="29" t="s">
        <v>3655</v>
      </c>
      <c r="F512" s="35"/>
      <c r="G512" s="30" t="s">
        <v>8365</v>
      </c>
      <c r="H512" s="29">
        <f>COUNTIF(关系明细!$D$2:$D$2253,B512)</f>
        <v>12</v>
      </c>
      <c r="I512" s="29">
        <f>COUNTIF(关系明细!$G$2:$G$2253,B512)</f>
        <v>0</v>
      </c>
    </row>
    <row r="513" spans="1:9" ht="16.5">
      <c r="A513" s="34" t="s">
        <v>3699</v>
      </c>
      <c r="B513" s="9" t="s">
        <v>3696</v>
      </c>
      <c r="C513" s="40" t="s">
        <v>62</v>
      </c>
      <c r="D513" s="34" t="s">
        <v>8174</v>
      </c>
      <c r="E513" s="27" t="s">
        <v>3655</v>
      </c>
      <c r="F513" s="34"/>
      <c r="G513" s="9" t="s">
        <v>8366</v>
      </c>
      <c r="H513" s="27">
        <f>COUNTIF(关系明细!$D$2:$D$2253,B513)</f>
        <v>6</v>
      </c>
      <c r="I513" s="27">
        <f>COUNTIF(关系明细!$G$2:$G$2253,B513)</f>
        <v>4</v>
      </c>
    </row>
    <row r="514" spans="1:9" ht="16.5">
      <c r="A514" s="35" t="s">
        <v>3729</v>
      </c>
      <c r="B514" s="30" t="s">
        <v>3726</v>
      </c>
      <c r="C514" s="39" t="s">
        <v>62</v>
      </c>
      <c r="D514" s="35" t="s">
        <v>8174</v>
      </c>
      <c r="E514" s="29" t="s">
        <v>3655</v>
      </c>
      <c r="F514" s="35"/>
      <c r="G514" s="30" t="s">
        <v>8367</v>
      </c>
      <c r="H514" s="29">
        <f>COUNTIF(关系明细!$D$2:$D$2253,B514)</f>
        <v>7</v>
      </c>
      <c r="I514" s="29">
        <f>COUNTIF(关系明细!$G$2:$G$2253,B514)</f>
        <v>1</v>
      </c>
    </row>
    <row r="515" spans="1:9" ht="16.5">
      <c r="A515" s="34" t="s">
        <v>3752</v>
      </c>
      <c r="B515" s="9" t="s">
        <v>3749</v>
      </c>
      <c r="C515" s="40" t="s">
        <v>62</v>
      </c>
      <c r="D515" s="34" t="s">
        <v>8174</v>
      </c>
      <c r="E515" s="27" t="s">
        <v>3655</v>
      </c>
      <c r="F515" s="34"/>
      <c r="G515" s="9" t="s">
        <v>8368</v>
      </c>
      <c r="H515" s="27">
        <f>COUNTIF(关系明细!$D$2:$D$2253,B515)</f>
        <v>8</v>
      </c>
      <c r="I515" s="27">
        <f>COUNTIF(关系明细!$G$2:$G$2253,B515)</f>
        <v>3</v>
      </c>
    </row>
    <row r="516" spans="1:9" ht="16.5">
      <c r="A516" s="35" t="s">
        <v>3676</v>
      </c>
      <c r="B516" s="30" t="s">
        <v>3673</v>
      </c>
      <c r="C516" s="39" t="s">
        <v>62</v>
      </c>
      <c r="D516" s="35" t="s">
        <v>8174</v>
      </c>
      <c r="E516" s="29" t="s">
        <v>3655</v>
      </c>
      <c r="F516" s="35"/>
      <c r="G516" s="30" t="s">
        <v>8369</v>
      </c>
      <c r="H516" s="29">
        <f>COUNTIF(关系明细!$D$2:$D$2253,B516)</f>
        <v>6</v>
      </c>
      <c r="I516" s="29">
        <f>COUNTIF(关系明细!$G$2:$G$2253,B516)</f>
        <v>3</v>
      </c>
    </row>
    <row r="517" spans="1:9" ht="16.5">
      <c r="A517" s="34" t="s">
        <v>3691</v>
      </c>
      <c r="B517" s="9" t="s">
        <v>3688</v>
      </c>
      <c r="C517" s="40" t="s">
        <v>62</v>
      </c>
      <c r="D517" s="34" t="s">
        <v>8174</v>
      </c>
      <c r="E517" s="27" t="s">
        <v>3655</v>
      </c>
      <c r="F517" s="34"/>
      <c r="G517" s="9" t="s">
        <v>8370</v>
      </c>
      <c r="H517" s="27">
        <f>COUNTIF(关系明细!$D$2:$D$2253,B517)</f>
        <v>3</v>
      </c>
      <c r="I517" s="27">
        <f>COUNTIF(关系明细!$G$2:$G$2253,B517)</f>
        <v>1</v>
      </c>
    </row>
    <row r="518" spans="1:9" ht="16.5">
      <c r="A518" s="35" t="s">
        <v>2791</v>
      </c>
      <c r="B518" s="30" t="s">
        <v>2787</v>
      </c>
      <c r="C518" s="39" t="s">
        <v>62</v>
      </c>
      <c r="D518" s="35" t="s">
        <v>8174</v>
      </c>
      <c r="E518" s="29" t="s">
        <v>3655</v>
      </c>
      <c r="F518" s="35"/>
      <c r="G518" s="30" t="s">
        <v>8371</v>
      </c>
      <c r="H518" s="29">
        <f>COUNTIF(关系明细!$D$2:$D$2253,B518)</f>
        <v>3</v>
      </c>
      <c r="I518" s="29">
        <f>COUNTIF(关系明细!$G$2:$G$2253,B518)</f>
        <v>2</v>
      </c>
    </row>
    <row r="519" spans="1:9" ht="16.5">
      <c r="A519" s="34" t="s">
        <v>3715</v>
      </c>
      <c r="B519" s="9" t="s">
        <v>3712</v>
      </c>
      <c r="C519" s="40" t="s">
        <v>62</v>
      </c>
      <c r="D519" s="34" t="s">
        <v>8174</v>
      </c>
      <c r="E519" s="27" t="s">
        <v>3655</v>
      </c>
      <c r="F519" s="34"/>
      <c r="G519" s="9" t="s">
        <v>8372</v>
      </c>
      <c r="H519" s="27">
        <f>COUNTIF(关系明细!$D$2:$D$2253,B519)</f>
        <v>3</v>
      </c>
      <c r="I519" s="27">
        <f>COUNTIF(关系明细!$G$2:$G$2253,B519)</f>
        <v>2</v>
      </c>
    </row>
    <row r="520" spans="1:9" ht="16.5">
      <c r="A520" s="35" t="s">
        <v>3771</v>
      </c>
      <c r="B520" s="30" t="s">
        <v>3768</v>
      </c>
      <c r="C520" s="39" t="s">
        <v>62</v>
      </c>
      <c r="D520" s="35" t="s">
        <v>8174</v>
      </c>
      <c r="E520" s="29" t="s">
        <v>3655</v>
      </c>
      <c r="F520" s="35"/>
      <c r="G520" s="30" t="s">
        <v>8373</v>
      </c>
      <c r="H520" s="29">
        <f>COUNTIF(关系明细!$D$2:$D$2253,B520)</f>
        <v>4</v>
      </c>
      <c r="I520" s="29">
        <f>COUNTIF(关系明细!$G$2:$G$2253,B520)</f>
        <v>2</v>
      </c>
    </row>
    <row r="521" spans="1:9" ht="16.5">
      <c r="A521" s="34" t="s">
        <v>3667</v>
      </c>
      <c r="B521" s="9" t="s">
        <v>3664</v>
      </c>
      <c r="C521" s="40" t="s">
        <v>62</v>
      </c>
      <c r="D521" s="34" t="s">
        <v>8174</v>
      </c>
      <c r="E521" s="27" t="s">
        <v>3655</v>
      </c>
      <c r="F521" s="34"/>
      <c r="G521" s="9" t="s">
        <v>8374</v>
      </c>
      <c r="H521" s="27">
        <f>COUNTIF(关系明细!$D$2:$D$2253,B521)</f>
        <v>3</v>
      </c>
      <c r="I521" s="27">
        <f>COUNTIF(关系明细!$G$2:$G$2253,B521)</f>
        <v>2</v>
      </c>
    </row>
    <row r="522" spans="1:9" ht="16.5">
      <c r="A522" s="35" t="s">
        <v>3733</v>
      </c>
      <c r="B522" s="30" t="s">
        <v>3730</v>
      </c>
      <c r="C522" s="39" t="s">
        <v>72</v>
      </c>
      <c r="D522" s="35" t="s">
        <v>8181</v>
      </c>
      <c r="E522" s="29" t="s">
        <v>3655</v>
      </c>
      <c r="F522" s="35"/>
      <c r="G522" s="30" t="s">
        <v>8375</v>
      </c>
      <c r="H522" s="29">
        <f>COUNTIF(关系明细!$D$2:$D$2253,B522)</f>
        <v>0</v>
      </c>
      <c r="I522" s="29">
        <f>COUNTIF(关系明细!$G$2:$G$2253,B522)</f>
        <v>1</v>
      </c>
    </row>
    <row r="523" spans="1:9" ht="16.5">
      <c r="A523" s="34" t="s">
        <v>3736</v>
      </c>
      <c r="B523" s="9" t="s">
        <v>3734</v>
      </c>
      <c r="C523" s="40" t="s">
        <v>72</v>
      </c>
      <c r="D523" s="34" t="s">
        <v>8181</v>
      </c>
      <c r="E523" s="27" t="s">
        <v>3655</v>
      </c>
      <c r="F523" s="34"/>
      <c r="G523" s="9" t="s">
        <v>8375</v>
      </c>
      <c r="H523" s="27">
        <f>COUNTIF(关系明细!$D$2:$D$2253,B523)</f>
        <v>0</v>
      </c>
      <c r="I523" s="27">
        <f>COUNTIF(关系明细!$G$2:$G$2253,B523)</f>
        <v>1</v>
      </c>
    </row>
    <row r="524" spans="1:9" ht="16.5">
      <c r="A524" s="35" t="s">
        <v>3756</v>
      </c>
      <c r="B524" s="30" t="s">
        <v>3753</v>
      </c>
      <c r="C524" s="39" t="s">
        <v>72</v>
      </c>
      <c r="D524" s="35" t="s">
        <v>8181</v>
      </c>
      <c r="E524" s="29" t="s">
        <v>3655</v>
      </c>
      <c r="F524" s="35"/>
      <c r="G524" s="30" t="s">
        <v>8376</v>
      </c>
      <c r="H524" s="29">
        <f>COUNTIF(关系明细!$D$2:$D$2253,B524)</f>
        <v>0</v>
      </c>
      <c r="I524" s="29">
        <f>COUNTIF(关系明细!$G$2:$G$2253,B524)</f>
        <v>1</v>
      </c>
    </row>
    <row r="525" spans="1:9" ht="16.5">
      <c r="A525" s="34" t="s">
        <v>3759</v>
      </c>
      <c r="B525" s="9" t="s">
        <v>3757</v>
      </c>
      <c r="C525" s="40" t="s">
        <v>72</v>
      </c>
      <c r="D525" s="34" t="s">
        <v>8181</v>
      </c>
      <c r="E525" s="27" t="s">
        <v>3655</v>
      </c>
      <c r="F525" s="34"/>
      <c r="G525" s="9" t="s">
        <v>8376</v>
      </c>
      <c r="H525" s="27">
        <f>COUNTIF(关系明细!$D$2:$D$2253,B525)</f>
        <v>0</v>
      </c>
      <c r="I525" s="27">
        <f>COUNTIF(关系明细!$G$2:$G$2253,B525)</f>
        <v>1</v>
      </c>
    </row>
    <row r="526" spans="1:9" ht="16.5">
      <c r="A526" s="35" t="s">
        <v>3680</v>
      </c>
      <c r="B526" s="30" t="s">
        <v>3677</v>
      </c>
      <c r="C526" s="39" t="s">
        <v>72</v>
      </c>
      <c r="D526" s="35" t="s">
        <v>8181</v>
      </c>
      <c r="E526" s="29" t="s">
        <v>3655</v>
      </c>
      <c r="F526" s="35"/>
      <c r="G526" s="30" t="s">
        <v>8377</v>
      </c>
      <c r="H526" s="29">
        <f>COUNTIF(关系明细!$D$2:$D$2253,B526)</f>
        <v>0</v>
      </c>
      <c r="I526" s="29">
        <f>COUNTIF(关系明细!$G$2:$G$2253,B526)</f>
        <v>1</v>
      </c>
    </row>
    <row r="527" spans="1:9" ht="16.5">
      <c r="A527" s="34" t="s">
        <v>3683</v>
      </c>
      <c r="B527" s="9" t="s">
        <v>3681</v>
      </c>
      <c r="C527" s="40" t="s">
        <v>72</v>
      </c>
      <c r="D527" s="34" t="s">
        <v>8181</v>
      </c>
      <c r="E527" s="27" t="s">
        <v>3655</v>
      </c>
      <c r="F527" s="34"/>
      <c r="G527" s="9" t="s">
        <v>8377</v>
      </c>
      <c r="H527" s="27">
        <f>COUNTIF(关系明细!$D$2:$D$2253,B527)</f>
        <v>0</v>
      </c>
      <c r="I527" s="27">
        <f>COUNTIF(关系明细!$G$2:$G$2253,B527)</f>
        <v>1</v>
      </c>
    </row>
    <row r="528" spans="1:9" ht="16.5">
      <c r="A528" s="35" t="s">
        <v>3703</v>
      </c>
      <c r="B528" s="30" t="s">
        <v>3700</v>
      </c>
      <c r="C528" s="39" t="s">
        <v>82</v>
      </c>
      <c r="D528" s="35" t="s">
        <v>8186</v>
      </c>
      <c r="E528" s="29" t="s">
        <v>3655</v>
      </c>
      <c r="F528" s="35"/>
      <c r="G528" s="30" t="s">
        <v>8244</v>
      </c>
      <c r="H528" s="29">
        <f>COUNTIF(关系明细!$D$2:$D$2253,B528)</f>
        <v>0</v>
      </c>
      <c r="I528" s="29">
        <f>COUNTIF(关系明细!$G$2:$G$2253,B528)</f>
        <v>1</v>
      </c>
    </row>
    <row r="529" spans="1:9" ht="16.5">
      <c r="A529" s="34" t="s">
        <v>3707</v>
      </c>
      <c r="B529" s="9" t="s">
        <v>3704</v>
      </c>
      <c r="C529" s="40" t="s">
        <v>82</v>
      </c>
      <c r="D529" s="34" t="s">
        <v>8186</v>
      </c>
      <c r="E529" s="27" t="s">
        <v>3655</v>
      </c>
      <c r="F529" s="34"/>
      <c r="G529" s="9" t="s">
        <v>8188</v>
      </c>
      <c r="H529" s="27">
        <f>COUNTIF(关系明细!$D$2:$D$2253,B529)</f>
        <v>0</v>
      </c>
      <c r="I529" s="27">
        <f>COUNTIF(关系明细!$G$2:$G$2253,B529)</f>
        <v>1</v>
      </c>
    </row>
    <row r="530" spans="1:9" ht="16.5">
      <c r="A530" s="35" t="s">
        <v>3711</v>
      </c>
      <c r="B530" s="30" t="s">
        <v>3708</v>
      </c>
      <c r="C530" s="39" t="s">
        <v>82</v>
      </c>
      <c r="D530" s="35" t="s">
        <v>8186</v>
      </c>
      <c r="E530" s="29" t="s">
        <v>3655</v>
      </c>
      <c r="F530" s="35"/>
      <c r="G530" s="30" t="s">
        <v>8378</v>
      </c>
      <c r="H530" s="29">
        <f>COUNTIF(关系明细!$D$2:$D$2253,B530)</f>
        <v>0</v>
      </c>
      <c r="I530" s="29">
        <f>COUNTIF(关系明细!$G$2:$G$2253,B530)</f>
        <v>1</v>
      </c>
    </row>
    <row r="531" spans="1:9" ht="16.5">
      <c r="A531" s="34" t="s">
        <v>3740</v>
      </c>
      <c r="B531" s="9" t="s">
        <v>3737</v>
      </c>
      <c r="C531" s="40" t="s">
        <v>82</v>
      </c>
      <c r="D531" s="34" t="s">
        <v>8186</v>
      </c>
      <c r="E531" s="27" t="s">
        <v>3655</v>
      </c>
      <c r="F531" s="34"/>
      <c r="G531" s="9" t="s">
        <v>8379</v>
      </c>
      <c r="H531" s="27">
        <f>COUNTIF(关系明细!$D$2:$D$2253,B531)</f>
        <v>0</v>
      </c>
      <c r="I531" s="27">
        <f>COUNTIF(关系明细!$G$2:$G$2253,B531)</f>
        <v>1</v>
      </c>
    </row>
    <row r="532" spans="1:9" ht="16.5">
      <c r="A532" s="35" t="s">
        <v>3744</v>
      </c>
      <c r="B532" s="30" t="s">
        <v>3741</v>
      </c>
      <c r="C532" s="39" t="s">
        <v>82</v>
      </c>
      <c r="D532" s="35" t="s">
        <v>8186</v>
      </c>
      <c r="E532" s="29" t="s">
        <v>3655</v>
      </c>
      <c r="F532" s="35"/>
      <c r="G532" s="30" t="s">
        <v>8244</v>
      </c>
      <c r="H532" s="29">
        <f>COUNTIF(关系明细!$D$2:$D$2253,B532)</f>
        <v>0</v>
      </c>
      <c r="I532" s="29">
        <f>COUNTIF(关系明细!$G$2:$G$2253,B532)</f>
        <v>1</v>
      </c>
    </row>
    <row r="533" spans="1:9" ht="16.5">
      <c r="A533" s="34" t="s">
        <v>3748</v>
      </c>
      <c r="B533" s="9" t="s">
        <v>3745</v>
      </c>
      <c r="C533" s="40" t="s">
        <v>82</v>
      </c>
      <c r="D533" s="34" t="s">
        <v>8186</v>
      </c>
      <c r="E533" s="27" t="s">
        <v>3655</v>
      </c>
      <c r="F533" s="34"/>
      <c r="G533" s="9" t="s">
        <v>8189</v>
      </c>
      <c r="H533" s="27">
        <f>COUNTIF(关系明细!$D$2:$D$2253,B533)</f>
        <v>0</v>
      </c>
      <c r="I533" s="27">
        <f>COUNTIF(关系明细!$G$2:$G$2253,B533)</f>
        <v>1</v>
      </c>
    </row>
    <row r="534" spans="1:9" ht="16.5">
      <c r="A534" s="35" t="s">
        <v>3763</v>
      </c>
      <c r="B534" s="30" t="s">
        <v>3760</v>
      </c>
      <c r="C534" s="39" t="s">
        <v>82</v>
      </c>
      <c r="D534" s="35" t="s">
        <v>8186</v>
      </c>
      <c r="E534" s="29" t="s">
        <v>3655</v>
      </c>
      <c r="F534" s="35"/>
      <c r="G534" s="30" t="s">
        <v>8188</v>
      </c>
      <c r="H534" s="29">
        <f>COUNTIF(关系明细!$D$2:$D$2253,B534)</f>
        <v>0</v>
      </c>
      <c r="I534" s="29">
        <f>COUNTIF(关系明细!$G$2:$G$2253,B534)</f>
        <v>1</v>
      </c>
    </row>
    <row r="535" spans="1:9" ht="16.5">
      <c r="A535" s="34" t="s">
        <v>3767</v>
      </c>
      <c r="B535" s="9" t="s">
        <v>3764</v>
      </c>
      <c r="C535" s="40" t="s">
        <v>82</v>
      </c>
      <c r="D535" s="34" t="s">
        <v>8186</v>
      </c>
      <c r="E535" s="27" t="s">
        <v>3655</v>
      </c>
      <c r="F535" s="34"/>
      <c r="G535" s="9" t="s">
        <v>8380</v>
      </c>
      <c r="H535" s="27">
        <f>COUNTIF(关系明细!$D$2:$D$2253,B535)</f>
        <v>0</v>
      </c>
      <c r="I535" s="27">
        <f>COUNTIF(关系明细!$G$2:$G$2253,B535)</f>
        <v>1</v>
      </c>
    </row>
    <row r="536" spans="1:9" ht="16.5">
      <c r="A536" s="35" t="s">
        <v>3687</v>
      </c>
      <c r="B536" s="30" t="s">
        <v>3684</v>
      </c>
      <c r="C536" s="39" t="s">
        <v>82</v>
      </c>
      <c r="D536" s="35" t="s">
        <v>8186</v>
      </c>
      <c r="E536" s="29" t="s">
        <v>3655</v>
      </c>
      <c r="F536" s="35"/>
      <c r="G536" s="30" t="s">
        <v>8188</v>
      </c>
      <c r="H536" s="29">
        <f>COUNTIF(关系明细!$D$2:$D$2253,B536)</f>
        <v>0</v>
      </c>
      <c r="I536" s="29">
        <f>COUNTIF(关系明细!$G$2:$G$2253,B536)</f>
        <v>1</v>
      </c>
    </row>
    <row r="537" spans="1:9" ht="16.5">
      <c r="A537" s="34" t="s">
        <v>3695</v>
      </c>
      <c r="B537" s="9" t="s">
        <v>3692</v>
      </c>
      <c r="C537" s="40" t="s">
        <v>82</v>
      </c>
      <c r="D537" s="34" t="s">
        <v>8186</v>
      </c>
      <c r="E537" s="27" t="s">
        <v>3655</v>
      </c>
      <c r="F537" s="34"/>
      <c r="G537" s="9" t="s">
        <v>8188</v>
      </c>
      <c r="H537" s="27">
        <f>COUNTIF(关系明细!$D$2:$D$2253,B537)</f>
        <v>0</v>
      </c>
      <c r="I537" s="27">
        <f>COUNTIF(关系明细!$G$2:$G$2253,B537)</f>
        <v>1</v>
      </c>
    </row>
    <row r="538" spans="1:9" ht="16.5">
      <c r="A538" s="35" t="s">
        <v>3725</v>
      </c>
      <c r="B538" s="30" t="s">
        <v>3722</v>
      </c>
      <c r="C538" s="39" t="s">
        <v>82</v>
      </c>
      <c r="D538" s="35" t="s">
        <v>8186</v>
      </c>
      <c r="E538" s="29" t="s">
        <v>3655</v>
      </c>
      <c r="F538" s="35"/>
      <c r="G538" s="30" t="s">
        <v>8188</v>
      </c>
      <c r="H538" s="29">
        <f>COUNTIF(关系明细!$D$2:$D$2253,B538)</f>
        <v>0</v>
      </c>
      <c r="I538" s="29">
        <f>COUNTIF(关系明细!$G$2:$G$2253,B538)</f>
        <v>1</v>
      </c>
    </row>
    <row r="539" spans="1:9" ht="16.5">
      <c r="A539" s="34" t="s">
        <v>3719</v>
      </c>
      <c r="B539" s="9" t="s">
        <v>3716</v>
      </c>
      <c r="C539" s="40" t="s">
        <v>82</v>
      </c>
      <c r="D539" s="34" t="s">
        <v>8186</v>
      </c>
      <c r="E539" s="27" t="s">
        <v>3655</v>
      </c>
      <c r="F539" s="34"/>
      <c r="G539" s="9" t="s">
        <v>8188</v>
      </c>
      <c r="H539" s="27">
        <f>COUNTIF(关系明细!$D$2:$D$2253,B539)</f>
        <v>0</v>
      </c>
      <c r="I539" s="27">
        <f>COUNTIF(关系明细!$G$2:$G$2253,B539)</f>
        <v>1</v>
      </c>
    </row>
    <row r="540" spans="1:9" ht="16.5">
      <c r="A540" s="35" t="s">
        <v>3775</v>
      </c>
      <c r="B540" s="30" t="s">
        <v>3772</v>
      </c>
      <c r="C540" s="39" t="s">
        <v>82</v>
      </c>
      <c r="D540" s="35" t="s">
        <v>8186</v>
      </c>
      <c r="E540" s="29" t="s">
        <v>3655</v>
      </c>
      <c r="F540" s="35"/>
      <c r="G540" s="30" t="s">
        <v>8259</v>
      </c>
      <c r="H540" s="29">
        <f>COUNTIF(关系明细!$D$2:$D$2253,B540)</f>
        <v>0</v>
      </c>
      <c r="I540" s="29">
        <f>COUNTIF(关系明细!$G$2:$G$2253,B540)</f>
        <v>1</v>
      </c>
    </row>
    <row r="541" spans="1:9" ht="16.5">
      <c r="A541" s="34" t="s">
        <v>3779</v>
      </c>
      <c r="B541" s="9" t="s">
        <v>3776</v>
      </c>
      <c r="C541" s="40" t="s">
        <v>82</v>
      </c>
      <c r="D541" s="34" t="s">
        <v>8186</v>
      </c>
      <c r="E541" s="27" t="s">
        <v>3655</v>
      </c>
      <c r="F541" s="34"/>
      <c r="G541" s="9" t="s">
        <v>8189</v>
      </c>
      <c r="H541" s="27">
        <f>COUNTIF(关系明细!$D$2:$D$2253,B541)</f>
        <v>0</v>
      </c>
      <c r="I541" s="27">
        <f>COUNTIF(关系明细!$G$2:$G$2253,B541)</f>
        <v>1</v>
      </c>
    </row>
    <row r="542" spans="1:9" ht="16.5">
      <c r="A542" s="35" t="s">
        <v>3672</v>
      </c>
      <c r="B542" s="30" t="s">
        <v>3669</v>
      </c>
      <c r="C542" s="39" t="s">
        <v>82</v>
      </c>
      <c r="D542" s="35" t="s">
        <v>8186</v>
      </c>
      <c r="E542" s="29" t="s">
        <v>3655</v>
      </c>
      <c r="F542" s="35"/>
      <c r="G542" s="30" t="s">
        <v>8188</v>
      </c>
      <c r="H542" s="29">
        <f>COUNTIF(关系明细!$D$2:$D$2253,B542)</f>
        <v>0</v>
      </c>
      <c r="I542" s="29">
        <f>COUNTIF(关系明细!$G$2:$G$2253,B542)</f>
        <v>1</v>
      </c>
    </row>
    <row r="543" spans="1:9" ht="16.5">
      <c r="A543" s="34" t="s">
        <v>3858</v>
      </c>
      <c r="B543" s="9" t="s">
        <v>3854</v>
      </c>
      <c r="C543" s="40" t="s">
        <v>300</v>
      </c>
      <c r="D543" s="34" t="s">
        <v>8197</v>
      </c>
      <c r="E543" s="27" t="s">
        <v>3655</v>
      </c>
      <c r="F543" s="34"/>
      <c r="G543" s="9" t="s">
        <v>8381</v>
      </c>
      <c r="H543" s="27">
        <f>COUNTIF(关系明细!$D$2:$D$2253,B543)</f>
        <v>4</v>
      </c>
      <c r="I543" s="27">
        <f>COUNTIF(关系明细!$G$2:$G$2253,B543)</f>
        <v>2</v>
      </c>
    </row>
    <row r="544" spans="1:9" ht="16.5">
      <c r="A544" s="35" t="s">
        <v>3847</v>
      </c>
      <c r="B544" s="30" t="s">
        <v>3844</v>
      </c>
      <c r="C544" s="39" t="s">
        <v>300</v>
      </c>
      <c r="D544" s="35" t="s">
        <v>8197</v>
      </c>
      <c r="E544" s="29" t="s">
        <v>3655</v>
      </c>
      <c r="F544" s="35"/>
      <c r="G544" s="30" t="s">
        <v>8382</v>
      </c>
      <c r="H544" s="29">
        <f>COUNTIF(关系明细!$D$2:$D$2253,B544)</f>
        <v>4</v>
      </c>
      <c r="I544" s="29">
        <f>COUNTIF(关系明细!$G$2:$G$2253,B544)</f>
        <v>1</v>
      </c>
    </row>
    <row r="545" spans="1:9" ht="16.5">
      <c r="A545" s="34" t="s">
        <v>634</v>
      </c>
      <c r="B545" s="9" t="s">
        <v>630</v>
      </c>
      <c r="C545" s="40" t="s">
        <v>300</v>
      </c>
      <c r="D545" s="34" t="s">
        <v>8197</v>
      </c>
      <c r="E545" s="27" t="s">
        <v>3655</v>
      </c>
      <c r="F545" s="34"/>
      <c r="G545" s="9" t="s">
        <v>8383</v>
      </c>
      <c r="H545" s="27">
        <f>COUNTIF(关系明细!$D$2:$D$2253,B545)</f>
        <v>3</v>
      </c>
      <c r="I545" s="27">
        <f>COUNTIF(关系明细!$G$2:$G$2253,B545)</f>
        <v>2</v>
      </c>
    </row>
    <row r="546" spans="1:9" ht="16.5">
      <c r="A546" s="35" t="s">
        <v>3783</v>
      </c>
      <c r="B546" s="30" t="s">
        <v>3780</v>
      </c>
      <c r="C546" s="39" t="s">
        <v>204</v>
      </c>
      <c r="D546" s="35" t="s">
        <v>8201</v>
      </c>
      <c r="E546" s="29" t="s">
        <v>3655</v>
      </c>
      <c r="F546" s="30" t="s">
        <v>3664</v>
      </c>
      <c r="G546" s="35" t="s">
        <v>584</v>
      </c>
      <c r="H546" s="29">
        <f>COUNTIF(关系明细!$D$2:$D$2253,B546)</f>
        <v>1</v>
      </c>
      <c r="I546" s="29">
        <f>COUNTIF(关系明细!$G$2:$G$2253,B546)</f>
        <v>1</v>
      </c>
    </row>
    <row r="547" spans="1:9" ht="16.5">
      <c r="A547" s="34" t="s">
        <v>3788</v>
      </c>
      <c r="B547" s="9" t="s">
        <v>3785</v>
      </c>
      <c r="C547" s="40" t="s">
        <v>204</v>
      </c>
      <c r="D547" s="34" t="s">
        <v>8201</v>
      </c>
      <c r="E547" s="27" t="s">
        <v>3655</v>
      </c>
      <c r="F547" s="9" t="s">
        <v>3673</v>
      </c>
      <c r="G547" s="34" t="s">
        <v>584</v>
      </c>
      <c r="H547" s="27">
        <f>COUNTIF(关系明细!$D$2:$D$2253,B547)</f>
        <v>2</v>
      </c>
      <c r="I547" s="27">
        <f>COUNTIF(关系明细!$G$2:$G$2253,B547)</f>
        <v>1</v>
      </c>
    </row>
    <row r="548" spans="1:9" ht="16.5">
      <c r="A548" s="35" t="s">
        <v>3793</v>
      </c>
      <c r="B548" s="30" t="s">
        <v>3790</v>
      </c>
      <c r="C548" s="39" t="s">
        <v>204</v>
      </c>
      <c r="D548" s="35" t="s">
        <v>8201</v>
      </c>
      <c r="E548" s="29" t="s">
        <v>3655</v>
      </c>
      <c r="F548" s="30" t="s">
        <v>3673</v>
      </c>
      <c r="G548" s="35" t="s">
        <v>584</v>
      </c>
      <c r="H548" s="29">
        <f>COUNTIF(关系明细!$D$2:$D$2253,B548)</f>
        <v>1</v>
      </c>
      <c r="I548" s="29">
        <f>COUNTIF(关系明细!$G$2:$G$2253,B548)</f>
        <v>1</v>
      </c>
    </row>
    <row r="549" spans="1:9" ht="16.5">
      <c r="A549" s="34" t="s">
        <v>3798</v>
      </c>
      <c r="B549" s="9" t="s">
        <v>3795</v>
      </c>
      <c r="C549" s="40" t="s">
        <v>204</v>
      </c>
      <c r="D549" s="34" t="s">
        <v>8201</v>
      </c>
      <c r="E549" s="27" t="s">
        <v>3655</v>
      </c>
      <c r="F549" s="9" t="s">
        <v>3688</v>
      </c>
      <c r="G549" s="34" t="s">
        <v>584</v>
      </c>
      <c r="H549" s="27">
        <f>COUNTIF(关系明细!$D$2:$D$2253,B549)</f>
        <v>1</v>
      </c>
      <c r="I549" s="27">
        <f>COUNTIF(关系明细!$G$2:$G$2253,B549)</f>
        <v>1</v>
      </c>
    </row>
    <row r="550" spans="1:9" ht="16.5">
      <c r="A550" s="35" t="s">
        <v>3803</v>
      </c>
      <c r="B550" s="30" t="s">
        <v>3800</v>
      </c>
      <c r="C550" s="39" t="s">
        <v>204</v>
      </c>
      <c r="D550" s="35" t="s">
        <v>8201</v>
      </c>
      <c r="E550" s="29" t="s">
        <v>3655</v>
      </c>
      <c r="F550" s="30" t="s">
        <v>3696</v>
      </c>
      <c r="G550" s="35" t="s">
        <v>584</v>
      </c>
      <c r="H550" s="29">
        <f>COUNTIF(关系明细!$D$2:$D$2253,B550)</f>
        <v>1</v>
      </c>
      <c r="I550" s="29">
        <f>COUNTIF(关系明细!$G$2:$G$2253,B550)</f>
        <v>1</v>
      </c>
    </row>
    <row r="551" spans="1:9" ht="16.5">
      <c r="A551" s="34" t="s">
        <v>3808</v>
      </c>
      <c r="B551" s="9" t="s">
        <v>3805</v>
      </c>
      <c r="C551" s="40" t="s">
        <v>204</v>
      </c>
      <c r="D551" s="34" t="s">
        <v>8201</v>
      </c>
      <c r="E551" s="27" t="s">
        <v>3655</v>
      </c>
      <c r="F551" s="9" t="s">
        <v>3696</v>
      </c>
      <c r="G551" s="34" t="s">
        <v>584</v>
      </c>
      <c r="H551" s="27">
        <f>COUNTIF(关系明细!$D$2:$D$2253,B551)</f>
        <v>1</v>
      </c>
      <c r="I551" s="27">
        <f>COUNTIF(关系明细!$G$2:$G$2253,B551)</f>
        <v>1</v>
      </c>
    </row>
    <row r="552" spans="1:9" ht="16.5">
      <c r="A552" s="35" t="s">
        <v>3813</v>
      </c>
      <c r="B552" s="30" t="s">
        <v>3810</v>
      </c>
      <c r="C552" s="39" t="s">
        <v>204</v>
      </c>
      <c r="D552" s="35" t="s">
        <v>8201</v>
      </c>
      <c r="E552" s="29" t="s">
        <v>3655</v>
      </c>
      <c r="F552" s="30" t="s">
        <v>3712</v>
      </c>
      <c r="G552" s="35" t="s">
        <v>584</v>
      </c>
      <c r="H552" s="29">
        <f>COUNTIF(关系明细!$D$2:$D$2253,B552)</f>
        <v>1</v>
      </c>
      <c r="I552" s="29">
        <f>COUNTIF(关系明细!$G$2:$G$2253,B552)</f>
        <v>1</v>
      </c>
    </row>
    <row r="553" spans="1:9" ht="16.5">
      <c r="A553" s="34" t="s">
        <v>3818</v>
      </c>
      <c r="B553" s="9" t="s">
        <v>3815</v>
      </c>
      <c r="C553" s="40" t="s">
        <v>204</v>
      </c>
      <c r="D553" s="34" t="s">
        <v>8201</v>
      </c>
      <c r="E553" s="27" t="s">
        <v>3655</v>
      </c>
      <c r="F553" s="9" t="s">
        <v>2787</v>
      </c>
      <c r="G553" s="34" t="s">
        <v>584</v>
      </c>
      <c r="H553" s="27">
        <f>COUNTIF(关系明细!$D$2:$D$2253,B553)</f>
        <v>1</v>
      </c>
      <c r="I553" s="27">
        <f>COUNTIF(关系明细!$G$2:$G$2253,B553)</f>
        <v>1</v>
      </c>
    </row>
    <row r="554" spans="1:9" ht="16.5">
      <c r="A554" s="35" t="s">
        <v>3823</v>
      </c>
      <c r="B554" s="30" t="s">
        <v>3820</v>
      </c>
      <c r="C554" s="39" t="s">
        <v>204</v>
      </c>
      <c r="D554" s="35" t="s">
        <v>8201</v>
      </c>
      <c r="E554" s="29" t="s">
        <v>3655</v>
      </c>
      <c r="F554" s="30" t="s">
        <v>3726</v>
      </c>
      <c r="G554" s="35" t="s">
        <v>584</v>
      </c>
      <c r="H554" s="29">
        <f>COUNTIF(关系明细!$D$2:$D$2253,B554)</f>
        <v>1</v>
      </c>
      <c r="I554" s="29">
        <f>COUNTIF(关系明细!$G$2:$G$2253,B554)</f>
        <v>1</v>
      </c>
    </row>
    <row r="555" spans="1:9" ht="16.5">
      <c r="A555" s="34" t="s">
        <v>3828</v>
      </c>
      <c r="B555" s="9" t="s">
        <v>3825</v>
      </c>
      <c r="C555" s="40" t="s">
        <v>204</v>
      </c>
      <c r="D555" s="34" t="s">
        <v>8201</v>
      </c>
      <c r="E555" s="27" t="s">
        <v>3655</v>
      </c>
      <c r="F555" s="9" t="s">
        <v>3749</v>
      </c>
      <c r="G555" s="34" t="s">
        <v>584</v>
      </c>
      <c r="H555" s="27">
        <f>COUNTIF(关系明细!$D$2:$D$2253,B555)</f>
        <v>2</v>
      </c>
      <c r="I555" s="27">
        <f>COUNTIF(关系明细!$G$2:$G$2253,B555)</f>
        <v>1</v>
      </c>
    </row>
    <row r="556" spans="1:9" ht="16.5">
      <c r="A556" s="35" t="s">
        <v>3833</v>
      </c>
      <c r="B556" s="30" t="s">
        <v>3830</v>
      </c>
      <c r="C556" s="39" t="s">
        <v>204</v>
      </c>
      <c r="D556" s="35" t="s">
        <v>8201</v>
      </c>
      <c r="E556" s="29" t="s">
        <v>3655</v>
      </c>
      <c r="F556" s="30" t="s">
        <v>3749</v>
      </c>
      <c r="G556" s="35" t="s">
        <v>584</v>
      </c>
      <c r="H556" s="29">
        <f>COUNTIF(关系明细!$D$2:$D$2253,B556)</f>
        <v>2</v>
      </c>
      <c r="I556" s="29">
        <f>COUNTIF(关系明细!$G$2:$G$2253,B556)</f>
        <v>3</v>
      </c>
    </row>
    <row r="557" spans="1:9" ht="16.5">
      <c r="A557" s="34" t="s">
        <v>3838</v>
      </c>
      <c r="B557" s="9" t="s">
        <v>3835</v>
      </c>
      <c r="C557" s="40" t="s">
        <v>204</v>
      </c>
      <c r="D557" s="34" t="s">
        <v>8201</v>
      </c>
      <c r="E557" s="27" t="s">
        <v>3655</v>
      </c>
      <c r="F557" s="9" t="s">
        <v>3768</v>
      </c>
      <c r="G557" s="34" t="s">
        <v>584</v>
      </c>
      <c r="H557" s="27">
        <f>COUNTIF(关系明细!$D$2:$D$2253,B557)</f>
        <v>2</v>
      </c>
      <c r="I557" s="27">
        <f>COUNTIF(关系明细!$G$2:$G$2253,B557)</f>
        <v>1</v>
      </c>
    </row>
    <row r="558" spans="1:9" ht="16.5">
      <c r="A558" s="35" t="s">
        <v>3843</v>
      </c>
      <c r="B558" s="30" t="s">
        <v>3840</v>
      </c>
      <c r="C558" s="39" t="s">
        <v>204</v>
      </c>
      <c r="D558" s="35" t="s">
        <v>8201</v>
      </c>
      <c r="E558" s="29" t="s">
        <v>3655</v>
      </c>
      <c r="F558" s="30" t="s">
        <v>3749</v>
      </c>
      <c r="G558" s="35" t="s">
        <v>584</v>
      </c>
      <c r="H558" s="29">
        <f>COUNTIF(关系明细!$D$2:$D$2253,B558)</f>
        <v>1</v>
      </c>
      <c r="I558" s="29">
        <f>COUNTIF(关系明细!$G$2:$G$2253,B558)</f>
        <v>1</v>
      </c>
    </row>
    <row r="559" spans="1:9" ht="16.5">
      <c r="A559" s="34" t="s">
        <v>3135</v>
      </c>
      <c r="B559" s="9" t="s">
        <v>3131</v>
      </c>
      <c r="C559" s="40" t="s">
        <v>44</v>
      </c>
      <c r="D559" s="34" t="s">
        <v>8172</v>
      </c>
      <c r="E559" s="27" t="s">
        <v>3945</v>
      </c>
      <c r="F559" s="34"/>
      <c r="G559" s="34" t="s">
        <v>8384</v>
      </c>
      <c r="H559" s="27">
        <f>COUNTIF(关系明细!$D$2:$D$2253,B559)</f>
        <v>5</v>
      </c>
      <c r="I559" s="27">
        <f>COUNTIF(关系明细!$G$2:$G$2253,B559)</f>
        <v>3</v>
      </c>
    </row>
    <row r="560" spans="1:9" ht="16.5">
      <c r="A560" s="35" t="s">
        <v>3922</v>
      </c>
      <c r="B560" s="30" t="s">
        <v>3920</v>
      </c>
      <c r="C560" s="39" t="s">
        <v>62</v>
      </c>
      <c r="D560" s="35" t="s">
        <v>8174</v>
      </c>
      <c r="E560" s="29" t="s">
        <v>3945</v>
      </c>
      <c r="F560" s="35"/>
      <c r="G560" s="30" t="s">
        <v>8385</v>
      </c>
      <c r="H560" s="29">
        <f>COUNTIF(关系明细!$D$2:$D$2253,B560)</f>
        <v>15</v>
      </c>
      <c r="I560" s="29">
        <f>COUNTIF(关系明细!$G$2:$G$2253,B560)</f>
        <v>2</v>
      </c>
    </row>
    <row r="561" spans="1:9" ht="16.5">
      <c r="A561" s="34" t="s">
        <v>4068</v>
      </c>
      <c r="B561" s="9" t="s">
        <v>4065</v>
      </c>
      <c r="C561" s="40" t="s">
        <v>62</v>
      </c>
      <c r="D561" s="34" t="s">
        <v>8174</v>
      </c>
      <c r="E561" s="27" t="s">
        <v>3945</v>
      </c>
      <c r="F561" s="34"/>
      <c r="G561" s="9" t="s">
        <v>8386</v>
      </c>
      <c r="H561" s="27">
        <f>COUNTIF(关系明细!$D$2:$D$2253,B561)</f>
        <v>5</v>
      </c>
      <c r="I561" s="27">
        <f>COUNTIF(关系明细!$G$2:$G$2253,B561)</f>
        <v>3</v>
      </c>
    </row>
    <row r="562" spans="1:9" ht="16.5">
      <c r="A562" s="35" t="s">
        <v>3931</v>
      </c>
      <c r="B562" s="30" t="s">
        <v>3928</v>
      </c>
      <c r="C562" s="39" t="s">
        <v>62</v>
      </c>
      <c r="D562" s="35" t="s">
        <v>8174</v>
      </c>
      <c r="E562" s="29" t="s">
        <v>3945</v>
      </c>
      <c r="F562" s="35"/>
      <c r="G562" s="30" t="s">
        <v>8387</v>
      </c>
      <c r="H562" s="29">
        <f>COUNTIF(关系明细!$D$2:$D$2253,B562)</f>
        <v>34</v>
      </c>
      <c r="I562" s="29">
        <f>COUNTIF(关系明细!$G$2:$G$2253,B562)</f>
        <v>10</v>
      </c>
    </row>
    <row r="563" spans="1:9" ht="16.5">
      <c r="A563" s="34" t="s">
        <v>3620</v>
      </c>
      <c r="B563" s="34" t="s">
        <v>3617</v>
      </c>
      <c r="C563" s="40" t="s">
        <v>62</v>
      </c>
      <c r="D563" s="34" t="s">
        <v>8174</v>
      </c>
      <c r="E563" s="27" t="s">
        <v>3945</v>
      </c>
      <c r="F563" s="34"/>
      <c r="G563" s="9" t="s">
        <v>8388</v>
      </c>
      <c r="H563" s="27">
        <f>COUNTIF(关系明细!$D$2:$D$2253,B563)</f>
        <v>6</v>
      </c>
      <c r="I563" s="27">
        <f>COUNTIF(关系明细!$G$2:$G$2253,B563)</f>
        <v>3</v>
      </c>
    </row>
    <row r="564" spans="1:9" ht="16.5">
      <c r="A564" s="35" t="s">
        <v>4013</v>
      </c>
      <c r="B564" s="30" t="s">
        <v>4010</v>
      </c>
      <c r="C564" s="39" t="s">
        <v>72</v>
      </c>
      <c r="D564" s="35" t="s">
        <v>8181</v>
      </c>
      <c r="E564" s="29" t="s">
        <v>3945</v>
      </c>
      <c r="F564" s="35"/>
      <c r="G564" s="30" t="s">
        <v>8389</v>
      </c>
      <c r="H564" s="29">
        <f>COUNTIF(关系明细!$D$2:$D$2253,B564)</f>
        <v>0</v>
      </c>
      <c r="I564" s="29">
        <f>COUNTIF(关系明细!$G$2:$G$2253,B564)</f>
        <v>1</v>
      </c>
    </row>
    <row r="565" spans="1:9" ht="16.5">
      <c r="A565" s="34" t="s">
        <v>4016</v>
      </c>
      <c r="B565" s="9" t="s">
        <v>4014</v>
      </c>
      <c r="C565" s="40" t="s">
        <v>72</v>
      </c>
      <c r="D565" s="34" t="s">
        <v>8181</v>
      </c>
      <c r="E565" s="27" t="s">
        <v>3945</v>
      </c>
      <c r="F565" s="34"/>
      <c r="G565" s="9" t="s">
        <v>8389</v>
      </c>
      <c r="H565" s="27">
        <f>COUNTIF(关系明细!$D$2:$D$2253,B565)</f>
        <v>0</v>
      </c>
      <c r="I565" s="27">
        <f>COUNTIF(关系明细!$G$2:$G$2253,B565)</f>
        <v>1</v>
      </c>
    </row>
    <row r="566" spans="1:9" ht="16.5">
      <c r="A566" s="35" t="s">
        <v>4019</v>
      </c>
      <c r="B566" s="30" t="s">
        <v>4017</v>
      </c>
      <c r="C566" s="39" t="s">
        <v>72</v>
      </c>
      <c r="D566" s="35" t="s">
        <v>8181</v>
      </c>
      <c r="E566" s="29" t="s">
        <v>3945</v>
      </c>
      <c r="F566" s="35"/>
      <c r="G566" s="30" t="s">
        <v>8389</v>
      </c>
      <c r="H566" s="29">
        <f>COUNTIF(关系明细!$D$2:$D$2253,B566)</f>
        <v>0</v>
      </c>
      <c r="I566" s="29">
        <f>COUNTIF(关系明细!$G$2:$G$2253,B566)</f>
        <v>1</v>
      </c>
    </row>
    <row r="567" spans="1:9" ht="16.5">
      <c r="A567" s="34" t="s">
        <v>4022</v>
      </c>
      <c r="B567" s="9" t="s">
        <v>4020</v>
      </c>
      <c r="C567" s="40" t="s">
        <v>72</v>
      </c>
      <c r="D567" s="34" t="s">
        <v>8181</v>
      </c>
      <c r="E567" s="27" t="s">
        <v>3945</v>
      </c>
      <c r="F567" s="34"/>
      <c r="G567" s="9" t="s">
        <v>8389</v>
      </c>
      <c r="H567" s="27">
        <f>COUNTIF(关系明细!$D$2:$D$2253,B567)</f>
        <v>0</v>
      </c>
      <c r="I567" s="27">
        <f>COUNTIF(关系明细!$G$2:$G$2253,B567)</f>
        <v>1</v>
      </c>
    </row>
    <row r="568" spans="1:9" ht="16.5">
      <c r="A568" s="35" t="s">
        <v>4025</v>
      </c>
      <c r="B568" s="30" t="s">
        <v>4023</v>
      </c>
      <c r="C568" s="39" t="s">
        <v>72</v>
      </c>
      <c r="D568" s="35" t="s">
        <v>8181</v>
      </c>
      <c r="E568" s="29" t="s">
        <v>3945</v>
      </c>
      <c r="F568" s="35"/>
      <c r="G568" s="30" t="s">
        <v>8389</v>
      </c>
      <c r="H568" s="29">
        <f>COUNTIF(关系明细!$D$2:$D$2253,B568)</f>
        <v>0</v>
      </c>
      <c r="I568" s="29">
        <f>COUNTIF(关系明细!$G$2:$G$2253,B568)</f>
        <v>1</v>
      </c>
    </row>
    <row r="569" spans="1:9" ht="16.5">
      <c r="A569" s="34" t="s">
        <v>4028</v>
      </c>
      <c r="B569" s="9" t="s">
        <v>4026</v>
      </c>
      <c r="C569" s="40" t="s">
        <v>72</v>
      </c>
      <c r="D569" s="34" t="s">
        <v>8181</v>
      </c>
      <c r="E569" s="27" t="s">
        <v>3945</v>
      </c>
      <c r="F569" s="34"/>
      <c r="G569" s="9" t="s">
        <v>8389</v>
      </c>
      <c r="H569" s="27">
        <f>COUNTIF(关系明细!$D$2:$D$2253,B569)</f>
        <v>0</v>
      </c>
      <c r="I569" s="27">
        <f>COUNTIF(关系明细!$G$2:$G$2253,B569)</f>
        <v>1</v>
      </c>
    </row>
    <row r="570" spans="1:9" ht="16.5">
      <c r="A570" s="35" t="s">
        <v>4031</v>
      </c>
      <c r="B570" s="30" t="s">
        <v>4029</v>
      </c>
      <c r="C570" s="39" t="s">
        <v>72</v>
      </c>
      <c r="D570" s="35" t="s">
        <v>8181</v>
      </c>
      <c r="E570" s="29" t="s">
        <v>3945</v>
      </c>
      <c r="F570" s="35"/>
      <c r="G570" s="30" t="s">
        <v>8389</v>
      </c>
      <c r="H570" s="29">
        <f>COUNTIF(关系明细!$D$2:$D$2253,B570)</f>
        <v>0</v>
      </c>
      <c r="I570" s="29">
        <f>COUNTIF(关系明细!$G$2:$G$2253,B570)</f>
        <v>1</v>
      </c>
    </row>
    <row r="571" spans="1:9" ht="16.5">
      <c r="A571" s="34" t="s">
        <v>4034</v>
      </c>
      <c r="B571" s="9" t="s">
        <v>4032</v>
      </c>
      <c r="C571" s="40" t="s">
        <v>72</v>
      </c>
      <c r="D571" s="34" t="s">
        <v>8181</v>
      </c>
      <c r="E571" s="27" t="s">
        <v>3945</v>
      </c>
      <c r="F571" s="34"/>
      <c r="G571" s="9" t="s">
        <v>8389</v>
      </c>
      <c r="H571" s="27">
        <f>COUNTIF(关系明细!$D$2:$D$2253,B571)</f>
        <v>0</v>
      </c>
      <c r="I571" s="27">
        <f>COUNTIF(关系明细!$G$2:$G$2253,B571)</f>
        <v>1</v>
      </c>
    </row>
    <row r="572" spans="1:9" ht="16.5">
      <c r="A572" s="35" t="s">
        <v>4037</v>
      </c>
      <c r="B572" s="30" t="s">
        <v>4035</v>
      </c>
      <c r="C572" s="39" t="s">
        <v>72</v>
      </c>
      <c r="D572" s="35" t="s">
        <v>8181</v>
      </c>
      <c r="E572" s="29" t="s">
        <v>3945</v>
      </c>
      <c r="F572" s="35"/>
      <c r="G572" s="30" t="s">
        <v>8389</v>
      </c>
      <c r="H572" s="29">
        <f>COUNTIF(关系明细!$D$2:$D$2253,B572)</f>
        <v>0</v>
      </c>
      <c r="I572" s="29">
        <f>COUNTIF(关系明细!$G$2:$G$2253,B572)</f>
        <v>1</v>
      </c>
    </row>
    <row r="573" spans="1:9" ht="16.5">
      <c r="A573" s="34" t="s">
        <v>4040</v>
      </c>
      <c r="B573" s="9" t="s">
        <v>4038</v>
      </c>
      <c r="C573" s="40" t="s">
        <v>72</v>
      </c>
      <c r="D573" s="34" t="s">
        <v>8181</v>
      </c>
      <c r="E573" s="27" t="s">
        <v>3945</v>
      </c>
      <c r="F573" s="34"/>
      <c r="G573" s="9" t="s">
        <v>8389</v>
      </c>
      <c r="H573" s="27">
        <f>COUNTIF(关系明细!$D$2:$D$2253,B573)</f>
        <v>0</v>
      </c>
      <c r="I573" s="27">
        <f>COUNTIF(关系明细!$G$2:$G$2253,B573)</f>
        <v>1</v>
      </c>
    </row>
    <row r="574" spans="1:9" ht="16.5">
      <c r="A574" s="35" t="s">
        <v>4043</v>
      </c>
      <c r="B574" s="30" t="s">
        <v>4041</v>
      </c>
      <c r="C574" s="39" t="s">
        <v>72</v>
      </c>
      <c r="D574" s="35" t="s">
        <v>8181</v>
      </c>
      <c r="E574" s="29" t="s">
        <v>3945</v>
      </c>
      <c r="F574" s="35"/>
      <c r="G574" s="30" t="s">
        <v>8389</v>
      </c>
      <c r="H574" s="29">
        <f>COUNTIF(关系明细!$D$2:$D$2253,B574)</f>
        <v>0</v>
      </c>
      <c r="I574" s="29">
        <f>COUNTIF(关系明细!$G$2:$G$2253,B574)</f>
        <v>1</v>
      </c>
    </row>
    <row r="575" spans="1:9" ht="16.5">
      <c r="A575" s="34" t="s">
        <v>3953</v>
      </c>
      <c r="B575" s="9" t="s">
        <v>3950</v>
      </c>
      <c r="C575" s="40" t="s">
        <v>72</v>
      </c>
      <c r="D575" s="34" t="s">
        <v>8181</v>
      </c>
      <c r="E575" s="27" t="s">
        <v>3945</v>
      </c>
      <c r="F575" s="34"/>
      <c r="G575" s="9" t="s">
        <v>8390</v>
      </c>
      <c r="H575" s="27">
        <f>COUNTIF(关系明细!$D$2:$D$2253,B575)</f>
        <v>0</v>
      </c>
      <c r="I575" s="27">
        <f>COUNTIF(关系明细!$G$2:$G$2253,B575)</f>
        <v>1</v>
      </c>
    </row>
    <row r="576" spans="1:9" ht="16.5">
      <c r="A576" s="35" t="s">
        <v>3956</v>
      </c>
      <c r="B576" s="30" t="s">
        <v>3954</v>
      </c>
      <c r="C576" s="39" t="s">
        <v>72</v>
      </c>
      <c r="D576" s="35" t="s">
        <v>8181</v>
      </c>
      <c r="E576" s="29" t="s">
        <v>3945</v>
      </c>
      <c r="F576" s="35"/>
      <c r="G576" s="30" t="s">
        <v>8390</v>
      </c>
      <c r="H576" s="29">
        <f>COUNTIF(关系明细!$D$2:$D$2253,B576)</f>
        <v>0</v>
      </c>
      <c r="I576" s="29">
        <f>COUNTIF(关系明细!$G$2:$G$2253,B576)</f>
        <v>1</v>
      </c>
    </row>
    <row r="577" spans="1:9" ht="16.5">
      <c r="A577" s="34" t="s">
        <v>3959</v>
      </c>
      <c r="B577" s="9" t="s">
        <v>3957</v>
      </c>
      <c r="C577" s="40" t="s">
        <v>72</v>
      </c>
      <c r="D577" s="34" t="s">
        <v>8181</v>
      </c>
      <c r="E577" s="27" t="s">
        <v>3945</v>
      </c>
      <c r="F577" s="34"/>
      <c r="G577" s="9" t="s">
        <v>8390</v>
      </c>
      <c r="H577" s="27">
        <f>COUNTIF(关系明细!$D$2:$D$2253,B577)</f>
        <v>0</v>
      </c>
      <c r="I577" s="27">
        <f>COUNTIF(关系明细!$G$2:$G$2253,B577)</f>
        <v>1</v>
      </c>
    </row>
    <row r="578" spans="1:9" ht="16.5">
      <c r="A578" s="35" t="s">
        <v>3962</v>
      </c>
      <c r="B578" s="30" t="s">
        <v>3960</v>
      </c>
      <c r="C578" s="39" t="s">
        <v>72</v>
      </c>
      <c r="D578" s="35" t="s">
        <v>8181</v>
      </c>
      <c r="E578" s="29" t="s">
        <v>3945</v>
      </c>
      <c r="F578" s="35"/>
      <c r="G578" s="30" t="s">
        <v>8390</v>
      </c>
      <c r="H578" s="29">
        <f>COUNTIF(关系明细!$D$2:$D$2253,B578)</f>
        <v>0</v>
      </c>
      <c r="I578" s="29">
        <f>COUNTIF(关系明细!$G$2:$G$2253,B578)</f>
        <v>1</v>
      </c>
    </row>
    <row r="579" spans="1:9" ht="16.5">
      <c r="A579" s="34" t="s">
        <v>3965</v>
      </c>
      <c r="B579" s="9" t="s">
        <v>3963</v>
      </c>
      <c r="C579" s="40" t="s">
        <v>72</v>
      </c>
      <c r="D579" s="34" t="s">
        <v>8181</v>
      </c>
      <c r="E579" s="27" t="s">
        <v>3945</v>
      </c>
      <c r="F579" s="34"/>
      <c r="G579" s="9" t="s">
        <v>8390</v>
      </c>
      <c r="H579" s="27">
        <f>COUNTIF(关系明细!$D$2:$D$2253,B579)</f>
        <v>0</v>
      </c>
      <c r="I579" s="27">
        <f>COUNTIF(关系明细!$G$2:$G$2253,B579)</f>
        <v>1</v>
      </c>
    </row>
    <row r="580" spans="1:9" ht="16.5">
      <c r="A580" s="35" t="s">
        <v>3968</v>
      </c>
      <c r="B580" s="30" t="s">
        <v>3966</v>
      </c>
      <c r="C580" s="39" t="s">
        <v>72</v>
      </c>
      <c r="D580" s="35" t="s">
        <v>8181</v>
      </c>
      <c r="E580" s="29" t="s">
        <v>3945</v>
      </c>
      <c r="F580" s="35"/>
      <c r="G580" s="30" t="s">
        <v>8390</v>
      </c>
      <c r="H580" s="29">
        <f>COUNTIF(关系明细!$D$2:$D$2253,B580)</f>
        <v>0</v>
      </c>
      <c r="I580" s="29">
        <f>COUNTIF(关系明细!$G$2:$G$2253,B580)</f>
        <v>1</v>
      </c>
    </row>
    <row r="581" spans="1:9" ht="16.5">
      <c r="A581" s="34" t="s">
        <v>3971</v>
      </c>
      <c r="B581" s="9" t="s">
        <v>3969</v>
      </c>
      <c r="C581" s="40" t="s">
        <v>72</v>
      </c>
      <c r="D581" s="34" t="s">
        <v>8181</v>
      </c>
      <c r="E581" s="27" t="s">
        <v>3945</v>
      </c>
      <c r="F581" s="34"/>
      <c r="G581" s="9" t="s">
        <v>8390</v>
      </c>
      <c r="H581" s="27">
        <f>COUNTIF(关系明细!$D$2:$D$2253,B581)</f>
        <v>0</v>
      </c>
      <c r="I581" s="27">
        <f>COUNTIF(关系明细!$G$2:$G$2253,B581)</f>
        <v>1</v>
      </c>
    </row>
    <row r="582" spans="1:9" ht="16.5">
      <c r="A582" s="35" t="s">
        <v>3974</v>
      </c>
      <c r="B582" s="30" t="s">
        <v>3972</v>
      </c>
      <c r="C582" s="39" t="s">
        <v>72</v>
      </c>
      <c r="D582" s="35" t="s">
        <v>8181</v>
      </c>
      <c r="E582" s="29" t="s">
        <v>3945</v>
      </c>
      <c r="F582" s="35"/>
      <c r="G582" s="30" t="s">
        <v>8390</v>
      </c>
      <c r="H582" s="29">
        <f>COUNTIF(关系明细!$D$2:$D$2253,B582)</f>
        <v>0</v>
      </c>
      <c r="I582" s="29">
        <f>COUNTIF(关系明细!$G$2:$G$2253,B582)</f>
        <v>1</v>
      </c>
    </row>
    <row r="583" spans="1:9" ht="16.5">
      <c r="A583" s="34" t="s">
        <v>3977</v>
      </c>
      <c r="B583" s="9" t="s">
        <v>3975</v>
      </c>
      <c r="C583" s="40" t="s">
        <v>72</v>
      </c>
      <c r="D583" s="34" t="s">
        <v>8181</v>
      </c>
      <c r="E583" s="27" t="s">
        <v>3945</v>
      </c>
      <c r="F583" s="34"/>
      <c r="G583" s="9" t="s">
        <v>8390</v>
      </c>
      <c r="H583" s="27">
        <f>COUNTIF(关系明细!$D$2:$D$2253,B583)</f>
        <v>0</v>
      </c>
      <c r="I583" s="27">
        <f>COUNTIF(关系明细!$G$2:$G$2253,B583)</f>
        <v>1</v>
      </c>
    </row>
    <row r="584" spans="1:9" ht="16.5">
      <c r="A584" s="35" t="s">
        <v>3980</v>
      </c>
      <c r="B584" s="30" t="s">
        <v>3978</v>
      </c>
      <c r="C584" s="39" t="s">
        <v>72</v>
      </c>
      <c r="D584" s="35" t="s">
        <v>8181</v>
      </c>
      <c r="E584" s="29" t="s">
        <v>3945</v>
      </c>
      <c r="F584" s="35"/>
      <c r="G584" s="30" t="s">
        <v>8390</v>
      </c>
      <c r="H584" s="29">
        <f>COUNTIF(关系明细!$D$2:$D$2253,B584)</f>
        <v>0</v>
      </c>
      <c r="I584" s="29">
        <f>COUNTIF(关系明细!$G$2:$G$2253,B584)</f>
        <v>1</v>
      </c>
    </row>
    <row r="585" spans="1:9" ht="16.5">
      <c r="A585" s="34" t="s">
        <v>3983</v>
      </c>
      <c r="B585" s="9" t="s">
        <v>3981</v>
      </c>
      <c r="C585" s="40" t="s">
        <v>72</v>
      </c>
      <c r="D585" s="34" t="s">
        <v>8181</v>
      </c>
      <c r="E585" s="27" t="s">
        <v>3945</v>
      </c>
      <c r="F585" s="34"/>
      <c r="G585" s="9" t="s">
        <v>8390</v>
      </c>
      <c r="H585" s="27">
        <f>COUNTIF(关系明细!$D$2:$D$2253,B585)</f>
        <v>0</v>
      </c>
      <c r="I585" s="27">
        <f>COUNTIF(关系明细!$G$2:$G$2253,B585)</f>
        <v>1</v>
      </c>
    </row>
    <row r="586" spans="1:9" ht="16.5">
      <c r="A586" s="35" t="s">
        <v>4057</v>
      </c>
      <c r="B586" s="35" t="s">
        <v>4054</v>
      </c>
      <c r="C586" s="39" t="s">
        <v>72</v>
      </c>
      <c r="D586" s="35" t="s">
        <v>8181</v>
      </c>
      <c r="E586" s="29" t="s">
        <v>3945</v>
      </c>
      <c r="F586" s="35"/>
      <c r="G586" s="35" t="s">
        <v>8391</v>
      </c>
      <c r="H586" s="29">
        <f>COUNTIF(关系明细!$D$2:$D$2253,B586)</f>
        <v>0</v>
      </c>
      <c r="I586" s="29">
        <f>COUNTIF(关系明细!$G$2:$G$2253,B586)</f>
        <v>1</v>
      </c>
    </row>
    <row r="587" spans="1:9" ht="16.5">
      <c r="A587" s="34" t="s">
        <v>4060</v>
      </c>
      <c r="B587" s="34" t="s">
        <v>4058</v>
      </c>
      <c r="C587" s="40" t="s">
        <v>72</v>
      </c>
      <c r="D587" s="34" t="s">
        <v>8181</v>
      </c>
      <c r="E587" s="27" t="s">
        <v>3945</v>
      </c>
      <c r="F587" s="34"/>
      <c r="G587" s="34" t="s">
        <v>8391</v>
      </c>
      <c r="H587" s="27">
        <f>COUNTIF(关系明细!$D$2:$D$2253,B587)</f>
        <v>0</v>
      </c>
      <c r="I587" s="27">
        <f>COUNTIF(关系明细!$G$2:$G$2253,B587)</f>
        <v>1</v>
      </c>
    </row>
    <row r="588" spans="1:9" ht="16.5">
      <c r="A588" s="35" t="s">
        <v>4047</v>
      </c>
      <c r="B588" s="30" t="s">
        <v>4044</v>
      </c>
      <c r="C588" s="39" t="s">
        <v>82</v>
      </c>
      <c r="D588" s="35" t="s">
        <v>8186</v>
      </c>
      <c r="E588" s="29" t="s">
        <v>3945</v>
      </c>
      <c r="F588" s="35"/>
      <c r="G588" s="30" t="s">
        <v>8188</v>
      </c>
      <c r="H588" s="29">
        <f>COUNTIF(关系明细!$D$2:$D$2253,B588)</f>
        <v>0</v>
      </c>
      <c r="I588" s="29">
        <f>COUNTIF(关系明细!$G$2:$G$2253,B588)</f>
        <v>1</v>
      </c>
    </row>
    <row r="589" spans="1:9" ht="16.5">
      <c r="A589" s="34" t="s">
        <v>4051</v>
      </c>
      <c r="B589" s="9" t="s">
        <v>4048</v>
      </c>
      <c r="C589" s="40" t="s">
        <v>82</v>
      </c>
      <c r="D589" s="34" t="s">
        <v>8186</v>
      </c>
      <c r="E589" s="27" t="s">
        <v>3945</v>
      </c>
      <c r="F589" s="34"/>
      <c r="G589" s="9" t="s">
        <v>8392</v>
      </c>
      <c r="H589" s="27">
        <f>COUNTIF(关系明细!$D$2:$D$2253,B589)</f>
        <v>0</v>
      </c>
      <c r="I589" s="27">
        <f>COUNTIF(关系明细!$G$2:$G$2253,B589)</f>
        <v>1</v>
      </c>
    </row>
    <row r="590" spans="1:9" ht="16.5">
      <c r="A590" s="35" t="s">
        <v>4072</v>
      </c>
      <c r="B590" s="30" t="s">
        <v>4069</v>
      </c>
      <c r="C590" s="39" t="s">
        <v>82</v>
      </c>
      <c r="D590" s="35" t="s">
        <v>8186</v>
      </c>
      <c r="E590" s="29" t="s">
        <v>3945</v>
      </c>
      <c r="F590" s="35"/>
      <c r="G590" s="30" t="s">
        <v>8188</v>
      </c>
      <c r="H590" s="29">
        <f>COUNTIF(关系明细!$D$2:$D$2253,B590)</f>
        <v>0</v>
      </c>
      <c r="I590" s="29">
        <f>COUNTIF(关系明细!$G$2:$G$2253,B590)</f>
        <v>1</v>
      </c>
    </row>
    <row r="591" spans="1:9" ht="16.5">
      <c r="A591" s="34" t="s">
        <v>4076</v>
      </c>
      <c r="B591" s="9" t="s">
        <v>4073</v>
      </c>
      <c r="C591" s="40" t="s">
        <v>82</v>
      </c>
      <c r="D591" s="34" t="s">
        <v>8186</v>
      </c>
      <c r="E591" s="27" t="s">
        <v>3945</v>
      </c>
      <c r="F591" s="34"/>
      <c r="G591" s="9" t="s">
        <v>1528</v>
      </c>
      <c r="H591" s="27">
        <f>COUNTIF(关系明细!$D$2:$D$2253,B591)</f>
        <v>0</v>
      </c>
      <c r="I591" s="27">
        <f>COUNTIF(关系明细!$G$2:$G$2253,B591)</f>
        <v>1</v>
      </c>
    </row>
    <row r="592" spans="1:9" ht="16.5">
      <c r="A592" s="35" t="s">
        <v>3987</v>
      </c>
      <c r="B592" s="30" t="s">
        <v>3984</v>
      </c>
      <c r="C592" s="39" t="s">
        <v>82</v>
      </c>
      <c r="D592" s="35" t="s">
        <v>8186</v>
      </c>
      <c r="E592" s="29" t="s">
        <v>3945</v>
      </c>
      <c r="F592" s="35"/>
      <c r="G592" s="30" t="s">
        <v>8393</v>
      </c>
      <c r="H592" s="29">
        <f>COUNTIF(关系明细!$D$2:$D$2253,B592)</f>
        <v>0</v>
      </c>
      <c r="I592" s="29">
        <f>COUNTIF(关系明细!$G$2:$G$2253,B592)</f>
        <v>1</v>
      </c>
    </row>
    <row r="593" spans="1:9" ht="16.5">
      <c r="A593" s="34" t="s">
        <v>3991</v>
      </c>
      <c r="B593" s="9" t="s">
        <v>3988</v>
      </c>
      <c r="C593" s="40" t="s">
        <v>82</v>
      </c>
      <c r="D593" s="34" t="s">
        <v>8186</v>
      </c>
      <c r="E593" s="27" t="s">
        <v>3945</v>
      </c>
      <c r="F593" s="34"/>
      <c r="G593" s="9" t="s">
        <v>8394</v>
      </c>
      <c r="H593" s="27">
        <f>COUNTIF(关系明细!$D$2:$D$2253,B593)</f>
        <v>0</v>
      </c>
      <c r="I593" s="27">
        <f>COUNTIF(关系明细!$G$2:$G$2253,B593)</f>
        <v>1</v>
      </c>
    </row>
    <row r="594" spans="1:9" ht="16.5">
      <c r="A594" s="35" t="s">
        <v>3995</v>
      </c>
      <c r="B594" s="30" t="s">
        <v>3992</v>
      </c>
      <c r="C594" s="39" t="s">
        <v>82</v>
      </c>
      <c r="D594" s="35" t="s">
        <v>8186</v>
      </c>
      <c r="E594" s="29" t="s">
        <v>3945</v>
      </c>
      <c r="F594" s="35"/>
      <c r="G594" s="30" t="s">
        <v>8395</v>
      </c>
      <c r="H594" s="29">
        <f>COUNTIF(关系明细!$D$2:$D$2253,B594)</f>
        <v>0</v>
      </c>
      <c r="I594" s="29">
        <f>COUNTIF(关系明细!$G$2:$G$2253,B594)</f>
        <v>1</v>
      </c>
    </row>
    <row r="595" spans="1:9" ht="16.5">
      <c r="A595" s="34" t="s">
        <v>3999</v>
      </c>
      <c r="B595" s="9" t="s">
        <v>3996</v>
      </c>
      <c r="C595" s="40" t="s">
        <v>82</v>
      </c>
      <c r="D595" s="34" t="s">
        <v>8186</v>
      </c>
      <c r="E595" s="27" t="s">
        <v>3945</v>
      </c>
      <c r="F595" s="34"/>
      <c r="G595" s="9" t="s">
        <v>8396</v>
      </c>
      <c r="H595" s="27">
        <f>COUNTIF(关系明细!$D$2:$D$2253,B595)</f>
        <v>0</v>
      </c>
      <c r="I595" s="27">
        <f>COUNTIF(关系明细!$G$2:$G$2253,B595)</f>
        <v>1</v>
      </c>
    </row>
    <row r="596" spans="1:9" ht="16.5">
      <c r="A596" s="35" t="s">
        <v>4003</v>
      </c>
      <c r="B596" s="30" t="s">
        <v>4000</v>
      </c>
      <c r="C596" s="39" t="s">
        <v>82</v>
      </c>
      <c r="D596" s="35" t="s">
        <v>8186</v>
      </c>
      <c r="E596" s="29" t="s">
        <v>3945</v>
      </c>
      <c r="F596" s="35"/>
      <c r="G596" s="30" t="s">
        <v>8189</v>
      </c>
      <c r="H596" s="29">
        <f>COUNTIF(关系明细!$D$2:$D$2253,B596)</f>
        <v>0</v>
      </c>
      <c r="I596" s="29">
        <f>COUNTIF(关系明细!$G$2:$G$2253,B596)</f>
        <v>1</v>
      </c>
    </row>
    <row r="597" spans="1:9" ht="16.5">
      <c r="A597" s="34" t="s">
        <v>4007</v>
      </c>
      <c r="B597" s="9" t="s">
        <v>4004</v>
      </c>
      <c r="C597" s="40" t="s">
        <v>82</v>
      </c>
      <c r="D597" s="34" t="s">
        <v>8186</v>
      </c>
      <c r="E597" s="27" t="s">
        <v>3945</v>
      </c>
      <c r="F597" s="34"/>
      <c r="G597" s="9" t="s">
        <v>8188</v>
      </c>
      <c r="H597" s="27">
        <f>COUNTIF(关系明细!$D$2:$D$2253,B597)</f>
        <v>0</v>
      </c>
      <c r="I597" s="27">
        <f>COUNTIF(关系明细!$G$2:$G$2253,B597)</f>
        <v>1</v>
      </c>
    </row>
    <row r="598" spans="1:9" ht="16.5">
      <c r="A598" s="35" t="s">
        <v>4064</v>
      </c>
      <c r="B598" s="35" t="s">
        <v>4061</v>
      </c>
      <c r="C598" s="39" t="s">
        <v>82</v>
      </c>
      <c r="D598" s="35" t="s">
        <v>8186</v>
      </c>
      <c r="E598" s="29" t="s">
        <v>3945</v>
      </c>
      <c r="F598" s="35"/>
      <c r="G598" s="30" t="s">
        <v>8188</v>
      </c>
      <c r="H598" s="29">
        <f>COUNTIF(关系明细!$D$2:$D$2253,B598)</f>
        <v>0</v>
      </c>
      <c r="I598" s="29">
        <f>COUNTIF(关系明细!$G$2:$G$2253,B598)</f>
        <v>1</v>
      </c>
    </row>
    <row r="599" spans="1:9" ht="16.5">
      <c r="A599" s="34" t="s">
        <v>4151</v>
      </c>
      <c r="B599" s="9" t="s">
        <v>4147</v>
      </c>
      <c r="C599" s="40" t="s">
        <v>300</v>
      </c>
      <c r="D599" s="34" t="s">
        <v>8197</v>
      </c>
      <c r="E599" s="27" t="s">
        <v>3945</v>
      </c>
      <c r="F599" s="34"/>
      <c r="G599" s="9" t="s">
        <v>8397</v>
      </c>
      <c r="H599" s="27">
        <f>COUNTIF(关系明细!$D$2:$D$2253,B599)</f>
        <v>5</v>
      </c>
      <c r="I599" s="27">
        <f>COUNTIF(关系明细!$G$2:$G$2253,B599)</f>
        <v>1</v>
      </c>
    </row>
    <row r="600" spans="1:9" ht="16.5">
      <c r="A600" s="35" t="s">
        <v>3587</v>
      </c>
      <c r="B600" s="35" t="s">
        <v>3583</v>
      </c>
      <c r="C600" s="39" t="s">
        <v>204</v>
      </c>
      <c r="D600" s="35" t="s">
        <v>8201</v>
      </c>
      <c r="E600" s="29" t="s">
        <v>3945</v>
      </c>
      <c r="F600" s="35" t="s">
        <v>3617</v>
      </c>
      <c r="G600" s="35" t="s">
        <v>584</v>
      </c>
      <c r="H600" s="29">
        <f>COUNTIF(关系明细!$D$2:$D$2253,B600)</f>
        <v>3</v>
      </c>
      <c r="I600" s="29">
        <f>COUNTIF(关系明细!$G$2:$G$2253,B600)</f>
        <v>1</v>
      </c>
    </row>
    <row r="601" spans="1:9" ht="16.5">
      <c r="A601" s="34" t="s">
        <v>3383</v>
      </c>
      <c r="B601" s="34" t="s">
        <v>3379</v>
      </c>
      <c r="C601" s="40" t="s">
        <v>204</v>
      </c>
      <c r="D601" s="34" t="s">
        <v>8201</v>
      </c>
      <c r="E601" s="27" t="s">
        <v>3945</v>
      </c>
      <c r="F601" s="34" t="s">
        <v>3617</v>
      </c>
      <c r="G601" s="34" t="s">
        <v>4079</v>
      </c>
      <c r="H601" s="27">
        <f>COUNTIF(关系明细!$D$2:$D$2253,B601)</f>
        <v>2</v>
      </c>
      <c r="I601" s="27">
        <f>COUNTIF(关系明细!$G$2:$G$2253,B601)</f>
        <v>3</v>
      </c>
    </row>
    <row r="602" spans="1:9" ht="16.5">
      <c r="A602" s="35" t="s">
        <v>3388</v>
      </c>
      <c r="B602" s="35" t="s">
        <v>3385</v>
      </c>
      <c r="C602" s="39" t="s">
        <v>204</v>
      </c>
      <c r="D602" s="35" t="s">
        <v>8201</v>
      </c>
      <c r="E602" s="29" t="s">
        <v>3945</v>
      </c>
      <c r="F602" s="30" t="s">
        <v>3928</v>
      </c>
      <c r="G602" s="30" t="s">
        <v>4081</v>
      </c>
      <c r="H602" s="29">
        <f>COUNTIF(关系明细!$D$2:$D$2253,B602)</f>
        <v>5</v>
      </c>
      <c r="I602" s="29">
        <f>COUNTIF(关系明细!$G$2:$G$2253,B602)</f>
        <v>4</v>
      </c>
    </row>
    <row r="603" spans="1:9" ht="16.5">
      <c r="A603" s="34" t="s">
        <v>3852</v>
      </c>
      <c r="B603" s="9" t="s">
        <v>3849</v>
      </c>
      <c r="C603" s="40" t="s">
        <v>204</v>
      </c>
      <c r="D603" s="34" t="s">
        <v>8201</v>
      </c>
      <c r="E603" s="27" t="s">
        <v>3945</v>
      </c>
      <c r="F603" s="9" t="s">
        <v>3928</v>
      </c>
      <c r="G603" s="9" t="s">
        <v>4083</v>
      </c>
      <c r="H603" s="27">
        <f>COUNTIF(关系明细!$D$2:$D$2253,B603)</f>
        <v>4</v>
      </c>
      <c r="I603" s="27">
        <f>COUNTIF(关系明细!$G$2:$G$2253,B603)</f>
        <v>4</v>
      </c>
    </row>
    <row r="604" spans="1:9" ht="16.5">
      <c r="A604" s="35" t="s">
        <v>3935</v>
      </c>
      <c r="B604" s="30" t="s">
        <v>3932</v>
      </c>
      <c r="C604" s="39" t="s">
        <v>204</v>
      </c>
      <c r="D604" s="35" t="s">
        <v>8201</v>
      </c>
      <c r="E604" s="29" t="s">
        <v>3945</v>
      </c>
      <c r="F604" s="30" t="s">
        <v>3928</v>
      </c>
      <c r="G604" s="30" t="s">
        <v>4085</v>
      </c>
      <c r="H604" s="29">
        <f>COUNTIF(关系明细!$D$2:$D$2253,B604)</f>
        <v>15</v>
      </c>
      <c r="I604" s="29">
        <f>COUNTIF(关系明细!$G$2:$G$2253,B604)</f>
        <v>5</v>
      </c>
    </row>
    <row r="605" spans="1:9" ht="16.5">
      <c r="A605" s="34" t="s">
        <v>3940</v>
      </c>
      <c r="B605" s="9" t="s">
        <v>3937</v>
      </c>
      <c r="C605" s="40" t="s">
        <v>204</v>
      </c>
      <c r="D605" s="34" t="s">
        <v>8201</v>
      </c>
      <c r="E605" s="27" t="s">
        <v>3945</v>
      </c>
      <c r="F605" s="9" t="s">
        <v>3928</v>
      </c>
      <c r="G605" s="9" t="s">
        <v>4088</v>
      </c>
      <c r="H605" s="27">
        <f>COUNTIF(关系明细!$D$2:$D$2253,B605)</f>
        <v>26</v>
      </c>
      <c r="I605" s="27">
        <f>COUNTIF(关系明细!$G$2:$G$2253,B605)</f>
        <v>4</v>
      </c>
    </row>
    <row r="606" spans="1:9" ht="16.5">
      <c r="A606" s="35" t="s">
        <v>4094</v>
      </c>
      <c r="B606" s="30" t="s">
        <v>4091</v>
      </c>
      <c r="C606" s="39" t="s">
        <v>204</v>
      </c>
      <c r="D606" s="35" t="s">
        <v>8201</v>
      </c>
      <c r="E606" s="29" t="s">
        <v>3945</v>
      </c>
      <c r="F606" s="30" t="s">
        <v>3928</v>
      </c>
      <c r="G606" s="30" t="s">
        <v>4092</v>
      </c>
      <c r="H606" s="29">
        <f>COUNTIF(关系明细!$D$2:$D$2253,B606)</f>
        <v>6</v>
      </c>
      <c r="I606" s="29">
        <f>COUNTIF(关系明细!$G$2:$G$2253,B606)</f>
        <v>2</v>
      </c>
    </row>
    <row r="607" spans="1:9" ht="16.5">
      <c r="A607" s="34" t="s">
        <v>4099</v>
      </c>
      <c r="B607" s="9" t="s">
        <v>4096</v>
      </c>
      <c r="C607" s="40" t="s">
        <v>204</v>
      </c>
      <c r="D607" s="34" t="s">
        <v>8201</v>
      </c>
      <c r="E607" s="27" t="s">
        <v>3945</v>
      </c>
      <c r="F607" s="9" t="s">
        <v>3928</v>
      </c>
      <c r="G607" s="9" t="s">
        <v>4097</v>
      </c>
      <c r="H607" s="27">
        <f>COUNTIF(关系明细!$D$2:$D$2253,B607)</f>
        <v>8</v>
      </c>
      <c r="I607" s="27">
        <f>COUNTIF(关系明细!$G$2:$G$2253,B607)</f>
        <v>1</v>
      </c>
    </row>
    <row r="608" spans="1:9" ht="16.5">
      <c r="A608" s="35" t="s">
        <v>4104</v>
      </c>
      <c r="B608" s="30" t="s">
        <v>4101</v>
      </c>
      <c r="C608" s="39" t="s">
        <v>204</v>
      </c>
      <c r="D608" s="35" t="s">
        <v>8201</v>
      </c>
      <c r="E608" s="29" t="s">
        <v>3945</v>
      </c>
      <c r="F608" s="30" t="s">
        <v>3920</v>
      </c>
      <c r="G608" s="30" t="s">
        <v>4102</v>
      </c>
      <c r="H608" s="29">
        <f>COUNTIF(关系明细!$D$2:$D$2253,B608)</f>
        <v>12</v>
      </c>
      <c r="I608" s="29">
        <f>COUNTIF(关系明细!$G$2:$G$2253,B608)</f>
        <v>1</v>
      </c>
    </row>
    <row r="609" spans="1:9" ht="16.5">
      <c r="A609" s="34" t="s">
        <v>2107</v>
      </c>
      <c r="B609" s="9" t="s">
        <v>2103</v>
      </c>
      <c r="C609" s="40" t="s">
        <v>204</v>
      </c>
      <c r="D609" s="34" t="s">
        <v>8201</v>
      </c>
      <c r="E609" s="27" t="s">
        <v>3945</v>
      </c>
      <c r="F609" s="9" t="s">
        <v>3928</v>
      </c>
      <c r="G609" s="9" t="s">
        <v>4106</v>
      </c>
      <c r="H609" s="27">
        <f>COUNTIF(关系明细!$D$2:$D$2253,B609)</f>
        <v>4</v>
      </c>
      <c r="I609" s="27">
        <f>COUNTIF(关系明细!$G$2:$G$2253,B609)</f>
        <v>1</v>
      </c>
    </row>
    <row r="610" spans="1:9" ht="16.5">
      <c r="A610" s="35" t="s">
        <v>4110</v>
      </c>
      <c r="B610" s="30" t="s">
        <v>4108</v>
      </c>
      <c r="C610" s="39" t="s">
        <v>204</v>
      </c>
      <c r="D610" s="35" t="s">
        <v>8201</v>
      </c>
      <c r="E610" s="29" t="s">
        <v>3945</v>
      </c>
      <c r="F610" s="30" t="s">
        <v>4065</v>
      </c>
      <c r="G610" s="30" t="s">
        <v>1528</v>
      </c>
      <c r="H610" s="29">
        <f>COUNTIF(关系明细!$D$2:$D$2253,B610)</f>
        <v>3</v>
      </c>
      <c r="I610" s="29">
        <f>COUNTIF(关系明细!$G$2:$G$2253,B610)</f>
        <v>2</v>
      </c>
    </row>
    <row r="611" spans="1:9" ht="16.5">
      <c r="A611" s="34" t="s">
        <v>4115</v>
      </c>
      <c r="B611" s="9" t="s">
        <v>4112</v>
      </c>
      <c r="C611" s="40" t="s">
        <v>204</v>
      </c>
      <c r="D611" s="34" t="s">
        <v>8201</v>
      </c>
      <c r="E611" s="27" t="s">
        <v>3945</v>
      </c>
      <c r="F611" s="9" t="s">
        <v>4065</v>
      </c>
      <c r="G611" s="34" t="s">
        <v>584</v>
      </c>
      <c r="H611" s="27">
        <f>COUNTIF(关系明细!$D$2:$D$2253,B611)</f>
        <v>3</v>
      </c>
      <c r="I611" s="27">
        <f>COUNTIF(关系明细!$G$2:$G$2253,B611)</f>
        <v>2</v>
      </c>
    </row>
    <row r="612" spans="1:9" ht="16.5">
      <c r="A612" s="35" t="s">
        <v>3646</v>
      </c>
      <c r="B612" s="30" t="s">
        <v>3642</v>
      </c>
      <c r="C612" s="39" t="s">
        <v>204</v>
      </c>
      <c r="D612" s="35" t="s">
        <v>8201</v>
      </c>
      <c r="E612" s="29" t="s">
        <v>3945</v>
      </c>
      <c r="F612" s="30" t="s">
        <v>3928</v>
      </c>
      <c r="G612" s="30" t="s">
        <v>4117</v>
      </c>
      <c r="H612" s="29">
        <f>COUNTIF(关系明细!$D$2:$D$2253,B612)</f>
        <v>1</v>
      </c>
      <c r="I612" s="29">
        <f>COUNTIF(关系明细!$G$2:$G$2253,B612)</f>
        <v>3</v>
      </c>
    </row>
    <row r="613" spans="1:9" ht="16.5">
      <c r="A613" s="34" t="s">
        <v>4122</v>
      </c>
      <c r="B613" s="9" t="s">
        <v>4119</v>
      </c>
      <c r="C613" s="40" t="s">
        <v>204</v>
      </c>
      <c r="D613" s="34" t="s">
        <v>8201</v>
      </c>
      <c r="E613" s="27" t="s">
        <v>3945</v>
      </c>
      <c r="F613" s="9" t="s">
        <v>3928</v>
      </c>
      <c r="G613" s="34" t="s">
        <v>584</v>
      </c>
      <c r="H613" s="27">
        <f>COUNTIF(关系明细!$D$2:$D$2253,B613)</f>
        <v>2</v>
      </c>
      <c r="I613" s="27">
        <f>COUNTIF(关系明细!$G$2:$G$2253,B613)</f>
        <v>4</v>
      </c>
    </row>
    <row r="614" spans="1:9" ht="16.5">
      <c r="A614" s="35" t="s">
        <v>4126</v>
      </c>
      <c r="B614" s="30" t="s">
        <v>4123</v>
      </c>
      <c r="C614" s="39" t="s">
        <v>204</v>
      </c>
      <c r="D614" s="35" t="s">
        <v>8201</v>
      </c>
      <c r="E614" s="29" t="s">
        <v>3945</v>
      </c>
      <c r="F614" s="30" t="s">
        <v>3928</v>
      </c>
      <c r="G614" s="35" t="s">
        <v>584</v>
      </c>
      <c r="H614" s="29">
        <f>COUNTIF(关系明细!$D$2:$D$2253,B614)</f>
        <v>1</v>
      </c>
      <c r="I614" s="29">
        <f>COUNTIF(关系明细!$G$2:$G$2253,B614)</f>
        <v>2</v>
      </c>
    </row>
    <row r="615" spans="1:9" ht="16.5">
      <c r="A615" s="34" t="s">
        <v>4130</v>
      </c>
      <c r="B615" s="9" t="s">
        <v>4127</v>
      </c>
      <c r="C615" s="40" t="s">
        <v>204</v>
      </c>
      <c r="D615" s="34" t="s">
        <v>8201</v>
      </c>
      <c r="E615" s="27" t="s">
        <v>3945</v>
      </c>
      <c r="F615" s="9" t="s">
        <v>3928</v>
      </c>
      <c r="G615" s="34" t="s">
        <v>584</v>
      </c>
      <c r="H615" s="27">
        <f>COUNTIF(关系明细!$D$2:$D$2253,B615)</f>
        <v>1</v>
      </c>
      <c r="I615" s="27">
        <f>COUNTIF(关系明细!$G$2:$G$2253,B615)</f>
        <v>2</v>
      </c>
    </row>
    <row r="616" spans="1:9" ht="16.5">
      <c r="A616" s="35" t="s">
        <v>3859</v>
      </c>
      <c r="B616" s="30" t="s">
        <v>3855</v>
      </c>
      <c r="C616" s="39" t="s">
        <v>204</v>
      </c>
      <c r="D616" s="35" t="s">
        <v>8201</v>
      </c>
      <c r="E616" s="29" t="s">
        <v>3945</v>
      </c>
      <c r="F616" s="30" t="s">
        <v>3920</v>
      </c>
      <c r="G616" s="30" t="s">
        <v>4131</v>
      </c>
      <c r="H616" s="29">
        <f>COUNTIF(关系明细!$D$2:$D$2253,B616)</f>
        <v>2</v>
      </c>
      <c r="I616" s="29">
        <f>COUNTIF(关系明细!$G$2:$G$2253,B616)</f>
        <v>4</v>
      </c>
    </row>
    <row r="617" spans="1:9" ht="16.5">
      <c r="A617" s="34" t="s">
        <v>4136</v>
      </c>
      <c r="B617" s="9" t="s">
        <v>4133</v>
      </c>
      <c r="C617" s="40" t="s">
        <v>204</v>
      </c>
      <c r="D617" s="34" t="s">
        <v>8201</v>
      </c>
      <c r="E617" s="27" t="s">
        <v>3945</v>
      </c>
      <c r="F617" s="9" t="s">
        <v>3928</v>
      </c>
      <c r="G617" s="9" t="s">
        <v>4134</v>
      </c>
      <c r="H617" s="27">
        <f>COUNTIF(关系明细!$D$2:$D$2253,B617)</f>
        <v>0</v>
      </c>
      <c r="I617" s="27">
        <f>COUNTIF(关系明细!$G$2:$G$2253,B617)</f>
        <v>2</v>
      </c>
    </row>
    <row r="618" spans="1:9" ht="16.5">
      <c r="A618" s="35" t="s">
        <v>4146</v>
      </c>
      <c r="B618" s="30" t="s">
        <v>4143</v>
      </c>
      <c r="C618" s="39" t="s">
        <v>204</v>
      </c>
      <c r="D618" s="35" t="s">
        <v>8201</v>
      </c>
      <c r="E618" s="29" t="s">
        <v>3945</v>
      </c>
      <c r="F618" s="30" t="s">
        <v>3928</v>
      </c>
      <c r="G618" s="30" t="s">
        <v>4144</v>
      </c>
      <c r="H618" s="29">
        <f>COUNTIF(关系明细!$D$2:$D$2253,B618)</f>
        <v>1</v>
      </c>
      <c r="I618" s="29">
        <f>COUNTIF(关系明细!$G$2:$G$2253,B618)</f>
        <v>1</v>
      </c>
    </row>
    <row r="619" spans="1:9" ht="16.5">
      <c r="A619" s="34" t="s">
        <v>3651</v>
      </c>
      <c r="B619" s="9" t="s">
        <v>3648</v>
      </c>
      <c r="C619" s="40" t="s">
        <v>295</v>
      </c>
      <c r="D619" s="34" t="s">
        <v>8202</v>
      </c>
      <c r="E619" s="27" t="s">
        <v>3945</v>
      </c>
      <c r="F619" s="9" t="s">
        <v>3928</v>
      </c>
      <c r="G619" s="9" t="s">
        <v>4137</v>
      </c>
      <c r="H619" s="27">
        <f>COUNTIF(关系明细!$D$2:$D$2253,B619)</f>
        <v>2</v>
      </c>
      <c r="I619" s="27">
        <f>COUNTIF(关系明细!$G$2:$G$2253,B619)</f>
        <v>4</v>
      </c>
    </row>
    <row r="620" spans="1:9" ht="16.5">
      <c r="A620" s="35" t="s">
        <v>4142</v>
      </c>
      <c r="B620" s="35" t="s">
        <v>4139</v>
      </c>
      <c r="C620" s="39" t="s">
        <v>295</v>
      </c>
      <c r="D620" s="35" t="s">
        <v>8202</v>
      </c>
      <c r="E620" s="29" t="s">
        <v>3945</v>
      </c>
      <c r="F620" s="30" t="s">
        <v>3928</v>
      </c>
      <c r="G620" s="35" t="s">
        <v>584</v>
      </c>
      <c r="H620" s="29">
        <f>COUNTIF(关系明细!$D$2:$D$2253,B620)</f>
        <v>1</v>
      </c>
      <c r="I620" s="29">
        <f>COUNTIF(关系明细!$G$2:$G$2253,B620)</f>
        <v>3</v>
      </c>
    </row>
    <row r="621" spans="1:9" ht="16.5">
      <c r="A621" s="34" t="s">
        <v>4432</v>
      </c>
      <c r="B621" s="9" t="s">
        <v>4428</v>
      </c>
      <c r="C621" s="40" t="s">
        <v>488</v>
      </c>
      <c r="D621" s="34" t="s">
        <v>8203</v>
      </c>
      <c r="E621" s="27" t="s">
        <v>3945</v>
      </c>
      <c r="F621" s="34"/>
      <c r="G621" s="34" t="s">
        <v>4430</v>
      </c>
      <c r="H621" s="27">
        <f>COUNTIF(关系明细!$D$2:$D$2253,B621)</f>
        <v>1</v>
      </c>
      <c r="I621" s="27">
        <f>COUNTIF(关系明细!$G$2:$G$2253,B621)</f>
        <v>1</v>
      </c>
    </row>
    <row r="622" spans="1:9" ht="16.5">
      <c r="A622" s="35" t="s">
        <v>4443</v>
      </c>
      <c r="B622" s="30" t="s">
        <v>4439</v>
      </c>
      <c r="C622" s="39" t="s">
        <v>488</v>
      </c>
      <c r="D622" s="35" t="s">
        <v>8203</v>
      </c>
      <c r="E622" s="29" t="s">
        <v>3945</v>
      </c>
      <c r="F622" s="35"/>
      <c r="G622" s="30" t="s">
        <v>4441</v>
      </c>
      <c r="H622" s="29">
        <f>COUNTIF(关系明细!$D$2:$D$2253,B622)</f>
        <v>1</v>
      </c>
      <c r="I622" s="29">
        <f>COUNTIF(关系明细!$G$2:$G$2253,B622)</f>
        <v>1</v>
      </c>
    </row>
    <row r="623" spans="1:9" ht="16.5">
      <c r="A623" s="34" t="s">
        <v>4455</v>
      </c>
      <c r="B623" s="9" t="s">
        <v>4450</v>
      </c>
      <c r="C623" s="40" t="s">
        <v>488</v>
      </c>
      <c r="D623" s="34" t="s">
        <v>8203</v>
      </c>
      <c r="E623" s="27" t="s">
        <v>3945</v>
      </c>
      <c r="F623" s="34"/>
      <c r="G623" s="9" t="s">
        <v>4452</v>
      </c>
      <c r="H623" s="27">
        <f>COUNTIF(关系明细!$D$2:$D$2253,B623)</f>
        <v>1</v>
      </c>
      <c r="I623" s="27">
        <f>COUNTIF(关系明细!$G$2:$G$2253,B623)</f>
        <v>1</v>
      </c>
    </row>
    <row r="624" spans="1:9" ht="16.5">
      <c r="A624" s="35" t="s">
        <v>4465</v>
      </c>
      <c r="B624" s="30" t="s">
        <v>4462</v>
      </c>
      <c r="C624" s="39" t="s">
        <v>488</v>
      </c>
      <c r="D624" s="35" t="s">
        <v>8203</v>
      </c>
      <c r="E624" s="29" t="s">
        <v>3945</v>
      </c>
      <c r="F624" s="35"/>
      <c r="G624" s="35" t="s">
        <v>584</v>
      </c>
      <c r="H624" s="29">
        <f>COUNTIF(关系明细!$D$2:$D$2253,B624)</f>
        <v>1</v>
      </c>
      <c r="I624" s="29">
        <f>COUNTIF(关系明细!$G$2:$G$2253,B624)</f>
        <v>1</v>
      </c>
    </row>
    <row r="625" spans="1:9" ht="16.5">
      <c r="A625" s="34" t="s">
        <v>4475</v>
      </c>
      <c r="B625" s="9" t="s">
        <v>4472</v>
      </c>
      <c r="C625" s="40" t="s">
        <v>488</v>
      </c>
      <c r="D625" s="34" t="s">
        <v>8203</v>
      </c>
      <c r="E625" s="27" t="s">
        <v>3945</v>
      </c>
      <c r="F625" s="34"/>
      <c r="G625" s="34" t="s">
        <v>584</v>
      </c>
      <c r="H625" s="27">
        <f>COUNTIF(关系明细!$D$2:$D$2253,B625)</f>
        <v>1</v>
      </c>
      <c r="I625" s="27">
        <f>COUNTIF(关系明细!$G$2:$G$2253,B625)</f>
        <v>1</v>
      </c>
    </row>
    <row r="626" spans="1:9" ht="16.5">
      <c r="A626" s="35" t="s">
        <v>4485</v>
      </c>
      <c r="B626" s="30" t="s">
        <v>4482</v>
      </c>
      <c r="C626" s="39" t="s">
        <v>488</v>
      </c>
      <c r="D626" s="35" t="s">
        <v>8203</v>
      </c>
      <c r="E626" s="29" t="s">
        <v>3945</v>
      </c>
      <c r="F626" s="35"/>
      <c r="G626" s="35" t="s">
        <v>584</v>
      </c>
      <c r="H626" s="29">
        <f>COUNTIF(关系明细!$D$2:$D$2253,B626)</f>
        <v>1</v>
      </c>
      <c r="I626" s="29">
        <f>COUNTIF(关系明细!$G$2:$G$2253,B626)</f>
        <v>1</v>
      </c>
    </row>
    <row r="627" spans="1:9" ht="16.5">
      <c r="A627" s="34" t="s">
        <v>4495</v>
      </c>
      <c r="B627" s="9" t="s">
        <v>4492</v>
      </c>
      <c r="C627" s="40" t="s">
        <v>488</v>
      </c>
      <c r="D627" s="34" t="s">
        <v>8203</v>
      </c>
      <c r="E627" s="27" t="s">
        <v>3945</v>
      </c>
      <c r="F627" s="34"/>
      <c r="G627" s="34" t="s">
        <v>584</v>
      </c>
      <c r="H627" s="27">
        <f>COUNTIF(关系明细!$D$2:$D$2253,B627)</f>
        <v>1</v>
      </c>
      <c r="I627" s="27">
        <f>COUNTIF(关系明细!$G$2:$G$2253,B627)</f>
        <v>1</v>
      </c>
    </row>
    <row r="628" spans="1:9" ht="16.5">
      <c r="A628" s="35" t="s">
        <v>4433</v>
      </c>
      <c r="B628" s="30" t="s">
        <v>4429</v>
      </c>
      <c r="C628" s="39" t="s">
        <v>491</v>
      </c>
      <c r="D628" s="35" t="s">
        <v>8204</v>
      </c>
      <c r="E628" s="29" t="s">
        <v>3945</v>
      </c>
      <c r="F628" s="35"/>
      <c r="G628" s="35" t="s">
        <v>4434</v>
      </c>
      <c r="H628" s="29">
        <f>COUNTIF(关系明细!$D$2:$D$2253,B628)</f>
        <v>1</v>
      </c>
      <c r="I628" s="29">
        <f>COUNTIF(关系明细!$G$2:$G$2253,B628)</f>
        <v>1</v>
      </c>
    </row>
    <row r="629" spans="1:9" ht="16.5">
      <c r="A629" s="34" t="s">
        <v>4444</v>
      </c>
      <c r="B629" s="9" t="s">
        <v>4440</v>
      </c>
      <c r="C629" s="40" t="s">
        <v>491</v>
      </c>
      <c r="D629" s="34" t="s">
        <v>8204</v>
      </c>
      <c r="E629" s="27" t="s">
        <v>3945</v>
      </c>
      <c r="F629" s="34"/>
      <c r="G629" s="34" t="s">
        <v>4445</v>
      </c>
      <c r="H629" s="27">
        <f>COUNTIF(关系明细!$D$2:$D$2253,B629)</f>
        <v>1</v>
      </c>
      <c r="I629" s="27">
        <f>COUNTIF(关系明细!$G$2:$G$2253,B629)</f>
        <v>1</v>
      </c>
    </row>
    <row r="630" spans="1:9" ht="16.5">
      <c r="A630" s="35" t="s">
        <v>4456</v>
      </c>
      <c r="B630" s="30" t="s">
        <v>4451</v>
      </c>
      <c r="C630" s="39" t="s">
        <v>491</v>
      </c>
      <c r="D630" s="35" t="s">
        <v>8204</v>
      </c>
      <c r="E630" s="29" t="s">
        <v>3945</v>
      </c>
      <c r="F630" s="35"/>
      <c r="G630" s="35" t="s">
        <v>4457</v>
      </c>
      <c r="H630" s="29">
        <f>COUNTIF(关系明细!$D$2:$D$2253,B630)</f>
        <v>2</v>
      </c>
      <c r="I630" s="29">
        <f>COUNTIF(关系明细!$G$2:$G$2253,B630)</f>
        <v>1</v>
      </c>
    </row>
    <row r="631" spans="1:9" ht="16.5">
      <c r="A631" s="34" t="s">
        <v>4466</v>
      </c>
      <c r="B631" s="9" t="s">
        <v>4463</v>
      </c>
      <c r="C631" s="40" t="s">
        <v>491</v>
      </c>
      <c r="D631" s="34" t="s">
        <v>8204</v>
      </c>
      <c r="E631" s="27" t="s">
        <v>3945</v>
      </c>
      <c r="F631" s="34"/>
      <c r="G631" s="34" t="s">
        <v>4467</v>
      </c>
      <c r="H631" s="27">
        <f>COUNTIF(关系明细!$D$2:$D$2253,B631)</f>
        <v>2</v>
      </c>
      <c r="I631" s="27">
        <f>COUNTIF(关系明细!$G$2:$G$2253,B631)</f>
        <v>1</v>
      </c>
    </row>
    <row r="632" spans="1:9" ht="16.5">
      <c r="A632" s="35" t="s">
        <v>4476</v>
      </c>
      <c r="B632" s="30" t="s">
        <v>4473</v>
      </c>
      <c r="C632" s="39" t="s">
        <v>491</v>
      </c>
      <c r="D632" s="35" t="s">
        <v>8204</v>
      </c>
      <c r="E632" s="29" t="s">
        <v>3945</v>
      </c>
      <c r="F632" s="35"/>
      <c r="G632" s="35" t="s">
        <v>4477</v>
      </c>
      <c r="H632" s="29">
        <f>COUNTIF(关系明细!$D$2:$D$2253,B632)</f>
        <v>1</v>
      </c>
      <c r="I632" s="29">
        <f>COUNTIF(关系明细!$G$2:$G$2253,B632)</f>
        <v>1</v>
      </c>
    </row>
    <row r="633" spans="1:9" ht="16.5">
      <c r="A633" s="34" t="s">
        <v>4486</v>
      </c>
      <c r="B633" s="9" t="s">
        <v>4483</v>
      </c>
      <c r="C633" s="40" t="s">
        <v>491</v>
      </c>
      <c r="D633" s="34" t="s">
        <v>8204</v>
      </c>
      <c r="E633" s="27" t="s">
        <v>3945</v>
      </c>
      <c r="F633" s="34"/>
      <c r="G633" s="34" t="s">
        <v>4487</v>
      </c>
      <c r="H633" s="27">
        <f>COUNTIF(关系明细!$D$2:$D$2253,B633)</f>
        <v>1</v>
      </c>
      <c r="I633" s="27">
        <f>COUNTIF(关系明细!$G$2:$G$2253,B633)</f>
        <v>1</v>
      </c>
    </row>
    <row r="634" spans="1:9" ht="16.5">
      <c r="A634" s="35" t="s">
        <v>4496</v>
      </c>
      <c r="B634" s="30" t="s">
        <v>4493</v>
      </c>
      <c r="C634" s="39" t="s">
        <v>491</v>
      </c>
      <c r="D634" s="35" t="s">
        <v>8204</v>
      </c>
      <c r="E634" s="29" t="s">
        <v>3945</v>
      </c>
      <c r="F634" s="35"/>
      <c r="G634" s="35" t="s">
        <v>4497</v>
      </c>
      <c r="H634" s="29">
        <f>COUNTIF(关系明细!$D$2:$D$2253,B634)</f>
        <v>1</v>
      </c>
      <c r="I634" s="29">
        <f>COUNTIF(关系明细!$G$2:$G$2253,B634)</f>
        <v>1</v>
      </c>
    </row>
    <row r="635" spans="1:9" ht="16.5">
      <c r="A635" s="34" t="s">
        <v>4506</v>
      </c>
      <c r="B635" s="9" t="s">
        <v>4502</v>
      </c>
      <c r="C635" s="40" t="s">
        <v>491</v>
      </c>
      <c r="D635" s="34" t="s">
        <v>8204</v>
      </c>
      <c r="E635" s="27" t="s">
        <v>3945</v>
      </c>
      <c r="F635" s="34"/>
      <c r="G635" s="9" t="s">
        <v>8222</v>
      </c>
      <c r="H635" s="27">
        <f>COUNTIF(关系明细!$D$2:$D$2253,B635)</f>
        <v>1</v>
      </c>
      <c r="I635" s="27">
        <f>COUNTIF(关系明细!$G$2:$G$2253,B635)</f>
        <v>0</v>
      </c>
    </row>
    <row r="636" spans="1:9" ht="16.5">
      <c r="A636" s="35" t="s">
        <v>4507</v>
      </c>
      <c r="B636" s="30" t="s">
        <v>4503</v>
      </c>
      <c r="C636" s="39" t="s">
        <v>556</v>
      </c>
      <c r="D636" s="35" t="s">
        <v>8205</v>
      </c>
      <c r="E636" s="29" t="s">
        <v>3945</v>
      </c>
      <c r="F636" s="35"/>
      <c r="G636" s="30" t="s">
        <v>4504</v>
      </c>
      <c r="H636" s="29">
        <f>COUNTIF(关系明细!$D$2:$D$2253,B636)</f>
        <v>0</v>
      </c>
      <c r="I636" s="29">
        <f>COUNTIF(关系明细!$G$2:$G$2253,B636)</f>
        <v>3</v>
      </c>
    </row>
    <row r="637" spans="1:9" ht="16.5">
      <c r="A637" s="34" t="s">
        <v>4513</v>
      </c>
      <c r="B637" s="9" t="s">
        <v>4510</v>
      </c>
      <c r="C637" s="40" t="s">
        <v>566</v>
      </c>
      <c r="D637" s="34" t="s">
        <v>8206</v>
      </c>
      <c r="E637" s="27" t="s">
        <v>3945</v>
      </c>
      <c r="F637" s="34"/>
      <c r="G637" s="9" t="s">
        <v>8398</v>
      </c>
      <c r="H637" s="27">
        <f>COUNTIF(关系明细!$D$2:$D$2253,B637)</f>
        <v>0</v>
      </c>
      <c r="I637" s="27">
        <f>COUNTIF(关系明细!$G$2:$G$2253,B637)</f>
        <v>1</v>
      </c>
    </row>
    <row r="638" spans="1:9" ht="16.5">
      <c r="A638" s="35" t="s">
        <v>4517</v>
      </c>
      <c r="B638" s="30" t="s">
        <v>4514</v>
      </c>
      <c r="C638" s="39" t="s">
        <v>566</v>
      </c>
      <c r="D638" s="35" t="s">
        <v>8206</v>
      </c>
      <c r="E638" s="29" t="s">
        <v>3945</v>
      </c>
      <c r="F638" s="35"/>
      <c r="G638" s="30" t="s">
        <v>8399</v>
      </c>
      <c r="H638" s="29">
        <f>COUNTIF(关系明细!$D$2:$D$2253,B638)</f>
        <v>0</v>
      </c>
      <c r="I638" s="29">
        <f>COUNTIF(关系明细!$G$2:$G$2253,B638)</f>
        <v>1</v>
      </c>
    </row>
    <row r="639" spans="1:9" ht="16.5">
      <c r="A639" s="34" t="s">
        <v>4521</v>
      </c>
      <c r="B639" s="9" t="s">
        <v>4518</v>
      </c>
      <c r="C639" s="40" t="s">
        <v>566</v>
      </c>
      <c r="D639" s="34" t="s">
        <v>8206</v>
      </c>
      <c r="E639" s="27" t="s">
        <v>3945</v>
      </c>
      <c r="F639" s="34"/>
      <c r="G639" s="9" t="s">
        <v>8400</v>
      </c>
      <c r="H639" s="27">
        <f>COUNTIF(关系明细!$D$2:$D$2253,B639)</f>
        <v>0</v>
      </c>
      <c r="I639" s="27">
        <f>COUNTIF(关系明细!$G$2:$G$2253,B639)</f>
        <v>1</v>
      </c>
    </row>
    <row r="640" spans="1:9" ht="16.5">
      <c r="A640" s="35" t="s">
        <v>3661</v>
      </c>
      <c r="B640" s="30" t="s">
        <v>3658</v>
      </c>
      <c r="C640" s="39" t="s">
        <v>44</v>
      </c>
      <c r="D640" s="35" t="s">
        <v>8172</v>
      </c>
      <c r="E640" s="29" t="s">
        <v>4600</v>
      </c>
      <c r="F640" s="35"/>
      <c r="G640" s="30" t="s">
        <v>8401</v>
      </c>
      <c r="H640" s="29">
        <f>COUNTIF(关系明细!$D$2:$D$2253,B640)</f>
        <v>16</v>
      </c>
      <c r="I640" s="29">
        <f>COUNTIF(关系明细!$G$2:$G$2253,B640)</f>
        <v>6</v>
      </c>
    </row>
    <row r="641" spans="1:9" ht="16.5">
      <c r="A641" s="34" t="s">
        <v>4729</v>
      </c>
      <c r="B641" s="9" t="s">
        <v>4726</v>
      </c>
      <c r="C641" s="40" t="s">
        <v>62</v>
      </c>
      <c r="D641" s="34" t="s">
        <v>8174</v>
      </c>
      <c r="E641" s="27" t="s">
        <v>4600</v>
      </c>
      <c r="F641" s="34"/>
      <c r="G641" s="9" t="s">
        <v>8402</v>
      </c>
      <c r="H641" s="27">
        <f>COUNTIF(关系明细!$D$2:$D$2253,B641)</f>
        <v>9</v>
      </c>
      <c r="I641" s="27">
        <f>COUNTIF(关系明细!$G$2:$G$2253,B641)</f>
        <v>3</v>
      </c>
    </row>
    <row r="642" spans="1:9" ht="16.5">
      <c r="A642" s="35" t="s">
        <v>4805</v>
      </c>
      <c r="B642" s="30" t="s">
        <v>4802</v>
      </c>
      <c r="C642" s="39" t="s">
        <v>62</v>
      </c>
      <c r="D642" s="35" t="s">
        <v>8174</v>
      </c>
      <c r="E642" s="29" t="s">
        <v>4600</v>
      </c>
      <c r="F642" s="35"/>
      <c r="G642" s="30" t="s">
        <v>8403</v>
      </c>
      <c r="H642" s="29">
        <f>COUNTIF(关系明细!$D$2:$D$2253,B642)</f>
        <v>6</v>
      </c>
      <c r="I642" s="29">
        <f>COUNTIF(关系明细!$G$2:$G$2253,B642)</f>
        <v>2</v>
      </c>
    </row>
    <row r="643" spans="1:9" ht="16.5">
      <c r="A643" s="34" t="s">
        <v>4679</v>
      </c>
      <c r="B643" s="9" t="s">
        <v>4676</v>
      </c>
      <c r="C643" s="40" t="s">
        <v>62</v>
      </c>
      <c r="D643" s="34" t="s">
        <v>8174</v>
      </c>
      <c r="E643" s="27" t="s">
        <v>4600</v>
      </c>
      <c r="F643" s="34"/>
      <c r="G643" s="9" t="s">
        <v>8404</v>
      </c>
      <c r="H643" s="27">
        <f>COUNTIF(关系明细!$D$2:$D$2253,B643)</f>
        <v>23</v>
      </c>
      <c r="I643" s="27">
        <f>COUNTIF(关系明细!$G$2:$G$2253,B643)</f>
        <v>3</v>
      </c>
    </row>
    <row r="644" spans="1:9" ht="16.5">
      <c r="A644" s="35" t="s">
        <v>4704</v>
      </c>
      <c r="B644" s="30" t="s">
        <v>4701</v>
      </c>
      <c r="C644" s="39" t="s">
        <v>62</v>
      </c>
      <c r="D644" s="35" t="s">
        <v>8174</v>
      </c>
      <c r="E644" s="29" t="s">
        <v>4600</v>
      </c>
      <c r="F644" s="35"/>
      <c r="G644" s="30" t="s">
        <v>8405</v>
      </c>
      <c r="H644" s="29">
        <f>COUNTIF(关系明细!$D$2:$D$2253,B644)</f>
        <v>14</v>
      </c>
      <c r="I644" s="29">
        <f>COUNTIF(关系明细!$G$2:$G$2253,B644)</f>
        <v>4</v>
      </c>
    </row>
    <row r="645" spans="1:9" ht="16.5">
      <c r="A645" s="34" t="s">
        <v>4790</v>
      </c>
      <c r="B645" s="9" t="s">
        <v>4787</v>
      </c>
      <c r="C645" s="40" t="s">
        <v>62</v>
      </c>
      <c r="D645" s="34" t="s">
        <v>8174</v>
      </c>
      <c r="E645" s="27" t="s">
        <v>4600</v>
      </c>
      <c r="F645" s="34"/>
      <c r="G645" s="9" t="s">
        <v>8406</v>
      </c>
      <c r="H645" s="27">
        <f>COUNTIF(关系明细!$D$2:$D$2253,B645)</f>
        <v>6</v>
      </c>
      <c r="I645" s="27">
        <f>COUNTIF(关系明细!$G$2:$G$2253,B645)</f>
        <v>3</v>
      </c>
    </row>
    <row r="646" spans="1:9" ht="16.5">
      <c r="A646" s="35" t="s">
        <v>4640</v>
      </c>
      <c r="B646" s="30" t="s">
        <v>4637</v>
      </c>
      <c r="C646" s="39" t="s">
        <v>62</v>
      </c>
      <c r="D646" s="35" t="s">
        <v>8174</v>
      </c>
      <c r="E646" s="29" t="s">
        <v>4600</v>
      </c>
      <c r="F646" s="35"/>
      <c r="G646" s="30" t="s">
        <v>8407</v>
      </c>
      <c r="H646" s="29">
        <f>COUNTIF(关系明细!$D$2:$D$2253,B646)</f>
        <v>9</v>
      </c>
      <c r="I646" s="29">
        <f>COUNTIF(关系明细!$G$2:$G$2253,B646)</f>
        <v>6</v>
      </c>
    </row>
    <row r="647" spans="1:9" ht="16.5">
      <c r="A647" s="34" t="s">
        <v>4632</v>
      </c>
      <c r="B647" s="9" t="s">
        <v>4629</v>
      </c>
      <c r="C647" s="40" t="s">
        <v>62</v>
      </c>
      <c r="D647" s="34" t="s">
        <v>8174</v>
      </c>
      <c r="E647" s="27" t="s">
        <v>4600</v>
      </c>
      <c r="F647" s="34"/>
      <c r="G647" s="9" t="s">
        <v>8408</v>
      </c>
      <c r="H647" s="27">
        <f>COUNTIF(关系明细!$D$2:$D$2253,B647)</f>
        <v>2</v>
      </c>
      <c r="I647" s="27">
        <f>COUNTIF(关系明细!$G$2:$G$2253,B647)</f>
        <v>2</v>
      </c>
    </row>
    <row r="648" spans="1:9" ht="16.5">
      <c r="A648" s="35" t="s">
        <v>4760</v>
      </c>
      <c r="B648" s="30" t="s">
        <v>4757</v>
      </c>
      <c r="C648" s="39" t="s">
        <v>62</v>
      </c>
      <c r="D648" s="35" t="s">
        <v>8174</v>
      </c>
      <c r="E648" s="29" t="s">
        <v>4600</v>
      </c>
      <c r="F648" s="35"/>
      <c r="G648" s="30" t="s">
        <v>8409</v>
      </c>
      <c r="H648" s="29">
        <f>COUNTIF(关系明细!$D$2:$D$2253,B648)</f>
        <v>11</v>
      </c>
      <c r="I648" s="29">
        <f>COUNTIF(关系明细!$G$2:$G$2253,B648)</f>
        <v>2</v>
      </c>
    </row>
    <row r="649" spans="1:9" ht="16.5">
      <c r="A649" s="34" t="s">
        <v>4782</v>
      </c>
      <c r="B649" s="9" t="s">
        <v>4779</v>
      </c>
      <c r="C649" s="40" t="s">
        <v>62</v>
      </c>
      <c r="D649" s="34" t="s">
        <v>8174</v>
      </c>
      <c r="E649" s="27" t="s">
        <v>4600</v>
      </c>
      <c r="F649" s="34"/>
      <c r="G649" s="9" t="s">
        <v>8410</v>
      </c>
      <c r="H649" s="27">
        <f>COUNTIF(关系明细!$D$2:$D$2253,B649)</f>
        <v>2</v>
      </c>
      <c r="I649" s="27">
        <f>COUNTIF(关系明细!$G$2:$G$2253,B649)</f>
        <v>2</v>
      </c>
    </row>
    <row r="650" spans="1:9" ht="16.5">
      <c r="A650" s="35" t="s">
        <v>4616</v>
      </c>
      <c r="B650" s="30" t="s">
        <v>4613</v>
      </c>
      <c r="C650" s="39" t="s">
        <v>62</v>
      </c>
      <c r="D650" s="35" t="s">
        <v>8174</v>
      </c>
      <c r="E650" s="29" t="s">
        <v>4600</v>
      </c>
      <c r="F650" s="35"/>
      <c r="G650" s="30" t="s">
        <v>8411</v>
      </c>
      <c r="H650" s="29">
        <f>COUNTIF(关系明细!$D$2:$D$2253,B650)</f>
        <v>7</v>
      </c>
      <c r="I650" s="29">
        <f>COUNTIF(关系明细!$G$2:$G$2253,B650)</f>
        <v>4</v>
      </c>
    </row>
    <row r="651" spans="1:9" ht="16.5">
      <c r="A651" s="34" t="s">
        <v>4657</v>
      </c>
      <c r="B651" s="9" t="s">
        <v>4654</v>
      </c>
      <c r="C651" s="40" t="s">
        <v>62</v>
      </c>
      <c r="D651" s="34" t="s">
        <v>8174</v>
      </c>
      <c r="E651" s="27" t="s">
        <v>4600</v>
      </c>
      <c r="F651" s="34"/>
      <c r="G651" s="9" t="s">
        <v>8412</v>
      </c>
      <c r="H651" s="27">
        <f>COUNTIF(关系明细!$D$2:$D$2253,B651)</f>
        <v>9</v>
      </c>
      <c r="I651" s="27">
        <f>COUNTIF(关系明细!$G$2:$G$2253,B651)</f>
        <v>4</v>
      </c>
    </row>
    <row r="652" spans="1:9" ht="16.5">
      <c r="A652" s="35" t="s">
        <v>4744</v>
      </c>
      <c r="B652" s="30" t="s">
        <v>4741</v>
      </c>
      <c r="C652" s="39" t="s">
        <v>62</v>
      </c>
      <c r="D652" s="35" t="s">
        <v>8174</v>
      </c>
      <c r="E652" s="29" t="s">
        <v>4600</v>
      </c>
      <c r="F652" s="35"/>
      <c r="G652" s="30" t="s">
        <v>8413</v>
      </c>
      <c r="H652" s="29">
        <f>COUNTIF(关系明细!$D$2:$D$2253,B652)</f>
        <v>7</v>
      </c>
      <c r="I652" s="29">
        <f>COUNTIF(关系明细!$G$2:$G$2253,B652)</f>
        <v>3</v>
      </c>
    </row>
    <row r="653" spans="1:9" ht="16.5">
      <c r="A653" s="34" t="s">
        <v>4733</v>
      </c>
      <c r="B653" s="9" t="s">
        <v>4730</v>
      </c>
      <c r="C653" s="40" t="s">
        <v>72</v>
      </c>
      <c r="D653" s="34" t="s">
        <v>8181</v>
      </c>
      <c r="E653" s="27" t="s">
        <v>4600</v>
      </c>
      <c r="F653" s="34"/>
      <c r="G653" s="9" t="s">
        <v>8414</v>
      </c>
      <c r="H653" s="27">
        <f>COUNTIF(关系明细!$D$2:$D$2253,B653)</f>
        <v>0</v>
      </c>
      <c r="I653" s="27">
        <f>COUNTIF(关系明细!$G$2:$G$2253,B653)</f>
        <v>1</v>
      </c>
    </row>
    <row r="654" spans="1:9" ht="16.5">
      <c r="A654" s="35" t="s">
        <v>4736</v>
      </c>
      <c r="B654" s="30" t="s">
        <v>4734</v>
      </c>
      <c r="C654" s="39" t="s">
        <v>72</v>
      </c>
      <c r="D654" s="35" t="s">
        <v>8181</v>
      </c>
      <c r="E654" s="29" t="s">
        <v>4600</v>
      </c>
      <c r="F654" s="35"/>
      <c r="G654" s="30" t="s">
        <v>8414</v>
      </c>
      <c r="H654" s="29">
        <f>COUNTIF(关系明细!$D$2:$D$2253,B654)</f>
        <v>0</v>
      </c>
      <c r="I654" s="29">
        <f>COUNTIF(关系明细!$G$2:$G$2253,B654)</f>
        <v>1</v>
      </c>
    </row>
    <row r="655" spans="1:9" ht="16.5">
      <c r="A655" s="34" t="s">
        <v>4683</v>
      </c>
      <c r="B655" s="9" t="s">
        <v>4680</v>
      </c>
      <c r="C655" s="40" t="s">
        <v>72</v>
      </c>
      <c r="D655" s="34" t="s">
        <v>8181</v>
      </c>
      <c r="E655" s="27" t="s">
        <v>4600</v>
      </c>
      <c r="F655" s="34"/>
      <c r="G655" s="9" t="s">
        <v>8415</v>
      </c>
      <c r="H655" s="27">
        <f>COUNTIF(关系明细!$D$2:$D$2253,B655)</f>
        <v>0</v>
      </c>
      <c r="I655" s="27">
        <f>COUNTIF(关系明细!$G$2:$G$2253,B655)</f>
        <v>1</v>
      </c>
    </row>
    <row r="656" spans="1:9" ht="16.5">
      <c r="A656" s="35" t="s">
        <v>4686</v>
      </c>
      <c r="B656" s="30" t="s">
        <v>4684</v>
      </c>
      <c r="C656" s="39" t="s">
        <v>72</v>
      </c>
      <c r="D656" s="35" t="s">
        <v>8181</v>
      </c>
      <c r="E656" s="29" t="s">
        <v>4600</v>
      </c>
      <c r="F656" s="35"/>
      <c r="G656" s="30" t="s">
        <v>8415</v>
      </c>
      <c r="H656" s="29">
        <f>COUNTIF(关系明细!$D$2:$D$2253,B656)</f>
        <v>0</v>
      </c>
      <c r="I656" s="29">
        <f>COUNTIF(关系明细!$G$2:$G$2253,B656)</f>
        <v>1</v>
      </c>
    </row>
    <row r="657" spans="1:9" ht="16.5">
      <c r="A657" s="34" t="s">
        <v>4689</v>
      </c>
      <c r="B657" s="9" t="s">
        <v>4687</v>
      </c>
      <c r="C657" s="40" t="s">
        <v>72</v>
      </c>
      <c r="D657" s="34" t="s">
        <v>8181</v>
      </c>
      <c r="E657" s="27" t="s">
        <v>4600</v>
      </c>
      <c r="F657" s="34"/>
      <c r="G657" s="9" t="s">
        <v>8415</v>
      </c>
      <c r="H657" s="27">
        <f>COUNTIF(关系明细!$D$2:$D$2253,B657)</f>
        <v>0</v>
      </c>
      <c r="I657" s="27">
        <f>COUNTIF(关系明细!$G$2:$G$2253,B657)</f>
        <v>1</v>
      </c>
    </row>
    <row r="658" spans="1:9" ht="16.5">
      <c r="A658" s="35" t="s">
        <v>4692</v>
      </c>
      <c r="B658" s="30" t="s">
        <v>4690</v>
      </c>
      <c r="C658" s="39" t="s">
        <v>72</v>
      </c>
      <c r="D658" s="35" t="s">
        <v>8181</v>
      </c>
      <c r="E658" s="29" t="s">
        <v>4600</v>
      </c>
      <c r="F658" s="35"/>
      <c r="G658" s="30" t="s">
        <v>8415</v>
      </c>
      <c r="H658" s="29">
        <f>COUNTIF(关系明细!$D$2:$D$2253,B658)</f>
        <v>0</v>
      </c>
      <c r="I658" s="29">
        <f>COUNTIF(关系明细!$G$2:$G$2253,B658)</f>
        <v>1</v>
      </c>
    </row>
    <row r="659" spans="1:9" ht="16.5">
      <c r="A659" s="34" t="s">
        <v>4708</v>
      </c>
      <c r="B659" s="9" t="s">
        <v>4705</v>
      </c>
      <c r="C659" s="40" t="s">
        <v>72</v>
      </c>
      <c r="D659" s="34" t="s">
        <v>8181</v>
      </c>
      <c r="E659" s="27" t="s">
        <v>4600</v>
      </c>
      <c r="F659" s="34"/>
      <c r="G659" s="9" t="s">
        <v>8416</v>
      </c>
      <c r="H659" s="27">
        <f>COUNTIF(关系明细!$D$2:$D$2253,B659)</f>
        <v>0</v>
      </c>
      <c r="I659" s="27">
        <f>COUNTIF(关系明细!$G$2:$G$2253,B659)</f>
        <v>1</v>
      </c>
    </row>
    <row r="660" spans="1:9" ht="16.5">
      <c r="A660" s="35" t="s">
        <v>4711</v>
      </c>
      <c r="B660" s="30" t="s">
        <v>4709</v>
      </c>
      <c r="C660" s="39" t="s">
        <v>72</v>
      </c>
      <c r="D660" s="35" t="s">
        <v>8181</v>
      </c>
      <c r="E660" s="29" t="s">
        <v>4600</v>
      </c>
      <c r="F660" s="35"/>
      <c r="G660" s="30" t="s">
        <v>8416</v>
      </c>
      <c r="H660" s="29">
        <f>COUNTIF(关系明细!$D$2:$D$2253,B660)</f>
        <v>0</v>
      </c>
      <c r="I660" s="29">
        <f>COUNTIF(关系明细!$G$2:$G$2253,B660)</f>
        <v>1</v>
      </c>
    </row>
    <row r="661" spans="1:9" ht="16.5">
      <c r="A661" s="34" t="s">
        <v>4714</v>
      </c>
      <c r="B661" s="9" t="s">
        <v>4712</v>
      </c>
      <c r="C661" s="40" t="s">
        <v>72</v>
      </c>
      <c r="D661" s="34" t="s">
        <v>8181</v>
      </c>
      <c r="E661" s="27" t="s">
        <v>4600</v>
      </c>
      <c r="F661" s="34"/>
      <c r="G661" s="9" t="s">
        <v>8416</v>
      </c>
      <c r="H661" s="27">
        <f>COUNTIF(关系明细!$D$2:$D$2253,B661)</f>
        <v>0</v>
      </c>
      <c r="I661" s="27">
        <f>COUNTIF(关系明细!$G$2:$G$2253,B661)</f>
        <v>1</v>
      </c>
    </row>
    <row r="662" spans="1:9" ht="16.5">
      <c r="A662" s="35" t="s">
        <v>4717</v>
      </c>
      <c r="B662" s="30" t="s">
        <v>4715</v>
      </c>
      <c r="C662" s="39" t="s">
        <v>72</v>
      </c>
      <c r="D662" s="35" t="s">
        <v>8181</v>
      </c>
      <c r="E662" s="29" t="s">
        <v>4600</v>
      </c>
      <c r="F662" s="35"/>
      <c r="G662" s="30" t="s">
        <v>8416</v>
      </c>
      <c r="H662" s="29">
        <f>COUNTIF(关系明细!$D$2:$D$2253,B662)</f>
        <v>0</v>
      </c>
      <c r="I662" s="29">
        <f>COUNTIF(关系明细!$G$2:$G$2253,B662)</f>
        <v>1</v>
      </c>
    </row>
    <row r="663" spans="1:9" ht="16.5">
      <c r="A663" s="34" t="s">
        <v>4794</v>
      </c>
      <c r="B663" s="9" t="s">
        <v>4791</v>
      </c>
      <c r="C663" s="40" t="s">
        <v>72</v>
      </c>
      <c r="D663" s="34" t="s">
        <v>8181</v>
      </c>
      <c r="E663" s="27" t="s">
        <v>4600</v>
      </c>
      <c r="F663" s="34"/>
      <c r="G663" s="9" t="s">
        <v>8417</v>
      </c>
      <c r="H663" s="27">
        <f>COUNTIF(关系明细!$D$2:$D$2253,B663)</f>
        <v>0</v>
      </c>
      <c r="I663" s="27">
        <f>COUNTIF(关系明细!$G$2:$G$2253,B663)</f>
        <v>1</v>
      </c>
    </row>
    <row r="664" spans="1:9" ht="16.5">
      <c r="A664" s="35" t="s">
        <v>4797</v>
      </c>
      <c r="B664" s="30" t="s">
        <v>4795</v>
      </c>
      <c r="C664" s="39" t="s">
        <v>72</v>
      </c>
      <c r="D664" s="35" t="s">
        <v>8181</v>
      </c>
      <c r="E664" s="29" t="s">
        <v>4600</v>
      </c>
      <c r="F664" s="35"/>
      <c r="G664" s="30" t="s">
        <v>8417</v>
      </c>
      <c r="H664" s="29">
        <f>COUNTIF(关系明细!$D$2:$D$2253,B664)</f>
        <v>0</v>
      </c>
      <c r="I664" s="29">
        <f>COUNTIF(关系明细!$G$2:$G$2253,B664)</f>
        <v>1</v>
      </c>
    </row>
    <row r="665" spans="1:9" ht="16.5">
      <c r="A665" s="34" t="s">
        <v>4644</v>
      </c>
      <c r="B665" s="9" t="s">
        <v>4641</v>
      </c>
      <c r="C665" s="40" t="s">
        <v>72</v>
      </c>
      <c r="D665" s="34" t="s">
        <v>8181</v>
      </c>
      <c r="E665" s="27" t="s">
        <v>4600</v>
      </c>
      <c r="F665" s="34"/>
      <c r="G665" s="9" t="s">
        <v>8418</v>
      </c>
      <c r="H665" s="27">
        <f>COUNTIF(关系明细!$D$2:$D$2253,B665)</f>
        <v>0</v>
      </c>
      <c r="I665" s="27">
        <f>COUNTIF(关系明细!$G$2:$G$2253,B665)</f>
        <v>1</v>
      </c>
    </row>
    <row r="666" spans="1:9" ht="16.5">
      <c r="A666" s="35" t="s">
        <v>4647</v>
      </c>
      <c r="B666" s="30" t="s">
        <v>4645</v>
      </c>
      <c r="C666" s="39" t="s">
        <v>72</v>
      </c>
      <c r="D666" s="35" t="s">
        <v>8181</v>
      </c>
      <c r="E666" s="29" t="s">
        <v>4600</v>
      </c>
      <c r="F666" s="35"/>
      <c r="G666" s="30" t="s">
        <v>8418</v>
      </c>
      <c r="H666" s="29">
        <f>COUNTIF(关系明细!$D$2:$D$2253,B666)</f>
        <v>0</v>
      </c>
      <c r="I666" s="29">
        <f>COUNTIF(关系明细!$G$2:$G$2253,B666)</f>
        <v>1</v>
      </c>
    </row>
    <row r="667" spans="1:9" ht="16.5">
      <c r="A667" s="34" t="s">
        <v>4650</v>
      </c>
      <c r="B667" s="9" t="s">
        <v>4648</v>
      </c>
      <c r="C667" s="40" t="s">
        <v>72</v>
      </c>
      <c r="D667" s="34" t="s">
        <v>8181</v>
      </c>
      <c r="E667" s="27" t="s">
        <v>4600</v>
      </c>
      <c r="F667" s="34"/>
      <c r="G667" s="9" t="s">
        <v>8418</v>
      </c>
      <c r="H667" s="27">
        <f>COUNTIF(关系明细!$D$2:$D$2253,B667)</f>
        <v>0</v>
      </c>
      <c r="I667" s="27">
        <f>COUNTIF(关系明细!$G$2:$G$2253,B667)</f>
        <v>1</v>
      </c>
    </row>
    <row r="668" spans="1:9" ht="16.5">
      <c r="A668" s="35" t="s">
        <v>4653</v>
      </c>
      <c r="B668" s="30" t="s">
        <v>4651</v>
      </c>
      <c r="C668" s="39" t="s">
        <v>72</v>
      </c>
      <c r="D668" s="35" t="s">
        <v>8181</v>
      </c>
      <c r="E668" s="29" t="s">
        <v>4600</v>
      </c>
      <c r="F668" s="35"/>
      <c r="G668" s="30" t="s">
        <v>8418</v>
      </c>
      <c r="H668" s="29">
        <f>COUNTIF(关系明细!$D$2:$D$2253,B668)</f>
        <v>0</v>
      </c>
      <c r="I668" s="29">
        <f>COUNTIF(关系明细!$G$2:$G$2253,B668)</f>
        <v>1</v>
      </c>
    </row>
    <row r="669" spans="1:9" ht="16.5">
      <c r="A669" s="34" t="s">
        <v>4764</v>
      </c>
      <c r="B669" s="9" t="s">
        <v>4761</v>
      </c>
      <c r="C669" s="40" t="s">
        <v>72</v>
      </c>
      <c r="D669" s="34" t="s">
        <v>8181</v>
      </c>
      <c r="E669" s="27" t="s">
        <v>4600</v>
      </c>
      <c r="F669" s="34"/>
      <c r="G669" s="9" t="s">
        <v>8419</v>
      </c>
      <c r="H669" s="27">
        <f>COUNTIF(关系明细!$D$2:$D$2253,B669)</f>
        <v>0</v>
      </c>
      <c r="I669" s="27">
        <f>COUNTIF(关系明细!$G$2:$G$2253,B669)</f>
        <v>1</v>
      </c>
    </row>
    <row r="670" spans="1:9" ht="16.5">
      <c r="A670" s="35" t="s">
        <v>4767</v>
      </c>
      <c r="B670" s="30" t="s">
        <v>4765</v>
      </c>
      <c r="C670" s="39" t="s">
        <v>72</v>
      </c>
      <c r="D670" s="35" t="s">
        <v>8181</v>
      </c>
      <c r="E670" s="29" t="s">
        <v>4600</v>
      </c>
      <c r="F670" s="35"/>
      <c r="G670" s="30" t="s">
        <v>8419</v>
      </c>
      <c r="H670" s="29">
        <f>COUNTIF(关系明细!$D$2:$D$2253,B670)</f>
        <v>0</v>
      </c>
      <c r="I670" s="29">
        <f>COUNTIF(关系明细!$G$2:$G$2253,B670)</f>
        <v>1</v>
      </c>
    </row>
    <row r="671" spans="1:9" ht="16.5">
      <c r="A671" s="34" t="s">
        <v>4770</v>
      </c>
      <c r="B671" s="9" t="s">
        <v>4768</v>
      </c>
      <c r="C671" s="40" t="s">
        <v>72</v>
      </c>
      <c r="D671" s="34" t="s">
        <v>8181</v>
      </c>
      <c r="E671" s="27" t="s">
        <v>4600</v>
      </c>
      <c r="F671" s="34"/>
      <c r="G671" s="9" t="s">
        <v>8419</v>
      </c>
      <c r="H671" s="27">
        <f>COUNTIF(关系明细!$D$2:$D$2253,B671)</f>
        <v>0</v>
      </c>
      <c r="I671" s="27">
        <f>COUNTIF(关系明细!$G$2:$G$2253,B671)</f>
        <v>1</v>
      </c>
    </row>
    <row r="672" spans="1:9" ht="16.5">
      <c r="A672" s="35" t="s">
        <v>4786</v>
      </c>
      <c r="B672" s="30" t="s">
        <v>4783</v>
      </c>
      <c r="C672" s="39" t="s">
        <v>72</v>
      </c>
      <c r="D672" s="35" t="s">
        <v>8181</v>
      </c>
      <c r="E672" s="29" t="s">
        <v>4600</v>
      </c>
      <c r="F672" s="35"/>
      <c r="G672" s="30" t="s">
        <v>8420</v>
      </c>
      <c r="H672" s="29">
        <f>COUNTIF(关系明细!$D$2:$D$2253,B672)</f>
        <v>0</v>
      </c>
      <c r="I672" s="29">
        <f>COUNTIF(关系明细!$G$2:$G$2253,B672)</f>
        <v>1</v>
      </c>
    </row>
    <row r="673" spans="1:9" ht="16.5">
      <c r="A673" s="34" t="s">
        <v>4621</v>
      </c>
      <c r="B673" s="9" t="s">
        <v>4618</v>
      </c>
      <c r="C673" s="40" t="s">
        <v>72</v>
      </c>
      <c r="D673" s="34" t="s">
        <v>8181</v>
      </c>
      <c r="E673" s="27" t="s">
        <v>4600</v>
      </c>
      <c r="F673" s="34"/>
      <c r="G673" s="9" t="s">
        <v>8421</v>
      </c>
      <c r="H673" s="27">
        <f>COUNTIF(关系明细!$D$2:$D$2253,B673)</f>
        <v>0</v>
      </c>
      <c r="I673" s="27">
        <f>COUNTIF(关系明细!$G$2:$G$2253,B673)</f>
        <v>1</v>
      </c>
    </row>
    <row r="674" spans="1:9" ht="16.5">
      <c r="A674" s="35" t="s">
        <v>4624</v>
      </c>
      <c r="B674" s="30" t="s">
        <v>4622</v>
      </c>
      <c r="C674" s="39" t="s">
        <v>72</v>
      </c>
      <c r="D674" s="35" t="s">
        <v>8181</v>
      </c>
      <c r="E674" s="29" t="s">
        <v>4600</v>
      </c>
      <c r="F674" s="35"/>
      <c r="G674" s="30" t="s">
        <v>8421</v>
      </c>
      <c r="H674" s="29">
        <f>COUNTIF(关系明细!$D$2:$D$2253,B674)</f>
        <v>0</v>
      </c>
      <c r="I674" s="29">
        <f>COUNTIF(关系明细!$G$2:$G$2253,B674)</f>
        <v>1</v>
      </c>
    </row>
    <row r="675" spans="1:9" ht="16.5">
      <c r="A675" s="34" t="s">
        <v>4661</v>
      </c>
      <c r="B675" s="9" t="s">
        <v>4658</v>
      </c>
      <c r="C675" s="40" t="s">
        <v>72</v>
      </c>
      <c r="D675" s="34" t="s">
        <v>8181</v>
      </c>
      <c r="E675" s="27" t="s">
        <v>4600</v>
      </c>
      <c r="F675" s="34"/>
      <c r="G675" s="9" t="s">
        <v>8422</v>
      </c>
      <c r="H675" s="27">
        <f>COUNTIF(关系明细!$D$2:$D$2253,B675)</f>
        <v>0</v>
      </c>
      <c r="I675" s="27">
        <f>COUNTIF(关系明细!$G$2:$G$2253,B675)</f>
        <v>1</v>
      </c>
    </row>
    <row r="676" spans="1:9" ht="16.5">
      <c r="A676" s="35" t="s">
        <v>4664</v>
      </c>
      <c r="B676" s="30" t="s">
        <v>4662</v>
      </c>
      <c r="C676" s="39" t="s">
        <v>72</v>
      </c>
      <c r="D676" s="35" t="s">
        <v>8181</v>
      </c>
      <c r="E676" s="29" t="s">
        <v>4600</v>
      </c>
      <c r="F676" s="35"/>
      <c r="G676" s="30" t="s">
        <v>8422</v>
      </c>
      <c r="H676" s="29">
        <f>COUNTIF(关系明细!$D$2:$D$2253,B676)</f>
        <v>0</v>
      </c>
      <c r="I676" s="29">
        <f>COUNTIF(关系明细!$G$2:$G$2253,B676)</f>
        <v>1</v>
      </c>
    </row>
    <row r="677" spans="1:9" ht="16.5">
      <c r="A677" s="34" t="s">
        <v>4667</v>
      </c>
      <c r="B677" s="9" t="s">
        <v>4665</v>
      </c>
      <c r="C677" s="40" t="s">
        <v>72</v>
      </c>
      <c r="D677" s="34" t="s">
        <v>8181</v>
      </c>
      <c r="E677" s="27" t="s">
        <v>4600</v>
      </c>
      <c r="F677" s="34"/>
      <c r="G677" s="9" t="s">
        <v>8422</v>
      </c>
      <c r="H677" s="27">
        <f>COUNTIF(关系明细!$D$2:$D$2253,B677)</f>
        <v>0</v>
      </c>
      <c r="I677" s="27">
        <f>COUNTIF(关系明细!$G$2:$G$2253,B677)</f>
        <v>1</v>
      </c>
    </row>
    <row r="678" spans="1:9" ht="16.5">
      <c r="A678" s="35" t="s">
        <v>4740</v>
      </c>
      <c r="B678" s="30" t="s">
        <v>4737</v>
      </c>
      <c r="C678" s="39" t="s">
        <v>82</v>
      </c>
      <c r="D678" s="35" t="s">
        <v>8186</v>
      </c>
      <c r="E678" s="29" t="s">
        <v>4600</v>
      </c>
      <c r="F678" s="35"/>
      <c r="G678" s="30" t="s">
        <v>8190</v>
      </c>
      <c r="H678" s="29">
        <f>COUNTIF(关系明细!$D$2:$D$2253,B678)</f>
        <v>0</v>
      </c>
      <c r="I678" s="29">
        <f>COUNTIF(关系明细!$G$2:$G$2253,B678)</f>
        <v>1</v>
      </c>
    </row>
    <row r="679" spans="1:9" ht="16.5">
      <c r="A679" s="34" t="s">
        <v>4809</v>
      </c>
      <c r="B679" s="9" t="s">
        <v>4806</v>
      </c>
      <c r="C679" s="40" t="s">
        <v>82</v>
      </c>
      <c r="D679" s="34" t="s">
        <v>8186</v>
      </c>
      <c r="E679" s="27" t="s">
        <v>4600</v>
      </c>
      <c r="F679" s="34"/>
      <c r="G679" s="9" t="s">
        <v>8423</v>
      </c>
      <c r="H679" s="27">
        <f>COUNTIF(关系明细!$D$2:$D$2253,B679)</f>
        <v>0</v>
      </c>
      <c r="I679" s="27">
        <f>COUNTIF(关系明细!$G$2:$G$2253,B679)</f>
        <v>1</v>
      </c>
    </row>
    <row r="680" spans="1:9" ht="16.5">
      <c r="A680" s="35" t="s">
        <v>4813</v>
      </c>
      <c r="B680" s="30" t="s">
        <v>4810</v>
      </c>
      <c r="C680" s="39" t="s">
        <v>82</v>
      </c>
      <c r="D680" s="35" t="s">
        <v>8186</v>
      </c>
      <c r="E680" s="29" t="s">
        <v>4600</v>
      </c>
      <c r="F680" s="35"/>
      <c r="G680" s="30" t="s">
        <v>8424</v>
      </c>
      <c r="H680" s="29">
        <f>COUNTIF(关系明细!$D$2:$D$2253,B680)</f>
        <v>0</v>
      </c>
      <c r="I680" s="29">
        <f>COUNTIF(关系明细!$G$2:$G$2253,B680)</f>
        <v>1</v>
      </c>
    </row>
    <row r="681" spans="1:9" ht="16.5">
      <c r="A681" s="34" t="s">
        <v>4696</v>
      </c>
      <c r="B681" s="9" t="s">
        <v>4693</v>
      </c>
      <c r="C681" s="40" t="s">
        <v>82</v>
      </c>
      <c r="D681" s="34" t="s">
        <v>8186</v>
      </c>
      <c r="E681" s="27" t="s">
        <v>4600</v>
      </c>
      <c r="F681" s="34"/>
      <c r="G681" s="9" t="s">
        <v>8190</v>
      </c>
      <c r="H681" s="27">
        <f>COUNTIF(关系明细!$D$2:$D$2253,B681)</f>
        <v>0</v>
      </c>
      <c r="I681" s="27">
        <f>COUNTIF(关系明细!$G$2:$G$2253,B681)</f>
        <v>1</v>
      </c>
    </row>
    <row r="682" spans="1:9" ht="16.5">
      <c r="A682" s="35" t="s">
        <v>4700</v>
      </c>
      <c r="B682" s="30" t="s">
        <v>4697</v>
      </c>
      <c r="C682" s="39" t="s">
        <v>82</v>
      </c>
      <c r="D682" s="35" t="s">
        <v>8186</v>
      </c>
      <c r="E682" s="29" t="s">
        <v>4600</v>
      </c>
      <c r="F682" s="35"/>
      <c r="G682" s="35" t="s">
        <v>8425</v>
      </c>
      <c r="H682" s="29">
        <f>COUNTIF(关系明细!$D$2:$D$2253,B682)</f>
        <v>0</v>
      </c>
      <c r="I682" s="29">
        <f>COUNTIF(关系明细!$G$2:$G$2253,B682)</f>
        <v>1</v>
      </c>
    </row>
    <row r="683" spans="1:9" ht="16.5">
      <c r="A683" s="34" t="s">
        <v>4721</v>
      </c>
      <c r="B683" s="9" t="s">
        <v>4718</v>
      </c>
      <c r="C683" s="40" t="s">
        <v>82</v>
      </c>
      <c r="D683" s="34" t="s">
        <v>8186</v>
      </c>
      <c r="E683" s="27" t="s">
        <v>4600</v>
      </c>
      <c r="F683" s="34"/>
      <c r="G683" s="9" t="s">
        <v>8190</v>
      </c>
      <c r="H683" s="27">
        <f>COUNTIF(关系明细!$D$2:$D$2253,B683)</f>
        <v>0</v>
      </c>
      <c r="I683" s="27">
        <f>COUNTIF(关系明细!$G$2:$G$2253,B683)</f>
        <v>1</v>
      </c>
    </row>
    <row r="684" spans="1:9" ht="16.5">
      <c r="A684" s="35" t="s">
        <v>4725</v>
      </c>
      <c r="B684" s="30" t="s">
        <v>4722</v>
      </c>
      <c r="C684" s="39" t="s">
        <v>82</v>
      </c>
      <c r="D684" s="35" t="s">
        <v>8186</v>
      </c>
      <c r="E684" s="29" t="s">
        <v>4600</v>
      </c>
      <c r="F684" s="35"/>
      <c r="G684" s="35" t="s">
        <v>8426</v>
      </c>
      <c r="H684" s="29">
        <f>COUNTIF(关系明细!$D$2:$D$2253,B684)</f>
        <v>0</v>
      </c>
      <c r="I684" s="29">
        <f>COUNTIF(关系明细!$G$2:$G$2253,B684)</f>
        <v>1</v>
      </c>
    </row>
    <row r="685" spans="1:9" ht="16.5">
      <c r="A685" s="34" t="s">
        <v>4801</v>
      </c>
      <c r="B685" s="9" t="s">
        <v>4798</v>
      </c>
      <c r="C685" s="40" t="s">
        <v>82</v>
      </c>
      <c r="D685" s="34" t="s">
        <v>8186</v>
      </c>
      <c r="E685" s="27" t="s">
        <v>4600</v>
      </c>
      <c r="F685" s="34"/>
      <c r="G685" s="9" t="s">
        <v>8188</v>
      </c>
      <c r="H685" s="27">
        <f>COUNTIF(关系明细!$D$2:$D$2253,B685)</f>
        <v>0</v>
      </c>
      <c r="I685" s="27">
        <f>COUNTIF(关系明细!$G$2:$G$2253,B685)</f>
        <v>1</v>
      </c>
    </row>
    <row r="686" spans="1:9" ht="16.5">
      <c r="A686" s="35" t="s">
        <v>4636</v>
      </c>
      <c r="B686" s="30" t="s">
        <v>4633</v>
      </c>
      <c r="C686" s="39" t="s">
        <v>82</v>
      </c>
      <c r="D686" s="35" t="s">
        <v>8186</v>
      </c>
      <c r="E686" s="29" t="s">
        <v>4600</v>
      </c>
      <c r="F686" s="35"/>
      <c r="G686" s="30" t="s">
        <v>8427</v>
      </c>
      <c r="H686" s="29">
        <f>COUNTIF(关系明细!$D$2:$D$2253,B686)</f>
        <v>0</v>
      </c>
      <c r="I686" s="29">
        <f>COUNTIF(关系明细!$G$2:$G$2253,B686)</f>
        <v>1</v>
      </c>
    </row>
    <row r="687" spans="1:9" ht="16.5">
      <c r="A687" s="34" t="s">
        <v>4774</v>
      </c>
      <c r="B687" s="9" t="s">
        <v>4771</v>
      </c>
      <c r="C687" s="40" t="s">
        <v>82</v>
      </c>
      <c r="D687" s="34" t="s">
        <v>8186</v>
      </c>
      <c r="E687" s="27" t="s">
        <v>4600</v>
      </c>
      <c r="F687" s="34"/>
      <c r="G687" s="9" t="s">
        <v>8428</v>
      </c>
      <c r="H687" s="27">
        <f>COUNTIF(关系明细!$D$2:$D$2253,B687)</f>
        <v>0</v>
      </c>
      <c r="I687" s="27">
        <f>COUNTIF(关系明细!$G$2:$G$2253,B687)</f>
        <v>1</v>
      </c>
    </row>
    <row r="688" spans="1:9" ht="16.5">
      <c r="A688" s="35" t="s">
        <v>4778</v>
      </c>
      <c r="B688" s="30" t="s">
        <v>4775</v>
      </c>
      <c r="C688" s="39" t="s">
        <v>82</v>
      </c>
      <c r="D688" s="35" t="s">
        <v>8186</v>
      </c>
      <c r="E688" s="29" t="s">
        <v>4600</v>
      </c>
      <c r="F688" s="35"/>
      <c r="G688" s="30" t="s">
        <v>8429</v>
      </c>
      <c r="H688" s="29">
        <f>COUNTIF(关系明细!$D$2:$D$2253,B688)</f>
        <v>0</v>
      </c>
      <c r="I688" s="29">
        <f>COUNTIF(关系明细!$G$2:$G$2253,B688)</f>
        <v>1</v>
      </c>
    </row>
    <row r="689" spans="1:9" ht="16.5">
      <c r="A689" s="34" t="s">
        <v>4628</v>
      </c>
      <c r="B689" s="9" t="s">
        <v>4625</v>
      </c>
      <c r="C689" s="40" t="s">
        <v>82</v>
      </c>
      <c r="D689" s="34" t="s">
        <v>8186</v>
      </c>
      <c r="E689" s="27" t="s">
        <v>4600</v>
      </c>
      <c r="F689" s="34"/>
      <c r="G689" s="9" t="s">
        <v>8430</v>
      </c>
      <c r="H689" s="27">
        <f>COUNTIF(关系明细!$D$2:$D$2253,B689)</f>
        <v>0</v>
      </c>
      <c r="I689" s="27">
        <f>COUNTIF(关系明细!$G$2:$G$2253,B689)</f>
        <v>1</v>
      </c>
    </row>
    <row r="690" spans="1:9" ht="16.5">
      <c r="A690" s="35" t="s">
        <v>4671</v>
      </c>
      <c r="B690" s="30" t="s">
        <v>4668</v>
      </c>
      <c r="C690" s="39" t="s">
        <v>82</v>
      </c>
      <c r="D690" s="35" t="s">
        <v>8186</v>
      </c>
      <c r="E690" s="29" t="s">
        <v>4600</v>
      </c>
      <c r="F690" s="35"/>
      <c r="G690" s="30" t="s">
        <v>8431</v>
      </c>
      <c r="H690" s="29">
        <f>COUNTIF(关系明细!$D$2:$D$2253,B690)</f>
        <v>0</v>
      </c>
      <c r="I690" s="29">
        <f>COUNTIF(关系明细!$G$2:$G$2253,B690)</f>
        <v>1</v>
      </c>
    </row>
    <row r="691" spans="1:9" ht="16.5">
      <c r="A691" s="34" t="s">
        <v>4675</v>
      </c>
      <c r="B691" s="9" t="s">
        <v>4672</v>
      </c>
      <c r="C691" s="40" t="s">
        <v>82</v>
      </c>
      <c r="D691" s="34" t="s">
        <v>8186</v>
      </c>
      <c r="E691" s="27" t="s">
        <v>4600</v>
      </c>
      <c r="F691" s="34"/>
      <c r="G691" s="9" t="s">
        <v>8188</v>
      </c>
      <c r="H691" s="27">
        <f>COUNTIF(关系明细!$D$2:$D$2253,B691)</f>
        <v>0</v>
      </c>
      <c r="I691" s="27">
        <f>COUNTIF(关系明细!$G$2:$G$2253,B691)</f>
        <v>1</v>
      </c>
    </row>
    <row r="692" spans="1:9" ht="16.5">
      <c r="A692" s="35" t="s">
        <v>4748</v>
      </c>
      <c r="B692" s="30" t="s">
        <v>4745</v>
      </c>
      <c r="C692" s="39" t="s">
        <v>82</v>
      </c>
      <c r="D692" s="35" t="s">
        <v>8186</v>
      </c>
      <c r="E692" s="29" t="s">
        <v>4600</v>
      </c>
      <c r="F692" s="35"/>
      <c r="G692" s="30" t="s">
        <v>8188</v>
      </c>
      <c r="H692" s="29">
        <f>COUNTIF(关系明细!$D$2:$D$2253,B692)</f>
        <v>0</v>
      </c>
      <c r="I692" s="29">
        <f>COUNTIF(关系明细!$G$2:$G$2253,B692)</f>
        <v>1</v>
      </c>
    </row>
    <row r="693" spans="1:9" ht="16.5">
      <c r="A693" s="34" t="s">
        <v>4752</v>
      </c>
      <c r="B693" s="9" t="s">
        <v>4749</v>
      </c>
      <c r="C693" s="40" t="s">
        <v>82</v>
      </c>
      <c r="D693" s="34" t="s">
        <v>8186</v>
      </c>
      <c r="E693" s="27" t="s">
        <v>4600</v>
      </c>
      <c r="F693" s="34"/>
      <c r="G693" s="9" t="s">
        <v>8189</v>
      </c>
      <c r="H693" s="27">
        <f>COUNTIF(关系明细!$D$2:$D$2253,B693)</f>
        <v>0</v>
      </c>
      <c r="I693" s="27">
        <f>COUNTIF(关系明细!$G$2:$G$2253,B693)</f>
        <v>1</v>
      </c>
    </row>
    <row r="694" spans="1:9" ht="16.5">
      <c r="A694" s="35" t="s">
        <v>4756</v>
      </c>
      <c r="B694" s="30" t="s">
        <v>4753</v>
      </c>
      <c r="C694" s="39" t="s">
        <v>82</v>
      </c>
      <c r="D694" s="35" t="s">
        <v>8186</v>
      </c>
      <c r="E694" s="29" t="s">
        <v>4600</v>
      </c>
      <c r="F694" s="35"/>
      <c r="G694" s="30" t="s">
        <v>8432</v>
      </c>
      <c r="H694" s="29">
        <f>COUNTIF(关系明细!$D$2:$D$2253,B694)</f>
        <v>0</v>
      </c>
      <c r="I694" s="29">
        <f>COUNTIF(关系明细!$G$2:$G$2253,B694)</f>
        <v>1</v>
      </c>
    </row>
    <row r="695" spans="1:9" ht="16.5">
      <c r="A695" s="34" t="s">
        <v>5315</v>
      </c>
      <c r="B695" s="9" t="s">
        <v>5313</v>
      </c>
      <c r="C695" s="40" t="s">
        <v>300</v>
      </c>
      <c r="D695" s="34" t="s">
        <v>8197</v>
      </c>
      <c r="E695" s="27" t="s">
        <v>4600</v>
      </c>
      <c r="F695" s="34"/>
      <c r="G695" s="9" t="s">
        <v>8433</v>
      </c>
      <c r="H695" s="27">
        <f>COUNTIF(关系明细!$D$2:$D$2253,B695)</f>
        <v>1</v>
      </c>
      <c r="I695" s="27">
        <f>COUNTIF(关系明细!$G$2:$G$2253,B695)</f>
        <v>1</v>
      </c>
    </row>
    <row r="696" spans="1:9" ht="16.5">
      <c r="A696" s="35" t="s">
        <v>5342</v>
      </c>
      <c r="B696" s="30" t="s">
        <v>5340</v>
      </c>
      <c r="C696" s="39" t="s">
        <v>300</v>
      </c>
      <c r="D696" s="35" t="s">
        <v>8197</v>
      </c>
      <c r="E696" s="29" t="s">
        <v>4600</v>
      </c>
      <c r="F696" s="35"/>
      <c r="G696" s="30" t="s">
        <v>8434</v>
      </c>
      <c r="H696" s="29">
        <f>COUNTIF(关系明细!$D$2:$D$2253,B696)</f>
        <v>1</v>
      </c>
      <c r="I696" s="29">
        <f>COUNTIF(关系明细!$G$2:$G$2253,B696)</f>
        <v>1</v>
      </c>
    </row>
    <row r="697" spans="1:9" ht="16.5">
      <c r="A697" s="34" t="s">
        <v>5345</v>
      </c>
      <c r="B697" s="9" t="s">
        <v>5343</v>
      </c>
      <c r="C697" s="40" t="s">
        <v>300</v>
      </c>
      <c r="D697" s="34" t="s">
        <v>8197</v>
      </c>
      <c r="E697" s="27" t="s">
        <v>4600</v>
      </c>
      <c r="F697" s="34"/>
      <c r="G697" s="9" t="s">
        <v>8435</v>
      </c>
      <c r="H697" s="27">
        <f>COUNTIF(关系明细!$D$2:$D$2253,B697)</f>
        <v>2</v>
      </c>
      <c r="I697" s="27">
        <f>COUNTIF(关系明细!$G$2:$G$2253,B697)</f>
        <v>1</v>
      </c>
    </row>
    <row r="698" spans="1:9" ht="16.5">
      <c r="A698" s="35" t="s">
        <v>5319</v>
      </c>
      <c r="B698" s="30" t="s">
        <v>5317</v>
      </c>
      <c r="C698" s="39" t="s">
        <v>300</v>
      </c>
      <c r="D698" s="35" t="s">
        <v>8197</v>
      </c>
      <c r="E698" s="29" t="s">
        <v>4600</v>
      </c>
      <c r="F698" s="35"/>
      <c r="G698" s="30" t="s">
        <v>8436</v>
      </c>
      <c r="H698" s="29">
        <f>COUNTIF(关系明细!$D$2:$D$2253,B698)</f>
        <v>1</v>
      </c>
      <c r="I698" s="29">
        <f>COUNTIF(关系明细!$G$2:$G$2253,B698)</f>
        <v>1</v>
      </c>
    </row>
    <row r="699" spans="1:9" ht="16.5">
      <c r="A699" s="34" t="s">
        <v>5322</v>
      </c>
      <c r="B699" s="9" t="s">
        <v>5320</v>
      </c>
      <c r="C699" s="40" t="s">
        <v>300</v>
      </c>
      <c r="D699" s="34" t="s">
        <v>8197</v>
      </c>
      <c r="E699" s="27" t="s">
        <v>4600</v>
      </c>
      <c r="F699" s="34"/>
      <c r="G699" s="9" t="s">
        <v>8437</v>
      </c>
      <c r="H699" s="27">
        <f>COUNTIF(关系明细!$D$2:$D$2253,B699)</f>
        <v>1</v>
      </c>
      <c r="I699" s="27">
        <f>COUNTIF(关系明细!$G$2:$G$2253,B699)</f>
        <v>2</v>
      </c>
    </row>
    <row r="700" spans="1:9" ht="16.5">
      <c r="A700" s="35" t="s">
        <v>4997</v>
      </c>
      <c r="B700" s="35" t="s">
        <v>4994</v>
      </c>
      <c r="C700" s="39" t="s">
        <v>300</v>
      </c>
      <c r="D700" s="35" t="s">
        <v>8197</v>
      </c>
      <c r="E700" s="29" t="s">
        <v>4600</v>
      </c>
      <c r="F700" s="35"/>
      <c r="G700" s="30" t="s">
        <v>8438</v>
      </c>
      <c r="H700" s="29">
        <f>COUNTIF(关系明细!$D$2:$D$2253,B700)</f>
        <v>6</v>
      </c>
      <c r="I700" s="29">
        <f>COUNTIF(关系明细!$G$2:$G$2253,B700)</f>
        <v>1</v>
      </c>
    </row>
    <row r="701" spans="1:9" ht="16.5">
      <c r="A701" s="34" t="s">
        <v>4993</v>
      </c>
      <c r="B701" s="9" t="s">
        <v>4990</v>
      </c>
      <c r="C701" s="40" t="s">
        <v>300</v>
      </c>
      <c r="D701" s="34" t="s">
        <v>8197</v>
      </c>
      <c r="E701" s="27" t="s">
        <v>4600</v>
      </c>
      <c r="F701" s="34"/>
      <c r="G701" s="9" t="s">
        <v>8439</v>
      </c>
      <c r="H701" s="27">
        <f>COUNTIF(关系明细!$D$2:$D$2253,B701)</f>
        <v>4</v>
      </c>
      <c r="I701" s="27">
        <f>COUNTIF(关系明细!$G$2:$G$2253,B701)</f>
        <v>2</v>
      </c>
    </row>
    <row r="702" spans="1:9" ht="16.5">
      <c r="A702" s="35" t="s">
        <v>4157</v>
      </c>
      <c r="B702" s="30" t="s">
        <v>4154</v>
      </c>
      <c r="C702" s="39" t="s">
        <v>204</v>
      </c>
      <c r="D702" s="35" t="s">
        <v>8201</v>
      </c>
      <c r="E702" s="29" t="s">
        <v>4600</v>
      </c>
      <c r="F702" s="30" t="s">
        <v>4613</v>
      </c>
      <c r="G702" s="30" t="s">
        <v>4814</v>
      </c>
      <c r="H702" s="29">
        <f>COUNTIF(关系明细!$D$2:$D$2253,B702)</f>
        <v>7</v>
      </c>
      <c r="I702" s="29">
        <f>COUNTIF(关系明细!$G$2:$G$2253,B702)</f>
        <v>6</v>
      </c>
    </row>
    <row r="703" spans="1:9" ht="16.5">
      <c r="A703" s="34" t="s">
        <v>4819</v>
      </c>
      <c r="B703" s="9" t="s">
        <v>4816</v>
      </c>
      <c r="C703" s="40" t="s">
        <v>204</v>
      </c>
      <c r="D703" s="34" t="s">
        <v>8201</v>
      </c>
      <c r="E703" s="27" t="s">
        <v>4600</v>
      </c>
      <c r="F703" s="9" t="s">
        <v>4613</v>
      </c>
      <c r="G703" s="34" t="s">
        <v>584</v>
      </c>
      <c r="H703" s="27">
        <f>COUNTIF(关系明细!$D$2:$D$2253,B703)</f>
        <v>5</v>
      </c>
      <c r="I703" s="27">
        <f>COUNTIF(关系明细!$G$2:$G$2253,B703)</f>
        <v>2</v>
      </c>
    </row>
    <row r="704" spans="1:9" ht="16.5">
      <c r="A704" s="35" t="s">
        <v>4824</v>
      </c>
      <c r="B704" s="30" t="s">
        <v>4821</v>
      </c>
      <c r="C704" s="39" t="s">
        <v>204</v>
      </c>
      <c r="D704" s="35" t="s">
        <v>8201</v>
      </c>
      <c r="E704" s="29" t="s">
        <v>4600</v>
      </c>
      <c r="F704" s="30" t="s">
        <v>4637</v>
      </c>
      <c r="G704" s="30" t="s">
        <v>4822</v>
      </c>
      <c r="H704" s="29">
        <f>COUNTIF(关系明细!$D$2:$D$2253,B704)</f>
        <v>5</v>
      </c>
      <c r="I704" s="29">
        <f>COUNTIF(关系明细!$G$2:$G$2253,B704)</f>
        <v>3</v>
      </c>
    </row>
    <row r="705" spans="1:9" ht="16.5">
      <c r="A705" s="34" t="s">
        <v>4829</v>
      </c>
      <c r="B705" s="9" t="s">
        <v>4826</v>
      </c>
      <c r="C705" s="40" t="s">
        <v>204</v>
      </c>
      <c r="D705" s="34" t="s">
        <v>8201</v>
      </c>
      <c r="E705" s="27" t="s">
        <v>4600</v>
      </c>
      <c r="F705" s="9" t="s">
        <v>4637</v>
      </c>
      <c r="G705" s="34" t="s">
        <v>584</v>
      </c>
      <c r="H705" s="27">
        <f>COUNTIF(关系明细!$D$2:$D$2253,B705)</f>
        <v>2</v>
      </c>
      <c r="I705" s="27">
        <f>COUNTIF(关系明细!$G$2:$G$2253,B705)</f>
        <v>1</v>
      </c>
    </row>
    <row r="706" spans="1:9" ht="16.5">
      <c r="A706" s="35" t="s">
        <v>4152</v>
      </c>
      <c r="B706" s="30" t="s">
        <v>4148</v>
      </c>
      <c r="C706" s="39" t="s">
        <v>204</v>
      </c>
      <c r="D706" s="35" t="s">
        <v>8201</v>
      </c>
      <c r="E706" s="29" t="s">
        <v>4600</v>
      </c>
      <c r="F706" s="30" t="s">
        <v>4676</v>
      </c>
      <c r="G706" s="35" t="s">
        <v>584</v>
      </c>
      <c r="H706" s="29">
        <f>COUNTIF(关系明细!$D$2:$D$2253,B706)</f>
        <v>3</v>
      </c>
      <c r="I706" s="29">
        <f>COUNTIF(关系明细!$G$2:$G$2253,B706)</f>
        <v>3</v>
      </c>
    </row>
    <row r="707" spans="1:9" ht="16.5">
      <c r="A707" s="34" t="s">
        <v>4836</v>
      </c>
      <c r="B707" s="9" t="s">
        <v>4833</v>
      </c>
      <c r="C707" s="40" t="s">
        <v>204</v>
      </c>
      <c r="D707" s="34" t="s">
        <v>8201</v>
      </c>
      <c r="E707" s="27" t="s">
        <v>4600</v>
      </c>
      <c r="F707" s="9" t="s">
        <v>4676</v>
      </c>
      <c r="G707" s="34" t="s">
        <v>584</v>
      </c>
      <c r="H707" s="27">
        <f>COUNTIF(关系明细!$D$2:$D$2253,B707)</f>
        <v>2</v>
      </c>
      <c r="I707" s="27">
        <f>COUNTIF(关系明细!$G$2:$G$2253,B707)</f>
        <v>3</v>
      </c>
    </row>
    <row r="708" spans="1:9" ht="16.5">
      <c r="A708" s="35" t="s">
        <v>4841</v>
      </c>
      <c r="B708" s="30" t="s">
        <v>4838</v>
      </c>
      <c r="C708" s="39" t="s">
        <v>204</v>
      </c>
      <c r="D708" s="35" t="s">
        <v>8201</v>
      </c>
      <c r="E708" s="29" t="s">
        <v>4600</v>
      </c>
      <c r="F708" s="30" t="s">
        <v>4676</v>
      </c>
      <c r="G708" s="35" t="s">
        <v>584</v>
      </c>
      <c r="H708" s="29">
        <f>COUNTIF(关系明细!$D$2:$D$2253,B708)</f>
        <v>3</v>
      </c>
      <c r="I708" s="29">
        <f>COUNTIF(关系明细!$G$2:$G$2253,B708)</f>
        <v>3</v>
      </c>
    </row>
    <row r="709" spans="1:9" ht="16.5">
      <c r="A709" s="34" t="s">
        <v>4846</v>
      </c>
      <c r="B709" s="9" t="s">
        <v>4843</v>
      </c>
      <c r="C709" s="40" t="s">
        <v>204</v>
      </c>
      <c r="D709" s="34" t="s">
        <v>8201</v>
      </c>
      <c r="E709" s="27" t="s">
        <v>4600</v>
      </c>
      <c r="F709" s="9" t="s">
        <v>4676</v>
      </c>
      <c r="G709" s="34" t="s">
        <v>584</v>
      </c>
      <c r="H709" s="27">
        <f>COUNTIF(关系明细!$D$2:$D$2253,B709)</f>
        <v>2</v>
      </c>
      <c r="I709" s="27">
        <f>COUNTIF(关系明细!$G$2:$G$2253,B709)</f>
        <v>2</v>
      </c>
    </row>
    <row r="710" spans="1:9" ht="16.5">
      <c r="A710" s="35" t="s">
        <v>4851</v>
      </c>
      <c r="B710" s="30" t="s">
        <v>4848</v>
      </c>
      <c r="C710" s="39" t="s">
        <v>204</v>
      </c>
      <c r="D710" s="35" t="s">
        <v>8201</v>
      </c>
      <c r="E710" s="29" t="s">
        <v>4600</v>
      </c>
      <c r="F710" s="30" t="s">
        <v>4701</v>
      </c>
      <c r="G710" s="35" t="s">
        <v>584</v>
      </c>
      <c r="H710" s="29">
        <f>COUNTIF(关系明细!$D$2:$D$2253,B710)</f>
        <v>1</v>
      </c>
      <c r="I710" s="29">
        <f>COUNTIF(关系明细!$G$2:$G$2253,B710)</f>
        <v>1</v>
      </c>
    </row>
    <row r="711" spans="1:9" ht="16.5">
      <c r="A711" s="34" t="s">
        <v>4856</v>
      </c>
      <c r="B711" s="9" t="s">
        <v>4853</v>
      </c>
      <c r="C711" s="40" t="s">
        <v>204</v>
      </c>
      <c r="D711" s="34" t="s">
        <v>8201</v>
      </c>
      <c r="E711" s="27" t="s">
        <v>4600</v>
      </c>
      <c r="F711" s="9" t="s">
        <v>4701</v>
      </c>
      <c r="G711" s="34" t="s">
        <v>584</v>
      </c>
      <c r="H711" s="27">
        <f>COUNTIF(关系明细!$D$2:$D$2253,B711)</f>
        <v>1</v>
      </c>
      <c r="I711" s="27">
        <f>COUNTIF(关系明细!$G$2:$G$2253,B711)</f>
        <v>1</v>
      </c>
    </row>
    <row r="712" spans="1:9" ht="16.5">
      <c r="A712" s="35" t="s">
        <v>4861</v>
      </c>
      <c r="B712" s="30" t="s">
        <v>4858</v>
      </c>
      <c r="C712" s="39" t="s">
        <v>204</v>
      </c>
      <c r="D712" s="35" t="s">
        <v>8201</v>
      </c>
      <c r="E712" s="29" t="s">
        <v>4600</v>
      </c>
      <c r="F712" s="30" t="s">
        <v>4701</v>
      </c>
      <c r="G712" s="35" t="s">
        <v>584</v>
      </c>
      <c r="H712" s="29">
        <f>COUNTIF(关系明细!$D$2:$D$2253,B712)</f>
        <v>1</v>
      </c>
      <c r="I712" s="29">
        <f>COUNTIF(关系明细!$G$2:$G$2253,B712)</f>
        <v>1</v>
      </c>
    </row>
    <row r="713" spans="1:9" ht="16.5">
      <c r="A713" s="34" t="s">
        <v>4866</v>
      </c>
      <c r="B713" s="9" t="s">
        <v>4863</v>
      </c>
      <c r="C713" s="40" t="s">
        <v>204</v>
      </c>
      <c r="D713" s="34" t="s">
        <v>8201</v>
      </c>
      <c r="E713" s="27" t="s">
        <v>4600</v>
      </c>
      <c r="F713" s="9" t="s">
        <v>4726</v>
      </c>
      <c r="G713" s="34" t="s">
        <v>584</v>
      </c>
      <c r="H713" s="27">
        <f>COUNTIF(关系明细!$D$2:$D$2253,B713)</f>
        <v>3</v>
      </c>
      <c r="I713" s="27">
        <f>COUNTIF(关系明细!$G$2:$G$2253,B713)</f>
        <v>2</v>
      </c>
    </row>
    <row r="714" spans="1:9" ht="16.5">
      <c r="A714" s="35" t="s">
        <v>4871</v>
      </c>
      <c r="B714" s="30" t="s">
        <v>4868</v>
      </c>
      <c r="C714" s="39" t="s">
        <v>204</v>
      </c>
      <c r="D714" s="35" t="s">
        <v>8201</v>
      </c>
      <c r="E714" s="29" t="s">
        <v>4600</v>
      </c>
      <c r="F714" s="30" t="s">
        <v>4726</v>
      </c>
      <c r="G714" s="35" t="s">
        <v>584</v>
      </c>
      <c r="H714" s="29">
        <f>COUNTIF(关系明细!$D$2:$D$2253,B714)</f>
        <v>2</v>
      </c>
      <c r="I714" s="29">
        <f>COUNTIF(关系明细!$G$2:$G$2253,B714)</f>
        <v>2</v>
      </c>
    </row>
    <row r="715" spans="1:9" ht="16.5">
      <c r="A715" s="34" t="s">
        <v>4876</v>
      </c>
      <c r="B715" s="9" t="s">
        <v>4873</v>
      </c>
      <c r="C715" s="40" t="s">
        <v>204</v>
      </c>
      <c r="D715" s="34" t="s">
        <v>8201</v>
      </c>
      <c r="E715" s="27" t="s">
        <v>4600</v>
      </c>
      <c r="F715" s="9" t="s">
        <v>4726</v>
      </c>
      <c r="G715" s="34" t="s">
        <v>584</v>
      </c>
      <c r="H715" s="27">
        <f>COUNTIF(关系明细!$D$2:$D$2253,B715)</f>
        <v>2</v>
      </c>
      <c r="I715" s="27">
        <f>COUNTIF(关系明细!$G$2:$G$2253,B715)</f>
        <v>2</v>
      </c>
    </row>
    <row r="716" spans="1:9" ht="16.5">
      <c r="A716" s="35" t="s">
        <v>4881</v>
      </c>
      <c r="B716" s="30" t="s">
        <v>4878</v>
      </c>
      <c r="C716" s="39" t="s">
        <v>204</v>
      </c>
      <c r="D716" s="35" t="s">
        <v>8201</v>
      </c>
      <c r="E716" s="29" t="s">
        <v>4600</v>
      </c>
      <c r="F716" s="30" t="s">
        <v>4741</v>
      </c>
      <c r="G716" s="35" t="s">
        <v>584</v>
      </c>
      <c r="H716" s="29">
        <f>COUNTIF(关系明细!$D$2:$D$2253,B716)</f>
        <v>4</v>
      </c>
      <c r="I716" s="29">
        <f>COUNTIF(关系明细!$G$2:$G$2253,B716)</f>
        <v>2</v>
      </c>
    </row>
    <row r="717" spans="1:9" ht="16.5">
      <c r="A717" s="34" t="s">
        <v>4886</v>
      </c>
      <c r="B717" s="9" t="s">
        <v>4883</v>
      </c>
      <c r="C717" s="40" t="s">
        <v>204</v>
      </c>
      <c r="D717" s="34" t="s">
        <v>8201</v>
      </c>
      <c r="E717" s="27" t="s">
        <v>4600</v>
      </c>
      <c r="F717" s="9" t="s">
        <v>4741</v>
      </c>
      <c r="G717" s="34" t="s">
        <v>584</v>
      </c>
      <c r="H717" s="27">
        <f>COUNTIF(关系明细!$D$2:$D$2253,B717)</f>
        <v>1</v>
      </c>
      <c r="I717" s="27">
        <f>COUNTIF(关系明细!$G$2:$G$2253,B717)</f>
        <v>1</v>
      </c>
    </row>
    <row r="718" spans="1:9" ht="16.5">
      <c r="A718" s="35" t="s">
        <v>4891</v>
      </c>
      <c r="B718" s="30" t="s">
        <v>4888</v>
      </c>
      <c r="C718" s="39" t="s">
        <v>204</v>
      </c>
      <c r="D718" s="35" t="s">
        <v>8201</v>
      </c>
      <c r="E718" s="29" t="s">
        <v>4600</v>
      </c>
      <c r="F718" s="30" t="s">
        <v>4741</v>
      </c>
      <c r="G718" s="35" t="s">
        <v>584</v>
      </c>
      <c r="H718" s="29">
        <f>COUNTIF(关系明细!$D$2:$D$2253,B718)</f>
        <v>2</v>
      </c>
      <c r="I718" s="29">
        <f>COUNTIF(关系明细!$G$2:$G$2253,B718)</f>
        <v>1</v>
      </c>
    </row>
    <row r="719" spans="1:9" ht="16.5">
      <c r="A719" s="34" t="s">
        <v>4896</v>
      </c>
      <c r="B719" s="9" t="s">
        <v>4893</v>
      </c>
      <c r="C719" s="40" t="s">
        <v>204</v>
      </c>
      <c r="D719" s="34" t="s">
        <v>8201</v>
      </c>
      <c r="E719" s="27" t="s">
        <v>4600</v>
      </c>
      <c r="F719" s="9" t="s">
        <v>4757</v>
      </c>
      <c r="G719" s="34" t="s">
        <v>584</v>
      </c>
      <c r="H719" s="27">
        <f>COUNTIF(关系明细!$D$2:$D$2253,B719)</f>
        <v>5</v>
      </c>
      <c r="I719" s="27">
        <f>COUNTIF(关系明细!$G$2:$G$2253,B719)</f>
        <v>2</v>
      </c>
    </row>
    <row r="720" spans="1:9" ht="16.5">
      <c r="A720" s="35" t="s">
        <v>4901</v>
      </c>
      <c r="B720" s="30" t="s">
        <v>4898</v>
      </c>
      <c r="C720" s="39" t="s">
        <v>204</v>
      </c>
      <c r="D720" s="35" t="s">
        <v>8201</v>
      </c>
      <c r="E720" s="29" t="s">
        <v>4600</v>
      </c>
      <c r="F720" s="30" t="s">
        <v>4757</v>
      </c>
      <c r="G720" s="35" t="s">
        <v>584</v>
      </c>
      <c r="H720" s="29">
        <f>COUNTIF(关系明细!$D$2:$D$2253,B720)</f>
        <v>7</v>
      </c>
      <c r="I720" s="29">
        <f>COUNTIF(关系明细!$G$2:$G$2253,B720)</f>
        <v>3</v>
      </c>
    </row>
    <row r="721" spans="1:9" ht="16.5">
      <c r="A721" s="34" t="s">
        <v>4906</v>
      </c>
      <c r="B721" s="9" t="s">
        <v>4903</v>
      </c>
      <c r="C721" s="40" t="s">
        <v>204</v>
      </c>
      <c r="D721" s="34" t="s">
        <v>8201</v>
      </c>
      <c r="E721" s="27" t="s">
        <v>4600</v>
      </c>
      <c r="F721" s="9" t="s">
        <v>4757</v>
      </c>
      <c r="G721" s="34" t="s">
        <v>584</v>
      </c>
      <c r="H721" s="27">
        <f>COUNTIF(关系明细!$D$2:$D$2253,B721)</f>
        <v>2</v>
      </c>
      <c r="I721" s="27">
        <f>COUNTIF(关系明细!$G$2:$G$2253,B721)</f>
        <v>2</v>
      </c>
    </row>
    <row r="722" spans="1:9" ht="16.5">
      <c r="A722" s="35" t="s">
        <v>4911</v>
      </c>
      <c r="B722" s="30" t="s">
        <v>4908</v>
      </c>
      <c r="C722" s="39" t="s">
        <v>204</v>
      </c>
      <c r="D722" s="35" t="s">
        <v>8201</v>
      </c>
      <c r="E722" s="29" t="s">
        <v>4600</v>
      </c>
      <c r="F722" s="30" t="s">
        <v>4787</v>
      </c>
      <c r="G722" s="35" t="s">
        <v>584</v>
      </c>
      <c r="H722" s="29">
        <f>COUNTIF(关系明细!$D$2:$D$2253,B722)</f>
        <v>2</v>
      </c>
      <c r="I722" s="29">
        <f>COUNTIF(关系明细!$G$2:$G$2253,B722)</f>
        <v>1</v>
      </c>
    </row>
    <row r="723" spans="1:9" ht="16.5">
      <c r="A723" s="34" t="s">
        <v>4916</v>
      </c>
      <c r="B723" s="9" t="s">
        <v>4913</v>
      </c>
      <c r="C723" s="40" t="s">
        <v>204</v>
      </c>
      <c r="D723" s="34" t="s">
        <v>8201</v>
      </c>
      <c r="E723" s="27" t="s">
        <v>4600</v>
      </c>
      <c r="F723" s="9" t="s">
        <v>4802</v>
      </c>
      <c r="G723" s="34" t="s">
        <v>584</v>
      </c>
      <c r="H723" s="27">
        <f>COUNTIF(关系明细!$D$2:$D$2253,B723)</f>
        <v>2</v>
      </c>
      <c r="I723" s="27">
        <f>COUNTIF(关系明细!$G$2:$G$2253,B723)</f>
        <v>2</v>
      </c>
    </row>
    <row r="724" spans="1:9" ht="16.5">
      <c r="A724" s="35" t="s">
        <v>4921</v>
      </c>
      <c r="B724" s="30" t="s">
        <v>4918</v>
      </c>
      <c r="C724" s="39" t="s">
        <v>204</v>
      </c>
      <c r="D724" s="35" t="s">
        <v>8201</v>
      </c>
      <c r="E724" s="29" t="s">
        <v>4600</v>
      </c>
      <c r="F724" s="30" t="s">
        <v>4802</v>
      </c>
      <c r="G724" s="30" t="s">
        <v>4919</v>
      </c>
      <c r="H724" s="29">
        <f>COUNTIF(关系明细!$D$2:$D$2253,B724)</f>
        <v>1</v>
      </c>
      <c r="I724" s="29">
        <f>COUNTIF(关系明细!$G$2:$G$2253,B724)</f>
        <v>1</v>
      </c>
    </row>
    <row r="725" spans="1:9" ht="16.5">
      <c r="A725" s="34" t="s">
        <v>4926</v>
      </c>
      <c r="B725" s="9" t="s">
        <v>4923</v>
      </c>
      <c r="C725" s="40" t="s">
        <v>204</v>
      </c>
      <c r="D725" s="34" t="s">
        <v>8201</v>
      </c>
      <c r="E725" s="27" t="s">
        <v>4600</v>
      </c>
      <c r="F725" s="9" t="s">
        <v>4654</v>
      </c>
      <c r="G725" s="34" t="s">
        <v>584</v>
      </c>
      <c r="H725" s="27">
        <f>COUNTIF(关系明细!$D$2:$D$2253,B725)</f>
        <v>1</v>
      </c>
      <c r="I725" s="27">
        <f>COUNTIF(关系明细!$G$2:$G$2253,B725)</f>
        <v>1</v>
      </c>
    </row>
    <row r="726" spans="1:9" ht="16.5">
      <c r="A726" s="35" t="s">
        <v>4931</v>
      </c>
      <c r="B726" s="30" t="s">
        <v>4928</v>
      </c>
      <c r="C726" s="39" t="s">
        <v>204</v>
      </c>
      <c r="D726" s="35" t="s">
        <v>8201</v>
      </c>
      <c r="E726" s="29" t="s">
        <v>4600</v>
      </c>
      <c r="F726" s="30" t="s">
        <v>4654</v>
      </c>
      <c r="G726" s="35" t="s">
        <v>584</v>
      </c>
      <c r="H726" s="29">
        <f>COUNTIF(关系明细!$D$2:$D$2253,B726)</f>
        <v>2</v>
      </c>
      <c r="I726" s="29">
        <f>COUNTIF(关系明细!$G$2:$G$2253,B726)</f>
        <v>1</v>
      </c>
    </row>
    <row r="727" spans="1:9" ht="16.5">
      <c r="A727" s="34" t="s">
        <v>4936</v>
      </c>
      <c r="B727" s="9" t="s">
        <v>4933</v>
      </c>
      <c r="C727" s="40" t="s">
        <v>204</v>
      </c>
      <c r="D727" s="34" t="s">
        <v>8201</v>
      </c>
      <c r="E727" s="27" t="s">
        <v>4600</v>
      </c>
      <c r="F727" s="9" t="s">
        <v>4654</v>
      </c>
      <c r="G727" s="34" t="s">
        <v>584</v>
      </c>
      <c r="H727" s="27">
        <f>COUNTIF(关系明细!$D$2:$D$2253,B727)</f>
        <v>1</v>
      </c>
      <c r="I727" s="27">
        <f>COUNTIF(关系明细!$G$2:$G$2253,B727)</f>
        <v>1</v>
      </c>
    </row>
    <row r="728" spans="1:9" ht="16.5">
      <c r="A728" s="35" t="s">
        <v>4941</v>
      </c>
      <c r="B728" s="30" t="s">
        <v>4938</v>
      </c>
      <c r="C728" s="39" t="s">
        <v>204</v>
      </c>
      <c r="D728" s="35" t="s">
        <v>8201</v>
      </c>
      <c r="E728" s="29" t="s">
        <v>4600</v>
      </c>
      <c r="F728" s="30" t="s">
        <v>4676</v>
      </c>
      <c r="G728" s="35" t="s">
        <v>584</v>
      </c>
      <c r="H728" s="29">
        <f>COUNTIF(关系明细!$D$2:$D$2253,B728)</f>
        <v>1</v>
      </c>
      <c r="I728" s="29">
        <f>COUNTIF(关系明细!$G$2:$G$2253,B728)</f>
        <v>3</v>
      </c>
    </row>
    <row r="729" spans="1:9" ht="16.5">
      <c r="A729" s="34" t="s">
        <v>682</v>
      </c>
      <c r="B729" s="9" t="s">
        <v>678</v>
      </c>
      <c r="C729" s="40" t="s">
        <v>204</v>
      </c>
      <c r="D729" s="34" t="s">
        <v>8201</v>
      </c>
      <c r="E729" s="27" t="s">
        <v>4600</v>
      </c>
      <c r="F729" s="9" t="s">
        <v>4676</v>
      </c>
      <c r="G729" s="34" t="s">
        <v>584</v>
      </c>
      <c r="H729" s="27">
        <f>COUNTIF(关系明细!$D$2:$D$2253,B729)</f>
        <v>1</v>
      </c>
      <c r="I729" s="27">
        <f>COUNTIF(关系明细!$G$2:$G$2253,B729)</f>
        <v>4</v>
      </c>
    </row>
    <row r="730" spans="1:9" ht="16.5">
      <c r="A730" s="35" t="s">
        <v>4947</v>
      </c>
      <c r="B730" s="30" t="s">
        <v>4944</v>
      </c>
      <c r="C730" s="39" t="s">
        <v>204</v>
      </c>
      <c r="D730" s="35" t="s">
        <v>8201</v>
      </c>
      <c r="E730" s="29" t="s">
        <v>4600</v>
      </c>
      <c r="F730" s="30" t="s">
        <v>4676</v>
      </c>
      <c r="G730" s="35" t="s">
        <v>584</v>
      </c>
      <c r="H730" s="29">
        <f>COUNTIF(关系明细!$D$2:$D$2253,B730)</f>
        <v>1</v>
      </c>
      <c r="I730" s="29">
        <f>COUNTIF(关系明细!$G$2:$G$2253,B730)</f>
        <v>4</v>
      </c>
    </row>
    <row r="731" spans="1:9" ht="16.5">
      <c r="A731" s="34" t="s">
        <v>4951</v>
      </c>
      <c r="B731" s="9" t="s">
        <v>4948</v>
      </c>
      <c r="C731" s="40" t="s">
        <v>204</v>
      </c>
      <c r="D731" s="34" t="s">
        <v>8201</v>
      </c>
      <c r="E731" s="27" t="s">
        <v>4600</v>
      </c>
      <c r="F731" s="9" t="s">
        <v>4676</v>
      </c>
      <c r="G731" s="34" t="s">
        <v>584</v>
      </c>
      <c r="H731" s="27">
        <f>COUNTIF(关系明细!$D$2:$D$2253,B731)</f>
        <v>1</v>
      </c>
      <c r="I731" s="27">
        <f>COUNTIF(关系明细!$G$2:$G$2253,B731)</f>
        <v>2</v>
      </c>
    </row>
    <row r="732" spans="1:9" ht="16.5">
      <c r="A732" s="35" t="s">
        <v>4957</v>
      </c>
      <c r="B732" s="35" t="s">
        <v>4954</v>
      </c>
      <c r="C732" s="39" t="s">
        <v>204</v>
      </c>
      <c r="D732" s="35" t="s">
        <v>8201</v>
      </c>
      <c r="E732" s="29" t="s">
        <v>4600</v>
      </c>
      <c r="F732" s="30" t="s">
        <v>4757</v>
      </c>
      <c r="G732" s="35" t="s">
        <v>4955</v>
      </c>
      <c r="H732" s="29">
        <f>COUNTIF(关系明细!$D$2:$D$2253,B732)</f>
        <v>1</v>
      </c>
      <c r="I732" s="29">
        <f>COUNTIF(关系明细!$G$2:$G$2253,B732)</f>
        <v>4</v>
      </c>
    </row>
    <row r="733" spans="1:9" ht="16.5">
      <c r="A733" s="34" t="s">
        <v>4973</v>
      </c>
      <c r="B733" s="9" t="s">
        <v>4970</v>
      </c>
      <c r="C733" s="40" t="s">
        <v>204</v>
      </c>
      <c r="D733" s="34" t="s">
        <v>8201</v>
      </c>
      <c r="E733" s="27" t="s">
        <v>4600</v>
      </c>
      <c r="F733" s="9" t="s">
        <v>4676</v>
      </c>
      <c r="G733" s="9" t="s">
        <v>4971</v>
      </c>
      <c r="H733" s="27">
        <f>COUNTIF(关系明细!$D$2:$D$2253,B733)</f>
        <v>1</v>
      </c>
      <c r="I733" s="27">
        <f>COUNTIF(关系明细!$G$2:$G$2253,B733)</f>
        <v>1</v>
      </c>
    </row>
    <row r="734" spans="1:9" ht="16.5">
      <c r="A734" s="35" t="s">
        <v>4977</v>
      </c>
      <c r="B734" s="30" t="s">
        <v>4974</v>
      </c>
      <c r="C734" s="39" t="s">
        <v>204</v>
      </c>
      <c r="D734" s="35" t="s">
        <v>8201</v>
      </c>
      <c r="E734" s="29" t="s">
        <v>4600</v>
      </c>
      <c r="F734" s="30" t="s">
        <v>4676</v>
      </c>
      <c r="G734" s="30" t="s">
        <v>4975</v>
      </c>
      <c r="H734" s="29">
        <f>COUNTIF(关系明细!$D$2:$D$2253,B734)</f>
        <v>1</v>
      </c>
      <c r="I734" s="29">
        <f>COUNTIF(关系明细!$G$2:$G$2253,B734)</f>
        <v>1</v>
      </c>
    </row>
    <row r="735" spans="1:9" ht="16.5">
      <c r="A735" s="34" t="s">
        <v>4981</v>
      </c>
      <c r="B735" s="9" t="s">
        <v>4978</v>
      </c>
      <c r="C735" s="40" t="s">
        <v>204</v>
      </c>
      <c r="D735" s="34" t="s">
        <v>8201</v>
      </c>
      <c r="E735" s="27" t="s">
        <v>4600</v>
      </c>
      <c r="F735" s="9" t="s">
        <v>4676</v>
      </c>
      <c r="G735" s="9" t="s">
        <v>4979</v>
      </c>
      <c r="H735" s="27">
        <f>COUNTIF(关系明细!$D$2:$D$2253,B735)</f>
        <v>1</v>
      </c>
      <c r="I735" s="27">
        <f>COUNTIF(关系明细!$G$2:$G$2253,B735)</f>
        <v>1</v>
      </c>
    </row>
    <row r="736" spans="1:9" ht="16.5">
      <c r="A736" s="35" t="s">
        <v>4985</v>
      </c>
      <c r="B736" s="30" t="s">
        <v>4982</v>
      </c>
      <c r="C736" s="39" t="s">
        <v>204</v>
      </c>
      <c r="D736" s="35" t="s">
        <v>8201</v>
      </c>
      <c r="E736" s="29" t="s">
        <v>4600</v>
      </c>
      <c r="F736" s="30" t="s">
        <v>4676</v>
      </c>
      <c r="G736" s="35" t="s">
        <v>584</v>
      </c>
      <c r="H736" s="29">
        <f>COUNTIF(关系明细!$D$2:$D$2253,B736)</f>
        <v>1</v>
      </c>
      <c r="I736" s="29">
        <f>COUNTIF(关系明细!$G$2:$G$2253,B736)</f>
        <v>3</v>
      </c>
    </row>
    <row r="737" spans="1:9" ht="16.5">
      <c r="A737" s="34" t="s">
        <v>4989</v>
      </c>
      <c r="B737" s="9" t="s">
        <v>4986</v>
      </c>
      <c r="C737" s="40" t="s">
        <v>204</v>
      </c>
      <c r="D737" s="34" t="s">
        <v>8201</v>
      </c>
      <c r="E737" s="27" t="s">
        <v>4600</v>
      </c>
      <c r="F737" s="9" t="s">
        <v>4613</v>
      </c>
      <c r="G737" s="9" t="s">
        <v>4987</v>
      </c>
      <c r="H737" s="27">
        <f>COUNTIF(关系明细!$D$2:$D$2253,B737)</f>
        <v>1</v>
      </c>
      <c r="I737" s="27">
        <f>COUNTIF(关系明细!$G$2:$G$2253,B737)</f>
        <v>1</v>
      </c>
    </row>
    <row r="738" spans="1:9" ht="16.5">
      <c r="A738" s="35" t="s">
        <v>677</v>
      </c>
      <c r="B738" s="30" t="s">
        <v>674</v>
      </c>
      <c r="C738" s="39" t="s">
        <v>295</v>
      </c>
      <c r="D738" s="35" t="s">
        <v>8202</v>
      </c>
      <c r="E738" s="29" t="s">
        <v>4600</v>
      </c>
      <c r="F738" s="30" t="s">
        <v>4701</v>
      </c>
      <c r="G738" s="35" t="s">
        <v>584</v>
      </c>
      <c r="H738" s="29">
        <f>COUNTIF(关系明细!$D$2:$D$2253,B738)</f>
        <v>1</v>
      </c>
      <c r="I738" s="29">
        <f>COUNTIF(关系明细!$G$2:$G$2253,B738)</f>
        <v>5</v>
      </c>
    </row>
    <row r="739" spans="1:9" ht="16.5">
      <c r="A739" s="34" t="s">
        <v>4961</v>
      </c>
      <c r="B739" s="9" t="s">
        <v>4958</v>
      </c>
      <c r="C739" s="40" t="s">
        <v>295</v>
      </c>
      <c r="D739" s="34" t="s">
        <v>8202</v>
      </c>
      <c r="E739" s="27" t="s">
        <v>4600</v>
      </c>
      <c r="F739" s="9" t="s">
        <v>4757</v>
      </c>
      <c r="G739" s="34" t="s">
        <v>584</v>
      </c>
      <c r="H739" s="27">
        <f>COUNTIF(关系明细!$D$2:$D$2253,B739)</f>
        <v>1</v>
      </c>
      <c r="I739" s="27">
        <f>COUNTIF(关系明细!$G$2:$G$2253,B739)</f>
        <v>4</v>
      </c>
    </row>
    <row r="740" spans="1:9" ht="16.5">
      <c r="A740" s="35" t="s">
        <v>4965</v>
      </c>
      <c r="B740" s="30" t="s">
        <v>4962</v>
      </c>
      <c r="C740" s="39" t="s">
        <v>295</v>
      </c>
      <c r="D740" s="35" t="s">
        <v>8202</v>
      </c>
      <c r="E740" s="29" t="s">
        <v>4600</v>
      </c>
      <c r="F740" s="30" t="s">
        <v>4787</v>
      </c>
      <c r="G740" s="35" t="s">
        <v>584</v>
      </c>
      <c r="H740" s="29">
        <f>COUNTIF(关系明细!$D$2:$D$2253,B740)</f>
        <v>2</v>
      </c>
      <c r="I740" s="29">
        <f>COUNTIF(关系明细!$G$2:$G$2253,B740)</f>
        <v>2</v>
      </c>
    </row>
    <row r="741" spans="1:9" ht="16.5">
      <c r="A741" s="34" t="s">
        <v>4969</v>
      </c>
      <c r="B741" s="9" t="s">
        <v>4966</v>
      </c>
      <c r="C741" s="40" t="s">
        <v>295</v>
      </c>
      <c r="D741" s="34" t="s">
        <v>8202</v>
      </c>
      <c r="E741" s="27" t="s">
        <v>4600</v>
      </c>
      <c r="F741" s="9" t="s">
        <v>4802</v>
      </c>
      <c r="G741" s="34" t="s">
        <v>584</v>
      </c>
      <c r="H741" s="27">
        <f>COUNTIF(关系明细!$D$2:$D$2253,B741)</f>
        <v>2</v>
      </c>
      <c r="I741" s="27">
        <f>COUNTIF(关系明细!$G$2:$G$2253,B741)</f>
        <v>2</v>
      </c>
    </row>
    <row r="742" spans="1:9" ht="16.5">
      <c r="A742" s="35" t="s">
        <v>5170</v>
      </c>
      <c r="B742" s="30" t="s">
        <v>5166</v>
      </c>
      <c r="C742" s="39" t="s">
        <v>488</v>
      </c>
      <c r="D742" s="35" t="s">
        <v>8203</v>
      </c>
      <c r="E742" s="29" t="s">
        <v>4600</v>
      </c>
      <c r="F742" s="35"/>
      <c r="G742" s="30" t="s">
        <v>5168</v>
      </c>
      <c r="H742" s="29">
        <f>COUNTIF(关系明细!$D$2:$D$2253,B742)</f>
        <v>1</v>
      </c>
      <c r="I742" s="29">
        <f>COUNTIF(关系明细!$G$2:$G$2253,B742)</f>
        <v>1</v>
      </c>
    </row>
    <row r="743" spans="1:9" ht="16.5">
      <c r="A743" s="34" t="s">
        <v>5180</v>
      </c>
      <c r="B743" s="9" t="s">
        <v>5177</v>
      </c>
      <c r="C743" s="40" t="s">
        <v>488</v>
      </c>
      <c r="D743" s="34" t="s">
        <v>8203</v>
      </c>
      <c r="E743" s="27" t="s">
        <v>4600</v>
      </c>
      <c r="F743" s="34"/>
      <c r="G743" s="34" t="s">
        <v>584</v>
      </c>
      <c r="H743" s="27">
        <f>COUNTIF(关系明细!$D$2:$D$2253,B743)</f>
        <v>1</v>
      </c>
      <c r="I743" s="27">
        <f>COUNTIF(关系明细!$G$2:$G$2253,B743)</f>
        <v>1</v>
      </c>
    </row>
    <row r="744" spans="1:9" ht="16.5">
      <c r="A744" s="35" t="s">
        <v>5190</v>
      </c>
      <c r="B744" s="30" t="s">
        <v>5187</v>
      </c>
      <c r="C744" s="39" t="s">
        <v>488</v>
      </c>
      <c r="D744" s="35" t="s">
        <v>8203</v>
      </c>
      <c r="E744" s="29" t="s">
        <v>4600</v>
      </c>
      <c r="F744" s="35"/>
      <c r="G744" s="35" t="s">
        <v>584</v>
      </c>
      <c r="H744" s="29">
        <f>COUNTIF(关系明细!$D$2:$D$2253,B744)</f>
        <v>1</v>
      </c>
      <c r="I744" s="29">
        <f>COUNTIF(关系明细!$G$2:$G$2253,B744)</f>
        <v>1</v>
      </c>
    </row>
    <row r="745" spans="1:9" ht="16.5">
      <c r="A745" s="34" t="s">
        <v>5201</v>
      </c>
      <c r="B745" s="9" t="s">
        <v>5197</v>
      </c>
      <c r="C745" s="40" t="s">
        <v>488</v>
      </c>
      <c r="D745" s="34" t="s">
        <v>8203</v>
      </c>
      <c r="E745" s="27" t="s">
        <v>4600</v>
      </c>
      <c r="F745" s="34"/>
      <c r="G745" s="9" t="s">
        <v>5199</v>
      </c>
      <c r="H745" s="27">
        <f>COUNTIF(关系明细!$D$2:$D$2253,B745)</f>
        <v>1</v>
      </c>
      <c r="I745" s="27">
        <f>COUNTIF(关系明细!$G$2:$G$2253,B745)</f>
        <v>1</v>
      </c>
    </row>
    <row r="746" spans="1:9" ht="16.5">
      <c r="A746" s="35" t="s">
        <v>5212</v>
      </c>
      <c r="B746" s="30" t="s">
        <v>5208</v>
      </c>
      <c r="C746" s="39" t="s">
        <v>488</v>
      </c>
      <c r="D746" s="35" t="s">
        <v>8203</v>
      </c>
      <c r="E746" s="29" t="s">
        <v>4600</v>
      </c>
      <c r="F746" s="35"/>
      <c r="G746" s="30" t="s">
        <v>5210</v>
      </c>
      <c r="H746" s="29">
        <f>COUNTIF(关系明细!$D$2:$D$2253,B746)</f>
        <v>1</v>
      </c>
      <c r="I746" s="29">
        <f>COUNTIF(关系明细!$G$2:$G$2253,B746)</f>
        <v>1</v>
      </c>
    </row>
    <row r="747" spans="1:9" ht="16.5">
      <c r="A747" s="34" t="s">
        <v>5222</v>
      </c>
      <c r="B747" s="9" t="s">
        <v>5219</v>
      </c>
      <c r="C747" s="40" t="s">
        <v>488</v>
      </c>
      <c r="D747" s="34" t="s">
        <v>8203</v>
      </c>
      <c r="E747" s="27" t="s">
        <v>4600</v>
      </c>
      <c r="F747" s="34"/>
      <c r="G747" s="34" t="s">
        <v>584</v>
      </c>
      <c r="H747" s="27">
        <f>COUNTIF(关系明细!$D$2:$D$2253,B747)</f>
        <v>1</v>
      </c>
      <c r="I747" s="27">
        <f>COUNTIF(关系明细!$G$2:$G$2253,B747)</f>
        <v>1</v>
      </c>
    </row>
    <row r="748" spans="1:9" ht="16.5">
      <c r="A748" s="35" t="s">
        <v>5234</v>
      </c>
      <c r="B748" s="30" t="s">
        <v>5229</v>
      </c>
      <c r="C748" s="39" t="s">
        <v>488</v>
      </c>
      <c r="D748" s="35" t="s">
        <v>8203</v>
      </c>
      <c r="E748" s="29" t="s">
        <v>4600</v>
      </c>
      <c r="F748" s="35"/>
      <c r="G748" s="30" t="s">
        <v>5231</v>
      </c>
      <c r="H748" s="29">
        <f>COUNTIF(关系明细!$D$2:$D$2253,B748)</f>
        <v>1</v>
      </c>
      <c r="I748" s="29">
        <f>COUNTIF(关系明细!$G$2:$G$2253,B748)</f>
        <v>1</v>
      </c>
    </row>
    <row r="749" spans="1:9" ht="16.5">
      <c r="A749" s="34" t="s">
        <v>5244</v>
      </c>
      <c r="B749" s="9" t="s">
        <v>5241</v>
      </c>
      <c r="C749" s="40" t="s">
        <v>488</v>
      </c>
      <c r="D749" s="34" t="s">
        <v>8203</v>
      </c>
      <c r="E749" s="27" t="s">
        <v>4600</v>
      </c>
      <c r="F749" s="34"/>
      <c r="G749" s="34" t="s">
        <v>584</v>
      </c>
      <c r="H749" s="27">
        <f>COUNTIF(关系明细!$D$2:$D$2253,B749)</f>
        <v>1</v>
      </c>
      <c r="I749" s="27">
        <f>COUNTIF(关系明细!$G$2:$G$2253,B749)</f>
        <v>1</v>
      </c>
    </row>
    <row r="750" spans="1:9" ht="16.5">
      <c r="A750" s="35" t="s">
        <v>5254</v>
      </c>
      <c r="B750" s="30" t="s">
        <v>5251</v>
      </c>
      <c r="C750" s="39" t="s">
        <v>488</v>
      </c>
      <c r="D750" s="35" t="s">
        <v>8203</v>
      </c>
      <c r="E750" s="29" t="s">
        <v>4600</v>
      </c>
      <c r="F750" s="35"/>
      <c r="G750" s="35" t="s">
        <v>584</v>
      </c>
      <c r="H750" s="29">
        <f>COUNTIF(关系明细!$D$2:$D$2253,B750)</f>
        <v>1</v>
      </c>
      <c r="I750" s="29">
        <f>COUNTIF(关系明细!$G$2:$G$2253,B750)</f>
        <v>1</v>
      </c>
    </row>
    <row r="751" spans="1:9" ht="16.5">
      <c r="A751" s="34" t="s">
        <v>5264</v>
      </c>
      <c r="B751" s="9" t="s">
        <v>5261</v>
      </c>
      <c r="C751" s="40" t="s">
        <v>488</v>
      </c>
      <c r="D751" s="34" t="s">
        <v>8203</v>
      </c>
      <c r="E751" s="27" t="s">
        <v>4600</v>
      </c>
      <c r="F751" s="34"/>
      <c r="G751" s="34" t="s">
        <v>584</v>
      </c>
      <c r="H751" s="27">
        <f>COUNTIF(关系明细!$D$2:$D$2253,B751)</f>
        <v>1</v>
      </c>
      <c r="I751" s="27">
        <f>COUNTIF(关系明细!$G$2:$G$2253,B751)</f>
        <v>1</v>
      </c>
    </row>
    <row r="752" spans="1:9" ht="16.5">
      <c r="A752" s="35" t="s">
        <v>5274</v>
      </c>
      <c r="B752" s="30" t="s">
        <v>5271</v>
      </c>
      <c r="C752" s="39" t="s">
        <v>488</v>
      </c>
      <c r="D752" s="35" t="s">
        <v>8203</v>
      </c>
      <c r="E752" s="29" t="s">
        <v>4600</v>
      </c>
      <c r="F752" s="35"/>
      <c r="G752" s="35" t="s">
        <v>584</v>
      </c>
      <c r="H752" s="29">
        <f>COUNTIF(关系明细!$D$2:$D$2253,B752)</f>
        <v>1</v>
      </c>
      <c r="I752" s="29">
        <f>COUNTIF(关系明细!$G$2:$G$2253,B752)</f>
        <v>1</v>
      </c>
    </row>
    <row r="753" spans="1:9" ht="16.5">
      <c r="A753" s="34" t="s">
        <v>5284</v>
      </c>
      <c r="B753" s="9" t="s">
        <v>5281</v>
      </c>
      <c r="C753" s="40" t="s">
        <v>488</v>
      </c>
      <c r="D753" s="34" t="s">
        <v>8203</v>
      </c>
      <c r="E753" s="27" t="s">
        <v>4600</v>
      </c>
      <c r="F753" s="34"/>
      <c r="G753" s="34" t="s">
        <v>584</v>
      </c>
      <c r="H753" s="27">
        <f>COUNTIF(关系明细!$D$2:$D$2253,B753)</f>
        <v>1</v>
      </c>
      <c r="I753" s="27">
        <f>COUNTIF(关系明细!$G$2:$G$2253,B753)</f>
        <v>1</v>
      </c>
    </row>
    <row r="754" spans="1:9" ht="16.5">
      <c r="A754" s="35" t="s">
        <v>5171</v>
      </c>
      <c r="B754" s="30" t="s">
        <v>5167</v>
      </c>
      <c r="C754" s="39" t="s">
        <v>491</v>
      </c>
      <c r="D754" s="35" t="s">
        <v>8204</v>
      </c>
      <c r="E754" s="29" t="s">
        <v>4600</v>
      </c>
      <c r="F754" s="35"/>
      <c r="G754" s="35" t="s">
        <v>5172</v>
      </c>
      <c r="H754" s="29">
        <f>COUNTIF(关系明细!$D$2:$D$2253,B754)</f>
        <v>1</v>
      </c>
      <c r="I754" s="29">
        <f>COUNTIF(关系明细!$G$2:$G$2253,B754)</f>
        <v>1</v>
      </c>
    </row>
    <row r="755" spans="1:9" ht="16.5">
      <c r="A755" s="34" t="s">
        <v>5181</v>
      </c>
      <c r="B755" s="9" t="s">
        <v>5178</v>
      </c>
      <c r="C755" s="40" t="s">
        <v>491</v>
      </c>
      <c r="D755" s="34" t="s">
        <v>8204</v>
      </c>
      <c r="E755" s="27" t="s">
        <v>4600</v>
      </c>
      <c r="F755" s="34"/>
      <c r="G755" s="34" t="s">
        <v>5182</v>
      </c>
      <c r="H755" s="27">
        <f>COUNTIF(关系明细!$D$2:$D$2253,B755)</f>
        <v>1</v>
      </c>
      <c r="I755" s="27">
        <f>COUNTIF(关系明细!$G$2:$G$2253,B755)</f>
        <v>1</v>
      </c>
    </row>
    <row r="756" spans="1:9" ht="16.5">
      <c r="A756" s="35" t="s">
        <v>5191</v>
      </c>
      <c r="B756" s="30" t="s">
        <v>5188</v>
      </c>
      <c r="C756" s="39" t="s">
        <v>491</v>
      </c>
      <c r="D756" s="35" t="s">
        <v>8204</v>
      </c>
      <c r="E756" s="29" t="s">
        <v>4600</v>
      </c>
      <c r="F756" s="35"/>
      <c r="G756" s="35" t="s">
        <v>5192</v>
      </c>
      <c r="H756" s="29">
        <f>COUNTIF(关系明细!$D$2:$D$2253,B756)</f>
        <v>1</v>
      </c>
      <c r="I756" s="29">
        <f>COUNTIF(关系明细!$G$2:$G$2253,B756)</f>
        <v>1</v>
      </c>
    </row>
    <row r="757" spans="1:9" ht="16.5">
      <c r="A757" s="34" t="s">
        <v>5202</v>
      </c>
      <c r="B757" s="9" t="s">
        <v>5198</v>
      </c>
      <c r="C757" s="40" t="s">
        <v>491</v>
      </c>
      <c r="D757" s="34" t="s">
        <v>8204</v>
      </c>
      <c r="E757" s="27" t="s">
        <v>4600</v>
      </c>
      <c r="F757" s="34"/>
      <c r="G757" s="34" t="s">
        <v>5203</v>
      </c>
      <c r="H757" s="27">
        <f>COUNTIF(关系明细!$D$2:$D$2253,B757)</f>
        <v>1</v>
      </c>
      <c r="I757" s="27">
        <f>COUNTIF(关系明细!$G$2:$G$2253,B757)</f>
        <v>1</v>
      </c>
    </row>
    <row r="758" spans="1:9" ht="16.5">
      <c r="A758" s="35" t="s">
        <v>5213</v>
      </c>
      <c r="B758" s="30" t="s">
        <v>5209</v>
      </c>
      <c r="C758" s="39" t="s">
        <v>491</v>
      </c>
      <c r="D758" s="35" t="s">
        <v>8204</v>
      </c>
      <c r="E758" s="29" t="s">
        <v>4600</v>
      </c>
      <c r="F758" s="35"/>
      <c r="G758" s="35" t="s">
        <v>5214</v>
      </c>
      <c r="H758" s="29">
        <f>COUNTIF(关系明细!$D$2:$D$2253,B758)</f>
        <v>1</v>
      </c>
      <c r="I758" s="29">
        <f>COUNTIF(关系明细!$G$2:$G$2253,B758)</f>
        <v>1</v>
      </c>
    </row>
    <row r="759" spans="1:9" ht="16.5">
      <c r="A759" s="34" t="s">
        <v>5223</v>
      </c>
      <c r="B759" s="9" t="s">
        <v>5220</v>
      </c>
      <c r="C759" s="40" t="s">
        <v>491</v>
      </c>
      <c r="D759" s="34" t="s">
        <v>8204</v>
      </c>
      <c r="E759" s="27" t="s">
        <v>4600</v>
      </c>
      <c r="F759" s="34"/>
      <c r="G759" s="34" t="s">
        <v>5224</v>
      </c>
      <c r="H759" s="27">
        <f>COUNTIF(关系明细!$D$2:$D$2253,B759)</f>
        <v>1</v>
      </c>
      <c r="I759" s="27">
        <f>COUNTIF(关系明细!$G$2:$G$2253,B759)</f>
        <v>1</v>
      </c>
    </row>
    <row r="760" spans="1:9" ht="16.5">
      <c r="A760" s="35" t="s">
        <v>5235</v>
      </c>
      <c r="B760" s="30" t="s">
        <v>5230</v>
      </c>
      <c r="C760" s="39" t="s">
        <v>491</v>
      </c>
      <c r="D760" s="35" t="s">
        <v>8204</v>
      </c>
      <c r="E760" s="29" t="s">
        <v>4600</v>
      </c>
      <c r="F760" s="35"/>
      <c r="G760" s="35" t="s">
        <v>5236</v>
      </c>
      <c r="H760" s="29">
        <f>COUNTIF(关系明细!$D$2:$D$2253,B760)</f>
        <v>1</v>
      </c>
      <c r="I760" s="29">
        <f>COUNTIF(关系明细!$G$2:$G$2253,B760)</f>
        <v>1</v>
      </c>
    </row>
    <row r="761" spans="1:9" ht="16.5">
      <c r="A761" s="34" t="s">
        <v>5245</v>
      </c>
      <c r="B761" s="9" t="s">
        <v>5242</v>
      </c>
      <c r="C761" s="40" t="s">
        <v>491</v>
      </c>
      <c r="D761" s="34" t="s">
        <v>8204</v>
      </c>
      <c r="E761" s="27" t="s">
        <v>4600</v>
      </c>
      <c r="F761" s="34"/>
      <c r="G761" s="34" t="s">
        <v>5246</v>
      </c>
      <c r="H761" s="27">
        <f>COUNTIF(关系明细!$D$2:$D$2253,B761)</f>
        <v>1</v>
      </c>
      <c r="I761" s="27">
        <f>COUNTIF(关系明细!$G$2:$G$2253,B761)</f>
        <v>1</v>
      </c>
    </row>
    <row r="762" spans="1:9" ht="16.5">
      <c r="A762" s="35" t="s">
        <v>5255</v>
      </c>
      <c r="B762" s="30" t="s">
        <v>5252</v>
      </c>
      <c r="C762" s="39" t="s">
        <v>491</v>
      </c>
      <c r="D762" s="35" t="s">
        <v>8204</v>
      </c>
      <c r="E762" s="29" t="s">
        <v>4600</v>
      </c>
      <c r="F762" s="35"/>
      <c r="G762" s="35" t="s">
        <v>5256</v>
      </c>
      <c r="H762" s="29">
        <f>COUNTIF(关系明细!$D$2:$D$2253,B762)</f>
        <v>1</v>
      </c>
      <c r="I762" s="29">
        <f>COUNTIF(关系明细!$G$2:$G$2253,B762)</f>
        <v>1</v>
      </c>
    </row>
    <row r="763" spans="1:9" ht="16.5">
      <c r="A763" s="34" t="s">
        <v>5265</v>
      </c>
      <c r="B763" s="9" t="s">
        <v>5262</v>
      </c>
      <c r="C763" s="40" t="s">
        <v>491</v>
      </c>
      <c r="D763" s="34" t="s">
        <v>8204</v>
      </c>
      <c r="E763" s="27" t="s">
        <v>4600</v>
      </c>
      <c r="F763" s="34"/>
      <c r="G763" s="34" t="s">
        <v>5266</v>
      </c>
      <c r="H763" s="27">
        <f>COUNTIF(关系明细!$D$2:$D$2253,B763)</f>
        <v>1</v>
      </c>
      <c r="I763" s="27">
        <f>COUNTIF(关系明细!$G$2:$G$2253,B763)</f>
        <v>1</v>
      </c>
    </row>
    <row r="764" spans="1:9" ht="16.5">
      <c r="A764" s="35" t="s">
        <v>5275</v>
      </c>
      <c r="B764" s="30" t="s">
        <v>5272</v>
      </c>
      <c r="C764" s="39" t="s">
        <v>491</v>
      </c>
      <c r="D764" s="35" t="s">
        <v>8204</v>
      </c>
      <c r="E764" s="29" t="s">
        <v>4600</v>
      </c>
      <c r="F764" s="35"/>
      <c r="G764" s="35" t="s">
        <v>5276</v>
      </c>
      <c r="H764" s="29">
        <f>COUNTIF(关系明细!$D$2:$D$2253,B764)</f>
        <v>1</v>
      </c>
      <c r="I764" s="29">
        <f>COUNTIF(关系明细!$G$2:$G$2253,B764)</f>
        <v>1</v>
      </c>
    </row>
    <row r="765" spans="1:9" ht="16.5">
      <c r="A765" s="34" t="s">
        <v>5285</v>
      </c>
      <c r="B765" s="9" t="s">
        <v>5282</v>
      </c>
      <c r="C765" s="40" t="s">
        <v>491</v>
      </c>
      <c r="D765" s="34" t="s">
        <v>8204</v>
      </c>
      <c r="E765" s="27" t="s">
        <v>4600</v>
      </c>
      <c r="F765" s="34"/>
      <c r="G765" s="34" t="s">
        <v>5286</v>
      </c>
      <c r="H765" s="27">
        <f>COUNTIF(关系明细!$D$2:$D$2253,B765)</f>
        <v>1</v>
      </c>
      <c r="I765" s="27">
        <f>COUNTIF(关系明细!$G$2:$G$2253,B765)</f>
        <v>1</v>
      </c>
    </row>
    <row r="766" spans="1:9" ht="16.5">
      <c r="A766" s="35" t="s">
        <v>5294</v>
      </c>
      <c r="B766" s="30" t="s">
        <v>5291</v>
      </c>
      <c r="C766" s="39" t="s">
        <v>556</v>
      </c>
      <c r="D766" s="35" t="s">
        <v>8205</v>
      </c>
      <c r="E766" s="29" t="s">
        <v>4600</v>
      </c>
      <c r="F766" s="35"/>
      <c r="G766" s="30" t="s">
        <v>5292</v>
      </c>
      <c r="H766" s="29">
        <f>COUNTIF(关系明细!$D$2:$D$2253,B766)</f>
        <v>0</v>
      </c>
      <c r="I766" s="29">
        <f>COUNTIF(关系明细!$G$2:$G$2253,B766)</f>
        <v>3</v>
      </c>
    </row>
    <row r="767" spans="1:9" ht="16.5">
      <c r="A767" s="34" t="s">
        <v>5300</v>
      </c>
      <c r="B767" s="9" t="s">
        <v>5297</v>
      </c>
      <c r="C767" s="40" t="s">
        <v>566</v>
      </c>
      <c r="D767" s="34" t="s">
        <v>8206</v>
      </c>
      <c r="E767" s="27" t="s">
        <v>4600</v>
      </c>
      <c r="F767" s="34"/>
      <c r="G767" s="9" t="s">
        <v>8440</v>
      </c>
      <c r="H767" s="27">
        <f>COUNTIF(关系明细!$D$2:$D$2253,B767)</f>
        <v>0</v>
      </c>
      <c r="I767" s="27">
        <f>COUNTIF(关系明细!$G$2:$G$2253,B767)</f>
        <v>1</v>
      </c>
    </row>
    <row r="768" spans="1:9" ht="16.5">
      <c r="A768" s="35" t="s">
        <v>4602</v>
      </c>
      <c r="B768" s="35" t="s">
        <v>4598</v>
      </c>
      <c r="C768" s="39" t="s">
        <v>44</v>
      </c>
      <c r="D768" s="35" t="s">
        <v>8172</v>
      </c>
      <c r="E768" s="29" t="s">
        <v>5406</v>
      </c>
      <c r="F768" s="35"/>
      <c r="G768" s="35" t="s">
        <v>8441</v>
      </c>
      <c r="H768" s="29">
        <f>COUNTIF(关系明细!$D$2:$D$2253,B768)</f>
        <v>7</v>
      </c>
      <c r="I768" s="29">
        <f>COUNTIF(关系明细!$G$2:$G$2253,B768)</f>
        <v>3</v>
      </c>
    </row>
    <row r="769" spans="1:9" ht="16.5">
      <c r="A769" s="34" t="s">
        <v>5336</v>
      </c>
      <c r="B769" s="34" t="s">
        <v>5333</v>
      </c>
      <c r="C769" s="40" t="s">
        <v>62</v>
      </c>
      <c r="D769" s="34" t="s">
        <v>8174</v>
      </c>
      <c r="E769" s="27" t="s">
        <v>5406</v>
      </c>
      <c r="F769" s="34"/>
      <c r="G769" s="9" t="s">
        <v>8442</v>
      </c>
      <c r="H769" s="27">
        <f>COUNTIF(关系明细!$D$2:$D$2253,B769)</f>
        <v>36</v>
      </c>
      <c r="I769" s="27">
        <f>COUNTIF(关系明细!$G$2:$G$2253,B769)</f>
        <v>6</v>
      </c>
    </row>
    <row r="770" spans="1:9" ht="16.5">
      <c r="A770" s="35" t="s">
        <v>5519</v>
      </c>
      <c r="B770" s="35" t="s">
        <v>5516</v>
      </c>
      <c r="C770" s="39" t="s">
        <v>62</v>
      </c>
      <c r="D770" s="35" t="s">
        <v>8174</v>
      </c>
      <c r="E770" s="29" t="s">
        <v>5406</v>
      </c>
      <c r="F770" s="35"/>
      <c r="G770" s="30" t="s">
        <v>8443</v>
      </c>
      <c r="H770" s="29">
        <f>COUNTIF(关系明细!$D$2:$D$2253,B770)</f>
        <v>23</v>
      </c>
      <c r="I770" s="29">
        <f>COUNTIF(关系明细!$G$2:$G$2253,B770)</f>
        <v>4</v>
      </c>
    </row>
    <row r="771" spans="1:9" ht="16.5">
      <c r="A771" s="34" t="s">
        <v>5569</v>
      </c>
      <c r="B771" s="34" t="s">
        <v>5566</v>
      </c>
      <c r="C771" s="40" t="s">
        <v>62</v>
      </c>
      <c r="D771" s="34" t="s">
        <v>8174</v>
      </c>
      <c r="E771" s="27" t="s">
        <v>5406</v>
      </c>
      <c r="F771" s="34"/>
      <c r="G771" s="9" t="s">
        <v>8444</v>
      </c>
      <c r="H771" s="27">
        <f>COUNTIF(关系明细!$D$2:$D$2253,B771)</f>
        <v>4</v>
      </c>
      <c r="I771" s="27">
        <f>COUNTIF(关系明细!$G$2:$G$2253,B771)</f>
        <v>1</v>
      </c>
    </row>
    <row r="772" spans="1:9" ht="16.5">
      <c r="A772" s="35" t="s">
        <v>5577</v>
      </c>
      <c r="B772" s="30" t="s">
        <v>5574</v>
      </c>
      <c r="C772" s="39" t="s">
        <v>62</v>
      </c>
      <c r="D772" s="35" t="s">
        <v>8174</v>
      </c>
      <c r="E772" s="29" t="s">
        <v>5406</v>
      </c>
      <c r="F772" s="35"/>
      <c r="G772" s="30" t="s">
        <v>8445</v>
      </c>
      <c r="H772" s="29">
        <f>COUNTIF(关系明细!$D$2:$D$2253,B772)</f>
        <v>7</v>
      </c>
      <c r="I772" s="29">
        <f>COUNTIF(关系明细!$G$2:$G$2253,B772)</f>
        <v>3</v>
      </c>
    </row>
    <row r="773" spans="1:9" ht="16.5">
      <c r="A773" s="34" t="s">
        <v>5486</v>
      </c>
      <c r="B773" s="9" t="s">
        <v>5483</v>
      </c>
      <c r="C773" s="40" t="s">
        <v>62</v>
      </c>
      <c r="D773" s="34" t="s">
        <v>8174</v>
      </c>
      <c r="E773" s="27" t="s">
        <v>5406</v>
      </c>
      <c r="F773" s="34"/>
      <c r="G773" s="9" t="s">
        <v>8446</v>
      </c>
      <c r="H773" s="27">
        <f>COUNTIF(关系明细!$D$2:$D$2253,B773)</f>
        <v>10</v>
      </c>
      <c r="I773" s="27">
        <f>COUNTIF(关系明细!$G$2:$G$2253,B773)</f>
        <v>2</v>
      </c>
    </row>
    <row r="774" spans="1:9" ht="16.5">
      <c r="A774" s="35" t="s">
        <v>5419</v>
      </c>
      <c r="B774" s="35" t="s">
        <v>5416</v>
      </c>
      <c r="C774" s="39" t="s">
        <v>72</v>
      </c>
      <c r="D774" s="35" t="s">
        <v>8181</v>
      </c>
      <c r="E774" s="29" t="s">
        <v>5406</v>
      </c>
      <c r="F774" s="35"/>
      <c r="G774" s="35" t="s">
        <v>8447</v>
      </c>
      <c r="H774" s="29">
        <f>COUNTIF(关系明细!$D$2:$D$2253,B774)</f>
        <v>0</v>
      </c>
      <c r="I774" s="29">
        <f>COUNTIF(关系明细!$G$2:$G$2253,B774)</f>
        <v>1</v>
      </c>
    </row>
    <row r="775" spans="1:9" ht="16.5">
      <c r="A775" s="34" t="s">
        <v>5422</v>
      </c>
      <c r="B775" s="34" t="s">
        <v>5420</v>
      </c>
      <c r="C775" s="40" t="s">
        <v>72</v>
      </c>
      <c r="D775" s="34" t="s">
        <v>8181</v>
      </c>
      <c r="E775" s="27" t="s">
        <v>5406</v>
      </c>
      <c r="F775" s="34"/>
      <c r="G775" s="34" t="s">
        <v>8447</v>
      </c>
      <c r="H775" s="27">
        <f>COUNTIF(关系明细!$D$2:$D$2253,B775)</f>
        <v>0</v>
      </c>
      <c r="I775" s="27">
        <f>COUNTIF(关系明细!$G$2:$G$2253,B775)</f>
        <v>1</v>
      </c>
    </row>
    <row r="776" spans="1:9" ht="16.5">
      <c r="A776" s="35" t="s">
        <v>5425</v>
      </c>
      <c r="B776" s="35" t="s">
        <v>5423</v>
      </c>
      <c r="C776" s="39" t="s">
        <v>72</v>
      </c>
      <c r="D776" s="35" t="s">
        <v>8181</v>
      </c>
      <c r="E776" s="29" t="s">
        <v>5406</v>
      </c>
      <c r="F776" s="35"/>
      <c r="G776" s="35" t="s">
        <v>8447</v>
      </c>
      <c r="H776" s="29">
        <f>COUNTIF(关系明细!$D$2:$D$2253,B776)</f>
        <v>0</v>
      </c>
      <c r="I776" s="29">
        <f>COUNTIF(关系明细!$G$2:$G$2253,B776)</f>
        <v>1</v>
      </c>
    </row>
    <row r="777" spans="1:9" ht="16.5">
      <c r="A777" s="34" t="s">
        <v>5428</v>
      </c>
      <c r="B777" s="34" t="s">
        <v>5426</v>
      </c>
      <c r="C777" s="40" t="s">
        <v>72</v>
      </c>
      <c r="D777" s="34" t="s">
        <v>8181</v>
      </c>
      <c r="E777" s="27" t="s">
        <v>5406</v>
      </c>
      <c r="F777" s="34"/>
      <c r="G777" s="34" t="s">
        <v>8447</v>
      </c>
      <c r="H777" s="27">
        <f>COUNTIF(关系明细!$D$2:$D$2253,B777)</f>
        <v>0</v>
      </c>
      <c r="I777" s="27">
        <f>COUNTIF(关系明细!$G$2:$G$2253,B777)</f>
        <v>1</v>
      </c>
    </row>
    <row r="778" spans="1:9" ht="16.5">
      <c r="A778" s="35" t="s">
        <v>5431</v>
      </c>
      <c r="B778" s="35" t="s">
        <v>5429</v>
      </c>
      <c r="C778" s="39" t="s">
        <v>72</v>
      </c>
      <c r="D778" s="35" t="s">
        <v>8181</v>
      </c>
      <c r="E778" s="29" t="s">
        <v>5406</v>
      </c>
      <c r="F778" s="35"/>
      <c r="G778" s="35" t="s">
        <v>8447</v>
      </c>
      <c r="H778" s="29">
        <f>COUNTIF(关系明细!$D$2:$D$2253,B778)</f>
        <v>0</v>
      </c>
      <c r="I778" s="29">
        <f>COUNTIF(关系明细!$G$2:$G$2253,B778)</f>
        <v>1</v>
      </c>
    </row>
    <row r="779" spans="1:9" ht="16.5">
      <c r="A779" s="34" t="s">
        <v>5434</v>
      </c>
      <c r="B779" s="34" t="s">
        <v>5432</v>
      </c>
      <c r="C779" s="40" t="s">
        <v>72</v>
      </c>
      <c r="D779" s="34" t="s">
        <v>8181</v>
      </c>
      <c r="E779" s="27" t="s">
        <v>5406</v>
      </c>
      <c r="F779" s="34"/>
      <c r="G779" s="34" t="s">
        <v>8447</v>
      </c>
      <c r="H779" s="27">
        <f>COUNTIF(关系明细!$D$2:$D$2253,B779)</f>
        <v>0</v>
      </c>
      <c r="I779" s="27">
        <f>COUNTIF(关系明细!$G$2:$G$2253,B779)</f>
        <v>1</v>
      </c>
    </row>
    <row r="780" spans="1:9" ht="16.5">
      <c r="A780" s="35" t="s">
        <v>5437</v>
      </c>
      <c r="B780" s="35" t="s">
        <v>5435</v>
      </c>
      <c r="C780" s="39" t="s">
        <v>72</v>
      </c>
      <c r="D780" s="35" t="s">
        <v>8181</v>
      </c>
      <c r="E780" s="29" t="s">
        <v>5406</v>
      </c>
      <c r="F780" s="35"/>
      <c r="G780" s="35" t="s">
        <v>8447</v>
      </c>
      <c r="H780" s="29">
        <f>COUNTIF(关系明细!$D$2:$D$2253,B780)</f>
        <v>0</v>
      </c>
      <c r="I780" s="29">
        <f>COUNTIF(关系明细!$G$2:$G$2253,B780)</f>
        <v>2</v>
      </c>
    </row>
    <row r="781" spans="1:9" ht="16.5">
      <c r="A781" s="34" t="s">
        <v>5440</v>
      </c>
      <c r="B781" s="34" t="s">
        <v>5438</v>
      </c>
      <c r="C781" s="40" t="s">
        <v>72</v>
      </c>
      <c r="D781" s="34" t="s">
        <v>8181</v>
      </c>
      <c r="E781" s="27" t="s">
        <v>5406</v>
      </c>
      <c r="F781" s="34"/>
      <c r="G781" s="34" t="s">
        <v>8447</v>
      </c>
      <c r="H781" s="27">
        <f>COUNTIF(关系明细!$D$2:$D$2253,B781)</f>
        <v>0</v>
      </c>
      <c r="I781" s="27">
        <f>COUNTIF(关系明细!$G$2:$G$2253,B781)</f>
        <v>2</v>
      </c>
    </row>
    <row r="782" spans="1:9" ht="16.5">
      <c r="A782" s="35" t="s">
        <v>5443</v>
      </c>
      <c r="B782" s="35" t="s">
        <v>5441</v>
      </c>
      <c r="C782" s="39" t="s">
        <v>72</v>
      </c>
      <c r="D782" s="35" t="s">
        <v>8181</v>
      </c>
      <c r="E782" s="29" t="s">
        <v>5406</v>
      </c>
      <c r="F782" s="35"/>
      <c r="G782" s="35" t="s">
        <v>8447</v>
      </c>
      <c r="H782" s="29">
        <f>COUNTIF(关系明细!$D$2:$D$2253,B782)</f>
        <v>0</v>
      </c>
      <c r="I782" s="29">
        <f>COUNTIF(关系明细!$G$2:$G$2253,B782)</f>
        <v>1</v>
      </c>
    </row>
    <row r="783" spans="1:9" ht="16.5">
      <c r="A783" s="34" t="s">
        <v>5446</v>
      </c>
      <c r="B783" s="34" t="s">
        <v>5444</v>
      </c>
      <c r="C783" s="40" t="s">
        <v>72</v>
      </c>
      <c r="D783" s="34" t="s">
        <v>8181</v>
      </c>
      <c r="E783" s="27" t="s">
        <v>5406</v>
      </c>
      <c r="F783" s="34"/>
      <c r="G783" s="34" t="s">
        <v>8447</v>
      </c>
      <c r="H783" s="27">
        <f>COUNTIF(关系明细!$D$2:$D$2253,B783)</f>
        <v>0</v>
      </c>
      <c r="I783" s="27">
        <f>COUNTIF(关系明细!$G$2:$G$2253,B783)</f>
        <v>1</v>
      </c>
    </row>
    <row r="784" spans="1:9" ht="16.5">
      <c r="A784" s="35" t="s">
        <v>5449</v>
      </c>
      <c r="B784" s="35" t="s">
        <v>5447</v>
      </c>
      <c r="C784" s="39" t="s">
        <v>72</v>
      </c>
      <c r="D784" s="35" t="s">
        <v>8181</v>
      </c>
      <c r="E784" s="29" t="s">
        <v>5406</v>
      </c>
      <c r="F784" s="35"/>
      <c r="G784" s="35" t="s">
        <v>8447</v>
      </c>
      <c r="H784" s="29">
        <f>COUNTIF(关系明细!$D$2:$D$2253,B784)</f>
        <v>0</v>
      </c>
      <c r="I784" s="29">
        <f>COUNTIF(关系明细!$G$2:$G$2253,B784)</f>
        <v>1</v>
      </c>
    </row>
    <row r="785" spans="1:9" ht="16.5">
      <c r="A785" s="34" t="s">
        <v>5452</v>
      </c>
      <c r="B785" s="34" t="s">
        <v>5450</v>
      </c>
      <c r="C785" s="40" t="s">
        <v>72</v>
      </c>
      <c r="D785" s="34" t="s">
        <v>8181</v>
      </c>
      <c r="E785" s="27" t="s">
        <v>5406</v>
      </c>
      <c r="F785" s="34"/>
      <c r="G785" s="34" t="s">
        <v>8447</v>
      </c>
      <c r="H785" s="27">
        <f>COUNTIF(关系明细!$D$2:$D$2253,B785)</f>
        <v>0</v>
      </c>
      <c r="I785" s="27">
        <f>COUNTIF(关系明细!$G$2:$G$2253,B785)</f>
        <v>1</v>
      </c>
    </row>
    <row r="786" spans="1:9" ht="16.5">
      <c r="A786" s="35" t="s">
        <v>5455</v>
      </c>
      <c r="B786" s="35" t="s">
        <v>5453</v>
      </c>
      <c r="C786" s="39" t="s">
        <v>72</v>
      </c>
      <c r="D786" s="35" t="s">
        <v>8181</v>
      </c>
      <c r="E786" s="29" t="s">
        <v>5406</v>
      </c>
      <c r="F786" s="35"/>
      <c r="G786" s="35" t="s">
        <v>8447</v>
      </c>
      <c r="H786" s="29">
        <f>COUNTIF(关系明细!$D$2:$D$2253,B786)</f>
        <v>0</v>
      </c>
      <c r="I786" s="29">
        <f>COUNTIF(关系明细!$G$2:$G$2253,B786)</f>
        <v>1</v>
      </c>
    </row>
    <row r="787" spans="1:9" ht="16.5">
      <c r="A787" s="34" t="s">
        <v>5458</v>
      </c>
      <c r="B787" s="34" t="s">
        <v>5456</v>
      </c>
      <c r="C787" s="40" t="s">
        <v>72</v>
      </c>
      <c r="D787" s="34" t="s">
        <v>8181</v>
      </c>
      <c r="E787" s="27" t="s">
        <v>5406</v>
      </c>
      <c r="F787" s="34"/>
      <c r="G787" s="34" t="s">
        <v>8447</v>
      </c>
      <c r="H787" s="27">
        <f>COUNTIF(关系明细!$D$2:$D$2253,B787)</f>
        <v>0</v>
      </c>
      <c r="I787" s="27">
        <f>COUNTIF(关系明细!$G$2:$G$2253,B787)</f>
        <v>1</v>
      </c>
    </row>
    <row r="788" spans="1:9" ht="16.5">
      <c r="A788" s="35" t="s">
        <v>5523</v>
      </c>
      <c r="B788" s="35" t="s">
        <v>5520</v>
      </c>
      <c r="C788" s="39" t="s">
        <v>72</v>
      </c>
      <c r="D788" s="35" t="s">
        <v>8181</v>
      </c>
      <c r="E788" s="29" t="s">
        <v>5406</v>
      </c>
      <c r="F788" s="35"/>
      <c r="G788" s="35" t="s">
        <v>8448</v>
      </c>
      <c r="H788" s="29">
        <f>COUNTIF(关系明细!$D$2:$D$2253,B788)</f>
        <v>0</v>
      </c>
      <c r="I788" s="29">
        <f>COUNTIF(关系明细!$G$2:$G$2253,B788)</f>
        <v>1</v>
      </c>
    </row>
    <row r="789" spans="1:9" ht="16.5">
      <c r="A789" s="34" t="s">
        <v>5526</v>
      </c>
      <c r="B789" s="34" t="s">
        <v>5524</v>
      </c>
      <c r="C789" s="40" t="s">
        <v>72</v>
      </c>
      <c r="D789" s="34" t="s">
        <v>8181</v>
      </c>
      <c r="E789" s="27" t="s">
        <v>5406</v>
      </c>
      <c r="F789" s="34"/>
      <c r="G789" s="34" t="s">
        <v>8448</v>
      </c>
      <c r="H789" s="27">
        <f>COUNTIF(关系明细!$D$2:$D$2253,B789)</f>
        <v>0</v>
      </c>
      <c r="I789" s="27">
        <f>COUNTIF(关系明细!$G$2:$G$2253,B789)</f>
        <v>1</v>
      </c>
    </row>
    <row r="790" spans="1:9" ht="16.5">
      <c r="A790" s="35" t="s">
        <v>5529</v>
      </c>
      <c r="B790" s="35" t="s">
        <v>5527</v>
      </c>
      <c r="C790" s="39" t="s">
        <v>72</v>
      </c>
      <c r="D790" s="35" t="s">
        <v>8181</v>
      </c>
      <c r="E790" s="29" t="s">
        <v>5406</v>
      </c>
      <c r="F790" s="35"/>
      <c r="G790" s="35" t="s">
        <v>8448</v>
      </c>
      <c r="H790" s="29">
        <f>COUNTIF(关系明细!$D$2:$D$2253,B790)</f>
        <v>0</v>
      </c>
      <c r="I790" s="29">
        <f>COUNTIF(关系明细!$G$2:$G$2253,B790)</f>
        <v>1</v>
      </c>
    </row>
    <row r="791" spans="1:9" ht="16.5">
      <c r="A791" s="34" t="s">
        <v>5532</v>
      </c>
      <c r="B791" s="34" t="s">
        <v>5530</v>
      </c>
      <c r="C791" s="40" t="s">
        <v>72</v>
      </c>
      <c r="D791" s="34" t="s">
        <v>8181</v>
      </c>
      <c r="E791" s="27" t="s">
        <v>5406</v>
      </c>
      <c r="F791" s="34"/>
      <c r="G791" s="34" t="s">
        <v>8448</v>
      </c>
      <c r="H791" s="27">
        <f>COUNTIF(关系明细!$D$2:$D$2253,B791)</f>
        <v>0</v>
      </c>
      <c r="I791" s="27">
        <f>COUNTIF(关系明细!$G$2:$G$2253,B791)</f>
        <v>1</v>
      </c>
    </row>
    <row r="792" spans="1:9" ht="16.5">
      <c r="A792" s="35" t="s">
        <v>5535</v>
      </c>
      <c r="B792" s="35" t="s">
        <v>5533</v>
      </c>
      <c r="C792" s="39" t="s">
        <v>72</v>
      </c>
      <c r="D792" s="35" t="s">
        <v>8181</v>
      </c>
      <c r="E792" s="29" t="s">
        <v>5406</v>
      </c>
      <c r="F792" s="35"/>
      <c r="G792" s="35" t="s">
        <v>8448</v>
      </c>
      <c r="H792" s="29">
        <f>COUNTIF(关系明细!$D$2:$D$2253,B792)</f>
        <v>0</v>
      </c>
      <c r="I792" s="29">
        <f>COUNTIF(关系明细!$G$2:$G$2253,B792)</f>
        <v>1</v>
      </c>
    </row>
    <row r="793" spans="1:9" ht="16.5">
      <c r="A793" s="34" t="s">
        <v>5538</v>
      </c>
      <c r="B793" s="34" t="s">
        <v>5536</v>
      </c>
      <c r="C793" s="40" t="s">
        <v>72</v>
      </c>
      <c r="D793" s="34" t="s">
        <v>8181</v>
      </c>
      <c r="E793" s="27" t="s">
        <v>5406</v>
      </c>
      <c r="F793" s="34"/>
      <c r="G793" s="34" t="s">
        <v>8448</v>
      </c>
      <c r="H793" s="27">
        <f>COUNTIF(关系明细!$D$2:$D$2253,B793)</f>
        <v>0</v>
      </c>
      <c r="I793" s="27">
        <f>COUNTIF(关系明细!$G$2:$G$2253,B793)</f>
        <v>1</v>
      </c>
    </row>
    <row r="794" spans="1:9" ht="16.5">
      <c r="A794" s="35" t="s">
        <v>5541</v>
      </c>
      <c r="B794" s="35" t="s">
        <v>5539</v>
      </c>
      <c r="C794" s="39" t="s">
        <v>72</v>
      </c>
      <c r="D794" s="35" t="s">
        <v>8181</v>
      </c>
      <c r="E794" s="29" t="s">
        <v>5406</v>
      </c>
      <c r="F794" s="35"/>
      <c r="G794" s="35" t="s">
        <v>8448</v>
      </c>
      <c r="H794" s="29">
        <f>COUNTIF(关系明细!$D$2:$D$2253,B794)</f>
        <v>0</v>
      </c>
      <c r="I794" s="29">
        <f>COUNTIF(关系明细!$G$2:$G$2253,B794)</f>
        <v>1</v>
      </c>
    </row>
    <row r="795" spans="1:9" ht="16.5">
      <c r="A795" s="34" t="s">
        <v>5544</v>
      </c>
      <c r="B795" s="34" t="s">
        <v>5542</v>
      </c>
      <c r="C795" s="40" t="s">
        <v>72</v>
      </c>
      <c r="D795" s="34" t="s">
        <v>8181</v>
      </c>
      <c r="E795" s="27" t="s">
        <v>5406</v>
      </c>
      <c r="F795" s="34"/>
      <c r="G795" s="34" t="s">
        <v>8448</v>
      </c>
      <c r="H795" s="27">
        <f>COUNTIF(关系明细!$D$2:$D$2253,B795)</f>
        <v>0</v>
      </c>
      <c r="I795" s="27">
        <f>COUNTIF(关系明细!$G$2:$G$2253,B795)</f>
        <v>1</v>
      </c>
    </row>
    <row r="796" spans="1:9" ht="16.5">
      <c r="A796" s="35" t="s">
        <v>5547</v>
      </c>
      <c r="B796" s="35" t="s">
        <v>5545</v>
      </c>
      <c r="C796" s="39" t="s">
        <v>72</v>
      </c>
      <c r="D796" s="35" t="s">
        <v>8181</v>
      </c>
      <c r="E796" s="29" t="s">
        <v>5406</v>
      </c>
      <c r="F796" s="35"/>
      <c r="G796" s="35" t="s">
        <v>8448</v>
      </c>
      <c r="H796" s="29">
        <f>COUNTIF(关系明细!$D$2:$D$2253,B796)</f>
        <v>0</v>
      </c>
      <c r="I796" s="29">
        <f>COUNTIF(关系明细!$G$2:$G$2253,B796)</f>
        <v>1</v>
      </c>
    </row>
    <row r="797" spans="1:9" ht="16.5">
      <c r="A797" s="34" t="s">
        <v>5550</v>
      </c>
      <c r="B797" s="34" t="s">
        <v>5548</v>
      </c>
      <c r="C797" s="40" t="s">
        <v>72</v>
      </c>
      <c r="D797" s="34" t="s">
        <v>8181</v>
      </c>
      <c r="E797" s="27" t="s">
        <v>5406</v>
      </c>
      <c r="F797" s="34"/>
      <c r="G797" s="34" t="s">
        <v>8448</v>
      </c>
      <c r="H797" s="27">
        <f>COUNTIF(关系明细!$D$2:$D$2253,B797)</f>
        <v>0</v>
      </c>
      <c r="I797" s="27">
        <f>COUNTIF(关系明细!$G$2:$G$2253,B797)</f>
        <v>1</v>
      </c>
    </row>
    <row r="798" spans="1:9" ht="16.5">
      <c r="A798" s="35" t="s">
        <v>5553</v>
      </c>
      <c r="B798" s="35" t="s">
        <v>5551</v>
      </c>
      <c r="C798" s="39" t="s">
        <v>72</v>
      </c>
      <c r="D798" s="35" t="s">
        <v>8181</v>
      </c>
      <c r="E798" s="29" t="s">
        <v>5406</v>
      </c>
      <c r="F798" s="35"/>
      <c r="G798" s="35" t="s">
        <v>8448</v>
      </c>
      <c r="H798" s="29">
        <f>COUNTIF(关系明细!$D$2:$D$2253,B798)</f>
        <v>0</v>
      </c>
      <c r="I798" s="29">
        <f>COUNTIF(关系明细!$G$2:$G$2253,B798)</f>
        <v>1</v>
      </c>
    </row>
    <row r="799" spans="1:9" ht="16.5">
      <c r="A799" s="34" t="s">
        <v>5581</v>
      </c>
      <c r="B799" s="9" t="s">
        <v>5578</v>
      </c>
      <c r="C799" s="40" t="s">
        <v>72</v>
      </c>
      <c r="D799" s="34" t="s">
        <v>8181</v>
      </c>
      <c r="E799" s="27" t="s">
        <v>5406</v>
      </c>
      <c r="F799" s="34"/>
      <c r="G799" s="9" t="s">
        <v>8449</v>
      </c>
      <c r="H799" s="27">
        <f>COUNTIF(关系明细!$D$2:$D$2253,B799)</f>
        <v>0</v>
      </c>
      <c r="I799" s="27">
        <f>COUNTIF(关系明细!$G$2:$G$2253,B799)</f>
        <v>2</v>
      </c>
    </row>
    <row r="800" spans="1:9" ht="16.5">
      <c r="A800" s="35" t="s">
        <v>5584</v>
      </c>
      <c r="B800" s="30" t="s">
        <v>5582</v>
      </c>
      <c r="C800" s="39" t="s">
        <v>72</v>
      </c>
      <c r="D800" s="35" t="s">
        <v>8181</v>
      </c>
      <c r="E800" s="29" t="s">
        <v>5406</v>
      </c>
      <c r="F800" s="35"/>
      <c r="G800" s="30" t="s">
        <v>8449</v>
      </c>
      <c r="H800" s="29">
        <f>COUNTIF(关系明细!$D$2:$D$2253,B800)</f>
        <v>0</v>
      </c>
      <c r="I800" s="29">
        <f>COUNTIF(关系明细!$G$2:$G$2253,B800)</f>
        <v>1</v>
      </c>
    </row>
    <row r="801" spans="1:9" ht="16.5">
      <c r="A801" s="34" t="s">
        <v>5587</v>
      </c>
      <c r="B801" s="9" t="s">
        <v>5585</v>
      </c>
      <c r="C801" s="40" t="s">
        <v>72</v>
      </c>
      <c r="D801" s="34" t="s">
        <v>8181</v>
      </c>
      <c r="E801" s="27" t="s">
        <v>5406</v>
      </c>
      <c r="F801" s="34"/>
      <c r="G801" s="9" t="s">
        <v>8449</v>
      </c>
      <c r="H801" s="27">
        <f>COUNTIF(关系明细!$D$2:$D$2253,B801)</f>
        <v>0</v>
      </c>
      <c r="I801" s="27">
        <f>COUNTIF(关系明细!$G$2:$G$2253,B801)</f>
        <v>1</v>
      </c>
    </row>
    <row r="802" spans="1:9" ht="16.5">
      <c r="A802" s="35" t="s">
        <v>5490</v>
      </c>
      <c r="B802" s="30" t="s">
        <v>5487</v>
      </c>
      <c r="C802" s="39" t="s">
        <v>72</v>
      </c>
      <c r="D802" s="35" t="s">
        <v>8181</v>
      </c>
      <c r="E802" s="29" t="s">
        <v>5406</v>
      </c>
      <c r="F802" s="35"/>
      <c r="G802" s="30" t="s">
        <v>8450</v>
      </c>
      <c r="H802" s="29">
        <f>COUNTIF(关系明细!$D$2:$D$2253,B802)</f>
        <v>0</v>
      </c>
      <c r="I802" s="29">
        <f>COUNTIF(关系明细!$G$2:$G$2253,B802)</f>
        <v>1</v>
      </c>
    </row>
    <row r="803" spans="1:9" ht="16.5">
      <c r="A803" s="34" t="s">
        <v>5493</v>
      </c>
      <c r="B803" s="9" t="s">
        <v>5491</v>
      </c>
      <c r="C803" s="40" t="s">
        <v>72</v>
      </c>
      <c r="D803" s="34" t="s">
        <v>8181</v>
      </c>
      <c r="E803" s="27" t="s">
        <v>5406</v>
      </c>
      <c r="F803" s="34"/>
      <c r="G803" s="9" t="s">
        <v>8450</v>
      </c>
      <c r="H803" s="27">
        <f>COUNTIF(关系明细!$D$2:$D$2253,B803)</f>
        <v>0</v>
      </c>
      <c r="I803" s="27">
        <f>COUNTIF(关系明细!$G$2:$G$2253,B803)</f>
        <v>1</v>
      </c>
    </row>
    <row r="804" spans="1:9" ht="16.5">
      <c r="A804" s="35" t="s">
        <v>5496</v>
      </c>
      <c r="B804" s="30" t="s">
        <v>5494</v>
      </c>
      <c r="C804" s="39" t="s">
        <v>72</v>
      </c>
      <c r="D804" s="35" t="s">
        <v>8181</v>
      </c>
      <c r="E804" s="29" t="s">
        <v>5406</v>
      </c>
      <c r="F804" s="35"/>
      <c r="G804" s="30" t="s">
        <v>8450</v>
      </c>
      <c r="H804" s="29">
        <f>COUNTIF(关系明细!$D$2:$D$2253,B804)</f>
        <v>0</v>
      </c>
      <c r="I804" s="29">
        <f>COUNTIF(关系明细!$G$2:$G$2253,B804)</f>
        <v>1</v>
      </c>
    </row>
    <row r="805" spans="1:9" ht="16.5">
      <c r="A805" s="34" t="s">
        <v>5499</v>
      </c>
      <c r="B805" s="9" t="s">
        <v>5497</v>
      </c>
      <c r="C805" s="40" t="s">
        <v>72</v>
      </c>
      <c r="D805" s="34" t="s">
        <v>8181</v>
      </c>
      <c r="E805" s="27" t="s">
        <v>5406</v>
      </c>
      <c r="F805" s="34"/>
      <c r="G805" s="9" t="s">
        <v>8450</v>
      </c>
      <c r="H805" s="27">
        <f>COUNTIF(关系明细!$D$2:$D$2253,B805)</f>
        <v>0</v>
      </c>
      <c r="I805" s="27">
        <f>COUNTIF(关系明细!$G$2:$G$2253,B805)</f>
        <v>1</v>
      </c>
    </row>
    <row r="806" spans="1:9" ht="16.5">
      <c r="A806" s="35" t="s">
        <v>5502</v>
      </c>
      <c r="B806" s="30" t="s">
        <v>5500</v>
      </c>
      <c r="C806" s="39" t="s">
        <v>72</v>
      </c>
      <c r="D806" s="35" t="s">
        <v>8181</v>
      </c>
      <c r="E806" s="29" t="s">
        <v>5406</v>
      </c>
      <c r="F806" s="35"/>
      <c r="G806" s="30" t="s">
        <v>8450</v>
      </c>
      <c r="H806" s="29">
        <f>COUNTIF(关系明细!$D$2:$D$2253,B806)</f>
        <v>0</v>
      </c>
      <c r="I806" s="29">
        <f>COUNTIF(关系明细!$G$2:$G$2253,B806)</f>
        <v>1</v>
      </c>
    </row>
    <row r="807" spans="1:9" ht="16.5">
      <c r="A807" s="34" t="s">
        <v>5505</v>
      </c>
      <c r="B807" s="9" t="s">
        <v>5503</v>
      </c>
      <c r="C807" s="40" t="s">
        <v>72</v>
      </c>
      <c r="D807" s="34" t="s">
        <v>8181</v>
      </c>
      <c r="E807" s="27" t="s">
        <v>5406</v>
      </c>
      <c r="F807" s="34"/>
      <c r="G807" s="9" t="s">
        <v>8450</v>
      </c>
      <c r="H807" s="27">
        <f>COUNTIF(关系明细!$D$2:$D$2253,B807)</f>
        <v>0</v>
      </c>
      <c r="I807" s="27">
        <f>COUNTIF(关系明细!$G$2:$G$2253,B807)</f>
        <v>1</v>
      </c>
    </row>
    <row r="808" spans="1:9" ht="16.5">
      <c r="A808" s="35" t="s">
        <v>5508</v>
      </c>
      <c r="B808" s="30" t="s">
        <v>5506</v>
      </c>
      <c r="C808" s="39" t="s">
        <v>72</v>
      </c>
      <c r="D808" s="35" t="s">
        <v>8181</v>
      </c>
      <c r="E808" s="29" t="s">
        <v>5406</v>
      </c>
      <c r="F808" s="35"/>
      <c r="G808" s="30" t="s">
        <v>8450</v>
      </c>
      <c r="H808" s="29">
        <f>COUNTIF(关系明细!$D$2:$D$2253,B808)</f>
        <v>0</v>
      </c>
      <c r="I808" s="29">
        <f>COUNTIF(关系明细!$G$2:$G$2253,B808)</f>
        <v>1</v>
      </c>
    </row>
    <row r="809" spans="1:9" ht="16.5">
      <c r="A809" s="34" t="s">
        <v>5511</v>
      </c>
      <c r="B809" s="9" t="s">
        <v>5509</v>
      </c>
      <c r="C809" s="40" t="s">
        <v>72</v>
      </c>
      <c r="D809" s="34" t="s">
        <v>8181</v>
      </c>
      <c r="E809" s="27" t="s">
        <v>5406</v>
      </c>
      <c r="F809" s="34"/>
      <c r="G809" s="9" t="s">
        <v>8450</v>
      </c>
      <c r="H809" s="27">
        <f>COUNTIF(关系明细!$D$2:$D$2253,B809)</f>
        <v>0</v>
      </c>
      <c r="I809" s="27">
        <f>COUNTIF(关系明细!$G$2:$G$2253,B809)</f>
        <v>1</v>
      </c>
    </row>
    <row r="810" spans="1:9" ht="16.5">
      <c r="A810" s="35" t="s">
        <v>5462</v>
      </c>
      <c r="B810" s="35" t="s">
        <v>5459</v>
      </c>
      <c r="C810" s="39" t="s">
        <v>82</v>
      </c>
      <c r="D810" s="35" t="s">
        <v>8186</v>
      </c>
      <c r="E810" s="29" t="s">
        <v>5406</v>
      </c>
      <c r="F810" s="35"/>
      <c r="G810" s="30" t="s">
        <v>8451</v>
      </c>
      <c r="H810" s="29">
        <f>COUNTIF(关系明细!$D$2:$D$2253,B810)</f>
        <v>0</v>
      </c>
      <c r="I810" s="29">
        <f>COUNTIF(关系明细!$G$2:$G$2253,B810)</f>
        <v>1</v>
      </c>
    </row>
    <row r="811" spans="1:9" ht="16.5">
      <c r="A811" s="34" t="s">
        <v>5466</v>
      </c>
      <c r="B811" s="34" t="s">
        <v>5463</v>
      </c>
      <c r="C811" s="40" t="s">
        <v>82</v>
      </c>
      <c r="D811" s="34" t="s">
        <v>8186</v>
      </c>
      <c r="E811" s="27" t="s">
        <v>5406</v>
      </c>
      <c r="F811" s="34"/>
      <c r="G811" s="9" t="s">
        <v>8452</v>
      </c>
      <c r="H811" s="27">
        <f>COUNTIF(关系明细!$D$2:$D$2253,B811)</f>
        <v>0</v>
      </c>
      <c r="I811" s="27">
        <f>COUNTIF(关系明细!$G$2:$G$2253,B811)</f>
        <v>1</v>
      </c>
    </row>
    <row r="812" spans="1:9" ht="16.5">
      <c r="A812" s="35" t="s">
        <v>5470</v>
      </c>
      <c r="B812" s="35" t="s">
        <v>5467</v>
      </c>
      <c r="C812" s="39" t="s">
        <v>82</v>
      </c>
      <c r="D812" s="35" t="s">
        <v>8186</v>
      </c>
      <c r="E812" s="29" t="s">
        <v>5406</v>
      </c>
      <c r="F812" s="35"/>
      <c r="G812" s="30" t="s">
        <v>8453</v>
      </c>
      <c r="H812" s="29">
        <f>COUNTIF(关系明细!$D$2:$D$2253,B812)</f>
        <v>0</v>
      </c>
      <c r="I812" s="29">
        <f>COUNTIF(关系明细!$G$2:$G$2253,B812)</f>
        <v>1</v>
      </c>
    </row>
    <row r="813" spans="1:9" ht="16.5">
      <c r="A813" s="34" t="s">
        <v>5474</v>
      </c>
      <c r="B813" s="34" t="s">
        <v>5471</v>
      </c>
      <c r="C813" s="40" t="s">
        <v>82</v>
      </c>
      <c r="D813" s="34" t="s">
        <v>8186</v>
      </c>
      <c r="E813" s="27" t="s">
        <v>5406</v>
      </c>
      <c r="F813" s="34"/>
      <c r="G813" s="9" t="s">
        <v>8454</v>
      </c>
      <c r="H813" s="27">
        <f>COUNTIF(关系明细!$D$2:$D$2253,B813)</f>
        <v>0</v>
      </c>
      <c r="I813" s="27">
        <f>COUNTIF(关系明细!$G$2:$G$2253,B813)</f>
        <v>1</v>
      </c>
    </row>
    <row r="814" spans="1:9" ht="16.5">
      <c r="A814" s="35" t="s">
        <v>5478</v>
      </c>
      <c r="B814" s="35" t="s">
        <v>5475</v>
      </c>
      <c r="C814" s="39" t="s">
        <v>82</v>
      </c>
      <c r="D814" s="35" t="s">
        <v>8186</v>
      </c>
      <c r="E814" s="29" t="s">
        <v>5406</v>
      </c>
      <c r="F814" s="35"/>
      <c r="G814" s="30" t="s">
        <v>8455</v>
      </c>
      <c r="H814" s="29">
        <f>COUNTIF(关系明细!$D$2:$D$2253,B814)</f>
        <v>0</v>
      </c>
      <c r="I814" s="29">
        <f>COUNTIF(关系明细!$G$2:$G$2253,B814)</f>
        <v>1</v>
      </c>
    </row>
    <row r="815" spans="1:9" ht="16.5">
      <c r="A815" s="34" t="s">
        <v>5482</v>
      </c>
      <c r="B815" s="34" t="s">
        <v>5479</v>
      </c>
      <c r="C815" s="40" t="s">
        <v>82</v>
      </c>
      <c r="D815" s="34" t="s">
        <v>8186</v>
      </c>
      <c r="E815" s="27" t="s">
        <v>5406</v>
      </c>
      <c r="F815" s="34"/>
      <c r="G815" s="9" t="s">
        <v>8309</v>
      </c>
      <c r="H815" s="27">
        <f>COUNTIF(关系明细!$D$2:$D$2253,B815)</f>
        <v>0</v>
      </c>
      <c r="I815" s="27">
        <f>COUNTIF(关系明细!$G$2:$G$2253,B815)</f>
        <v>1</v>
      </c>
    </row>
    <row r="816" spans="1:9" ht="16.5">
      <c r="A816" s="35" t="s">
        <v>5557</v>
      </c>
      <c r="B816" s="35" t="s">
        <v>5554</v>
      </c>
      <c r="C816" s="39" t="s">
        <v>82</v>
      </c>
      <c r="D816" s="35" t="s">
        <v>8186</v>
      </c>
      <c r="E816" s="29" t="s">
        <v>5406</v>
      </c>
      <c r="F816" s="35"/>
      <c r="G816" s="30" t="s">
        <v>8456</v>
      </c>
      <c r="H816" s="29">
        <f>COUNTIF(关系明细!$D$2:$D$2253,B816)</f>
        <v>0</v>
      </c>
      <c r="I816" s="29">
        <f>COUNTIF(关系明细!$G$2:$G$2253,B816)</f>
        <v>1</v>
      </c>
    </row>
    <row r="817" spans="1:9" ht="16.5">
      <c r="A817" s="34" t="s">
        <v>5561</v>
      </c>
      <c r="B817" s="34" t="s">
        <v>5558</v>
      </c>
      <c r="C817" s="40" t="s">
        <v>82</v>
      </c>
      <c r="D817" s="34" t="s">
        <v>8186</v>
      </c>
      <c r="E817" s="27" t="s">
        <v>5406</v>
      </c>
      <c r="F817" s="34"/>
      <c r="G817" s="9" t="s">
        <v>8457</v>
      </c>
      <c r="H817" s="27">
        <f>COUNTIF(关系明细!$D$2:$D$2253,B817)</f>
        <v>0</v>
      </c>
      <c r="I817" s="27">
        <f>COUNTIF(关系明细!$G$2:$G$2253,B817)</f>
        <v>1</v>
      </c>
    </row>
    <row r="818" spans="1:9" ht="16.5">
      <c r="A818" s="35" t="s">
        <v>5565</v>
      </c>
      <c r="B818" s="35" t="s">
        <v>5562</v>
      </c>
      <c r="C818" s="39" t="s">
        <v>82</v>
      </c>
      <c r="D818" s="35" t="s">
        <v>8186</v>
      </c>
      <c r="E818" s="29" t="s">
        <v>5406</v>
      </c>
      <c r="F818" s="35"/>
      <c r="G818" s="30" t="s">
        <v>8193</v>
      </c>
      <c r="H818" s="29">
        <f>COUNTIF(关系明细!$D$2:$D$2253,B818)</f>
        <v>0</v>
      </c>
      <c r="I818" s="29">
        <f>COUNTIF(关系明细!$G$2:$G$2253,B818)</f>
        <v>1</v>
      </c>
    </row>
    <row r="819" spans="1:9" ht="16.5">
      <c r="A819" s="34" t="s">
        <v>5573</v>
      </c>
      <c r="B819" s="34" t="s">
        <v>5570</v>
      </c>
      <c r="C819" s="40" t="s">
        <v>82</v>
      </c>
      <c r="D819" s="34" t="s">
        <v>8186</v>
      </c>
      <c r="E819" s="27" t="s">
        <v>5406</v>
      </c>
      <c r="F819" s="34"/>
      <c r="G819" s="9" t="s">
        <v>8458</v>
      </c>
      <c r="H819" s="27">
        <f>COUNTIF(关系明细!$D$2:$D$2253,B819)</f>
        <v>0</v>
      </c>
      <c r="I819" s="27">
        <f>COUNTIF(关系明细!$G$2:$G$2253,B819)</f>
        <v>1</v>
      </c>
    </row>
    <row r="820" spans="1:9" ht="16.5">
      <c r="A820" s="35" t="s">
        <v>5591</v>
      </c>
      <c r="B820" s="30" t="s">
        <v>5588</v>
      </c>
      <c r="C820" s="39" t="s">
        <v>82</v>
      </c>
      <c r="D820" s="35" t="s">
        <v>8186</v>
      </c>
      <c r="E820" s="29" t="s">
        <v>5406</v>
      </c>
      <c r="F820" s="35"/>
      <c r="G820" s="30" t="s">
        <v>8188</v>
      </c>
      <c r="H820" s="29">
        <f>COUNTIF(关系明细!$D$2:$D$2253,B820)</f>
        <v>0</v>
      </c>
      <c r="I820" s="29">
        <f>COUNTIF(关系明细!$G$2:$G$2253,B820)</f>
        <v>1</v>
      </c>
    </row>
    <row r="821" spans="1:9" ht="16.5">
      <c r="A821" s="34" t="s">
        <v>5515</v>
      </c>
      <c r="B821" s="9" t="s">
        <v>5512</v>
      </c>
      <c r="C821" s="40" t="s">
        <v>82</v>
      </c>
      <c r="D821" s="34" t="s">
        <v>8186</v>
      </c>
      <c r="E821" s="27" t="s">
        <v>5406</v>
      </c>
      <c r="F821" s="34"/>
      <c r="G821" s="9" t="s">
        <v>8235</v>
      </c>
      <c r="H821" s="27">
        <f>COUNTIF(关系明细!$D$2:$D$2253,B821)</f>
        <v>0</v>
      </c>
      <c r="I821" s="27">
        <f>COUNTIF(关系明细!$G$2:$G$2253,B821)</f>
        <v>1</v>
      </c>
    </row>
    <row r="822" spans="1:9" ht="16.5">
      <c r="A822" s="35" t="s">
        <v>6106</v>
      </c>
      <c r="B822" s="35" t="s">
        <v>6103</v>
      </c>
      <c r="C822" s="39" t="s">
        <v>300</v>
      </c>
      <c r="D822" s="35" t="s">
        <v>8197</v>
      </c>
      <c r="E822" s="29" t="s">
        <v>5406</v>
      </c>
      <c r="F822" s="35"/>
      <c r="G822" s="30" t="s">
        <v>8459</v>
      </c>
      <c r="H822" s="29">
        <f>COUNTIF(关系明细!$D$2:$D$2253,B822)</f>
        <v>1</v>
      </c>
      <c r="I822" s="29">
        <f>COUNTIF(关系明细!$G$2:$G$2253,B822)</f>
        <v>1</v>
      </c>
    </row>
    <row r="823" spans="1:9" ht="16.5">
      <c r="A823" s="34" t="s">
        <v>5700</v>
      </c>
      <c r="B823" s="9" t="s">
        <v>5697</v>
      </c>
      <c r="C823" s="40" t="s">
        <v>300</v>
      </c>
      <c r="D823" s="34" t="s">
        <v>8197</v>
      </c>
      <c r="E823" s="27" t="s">
        <v>5406</v>
      </c>
      <c r="F823" s="34"/>
      <c r="G823" s="9" t="s">
        <v>8460</v>
      </c>
      <c r="H823" s="27">
        <f>COUNTIF(关系明细!$D$2:$D$2253,B823)</f>
        <v>3</v>
      </c>
      <c r="I823" s="27">
        <f>COUNTIF(关系明细!$G$2:$G$2253,B823)</f>
        <v>1</v>
      </c>
    </row>
    <row r="824" spans="1:9" ht="16.5">
      <c r="A824" s="35" t="s">
        <v>6113</v>
      </c>
      <c r="B824" s="30" t="s">
        <v>6110</v>
      </c>
      <c r="C824" s="39" t="s">
        <v>300</v>
      </c>
      <c r="D824" s="35" t="s">
        <v>8197</v>
      </c>
      <c r="E824" s="29" t="s">
        <v>5406</v>
      </c>
      <c r="F824" s="35"/>
      <c r="G824" s="35" t="s">
        <v>8461</v>
      </c>
      <c r="H824" s="29">
        <f>COUNTIF(关系明细!$D$2:$D$2253,B824)</f>
        <v>1</v>
      </c>
      <c r="I824" s="29">
        <f>COUNTIF(关系明细!$G$2:$G$2253,B824)</f>
        <v>1</v>
      </c>
    </row>
    <row r="825" spans="1:9" ht="16.5">
      <c r="A825" s="34" t="s">
        <v>5696</v>
      </c>
      <c r="B825" s="34" t="s">
        <v>5693</v>
      </c>
      <c r="C825" s="40" t="s">
        <v>300</v>
      </c>
      <c r="D825" s="34" t="s">
        <v>8197</v>
      </c>
      <c r="E825" s="27" t="s">
        <v>5406</v>
      </c>
      <c r="F825" s="34"/>
      <c r="G825" s="9" t="s">
        <v>8462</v>
      </c>
      <c r="H825" s="27">
        <f>COUNTIF(关系明细!$D$2:$D$2253,B825)</f>
        <v>2</v>
      </c>
      <c r="I825" s="27">
        <f>COUNTIF(关系明细!$G$2:$G$2253,B825)</f>
        <v>1</v>
      </c>
    </row>
    <row r="826" spans="1:9" ht="16.5">
      <c r="A826" s="35" t="s">
        <v>5595</v>
      </c>
      <c r="B826" s="30" t="s">
        <v>5592</v>
      </c>
      <c r="C826" s="39" t="s">
        <v>204</v>
      </c>
      <c r="D826" s="35" t="s">
        <v>8201</v>
      </c>
      <c r="E826" s="29" t="s">
        <v>5406</v>
      </c>
      <c r="F826" s="35" t="s">
        <v>5333</v>
      </c>
      <c r="G826" s="35" t="s">
        <v>584</v>
      </c>
      <c r="H826" s="29">
        <f>COUNTIF(关系明细!$D$2:$D$2253,B826)</f>
        <v>17</v>
      </c>
      <c r="I826" s="29">
        <f>COUNTIF(关系明细!$G$2:$G$2253,B826)</f>
        <v>3</v>
      </c>
    </row>
    <row r="827" spans="1:9" ht="16.5">
      <c r="A827" s="34" t="s">
        <v>5600</v>
      </c>
      <c r="B827" s="9" t="s">
        <v>5597</v>
      </c>
      <c r="C827" s="40" t="s">
        <v>204</v>
      </c>
      <c r="D827" s="34" t="s">
        <v>8201</v>
      </c>
      <c r="E827" s="27" t="s">
        <v>5406</v>
      </c>
      <c r="F827" s="34" t="s">
        <v>5333</v>
      </c>
      <c r="G827" s="34" t="s">
        <v>584</v>
      </c>
      <c r="H827" s="27">
        <f>COUNTIF(关系明细!$D$2:$D$2253,B827)</f>
        <v>16</v>
      </c>
      <c r="I827" s="27">
        <f>COUNTIF(关系明细!$G$2:$G$2253,B827)</f>
        <v>4</v>
      </c>
    </row>
    <row r="828" spans="1:9" ht="16.5">
      <c r="A828" s="35" t="s">
        <v>5605</v>
      </c>
      <c r="B828" s="30" t="s">
        <v>5602</v>
      </c>
      <c r="C828" s="39" t="s">
        <v>204</v>
      </c>
      <c r="D828" s="35" t="s">
        <v>8201</v>
      </c>
      <c r="E828" s="29" t="s">
        <v>5406</v>
      </c>
      <c r="F828" s="35" t="s">
        <v>5333</v>
      </c>
      <c r="G828" s="35" t="s">
        <v>584</v>
      </c>
      <c r="H828" s="29">
        <f>COUNTIF(关系明细!$D$2:$D$2253,B828)</f>
        <v>12</v>
      </c>
      <c r="I828" s="29">
        <f>COUNTIF(关系明细!$G$2:$G$2253,B828)</f>
        <v>1</v>
      </c>
    </row>
    <row r="829" spans="1:9" ht="16.5">
      <c r="A829" s="34" t="s">
        <v>5610</v>
      </c>
      <c r="B829" s="9" t="s">
        <v>5607</v>
      </c>
      <c r="C829" s="40" t="s">
        <v>204</v>
      </c>
      <c r="D829" s="34" t="s">
        <v>8201</v>
      </c>
      <c r="E829" s="27" t="s">
        <v>5406</v>
      </c>
      <c r="F829" s="34" t="s">
        <v>5333</v>
      </c>
      <c r="G829" s="9" t="s">
        <v>5608</v>
      </c>
      <c r="H829" s="27">
        <f>COUNTIF(关系明细!$D$2:$D$2253,B829)</f>
        <v>3</v>
      </c>
      <c r="I829" s="27">
        <f>COUNTIF(关系明细!$G$2:$G$2253,B829)</f>
        <v>2</v>
      </c>
    </row>
    <row r="830" spans="1:9" ht="16.5">
      <c r="A830" s="35" t="s">
        <v>5615</v>
      </c>
      <c r="B830" s="30" t="s">
        <v>5612</v>
      </c>
      <c r="C830" s="39" t="s">
        <v>204</v>
      </c>
      <c r="D830" s="35" t="s">
        <v>8201</v>
      </c>
      <c r="E830" s="29" t="s">
        <v>5406</v>
      </c>
      <c r="F830" s="35" t="s">
        <v>5333</v>
      </c>
      <c r="G830" s="35" t="s">
        <v>584</v>
      </c>
      <c r="H830" s="29">
        <f>COUNTIF(关系明细!$D$2:$D$2253,B830)</f>
        <v>4</v>
      </c>
      <c r="I830" s="29">
        <f>COUNTIF(关系明细!$G$2:$G$2253,B830)</f>
        <v>4</v>
      </c>
    </row>
    <row r="831" spans="1:9" ht="16.5">
      <c r="A831" s="34" t="s">
        <v>5620</v>
      </c>
      <c r="B831" s="9" t="s">
        <v>5617</v>
      </c>
      <c r="C831" s="40" t="s">
        <v>204</v>
      </c>
      <c r="D831" s="34" t="s">
        <v>8201</v>
      </c>
      <c r="E831" s="27" t="s">
        <v>5406</v>
      </c>
      <c r="F831" s="34" t="s">
        <v>5333</v>
      </c>
      <c r="G831" s="34" t="s">
        <v>584</v>
      </c>
      <c r="H831" s="27">
        <f>COUNTIF(关系明细!$D$2:$D$2253,B831)</f>
        <v>13</v>
      </c>
      <c r="I831" s="27">
        <f>COUNTIF(关系明细!$G$2:$G$2253,B831)</f>
        <v>1</v>
      </c>
    </row>
    <row r="832" spans="1:9" ht="16.5">
      <c r="A832" s="35" t="s">
        <v>5625</v>
      </c>
      <c r="B832" s="30" t="s">
        <v>5622</v>
      </c>
      <c r="C832" s="39" t="s">
        <v>204</v>
      </c>
      <c r="D832" s="35" t="s">
        <v>8201</v>
      </c>
      <c r="E832" s="29" t="s">
        <v>5406</v>
      </c>
      <c r="F832" s="35" t="s">
        <v>5333</v>
      </c>
      <c r="G832" s="35" t="s">
        <v>584</v>
      </c>
      <c r="H832" s="29">
        <f>COUNTIF(关系明细!$D$2:$D$2253,B832)</f>
        <v>3</v>
      </c>
      <c r="I832" s="29">
        <f>COUNTIF(关系明细!$G$2:$G$2253,B832)</f>
        <v>1</v>
      </c>
    </row>
    <row r="833" spans="1:9" ht="16.5">
      <c r="A833" s="34" t="s">
        <v>5630</v>
      </c>
      <c r="B833" s="9" t="s">
        <v>5627</v>
      </c>
      <c r="C833" s="40" t="s">
        <v>204</v>
      </c>
      <c r="D833" s="34" t="s">
        <v>8201</v>
      </c>
      <c r="E833" s="27" t="s">
        <v>5406</v>
      </c>
      <c r="F833" s="34" t="s">
        <v>5333</v>
      </c>
      <c r="G833" s="34" t="s">
        <v>584</v>
      </c>
      <c r="H833" s="27">
        <f>COUNTIF(关系明细!$D$2:$D$2253,B833)</f>
        <v>1</v>
      </c>
      <c r="I833" s="27">
        <f>COUNTIF(关系明细!$G$2:$G$2253,B833)</f>
        <v>1</v>
      </c>
    </row>
    <row r="834" spans="1:9" ht="16.5">
      <c r="A834" s="35" t="s">
        <v>5635</v>
      </c>
      <c r="B834" s="30" t="s">
        <v>5632</v>
      </c>
      <c r="C834" s="39" t="s">
        <v>204</v>
      </c>
      <c r="D834" s="35" t="s">
        <v>8201</v>
      </c>
      <c r="E834" s="29" t="s">
        <v>5406</v>
      </c>
      <c r="F834" s="35" t="s">
        <v>5516</v>
      </c>
      <c r="G834" s="35" t="s">
        <v>584</v>
      </c>
      <c r="H834" s="29">
        <f>COUNTIF(关系明细!$D$2:$D$2253,B834)</f>
        <v>11</v>
      </c>
      <c r="I834" s="29">
        <f>COUNTIF(关系明细!$G$2:$G$2253,B834)</f>
        <v>2</v>
      </c>
    </row>
    <row r="835" spans="1:9" ht="16.5">
      <c r="A835" s="34" t="s">
        <v>5640</v>
      </c>
      <c r="B835" s="9" t="s">
        <v>5637</v>
      </c>
      <c r="C835" s="40" t="s">
        <v>204</v>
      </c>
      <c r="D835" s="34" t="s">
        <v>8201</v>
      </c>
      <c r="E835" s="27" t="s">
        <v>5406</v>
      </c>
      <c r="F835" s="34" t="s">
        <v>5516</v>
      </c>
      <c r="G835" s="34" t="s">
        <v>584</v>
      </c>
      <c r="H835" s="27">
        <f>COUNTIF(关系明细!$D$2:$D$2253,B835)</f>
        <v>12</v>
      </c>
      <c r="I835" s="27">
        <f>COUNTIF(关系明细!$G$2:$G$2253,B835)</f>
        <v>1</v>
      </c>
    </row>
    <row r="836" spans="1:9" ht="16.5">
      <c r="A836" s="35" t="s">
        <v>5645</v>
      </c>
      <c r="B836" s="30" t="s">
        <v>5642</v>
      </c>
      <c r="C836" s="39" t="s">
        <v>204</v>
      </c>
      <c r="D836" s="35" t="s">
        <v>8201</v>
      </c>
      <c r="E836" s="29" t="s">
        <v>5406</v>
      </c>
      <c r="F836" s="35" t="s">
        <v>5566</v>
      </c>
      <c r="G836" s="35" t="s">
        <v>584</v>
      </c>
      <c r="H836" s="29">
        <f>COUNTIF(关系明细!$D$2:$D$2253,B836)</f>
        <v>3</v>
      </c>
      <c r="I836" s="29">
        <f>COUNTIF(关系明细!$G$2:$G$2253,B836)</f>
        <v>2</v>
      </c>
    </row>
    <row r="837" spans="1:9" ht="16.5">
      <c r="A837" s="34" t="s">
        <v>5650</v>
      </c>
      <c r="B837" s="9" t="s">
        <v>5647</v>
      </c>
      <c r="C837" s="40" t="s">
        <v>204</v>
      </c>
      <c r="D837" s="34" t="s">
        <v>8201</v>
      </c>
      <c r="E837" s="27" t="s">
        <v>5406</v>
      </c>
      <c r="F837" s="34" t="s">
        <v>5566</v>
      </c>
      <c r="G837" s="34" t="s">
        <v>584</v>
      </c>
      <c r="H837" s="27">
        <f>COUNTIF(关系明细!$D$2:$D$2253,B837)</f>
        <v>1</v>
      </c>
      <c r="I837" s="27">
        <f>COUNTIF(关系明细!$G$2:$G$2253,B837)</f>
        <v>1</v>
      </c>
    </row>
    <row r="838" spans="1:9" ht="16.5">
      <c r="A838" s="35" t="s">
        <v>5655</v>
      </c>
      <c r="B838" s="30" t="s">
        <v>5652</v>
      </c>
      <c r="C838" s="39" t="s">
        <v>204</v>
      </c>
      <c r="D838" s="35" t="s">
        <v>8201</v>
      </c>
      <c r="E838" s="29" t="s">
        <v>5406</v>
      </c>
      <c r="F838" s="30" t="s">
        <v>5574</v>
      </c>
      <c r="G838" s="35" t="s">
        <v>584</v>
      </c>
      <c r="H838" s="29">
        <f>COUNTIF(关系明细!$D$2:$D$2253,B838)</f>
        <v>1</v>
      </c>
      <c r="I838" s="29">
        <f>COUNTIF(关系明细!$G$2:$G$2253,B838)</f>
        <v>1</v>
      </c>
    </row>
    <row r="839" spans="1:9" ht="16.5">
      <c r="A839" s="34" t="s">
        <v>5660</v>
      </c>
      <c r="B839" s="9" t="s">
        <v>5657</v>
      </c>
      <c r="C839" s="40" t="s">
        <v>204</v>
      </c>
      <c r="D839" s="34" t="s">
        <v>8201</v>
      </c>
      <c r="E839" s="27" t="s">
        <v>5406</v>
      </c>
      <c r="F839" s="34" t="s">
        <v>5333</v>
      </c>
      <c r="G839" s="34" t="s">
        <v>584</v>
      </c>
      <c r="H839" s="27">
        <f>COUNTIF(关系明细!$D$2:$D$2253,B839)</f>
        <v>1</v>
      </c>
      <c r="I839" s="27">
        <f>COUNTIF(关系明细!$G$2:$G$2253,B839)</f>
        <v>3</v>
      </c>
    </row>
    <row r="840" spans="1:9" ht="16.5">
      <c r="A840" s="35" t="s">
        <v>5668</v>
      </c>
      <c r="B840" s="30" t="s">
        <v>5665</v>
      </c>
      <c r="C840" s="39" t="s">
        <v>204</v>
      </c>
      <c r="D840" s="35" t="s">
        <v>8201</v>
      </c>
      <c r="E840" s="29" t="s">
        <v>5406</v>
      </c>
      <c r="F840" s="35" t="s">
        <v>5333</v>
      </c>
      <c r="G840" s="30" t="s">
        <v>5666</v>
      </c>
      <c r="H840" s="29">
        <f>COUNTIF(关系明细!$D$2:$D$2253,B840)</f>
        <v>1</v>
      </c>
      <c r="I840" s="29">
        <f>COUNTIF(关系明细!$G$2:$G$2253,B840)</f>
        <v>1</v>
      </c>
    </row>
    <row r="841" spans="1:9" ht="16.5">
      <c r="A841" s="34" t="s">
        <v>5672</v>
      </c>
      <c r="B841" s="9" t="s">
        <v>5669</v>
      </c>
      <c r="C841" s="40" t="s">
        <v>204</v>
      </c>
      <c r="D841" s="34" t="s">
        <v>8201</v>
      </c>
      <c r="E841" s="27" t="s">
        <v>5406</v>
      </c>
      <c r="F841" s="34" t="s">
        <v>5333</v>
      </c>
      <c r="G841" s="9" t="s">
        <v>5670</v>
      </c>
      <c r="H841" s="27">
        <f>COUNTIF(关系明细!$D$2:$D$2253,B841)</f>
        <v>1</v>
      </c>
      <c r="I841" s="27">
        <f>COUNTIF(关系明细!$G$2:$G$2253,B841)</f>
        <v>1</v>
      </c>
    </row>
    <row r="842" spans="1:9" ht="16.5">
      <c r="A842" s="35" t="s">
        <v>5676</v>
      </c>
      <c r="B842" s="35" t="s">
        <v>5673</v>
      </c>
      <c r="C842" s="39" t="s">
        <v>204</v>
      </c>
      <c r="D842" s="35" t="s">
        <v>8201</v>
      </c>
      <c r="E842" s="29" t="s">
        <v>5406</v>
      </c>
      <c r="F842" s="35" t="s">
        <v>5333</v>
      </c>
      <c r="G842" s="35" t="s">
        <v>584</v>
      </c>
      <c r="H842" s="29">
        <f>COUNTIF(关系明细!$D$2:$D$2253,B842)</f>
        <v>1</v>
      </c>
      <c r="I842" s="29">
        <f>COUNTIF(关系明细!$G$2:$G$2253,B842)</f>
        <v>4</v>
      </c>
    </row>
    <row r="843" spans="1:9" ht="16.5">
      <c r="A843" s="34" t="s">
        <v>5664</v>
      </c>
      <c r="B843" s="9" t="s">
        <v>5661</v>
      </c>
      <c r="C843" s="40" t="s">
        <v>295</v>
      </c>
      <c r="D843" s="34" t="s">
        <v>8202</v>
      </c>
      <c r="E843" s="27" t="s">
        <v>5406</v>
      </c>
      <c r="F843" s="34" t="s">
        <v>5333</v>
      </c>
      <c r="G843" s="34" t="s">
        <v>584</v>
      </c>
      <c r="H843" s="27">
        <f>COUNTIF(关系明细!$D$2:$D$2253,B843)</f>
        <v>1</v>
      </c>
      <c r="I843" s="27">
        <f>COUNTIF(关系明细!$G$2:$G$2253,B843)</f>
        <v>5</v>
      </c>
    </row>
    <row r="844" spans="1:9" ht="16.5">
      <c r="A844" s="35" t="s">
        <v>5680</v>
      </c>
      <c r="B844" s="30" t="s">
        <v>5677</v>
      </c>
      <c r="C844" s="39" t="s">
        <v>295</v>
      </c>
      <c r="D844" s="35" t="s">
        <v>8202</v>
      </c>
      <c r="E844" s="29" t="s">
        <v>5406</v>
      </c>
      <c r="F844" s="35" t="s">
        <v>5333</v>
      </c>
      <c r="G844" s="35" t="s">
        <v>584</v>
      </c>
      <c r="H844" s="29">
        <f>COUNTIF(关系明细!$D$2:$D$2253,B844)</f>
        <v>1</v>
      </c>
      <c r="I844" s="29">
        <f>COUNTIF(关系明细!$G$2:$G$2253,B844)</f>
        <v>3</v>
      </c>
    </row>
    <row r="845" spans="1:9" ht="16.5">
      <c r="A845" s="34" t="s">
        <v>5684</v>
      </c>
      <c r="B845" s="9" t="s">
        <v>5681</v>
      </c>
      <c r="C845" s="40" t="s">
        <v>295</v>
      </c>
      <c r="D845" s="34" t="s">
        <v>8202</v>
      </c>
      <c r="E845" s="27" t="s">
        <v>5406</v>
      </c>
      <c r="F845" s="34" t="s">
        <v>5516</v>
      </c>
      <c r="G845" s="34" t="s">
        <v>584</v>
      </c>
      <c r="H845" s="27">
        <f>COUNTIF(关系明细!$D$2:$D$2253,B845)</f>
        <v>1</v>
      </c>
      <c r="I845" s="27">
        <f>COUNTIF(关系明细!$G$2:$G$2253,B845)</f>
        <v>3</v>
      </c>
    </row>
    <row r="846" spans="1:9" ht="16.5">
      <c r="A846" s="35" t="s">
        <v>5688</v>
      </c>
      <c r="B846" s="35" t="s">
        <v>5685</v>
      </c>
      <c r="C846" s="39" t="s">
        <v>295</v>
      </c>
      <c r="D846" s="35" t="s">
        <v>8202</v>
      </c>
      <c r="E846" s="29" t="s">
        <v>5406</v>
      </c>
      <c r="F846" s="35" t="s">
        <v>5516</v>
      </c>
      <c r="G846" s="35" t="s">
        <v>584</v>
      </c>
      <c r="H846" s="29">
        <f>COUNTIF(关系明细!$D$2:$D$2253,B846)</f>
        <v>1</v>
      </c>
      <c r="I846" s="29">
        <f>COUNTIF(关系明细!$G$2:$G$2253,B846)</f>
        <v>2</v>
      </c>
    </row>
    <row r="847" spans="1:9" ht="16.5">
      <c r="A847" s="34" t="s">
        <v>5692</v>
      </c>
      <c r="B847" s="9" t="s">
        <v>5689</v>
      </c>
      <c r="C847" s="40" t="s">
        <v>295</v>
      </c>
      <c r="D847" s="34" t="s">
        <v>8202</v>
      </c>
      <c r="E847" s="27" t="s">
        <v>5406</v>
      </c>
      <c r="F847" s="9" t="s">
        <v>5574</v>
      </c>
      <c r="G847" s="34" t="s">
        <v>584</v>
      </c>
      <c r="H847" s="27">
        <f>COUNTIF(关系明细!$D$2:$D$2253,B847)</f>
        <v>1</v>
      </c>
      <c r="I847" s="27">
        <f>COUNTIF(关系明细!$G$2:$G$2253,B847)</f>
        <v>4</v>
      </c>
    </row>
    <row r="848" spans="1:9" ht="16.5">
      <c r="A848" s="35" t="s">
        <v>6024</v>
      </c>
      <c r="B848" s="30" t="s">
        <v>6020</v>
      </c>
      <c r="C848" s="39" t="s">
        <v>488</v>
      </c>
      <c r="D848" s="35" t="s">
        <v>8203</v>
      </c>
      <c r="E848" s="29" t="s">
        <v>5406</v>
      </c>
      <c r="F848" s="35"/>
      <c r="G848" s="30" t="s">
        <v>6022</v>
      </c>
      <c r="H848" s="29">
        <f>COUNTIF(关系明细!$D$2:$D$2253,B848)</f>
        <v>1</v>
      </c>
      <c r="I848" s="29">
        <f>COUNTIF(关系明细!$G$2:$G$2253,B848)</f>
        <v>1</v>
      </c>
    </row>
    <row r="849" spans="1:9" ht="16.5">
      <c r="A849" s="34" t="s">
        <v>6035</v>
      </c>
      <c r="B849" s="9" t="s">
        <v>6031</v>
      </c>
      <c r="C849" s="40" t="s">
        <v>488</v>
      </c>
      <c r="D849" s="34" t="s">
        <v>8203</v>
      </c>
      <c r="E849" s="27" t="s">
        <v>5406</v>
      </c>
      <c r="F849" s="34"/>
      <c r="G849" s="9" t="s">
        <v>6033</v>
      </c>
      <c r="H849" s="27">
        <f>COUNTIF(关系明细!$D$2:$D$2253,B849)</f>
        <v>1</v>
      </c>
      <c r="I849" s="27">
        <f>COUNTIF(关系明细!$G$2:$G$2253,B849)</f>
        <v>1</v>
      </c>
    </row>
    <row r="850" spans="1:9" ht="16.5">
      <c r="A850" s="35" t="s">
        <v>6045</v>
      </c>
      <c r="B850" s="30" t="s">
        <v>6042</v>
      </c>
      <c r="C850" s="39" t="s">
        <v>488</v>
      </c>
      <c r="D850" s="35" t="s">
        <v>8203</v>
      </c>
      <c r="E850" s="29" t="s">
        <v>5406</v>
      </c>
      <c r="F850" s="35"/>
      <c r="G850" s="35" t="s">
        <v>584</v>
      </c>
      <c r="H850" s="29">
        <f>COUNTIF(关系明细!$D$2:$D$2253,B850)</f>
        <v>1</v>
      </c>
      <c r="I850" s="29">
        <f>COUNTIF(关系明细!$G$2:$G$2253,B850)</f>
        <v>1</v>
      </c>
    </row>
    <row r="851" spans="1:9" ht="16.5">
      <c r="A851" s="34" t="s">
        <v>6056</v>
      </c>
      <c r="B851" s="9" t="s">
        <v>6052</v>
      </c>
      <c r="C851" s="40" t="s">
        <v>488</v>
      </c>
      <c r="D851" s="34" t="s">
        <v>8203</v>
      </c>
      <c r="E851" s="27" t="s">
        <v>5406</v>
      </c>
      <c r="F851" s="34"/>
      <c r="G851" s="9" t="s">
        <v>6054</v>
      </c>
      <c r="H851" s="27">
        <f>COUNTIF(关系明细!$D$2:$D$2253,B851)</f>
        <v>1</v>
      </c>
      <c r="I851" s="27">
        <f>COUNTIF(关系明细!$G$2:$G$2253,B851)</f>
        <v>1</v>
      </c>
    </row>
    <row r="852" spans="1:9" ht="16.5">
      <c r="A852" s="35" t="s">
        <v>6066</v>
      </c>
      <c r="B852" s="35" t="s">
        <v>6063</v>
      </c>
      <c r="C852" s="39" t="s">
        <v>488</v>
      </c>
      <c r="D852" s="35" t="s">
        <v>8203</v>
      </c>
      <c r="E852" s="29" t="s">
        <v>5406</v>
      </c>
      <c r="F852" s="35"/>
      <c r="G852" s="35" t="s">
        <v>584</v>
      </c>
      <c r="H852" s="29">
        <f>COUNTIF(关系明细!$D$2:$D$2253,B852)</f>
        <v>1</v>
      </c>
      <c r="I852" s="29">
        <f>COUNTIF(关系明细!$G$2:$G$2253,B852)</f>
        <v>1</v>
      </c>
    </row>
    <row r="853" spans="1:9" ht="16.5">
      <c r="A853" s="34" t="s">
        <v>6077</v>
      </c>
      <c r="B853" s="9" t="s">
        <v>6073</v>
      </c>
      <c r="C853" s="40" t="s">
        <v>488</v>
      </c>
      <c r="D853" s="34" t="s">
        <v>8203</v>
      </c>
      <c r="E853" s="27" t="s">
        <v>5406</v>
      </c>
      <c r="F853" s="34"/>
      <c r="G853" s="9" t="s">
        <v>6075</v>
      </c>
      <c r="H853" s="27">
        <f>COUNTIF(关系明细!$D$2:$D$2253,B853)</f>
        <v>1</v>
      </c>
      <c r="I853" s="27">
        <f>COUNTIF(关系明细!$G$2:$G$2253,B853)</f>
        <v>1</v>
      </c>
    </row>
    <row r="854" spans="1:9" ht="16.5">
      <c r="A854" s="35" t="s">
        <v>6025</v>
      </c>
      <c r="B854" s="30" t="s">
        <v>6021</v>
      </c>
      <c r="C854" s="39" t="s">
        <v>491</v>
      </c>
      <c r="D854" s="35" t="s">
        <v>8204</v>
      </c>
      <c r="E854" s="29" t="s">
        <v>5406</v>
      </c>
      <c r="F854" s="35"/>
      <c r="G854" s="35" t="s">
        <v>6026</v>
      </c>
      <c r="H854" s="29">
        <f>COUNTIF(关系明细!$D$2:$D$2253,B854)</f>
        <v>1</v>
      </c>
      <c r="I854" s="29">
        <f>COUNTIF(关系明细!$G$2:$G$2253,B854)</f>
        <v>1</v>
      </c>
    </row>
    <row r="855" spans="1:9" ht="16.5">
      <c r="A855" s="34" t="s">
        <v>6036</v>
      </c>
      <c r="B855" s="9" t="s">
        <v>6032</v>
      </c>
      <c r="C855" s="40" t="s">
        <v>491</v>
      </c>
      <c r="D855" s="34" t="s">
        <v>8204</v>
      </c>
      <c r="E855" s="27" t="s">
        <v>5406</v>
      </c>
      <c r="F855" s="34"/>
      <c r="G855" s="34" t="s">
        <v>6037</v>
      </c>
      <c r="H855" s="27">
        <f>COUNTIF(关系明细!$D$2:$D$2253,B855)</f>
        <v>1</v>
      </c>
      <c r="I855" s="27">
        <f>COUNTIF(关系明细!$G$2:$G$2253,B855)</f>
        <v>1</v>
      </c>
    </row>
    <row r="856" spans="1:9" ht="16.5">
      <c r="A856" s="35" t="s">
        <v>6046</v>
      </c>
      <c r="B856" s="30" t="s">
        <v>6043</v>
      </c>
      <c r="C856" s="39" t="s">
        <v>491</v>
      </c>
      <c r="D856" s="35" t="s">
        <v>8204</v>
      </c>
      <c r="E856" s="29" t="s">
        <v>5406</v>
      </c>
      <c r="F856" s="35"/>
      <c r="G856" s="35" t="s">
        <v>6047</v>
      </c>
      <c r="H856" s="29">
        <f>COUNTIF(关系明细!$D$2:$D$2253,B856)</f>
        <v>1</v>
      </c>
      <c r="I856" s="29">
        <f>COUNTIF(关系明细!$G$2:$G$2253,B856)</f>
        <v>1</v>
      </c>
    </row>
    <row r="857" spans="1:9" ht="16.5">
      <c r="A857" s="34" t="s">
        <v>6057</v>
      </c>
      <c r="B857" s="9" t="s">
        <v>6053</v>
      </c>
      <c r="C857" s="40" t="s">
        <v>491</v>
      </c>
      <c r="D857" s="34" t="s">
        <v>8204</v>
      </c>
      <c r="E857" s="27" t="s">
        <v>5406</v>
      </c>
      <c r="F857" s="34"/>
      <c r="G857" s="34" t="s">
        <v>6058</v>
      </c>
      <c r="H857" s="27">
        <f>COUNTIF(关系明细!$D$2:$D$2253,B857)</f>
        <v>1</v>
      </c>
      <c r="I857" s="27">
        <f>COUNTIF(关系明细!$G$2:$G$2253,B857)</f>
        <v>1</v>
      </c>
    </row>
    <row r="858" spans="1:9" ht="16.5">
      <c r="A858" s="35" t="s">
        <v>6067</v>
      </c>
      <c r="B858" s="30" t="s">
        <v>6064</v>
      </c>
      <c r="C858" s="39" t="s">
        <v>491</v>
      </c>
      <c r="D858" s="35" t="s">
        <v>8204</v>
      </c>
      <c r="E858" s="29" t="s">
        <v>5406</v>
      </c>
      <c r="F858" s="35"/>
      <c r="G858" s="35" t="s">
        <v>6068</v>
      </c>
      <c r="H858" s="29">
        <f>COUNTIF(关系明细!$D$2:$D$2253,B858)</f>
        <v>1</v>
      </c>
      <c r="I858" s="29">
        <f>COUNTIF(关系明细!$G$2:$G$2253,B858)</f>
        <v>1</v>
      </c>
    </row>
    <row r="859" spans="1:9" ht="16.5">
      <c r="A859" s="34" t="s">
        <v>6078</v>
      </c>
      <c r="B859" s="34" t="s">
        <v>6074</v>
      </c>
      <c r="C859" s="40" t="s">
        <v>491</v>
      </c>
      <c r="D859" s="34" t="s">
        <v>8204</v>
      </c>
      <c r="E859" s="27" t="s">
        <v>5406</v>
      </c>
      <c r="F859" s="34"/>
      <c r="G859" s="34" t="s">
        <v>6079</v>
      </c>
      <c r="H859" s="27">
        <f>COUNTIF(关系明细!$D$2:$D$2253,B859)</f>
        <v>1</v>
      </c>
      <c r="I859" s="27">
        <f>COUNTIF(关系明细!$G$2:$G$2253,B859)</f>
        <v>1</v>
      </c>
    </row>
    <row r="860" spans="1:9" ht="16.5">
      <c r="A860" s="35" t="s">
        <v>6087</v>
      </c>
      <c r="B860" s="30" t="s">
        <v>6084</v>
      </c>
      <c r="C860" s="39" t="s">
        <v>556</v>
      </c>
      <c r="D860" s="35" t="s">
        <v>8205</v>
      </c>
      <c r="E860" s="29" t="s">
        <v>5406</v>
      </c>
      <c r="F860" s="35"/>
      <c r="G860" s="30" t="s">
        <v>6085</v>
      </c>
      <c r="H860" s="29">
        <f>COUNTIF(关系明细!$D$2:$D$2253,B860)</f>
        <v>0</v>
      </c>
      <c r="I860" s="29">
        <f>COUNTIF(关系明细!$G$2:$G$2253,B860)</f>
        <v>2</v>
      </c>
    </row>
    <row r="861" spans="1:9" ht="16.5">
      <c r="A861" s="34" t="s">
        <v>6092</v>
      </c>
      <c r="B861" s="9" t="s">
        <v>6089</v>
      </c>
      <c r="C861" s="40" t="s">
        <v>566</v>
      </c>
      <c r="D861" s="34" t="s">
        <v>8206</v>
      </c>
      <c r="E861" s="27" t="s">
        <v>5406</v>
      </c>
      <c r="F861" s="34"/>
      <c r="G861" s="9" t="s">
        <v>8463</v>
      </c>
      <c r="H861" s="27">
        <f>COUNTIF(关系明细!$D$2:$D$2253,B861)</f>
        <v>0</v>
      </c>
      <c r="I861" s="27">
        <f>COUNTIF(关系明细!$G$2:$G$2253,B861)</f>
        <v>1</v>
      </c>
    </row>
    <row r="862" spans="1:9" ht="16.5">
      <c r="A862" s="35" t="s">
        <v>4606</v>
      </c>
      <c r="B862" s="35" t="s">
        <v>4603</v>
      </c>
      <c r="C862" s="39" t="s">
        <v>44</v>
      </c>
      <c r="D862" s="35" t="s">
        <v>8172</v>
      </c>
      <c r="E862" s="29" t="s">
        <v>6156</v>
      </c>
      <c r="F862" s="35"/>
      <c r="G862" s="30" t="s">
        <v>8464</v>
      </c>
      <c r="H862" s="29">
        <f>COUNTIF(关系明细!$D$2:$D$2253,B862)</f>
        <v>6</v>
      </c>
      <c r="I862" s="29">
        <f>COUNTIF(关系明细!$G$2:$G$2253,B862)</f>
        <v>3</v>
      </c>
    </row>
    <row r="863" spans="1:9" ht="16.5">
      <c r="A863" s="34" t="s">
        <v>6230</v>
      </c>
      <c r="B863" s="9" t="s">
        <v>6227</v>
      </c>
      <c r="C863" s="40" t="s">
        <v>62</v>
      </c>
      <c r="D863" s="34" t="s">
        <v>8174</v>
      </c>
      <c r="E863" s="27" t="s">
        <v>6156</v>
      </c>
      <c r="F863" s="34"/>
      <c r="G863" s="9" t="s">
        <v>8465</v>
      </c>
      <c r="H863" s="27">
        <f>COUNTIF(关系明细!$D$2:$D$2253,B863)</f>
        <v>4</v>
      </c>
      <c r="I863" s="27">
        <f>COUNTIF(关系明细!$G$2:$G$2253,B863)</f>
        <v>2</v>
      </c>
    </row>
    <row r="864" spans="1:9" ht="16.5">
      <c r="A864" s="35" t="s">
        <v>6169</v>
      </c>
      <c r="B864" s="30" t="s">
        <v>6166</v>
      </c>
      <c r="C864" s="39" t="s">
        <v>62</v>
      </c>
      <c r="D864" s="35" t="s">
        <v>8174</v>
      </c>
      <c r="E864" s="29" t="s">
        <v>6156</v>
      </c>
      <c r="F864" s="35"/>
      <c r="G864" s="30" t="s">
        <v>8466</v>
      </c>
      <c r="H864" s="29">
        <f>COUNTIF(关系明细!$D$2:$D$2253,B864)</f>
        <v>10</v>
      </c>
      <c r="I864" s="29">
        <f>COUNTIF(关系明细!$G$2:$G$2253,B864)</f>
        <v>3</v>
      </c>
    </row>
    <row r="865" spans="1:9" ht="16.5">
      <c r="A865" s="34" t="s">
        <v>6189</v>
      </c>
      <c r="B865" s="9" t="s">
        <v>6186</v>
      </c>
      <c r="C865" s="40" t="s">
        <v>62</v>
      </c>
      <c r="D865" s="34" t="s">
        <v>8174</v>
      </c>
      <c r="E865" s="27" t="s">
        <v>6156</v>
      </c>
      <c r="F865" s="34"/>
      <c r="G865" s="9" t="s">
        <v>8467</v>
      </c>
      <c r="H865" s="27">
        <f>COUNTIF(关系明细!$D$2:$D$2253,B865)</f>
        <v>9</v>
      </c>
      <c r="I865" s="27">
        <f>COUNTIF(关系明细!$G$2:$G$2253,B865)</f>
        <v>3</v>
      </c>
    </row>
    <row r="866" spans="1:9" ht="16.5">
      <c r="A866" s="35" t="s">
        <v>6209</v>
      </c>
      <c r="B866" s="30" t="s">
        <v>6206</v>
      </c>
      <c r="C866" s="39" t="s">
        <v>62</v>
      </c>
      <c r="D866" s="35" t="s">
        <v>8174</v>
      </c>
      <c r="E866" s="29" t="s">
        <v>6156</v>
      </c>
      <c r="F866" s="35"/>
      <c r="G866" s="30" t="s">
        <v>8468</v>
      </c>
      <c r="H866" s="29">
        <f>COUNTIF(关系明细!$D$2:$D$2253,B866)</f>
        <v>6</v>
      </c>
      <c r="I866" s="29">
        <f>COUNTIF(关系明细!$G$2:$G$2253,B866)</f>
        <v>2</v>
      </c>
    </row>
    <row r="867" spans="1:9" ht="16.5">
      <c r="A867" s="34" t="s">
        <v>6161</v>
      </c>
      <c r="B867" s="9" t="s">
        <v>6158</v>
      </c>
      <c r="C867" s="40" t="s">
        <v>62</v>
      </c>
      <c r="D867" s="34" t="s">
        <v>8174</v>
      </c>
      <c r="E867" s="27" t="s">
        <v>6156</v>
      </c>
      <c r="F867" s="34"/>
      <c r="G867" s="9" t="s">
        <v>8469</v>
      </c>
      <c r="H867" s="27">
        <f>COUNTIF(关系明细!$D$2:$D$2253,B867)</f>
        <v>5</v>
      </c>
      <c r="I867" s="27">
        <f>COUNTIF(关系明细!$G$2:$G$2253,B867)</f>
        <v>4</v>
      </c>
    </row>
    <row r="868" spans="1:9" ht="16.5">
      <c r="A868" s="35" t="s">
        <v>6213</v>
      </c>
      <c r="B868" s="35" t="s">
        <v>6210</v>
      </c>
      <c r="C868" s="39" t="s">
        <v>72</v>
      </c>
      <c r="D868" s="35" t="s">
        <v>8181</v>
      </c>
      <c r="E868" s="29" t="s">
        <v>6156</v>
      </c>
      <c r="F868" s="35"/>
      <c r="G868" s="30" t="s">
        <v>8470</v>
      </c>
      <c r="H868" s="29">
        <f>COUNTIF(关系明细!$D$2:$D$2253,B868)</f>
        <v>0</v>
      </c>
      <c r="I868" s="29">
        <f>COUNTIF(关系明细!$G$2:$G$2253,B868)</f>
        <v>1</v>
      </c>
    </row>
    <row r="869" spans="1:9" ht="16.5">
      <c r="A869" s="34" t="s">
        <v>6216</v>
      </c>
      <c r="B869" s="34" t="s">
        <v>6214</v>
      </c>
      <c r="C869" s="40" t="s">
        <v>72</v>
      </c>
      <c r="D869" s="34" t="s">
        <v>8181</v>
      </c>
      <c r="E869" s="27" t="s">
        <v>6156</v>
      </c>
      <c r="F869" s="34"/>
      <c r="G869" s="9" t="s">
        <v>8470</v>
      </c>
      <c r="H869" s="27">
        <f>COUNTIF(关系明细!$D$2:$D$2253,B869)</f>
        <v>0</v>
      </c>
      <c r="I869" s="27">
        <f>COUNTIF(关系明细!$G$2:$G$2253,B869)</f>
        <v>1</v>
      </c>
    </row>
    <row r="870" spans="1:9" ht="16.5">
      <c r="A870" s="35" t="s">
        <v>6219</v>
      </c>
      <c r="B870" s="35" t="s">
        <v>6217</v>
      </c>
      <c r="C870" s="39" t="s">
        <v>72</v>
      </c>
      <c r="D870" s="35" t="s">
        <v>8181</v>
      </c>
      <c r="E870" s="29" t="s">
        <v>6156</v>
      </c>
      <c r="F870" s="35"/>
      <c r="G870" s="30" t="s">
        <v>8470</v>
      </c>
      <c r="H870" s="29">
        <f>COUNTIF(关系明细!$D$2:$D$2253,B870)</f>
        <v>0</v>
      </c>
      <c r="I870" s="29">
        <f>COUNTIF(关系明细!$G$2:$G$2253,B870)</f>
        <v>1</v>
      </c>
    </row>
    <row r="871" spans="1:9" ht="16.5">
      <c r="A871" s="34" t="s">
        <v>6222</v>
      </c>
      <c r="B871" s="34" t="s">
        <v>6220</v>
      </c>
      <c r="C871" s="40" t="s">
        <v>72</v>
      </c>
      <c r="D871" s="34" t="s">
        <v>8181</v>
      </c>
      <c r="E871" s="27" t="s">
        <v>6156</v>
      </c>
      <c r="F871" s="34"/>
      <c r="G871" s="9" t="s">
        <v>8470</v>
      </c>
      <c r="H871" s="27">
        <f>COUNTIF(关系明细!$D$2:$D$2253,B871)</f>
        <v>0</v>
      </c>
      <c r="I871" s="27">
        <f>COUNTIF(关系明细!$G$2:$G$2253,B871)</f>
        <v>1</v>
      </c>
    </row>
    <row r="872" spans="1:9" ht="16.5">
      <c r="A872" s="35" t="s">
        <v>6237</v>
      </c>
      <c r="B872" s="30" t="s">
        <v>6234</v>
      </c>
      <c r="C872" s="39" t="s">
        <v>82</v>
      </c>
      <c r="D872" s="35" t="s">
        <v>8186</v>
      </c>
      <c r="E872" s="29" t="s">
        <v>6156</v>
      </c>
      <c r="F872" s="35"/>
      <c r="G872" s="30" t="s">
        <v>8471</v>
      </c>
      <c r="H872" s="29">
        <f>COUNTIF(关系明细!$D$2:$D$2253,B872)</f>
        <v>0</v>
      </c>
      <c r="I872" s="29">
        <f>COUNTIF(关系明细!$G$2:$G$2253,B872)</f>
        <v>1</v>
      </c>
    </row>
    <row r="873" spans="1:9" ht="16.5">
      <c r="A873" s="34" t="s">
        <v>6173</v>
      </c>
      <c r="B873" s="9" t="s">
        <v>6170</v>
      </c>
      <c r="C873" s="40" t="s">
        <v>82</v>
      </c>
      <c r="D873" s="34" t="s">
        <v>8186</v>
      </c>
      <c r="E873" s="27" t="s">
        <v>6156</v>
      </c>
      <c r="F873" s="34"/>
      <c r="G873" s="9" t="s">
        <v>8472</v>
      </c>
      <c r="H873" s="27">
        <f>COUNTIF(关系明细!$D$2:$D$2253,B873)</f>
        <v>0</v>
      </c>
      <c r="I873" s="27">
        <f>COUNTIF(关系明细!$G$2:$G$2253,B873)</f>
        <v>1</v>
      </c>
    </row>
    <row r="874" spans="1:9" ht="16.5">
      <c r="A874" s="35" t="s">
        <v>6177</v>
      </c>
      <c r="B874" s="30" t="s">
        <v>6174</v>
      </c>
      <c r="C874" s="39" t="s">
        <v>82</v>
      </c>
      <c r="D874" s="35" t="s">
        <v>8186</v>
      </c>
      <c r="E874" s="29" t="s">
        <v>6156</v>
      </c>
      <c r="F874" s="35"/>
      <c r="G874" s="35" t="s">
        <v>8195</v>
      </c>
      <c r="H874" s="29">
        <f>COUNTIF(关系明细!$D$2:$D$2253,B874)</f>
        <v>0</v>
      </c>
      <c r="I874" s="29">
        <f>COUNTIF(关系明细!$G$2:$G$2253,B874)</f>
        <v>1</v>
      </c>
    </row>
    <row r="875" spans="1:9" ht="16.5">
      <c r="A875" s="34" t="s">
        <v>6181</v>
      </c>
      <c r="B875" s="9" t="s">
        <v>6178</v>
      </c>
      <c r="C875" s="40" t="s">
        <v>82</v>
      </c>
      <c r="D875" s="34" t="s">
        <v>8186</v>
      </c>
      <c r="E875" s="27" t="s">
        <v>6156</v>
      </c>
      <c r="F875" s="34"/>
      <c r="G875" s="9" t="s">
        <v>8189</v>
      </c>
      <c r="H875" s="27">
        <f>COUNTIF(关系明细!$D$2:$D$2253,B875)</f>
        <v>0</v>
      </c>
      <c r="I875" s="27">
        <f>COUNTIF(关系明细!$G$2:$G$2253,B875)</f>
        <v>1</v>
      </c>
    </row>
    <row r="876" spans="1:9" ht="16.5">
      <c r="A876" s="35" t="s">
        <v>6185</v>
      </c>
      <c r="B876" s="30" t="s">
        <v>6182</v>
      </c>
      <c r="C876" s="39" t="s">
        <v>82</v>
      </c>
      <c r="D876" s="35" t="s">
        <v>8186</v>
      </c>
      <c r="E876" s="29" t="s">
        <v>6156</v>
      </c>
      <c r="F876" s="35"/>
      <c r="G876" s="30" t="s">
        <v>8473</v>
      </c>
      <c r="H876" s="29">
        <f>COUNTIF(关系明细!$D$2:$D$2253,B876)</f>
        <v>0</v>
      </c>
      <c r="I876" s="29">
        <f>COUNTIF(关系明细!$G$2:$G$2253,B876)</f>
        <v>1</v>
      </c>
    </row>
    <row r="877" spans="1:9" ht="16.5">
      <c r="A877" s="34" t="s">
        <v>6193</v>
      </c>
      <c r="B877" s="9" t="s">
        <v>6190</v>
      </c>
      <c r="C877" s="40" t="s">
        <v>82</v>
      </c>
      <c r="D877" s="34" t="s">
        <v>8186</v>
      </c>
      <c r="E877" s="27" t="s">
        <v>6156</v>
      </c>
      <c r="F877" s="34"/>
      <c r="G877" s="9" t="s">
        <v>8472</v>
      </c>
      <c r="H877" s="27">
        <f>COUNTIF(关系明细!$D$2:$D$2253,B877)</f>
        <v>0</v>
      </c>
      <c r="I877" s="27">
        <f>COUNTIF(关系明细!$G$2:$G$2253,B877)</f>
        <v>1</v>
      </c>
    </row>
    <row r="878" spans="1:9" ht="16.5">
      <c r="A878" s="35" t="s">
        <v>6197</v>
      </c>
      <c r="B878" s="30" t="s">
        <v>6194</v>
      </c>
      <c r="C878" s="39" t="s">
        <v>82</v>
      </c>
      <c r="D878" s="35" t="s">
        <v>8186</v>
      </c>
      <c r="E878" s="29" t="s">
        <v>6156</v>
      </c>
      <c r="F878" s="35"/>
      <c r="G878" s="35" t="s">
        <v>8195</v>
      </c>
      <c r="H878" s="29">
        <f>COUNTIF(关系明细!$D$2:$D$2253,B878)</f>
        <v>0</v>
      </c>
      <c r="I878" s="29">
        <f>COUNTIF(关系明细!$G$2:$G$2253,B878)</f>
        <v>1</v>
      </c>
    </row>
    <row r="879" spans="1:9" ht="16.5">
      <c r="A879" s="34" t="s">
        <v>6201</v>
      </c>
      <c r="B879" s="9" t="s">
        <v>6198</v>
      </c>
      <c r="C879" s="40" t="s">
        <v>82</v>
      </c>
      <c r="D879" s="34" t="s">
        <v>8186</v>
      </c>
      <c r="E879" s="27" t="s">
        <v>6156</v>
      </c>
      <c r="F879" s="34"/>
      <c r="G879" s="9" t="s">
        <v>8189</v>
      </c>
      <c r="H879" s="27">
        <f>COUNTIF(关系明细!$D$2:$D$2253,B879)</f>
        <v>0</v>
      </c>
      <c r="I879" s="27">
        <f>COUNTIF(关系明细!$G$2:$G$2253,B879)</f>
        <v>1</v>
      </c>
    </row>
    <row r="880" spans="1:9" ht="16.5">
      <c r="A880" s="35" t="s">
        <v>6205</v>
      </c>
      <c r="B880" s="30" t="s">
        <v>6202</v>
      </c>
      <c r="C880" s="39" t="s">
        <v>82</v>
      </c>
      <c r="D880" s="35" t="s">
        <v>8186</v>
      </c>
      <c r="E880" s="29" t="s">
        <v>6156</v>
      </c>
      <c r="F880" s="35"/>
      <c r="G880" s="30" t="s">
        <v>8474</v>
      </c>
      <c r="H880" s="29">
        <f>COUNTIF(关系明细!$D$2:$D$2253,B880)</f>
        <v>0</v>
      </c>
      <c r="I880" s="29">
        <f>COUNTIF(关系明细!$G$2:$G$2253,B880)</f>
        <v>1</v>
      </c>
    </row>
    <row r="881" spans="1:9" ht="16.5">
      <c r="A881" s="34" t="s">
        <v>6226</v>
      </c>
      <c r="B881" s="9" t="s">
        <v>6223</v>
      </c>
      <c r="C881" s="40" t="s">
        <v>82</v>
      </c>
      <c r="D881" s="34" t="s">
        <v>8186</v>
      </c>
      <c r="E881" s="27" t="s">
        <v>6156</v>
      </c>
      <c r="F881" s="34"/>
      <c r="G881" s="9" t="s">
        <v>8235</v>
      </c>
      <c r="H881" s="27">
        <f>COUNTIF(关系明细!$D$2:$D$2253,B881)</f>
        <v>0</v>
      </c>
      <c r="I881" s="27">
        <f>COUNTIF(关系明细!$G$2:$G$2253,B881)</f>
        <v>1</v>
      </c>
    </row>
    <row r="882" spans="1:9" ht="16.5">
      <c r="A882" s="35" t="s">
        <v>6165</v>
      </c>
      <c r="B882" s="30" t="s">
        <v>6162</v>
      </c>
      <c r="C882" s="39" t="s">
        <v>82</v>
      </c>
      <c r="D882" s="35" t="s">
        <v>8186</v>
      </c>
      <c r="E882" s="29" t="s">
        <v>6156</v>
      </c>
      <c r="F882" s="35"/>
      <c r="G882" s="30" t="s">
        <v>8475</v>
      </c>
      <c r="H882" s="29">
        <f>COUNTIF(关系明细!$D$2:$D$2253,B882)</f>
        <v>0</v>
      </c>
      <c r="I882" s="29">
        <f>COUNTIF(关系明细!$G$2:$G$2253,B882)</f>
        <v>1</v>
      </c>
    </row>
    <row r="883" spans="1:9" ht="16.5">
      <c r="A883" s="34" t="s">
        <v>6241</v>
      </c>
      <c r="B883" s="9" t="s">
        <v>6238</v>
      </c>
      <c r="C883" s="40" t="s">
        <v>204</v>
      </c>
      <c r="D883" s="34" t="s">
        <v>8201</v>
      </c>
      <c r="E883" s="27" t="s">
        <v>6156</v>
      </c>
      <c r="F883" s="9" t="s">
        <v>6158</v>
      </c>
      <c r="G883" s="34" t="s">
        <v>584</v>
      </c>
      <c r="H883" s="27">
        <f>COUNTIF(关系明细!$D$2:$D$2253,B883)</f>
        <v>2</v>
      </c>
      <c r="I883" s="27">
        <f>COUNTIF(关系明细!$G$2:$G$2253,B883)</f>
        <v>1</v>
      </c>
    </row>
    <row r="884" spans="1:9" ht="16.5">
      <c r="A884" s="35" t="s">
        <v>6246</v>
      </c>
      <c r="B884" s="30" t="s">
        <v>6243</v>
      </c>
      <c r="C884" s="39" t="s">
        <v>204</v>
      </c>
      <c r="D884" s="35" t="s">
        <v>8201</v>
      </c>
      <c r="E884" s="29" t="s">
        <v>6156</v>
      </c>
      <c r="F884" s="30" t="s">
        <v>6166</v>
      </c>
      <c r="G884" s="35" t="s">
        <v>584</v>
      </c>
      <c r="H884" s="29">
        <f>COUNTIF(关系明细!$D$2:$D$2253,B884)</f>
        <v>3</v>
      </c>
      <c r="I884" s="29">
        <f>COUNTIF(关系明细!$G$2:$G$2253,B884)</f>
        <v>3</v>
      </c>
    </row>
    <row r="885" spans="1:9" ht="16.5">
      <c r="A885" s="34" t="s">
        <v>6251</v>
      </c>
      <c r="B885" s="9" t="s">
        <v>6248</v>
      </c>
      <c r="C885" s="40" t="s">
        <v>204</v>
      </c>
      <c r="D885" s="34" t="s">
        <v>8201</v>
      </c>
      <c r="E885" s="27" t="s">
        <v>6156</v>
      </c>
      <c r="F885" s="9" t="s">
        <v>6166</v>
      </c>
      <c r="G885" s="34" t="s">
        <v>584</v>
      </c>
      <c r="H885" s="27">
        <f>COUNTIF(关系明细!$D$2:$D$2253,B885)</f>
        <v>2</v>
      </c>
      <c r="I885" s="27">
        <f>COUNTIF(关系明细!$G$2:$G$2253,B885)</f>
        <v>3</v>
      </c>
    </row>
    <row r="886" spans="1:9" ht="16.5">
      <c r="A886" s="35" t="s">
        <v>6256</v>
      </c>
      <c r="B886" s="30" t="s">
        <v>6253</v>
      </c>
      <c r="C886" s="39" t="s">
        <v>204</v>
      </c>
      <c r="D886" s="35" t="s">
        <v>8201</v>
      </c>
      <c r="E886" s="29" t="s">
        <v>6156</v>
      </c>
      <c r="F886" s="30" t="s">
        <v>6166</v>
      </c>
      <c r="G886" s="35" t="s">
        <v>584</v>
      </c>
      <c r="H886" s="29">
        <f>COUNTIF(关系明细!$D$2:$D$2253,B886)</f>
        <v>2</v>
      </c>
      <c r="I886" s="29">
        <f>COUNTIF(关系明细!$G$2:$G$2253,B886)</f>
        <v>1</v>
      </c>
    </row>
    <row r="887" spans="1:9" ht="16.5">
      <c r="A887" s="34" t="s">
        <v>6261</v>
      </c>
      <c r="B887" s="9" t="s">
        <v>6258</v>
      </c>
      <c r="C887" s="40" t="s">
        <v>204</v>
      </c>
      <c r="D887" s="34" t="s">
        <v>8201</v>
      </c>
      <c r="E887" s="27" t="s">
        <v>6156</v>
      </c>
      <c r="F887" s="9" t="s">
        <v>6166</v>
      </c>
      <c r="G887" s="34" t="s">
        <v>584</v>
      </c>
      <c r="H887" s="27">
        <f>COUNTIF(关系明细!$D$2:$D$2253,B887)</f>
        <v>1</v>
      </c>
      <c r="I887" s="27">
        <f>COUNTIF(关系明细!$G$2:$G$2253,B887)</f>
        <v>1</v>
      </c>
    </row>
    <row r="888" spans="1:9" ht="16.5">
      <c r="A888" s="35" t="s">
        <v>6266</v>
      </c>
      <c r="B888" s="30" t="s">
        <v>6263</v>
      </c>
      <c r="C888" s="39" t="s">
        <v>204</v>
      </c>
      <c r="D888" s="35" t="s">
        <v>8201</v>
      </c>
      <c r="E888" s="29" t="s">
        <v>6156</v>
      </c>
      <c r="F888" s="30" t="s">
        <v>6186</v>
      </c>
      <c r="G888" s="35" t="s">
        <v>584</v>
      </c>
      <c r="H888" s="29">
        <f>COUNTIF(关系明细!$D$2:$D$2253,B888)</f>
        <v>3</v>
      </c>
      <c r="I888" s="29">
        <f>COUNTIF(关系明细!$G$2:$G$2253,B888)</f>
        <v>2</v>
      </c>
    </row>
    <row r="889" spans="1:9" ht="16.5">
      <c r="A889" s="34" t="s">
        <v>6271</v>
      </c>
      <c r="B889" s="9" t="s">
        <v>6268</v>
      </c>
      <c r="C889" s="40" t="s">
        <v>204</v>
      </c>
      <c r="D889" s="34" t="s">
        <v>8201</v>
      </c>
      <c r="E889" s="27" t="s">
        <v>6156</v>
      </c>
      <c r="F889" s="9" t="s">
        <v>6186</v>
      </c>
      <c r="G889" s="34" t="s">
        <v>584</v>
      </c>
      <c r="H889" s="27">
        <f>COUNTIF(关系明细!$D$2:$D$2253,B889)</f>
        <v>1</v>
      </c>
      <c r="I889" s="27">
        <f>COUNTIF(关系明细!$G$2:$G$2253,B889)</f>
        <v>1</v>
      </c>
    </row>
    <row r="890" spans="1:9" ht="16.5">
      <c r="A890" s="35" t="s">
        <v>6276</v>
      </c>
      <c r="B890" s="30" t="s">
        <v>6273</v>
      </c>
      <c r="C890" s="39" t="s">
        <v>204</v>
      </c>
      <c r="D890" s="35" t="s">
        <v>8201</v>
      </c>
      <c r="E890" s="29" t="s">
        <v>6156</v>
      </c>
      <c r="F890" s="30" t="s">
        <v>6186</v>
      </c>
      <c r="G890" s="35" t="s">
        <v>584</v>
      </c>
      <c r="H890" s="29">
        <f>COUNTIF(关系明细!$D$2:$D$2253,B890)</f>
        <v>1</v>
      </c>
      <c r="I890" s="29">
        <f>COUNTIF(关系明细!$G$2:$G$2253,B890)</f>
        <v>1</v>
      </c>
    </row>
    <row r="891" spans="1:9" ht="16.5">
      <c r="A891" s="34" t="s">
        <v>6281</v>
      </c>
      <c r="B891" s="9" t="s">
        <v>6278</v>
      </c>
      <c r="C891" s="40" t="s">
        <v>204</v>
      </c>
      <c r="D891" s="34" t="s">
        <v>8201</v>
      </c>
      <c r="E891" s="27" t="s">
        <v>6156</v>
      </c>
      <c r="F891" s="9" t="s">
        <v>6186</v>
      </c>
      <c r="G891" s="34" t="s">
        <v>584</v>
      </c>
      <c r="H891" s="27">
        <f>COUNTIF(关系明细!$D$2:$D$2253,B891)</f>
        <v>1</v>
      </c>
      <c r="I891" s="27">
        <f>COUNTIF(关系明细!$G$2:$G$2253,B891)</f>
        <v>1</v>
      </c>
    </row>
    <row r="892" spans="1:9" ht="16.5">
      <c r="A892" s="35" t="s">
        <v>6286</v>
      </c>
      <c r="B892" s="30" t="s">
        <v>6283</v>
      </c>
      <c r="C892" s="39" t="s">
        <v>204</v>
      </c>
      <c r="D892" s="35" t="s">
        <v>8201</v>
      </c>
      <c r="E892" s="29" t="s">
        <v>6156</v>
      </c>
      <c r="F892" s="30" t="s">
        <v>6158</v>
      </c>
      <c r="G892" s="35" t="s">
        <v>584</v>
      </c>
      <c r="H892" s="29">
        <f>COUNTIF(关系明细!$D$2:$D$2253,B892)</f>
        <v>3</v>
      </c>
      <c r="I892" s="29">
        <f>COUNTIF(关系明细!$G$2:$G$2253,B892)</f>
        <v>2</v>
      </c>
    </row>
    <row r="893" spans="1:9" ht="16.5">
      <c r="A893" s="34" t="s">
        <v>6291</v>
      </c>
      <c r="B893" s="9" t="s">
        <v>6288</v>
      </c>
      <c r="C893" s="40" t="s">
        <v>204</v>
      </c>
      <c r="D893" s="34" t="s">
        <v>8201</v>
      </c>
      <c r="E893" s="27" t="s">
        <v>6156</v>
      </c>
      <c r="F893" s="9" t="s">
        <v>6158</v>
      </c>
      <c r="G893" s="34" t="s">
        <v>584</v>
      </c>
      <c r="H893" s="27">
        <f>COUNTIF(关系明细!$D$2:$D$2253,B893)</f>
        <v>2</v>
      </c>
      <c r="I893" s="27">
        <f>COUNTIF(关系明细!$G$2:$G$2253,B893)</f>
        <v>1</v>
      </c>
    </row>
    <row r="894" spans="1:9" ht="16.5">
      <c r="A894" s="35" t="s">
        <v>6296</v>
      </c>
      <c r="B894" s="30" t="s">
        <v>6293</v>
      </c>
      <c r="C894" s="39" t="s">
        <v>204</v>
      </c>
      <c r="D894" s="35" t="s">
        <v>8201</v>
      </c>
      <c r="E894" s="29" t="s">
        <v>6156</v>
      </c>
      <c r="F894" s="30" t="s">
        <v>6166</v>
      </c>
      <c r="G894" s="35" t="s">
        <v>584</v>
      </c>
      <c r="H894" s="29">
        <f>COUNTIF(关系明细!$D$2:$D$2253,B894)</f>
        <v>1</v>
      </c>
      <c r="I894" s="29">
        <f>COUNTIF(关系明细!$G$2:$G$2253,B894)</f>
        <v>3</v>
      </c>
    </row>
    <row r="895" spans="1:9" ht="16.5">
      <c r="A895" s="34" t="s">
        <v>6333</v>
      </c>
      <c r="B895" s="9" t="s">
        <v>6330</v>
      </c>
      <c r="C895" s="40" t="s">
        <v>488</v>
      </c>
      <c r="D895" s="34" t="s">
        <v>8203</v>
      </c>
      <c r="E895" s="27" t="s">
        <v>6156</v>
      </c>
      <c r="F895" s="34"/>
      <c r="G895" s="34" t="s">
        <v>584</v>
      </c>
      <c r="H895" s="27">
        <f>COUNTIF(关系明细!$D$2:$D$2253,B895)</f>
        <v>1</v>
      </c>
      <c r="I895" s="27">
        <f>COUNTIF(关系明细!$G$2:$G$2253,B895)</f>
        <v>1</v>
      </c>
    </row>
    <row r="896" spans="1:9" ht="16.5">
      <c r="A896" s="35" t="s">
        <v>6343</v>
      </c>
      <c r="B896" s="30" t="s">
        <v>6340</v>
      </c>
      <c r="C896" s="39" t="s">
        <v>488</v>
      </c>
      <c r="D896" s="35" t="s">
        <v>8203</v>
      </c>
      <c r="E896" s="29" t="s">
        <v>6156</v>
      </c>
      <c r="F896" s="35"/>
      <c r="G896" s="35" t="s">
        <v>584</v>
      </c>
      <c r="H896" s="29">
        <f>COUNTIF(关系明细!$D$2:$D$2253,B896)</f>
        <v>1</v>
      </c>
      <c r="I896" s="29">
        <f>COUNTIF(关系明细!$G$2:$G$2253,B896)</f>
        <v>1</v>
      </c>
    </row>
    <row r="897" spans="1:9" ht="16.5">
      <c r="A897" s="34" t="s">
        <v>6353</v>
      </c>
      <c r="B897" s="9" t="s">
        <v>6350</v>
      </c>
      <c r="C897" s="40" t="s">
        <v>488</v>
      </c>
      <c r="D897" s="34" t="s">
        <v>8203</v>
      </c>
      <c r="E897" s="27" t="s">
        <v>6156</v>
      </c>
      <c r="F897" s="34"/>
      <c r="G897" s="34" t="s">
        <v>584</v>
      </c>
      <c r="H897" s="27">
        <f>COUNTIF(关系明细!$D$2:$D$2253,B897)</f>
        <v>1</v>
      </c>
      <c r="I897" s="27">
        <f>COUNTIF(关系明细!$G$2:$G$2253,B897)</f>
        <v>1</v>
      </c>
    </row>
    <row r="898" spans="1:9" ht="16.5">
      <c r="A898" s="35" t="s">
        <v>6364</v>
      </c>
      <c r="B898" s="30" t="s">
        <v>6360</v>
      </c>
      <c r="C898" s="39" t="s">
        <v>488</v>
      </c>
      <c r="D898" s="35" t="s">
        <v>8203</v>
      </c>
      <c r="E898" s="29" t="s">
        <v>6156</v>
      </c>
      <c r="F898" s="35"/>
      <c r="G898" s="35" t="s">
        <v>6362</v>
      </c>
      <c r="H898" s="29">
        <f>COUNTIF(关系明细!$D$2:$D$2253,B898)</f>
        <v>1</v>
      </c>
      <c r="I898" s="29">
        <f>COUNTIF(关系明细!$G$2:$G$2253,B898)</f>
        <v>1</v>
      </c>
    </row>
    <row r="899" spans="1:9" ht="16.5">
      <c r="A899" s="34" t="s">
        <v>6374</v>
      </c>
      <c r="B899" s="9" t="s">
        <v>6371</v>
      </c>
      <c r="C899" s="40" t="s">
        <v>488</v>
      </c>
      <c r="D899" s="34" t="s">
        <v>8203</v>
      </c>
      <c r="E899" s="27" t="s">
        <v>6156</v>
      </c>
      <c r="F899" s="34"/>
      <c r="G899" s="34" t="s">
        <v>584</v>
      </c>
      <c r="H899" s="27">
        <f>COUNTIF(关系明细!$D$2:$D$2253,B899)</f>
        <v>1</v>
      </c>
      <c r="I899" s="27">
        <f>COUNTIF(关系明细!$G$2:$G$2253,B899)</f>
        <v>1</v>
      </c>
    </row>
    <row r="900" spans="1:9" ht="16.5">
      <c r="A900" s="35" t="s">
        <v>6334</v>
      </c>
      <c r="B900" s="30" t="s">
        <v>6331</v>
      </c>
      <c r="C900" s="39" t="s">
        <v>491</v>
      </c>
      <c r="D900" s="35" t="s">
        <v>8204</v>
      </c>
      <c r="E900" s="29" t="s">
        <v>6156</v>
      </c>
      <c r="F900" s="35"/>
      <c r="G900" s="35" t="s">
        <v>6335</v>
      </c>
      <c r="H900" s="29">
        <f>COUNTIF(关系明细!$D$2:$D$2253,B900)</f>
        <v>1</v>
      </c>
      <c r="I900" s="29">
        <f>COUNTIF(关系明细!$G$2:$G$2253,B900)</f>
        <v>1</v>
      </c>
    </row>
    <row r="901" spans="1:9" ht="16.5">
      <c r="A901" s="34" t="s">
        <v>6344</v>
      </c>
      <c r="B901" s="9" t="s">
        <v>6341</v>
      </c>
      <c r="C901" s="40" t="s">
        <v>491</v>
      </c>
      <c r="D901" s="34" t="s">
        <v>8204</v>
      </c>
      <c r="E901" s="27" t="s">
        <v>6156</v>
      </c>
      <c r="F901" s="34"/>
      <c r="G901" s="34" t="s">
        <v>6345</v>
      </c>
      <c r="H901" s="27">
        <f>COUNTIF(关系明细!$D$2:$D$2253,B901)</f>
        <v>1</v>
      </c>
      <c r="I901" s="27">
        <f>COUNTIF(关系明细!$G$2:$G$2253,B901)</f>
        <v>1</v>
      </c>
    </row>
    <row r="902" spans="1:9" ht="16.5">
      <c r="A902" s="35" t="s">
        <v>6354</v>
      </c>
      <c r="B902" s="30" t="s">
        <v>6351</v>
      </c>
      <c r="C902" s="39" t="s">
        <v>491</v>
      </c>
      <c r="D902" s="35" t="s">
        <v>8204</v>
      </c>
      <c r="E902" s="29" t="s">
        <v>6156</v>
      </c>
      <c r="F902" s="35"/>
      <c r="G902" s="35" t="s">
        <v>6355</v>
      </c>
      <c r="H902" s="29">
        <f>COUNTIF(关系明细!$D$2:$D$2253,B902)</f>
        <v>1</v>
      </c>
      <c r="I902" s="29">
        <f>COUNTIF(关系明细!$G$2:$G$2253,B902)</f>
        <v>1</v>
      </c>
    </row>
    <row r="903" spans="1:9" ht="16.5">
      <c r="A903" s="34" t="s">
        <v>6365</v>
      </c>
      <c r="B903" s="9" t="s">
        <v>6361</v>
      </c>
      <c r="C903" s="40" t="s">
        <v>491</v>
      </c>
      <c r="D903" s="34" t="s">
        <v>8204</v>
      </c>
      <c r="E903" s="27" t="s">
        <v>6156</v>
      </c>
      <c r="F903" s="34"/>
      <c r="G903" s="34" t="s">
        <v>6366</v>
      </c>
      <c r="H903" s="27">
        <f>COUNTIF(关系明细!$D$2:$D$2253,B903)</f>
        <v>1</v>
      </c>
      <c r="I903" s="27">
        <f>COUNTIF(关系明细!$G$2:$G$2253,B903)</f>
        <v>1</v>
      </c>
    </row>
    <row r="904" spans="1:9" ht="16.5">
      <c r="A904" s="35" t="s">
        <v>6375</v>
      </c>
      <c r="B904" s="30" t="s">
        <v>6372</v>
      </c>
      <c r="C904" s="39" t="s">
        <v>491</v>
      </c>
      <c r="D904" s="35" t="s">
        <v>8204</v>
      </c>
      <c r="E904" s="29" t="s">
        <v>6156</v>
      </c>
      <c r="F904" s="35"/>
      <c r="G904" s="35" t="s">
        <v>6376</v>
      </c>
      <c r="H904" s="29">
        <f>COUNTIF(关系明细!$D$2:$D$2253,B904)</f>
        <v>1</v>
      </c>
      <c r="I904" s="29">
        <f>COUNTIF(关系明细!$G$2:$G$2253,B904)</f>
        <v>1</v>
      </c>
    </row>
    <row r="905" spans="1:9" ht="16.5">
      <c r="A905" s="34" t="s">
        <v>6415</v>
      </c>
      <c r="B905" s="9" t="s">
        <v>6411</v>
      </c>
      <c r="C905" s="40" t="s">
        <v>44</v>
      </c>
      <c r="D905" s="34" t="s">
        <v>8172</v>
      </c>
      <c r="E905" s="27" t="s">
        <v>6413</v>
      </c>
      <c r="F905" s="34"/>
      <c r="G905" s="9" t="s">
        <v>8476</v>
      </c>
      <c r="H905" s="27">
        <f>COUNTIF(关系明细!$D$2:$D$2253,B905)</f>
        <v>8</v>
      </c>
      <c r="I905" s="27">
        <f>COUNTIF(关系明细!$G$2:$G$2253,B905)</f>
        <v>0</v>
      </c>
    </row>
    <row r="906" spans="1:9" ht="16.5">
      <c r="A906" s="35" t="s">
        <v>6431</v>
      </c>
      <c r="B906" s="30" t="s">
        <v>6428</v>
      </c>
      <c r="C906" s="39" t="s">
        <v>62</v>
      </c>
      <c r="D906" s="35" t="s">
        <v>8174</v>
      </c>
      <c r="E906" s="29" t="s">
        <v>6413</v>
      </c>
      <c r="F906" s="35"/>
      <c r="G906" s="30" t="s">
        <v>8477</v>
      </c>
      <c r="H906" s="29">
        <f>COUNTIF(关系明细!$D$2:$D$2253,B906)</f>
        <v>8</v>
      </c>
      <c r="I906" s="29">
        <f>COUNTIF(关系明细!$G$2:$G$2253,B906)</f>
        <v>2</v>
      </c>
    </row>
    <row r="907" spans="1:9" ht="16.5">
      <c r="A907" s="34" t="s">
        <v>6485</v>
      </c>
      <c r="B907" s="9" t="s">
        <v>6482</v>
      </c>
      <c r="C907" s="40" t="s">
        <v>62</v>
      </c>
      <c r="D907" s="34" t="s">
        <v>8174</v>
      </c>
      <c r="E907" s="27" t="s">
        <v>6413</v>
      </c>
      <c r="F907" s="34"/>
      <c r="G907" s="9" t="s">
        <v>8478</v>
      </c>
      <c r="H907" s="27">
        <f>COUNTIF(关系明细!$D$2:$D$2253,B907)</f>
        <v>5</v>
      </c>
      <c r="I907" s="27">
        <f>COUNTIF(关系明细!$G$2:$G$2253,B907)</f>
        <v>1</v>
      </c>
    </row>
    <row r="908" spans="1:9" ht="16.5">
      <c r="A908" s="35" t="s">
        <v>6473</v>
      </c>
      <c r="B908" s="30" t="s">
        <v>6470</v>
      </c>
      <c r="C908" s="39" t="s">
        <v>62</v>
      </c>
      <c r="D908" s="35" t="s">
        <v>8174</v>
      </c>
      <c r="E908" s="29" t="s">
        <v>6413</v>
      </c>
      <c r="F908" s="35"/>
      <c r="G908" s="30" t="s">
        <v>8479</v>
      </c>
      <c r="H908" s="29">
        <f>COUNTIF(关系明细!$D$2:$D$2253,B908)</f>
        <v>5</v>
      </c>
      <c r="I908" s="29">
        <f>COUNTIF(关系明细!$G$2:$G$2253,B908)</f>
        <v>1</v>
      </c>
    </row>
    <row r="909" spans="1:9" ht="16.5">
      <c r="A909" s="34" t="s">
        <v>6423</v>
      </c>
      <c r="B909" s="9" t="s">
        <v>6420</v>
      </c>
      <c r="C909" s="40" t="s">
        <v>62</v>
      </c>
      <c r="D909" s="34" t="s">
        <v>8174</v>
      </c>
      <c r="E909" s="27" t="s">
        <v>6413</v>
      </c>
      <c r="F909" s="34"/>
      <c r="G909" s="9" t="s">
        <v>8480</v>
      </c>
      <c r="H909" s="27">
        <f>COUNTIF(关系明细!$D$2:$D$2253,B909)</f>
        <v>3</v>
      </c>
      <c r="I909" s="27">
        <f>COUNTIF(关系明细!$G$2:$G$2253,B909)</f>
        <v>1</v>
      </c>
    </row>
    <row r="910" spans="1:9" ht="16.5">
      <c r="A910" s="35" t="s">
        <v>6448</v>
      </c>
      <c r="B910" s="30" t="s">
        <v>6445</v>
      </c>
      <c r="C910" s="39" t="s">
        <v>62</v>
      </c>
      <c r="D910" s="35" t="s">
        <v>8174</v>
      </c>
      <c r="E910" s="29" t="s">
        <v>6413</v>
      </c>
      <c r="F910" s="35"/>
      <c r="G910" s="30" t="s">
        <v>8481</v>
      </c>
      <c r="H910" s="29">
        <f>COUNTIF(关系明细!$D$2:$D$2253,B910)</f>
        <v>10</v>
      </c>
      <c r="I910" s="29">
        <f>COUNTIF(关系明细!$G$2:$G$2253,B910)</f>
        <v>2</v>
      </c>
    </row>
    <row r="911" spans="1:9" ht="16.5">
      <c r="A911" s="34" t="s">
        <v>6435</v>
      </c>
      <c r="B911" s="9" t="s">
        <v>6432</v>
      </c>
      <c r="C911" s="40" t="s">
        <v>72</v>
      </c>
      <c r="D911" s="34" t="s">
        <v>8181</v>
      </c>
      <c r="E911" s="27" t="s">
        <v>6413</v>
      </c>
      <c r="F911" s="34"/>
      <c r="G911" s="9" t="s">
        <v>8482</v>
      </c>
      <c r="H911" s="27">
        <f>COUNTIF(关系明细!$D$2:$D$2253,B911)</f>
        <v>0</v>
      </c>
      <c r="I911" s="27">
        <f>COUNTIF(关系明细!$G$2:$G$2253,B911)</f>
        <v>1</v>
      </c>
    </row>
    <row r="912" spans="1:9" ht="16.5">
      <c r="A912" s="35" t="s">
        <v>6438</v>
      </c>
      <c r="B912" s="30" t="s">
        <v>6436</v>
      </c>
      <c r="C912" s="39" t="s">
        <v>72</v>
      </c>
      <c r="D912" s="35" t="s">
        <v>8181</v>
      </c>
      <c r="E912" s="29" t="s">
        <v>6413</v>
      </c>
      <c r="F912" s="35"/>
      <c r="G912" s="30" t="s">
        <v>8482</v>
      </c>
      <c r="H912" s="29">
        <f>COUNTIF(关系明细!$D$2:$D$2253,B912)</f>
        <v>0</v>
      </c>
      <c r="I912" s="29">
        <f>COUNTIF(关系明细!$G$2:$G$2253,B912)</f>
        <v>1</v>
      </c>
    </row>
    <row r="913" spans="1:9" ht="16.5">
      <c r="A913" s="34" t="s">
        <v>6441</v>
      </c>
      <c r="B913" s="9" t="s">
        <v>6439</v>
      </c>
      <c r="C913" s="40" t="s">
        <v>72</v>
      </c>
      <c r="D913" s="34" t="s">
        <v>8181</v>
      </c>
      <c r="E913" s="27" t="s">
        <v>6413</v>
      </c>
      <c r="F913" s="34"/>
      <c r="G913" s="9" t="s">
        <v>8482</v>
      </c>
      <c r="H913" s="27">
        <f>COUNTIF(关系明细!$D$2:$D$2253,B913)</f>
        <v>0</v>
      </c>
      <c r="I913" s="27">
        <f>COUNTIF(关系明细!$G$2:$G$2253,B913)</f>
        <v>1</v>
      </c>
    </row>
    <row r="914" spans="1:9" ht="16.5">
      <c r="A914" s="35" t="s">
        <v>6444</v>
      </c>
      <c r="B914" s="30" t="s">
        <v>6442</v>
      </c>
      <c r="C914" s="39" t="s">
        <v>72</v>
      </c>
      <c r="D914" s="35" t="s">
        <v>8181</v>
      </c>
      <c r="E914" s="29" t="s">
        <v>6413</v>
      </c>
      <c r="F914" s="35"/>
      <c r="G914" s="30" t="s">
        <v>8482</v>
      </c>
      <c r="H914" s="29">
        <f>COUNTIF(关系明细!$D$2:$D$2253,B914)</f>
        <v>0</v>
      </c>
      <c r="I914" s="29">
        <f>COUNTIF(关系明细!$G$2:$G$2253,B914)</f>
        <v>1</v>
      </c>
    </row>
    <row r="915" spans="1:9" ht="16.5">
      <c r="A915" s="34" t="s">
        <v>6452</v>
      </c>
      <c r="B915" s="9" t="s">
        <v>6449</v>
      </c>
      <c r="C915" s="40" t="s">
        <v>72</v>
      </c>
      <c r="D915" s="34" t="s">
        <v>8181</v>
      </c>
      <c r="E915" s="27" t="s">
        <v>6413</v>
      </c>
      <c r="F915" s="34"/>
      <c r="G915" s="9" t="s">
        <v>8483</v>
      </c>
      <c r="H915" s="27">
        <f>COUNTIF(关系明细!$D$2:$D$2253,B915)</f>
        <v>0</v>
      </c>
      <c r="I915" s="27">
        <f>COUNTIF(关系明细!$G$2:$G$2253,B915)</f>
        <v>1</v>
      </c>
    </row>
    <row r="916" spans="1:9" ht="16.5">
      <c r="A916" s="35" t="s">
        <v>6455</v>
      </c>
      <c r="B916" s="30" t="s">
        <v>6453</v>
      </c>
      <c r="C916" s="39" t="s">
        <v>72</v>
      </c>
      <c r="D916" s="35" t="s">
        <v>8181</v>
      </c>
      <c r="E916" s="29" t="s">
        <v>6413</v>
      </c>
      <c r="F916" s="35"/>
      <c r="G916" s="30" t="s">
        <v>8483</v>
      </c>
      <c r="H916" s="29">
        <f>COUNTIF(关系明细!$D$2:$D$2253,B916)</f>
        <v>0</v>
      </c>
      <c r="I916" s="29">
        <f>COUNTIF(关系明细!$G$2:$G$2253,B916)</f>
        <v>1</v>
      </c>
    </row>
    <row r="917" spans="1:9" ht="16.5">
      <c r="A917" s="34" t="s">
        <v>6458</v>
      </c>
      <c r="B917" s="9" t="s">
        <v>6456</v>
      </c>
      <c r="C917" s="40" t="s">
        <v>72</v>
      </c>
      <c r="D917" s="34" t="s">
        <v>8181</v>
      </c>
      <c r="E917" s="27" t="s">
        <v>6413</v>
      </c>
      <c r="F917" s="34"/>
      <c r="G917" s="9" t="s">
        <v>8483</v>
      </c>
      <c r="H917" s="27">
        <f>COUNTIF(关系明细!$D$2:$D$2253,B917)</f>
        <v>0</v>
      </c>
      <c r="I917" s="27">
        <f>COUNTIF(关系明细!$G$2:$G$2253,B917)</f>
        <v>1</v>
      </c>
    </row>
    <row r="918" spans="1:9" ht="16.5">
      <c r="A918" s="35" t="s">
        <v>6461</v>
      </c>
      <c r="B918" s="30" t="s">
        <v>6459</v>
      </c>
      <c r="C918" s="39" t="s">
        <v>72</v>
      </c>
      <c r="D918" s="35" t="s">
        <v>8181</v>
      </c>
      <c r="E918" s="29" t="s">
        <v>6413</v>
      </c>
      <c r="F918" s="35"/>
      <c r="G918" s="30" t="s">
        <v>8483</v>
      </c>
      <c r="H918" s="29">
        <f>COUNTIF(关系明细!$D$2:$D$2253,B918)</f>
        <v>0</v>
      </c>
      <c r="I918" s="29">
        <f>COUNTIF(关系明细!$G$2:$G$2253,B918)</f>
        <v>1</v>
      </c>
    </row>
    <row r="919" spans="1:9" ht="16.5">
      <c r="A919" s="34" t="s">
        <v>6489</v>
      </c>
      <c r="B919" s="9" t="s">
        <v>6486</v>
      </c>
      <c r="C919" s="40" t="s">
        <v>82</v>
      </c>
      <c r="D919" s="34" t="s">
        <v>8186</v>
      </c>
      <c r="E919" s="27" t="s">
        <v>6413</v>
      </c>
      <c r="F919" s="34"/>
      <c r="G919" s="34" t="s">
        <v>8195</v>
      </c>
      <c r="H919" s="27">
        <f>COUNTIF(关系明细!$D$2:$D$2253,B919)</f>
        <v>0</v>
      </c>
      <c r="I919" s="27">
        <f>COUNTIF(关系明细!$G$2:$G$2253,B919)</f>
        <v>1</v>
      </c>
    </row>
    <row r="920" spans="1:9" ht="16.5">
      <c r="A920" s="35" t="s">
        <v>6493</v>
      </c>
      <c r="B920" s="30" t="s">
        <v>6490</v>
      </c>
      <c r="C920" s="39" t="s">
        <v>82</v>
      </c>
      <c r="D920" s="35" t="s">
        <v>8186</v>
      </c>
      <c r="E920" s="29" t="s">
        <v>6413</v>
      </c>
      <c r="F920" s="35"/>
      <c r="G920" s="30" t="s">
        <v>8189</v>
      </c>
      <c r="H920" s="29">
        <f>COUNTIF(关系明细!$D$2:$D$2253,B920)</f>
        <v>0</v>
      </c>
      <c r="I920" s="29">
        <f>COUNTIF(关系明细!$G$2:$G$2253,B920)</f>
        <v>1</v>
      </c>
    </row>
    <row r="921" spans="1:9" ht="16.5">
      <c r="A921" s="34" t="s">
        <v>6477</v>
      </c>
      <c r="B921" s="9" t="s">
        <v>6474</v>
      </c>
      <c r="C921" s="40" t="s">
        <v>82</v>
      </c>
      <c r="D921" s="34" t="s">
        <v>8186</v>
      </c>
      <c r="E921" s="27" t="s">
        <v>6413</v>
      </c>
      <c r="F921" s="34"/>
      <c r="G921" s="34" t="s">
        <v>8484</v>
      </c>
      <c r="H921" s="27">
        <f>COUNTIF(关系明细!$D$2:$D$2253,B921)</f>
        <v>0</v>
      </c>
      <c r="I921" s="27">
        <f>COUNTIF(关系明细!$G$2:$G$2253,B921)</f>
        <v>1</v>
      </c>
    </row>
    <row r="922" spans="1:9" ht="16.5">
      <c r="A922" s="35" t="s">
        <v>6481</v>
      </c>
      <c r="B922" s="30" t="s">
        <v>6478</v>
      </c>
      <c r="C922" s="39" t="s">
        <v>82</v>
      </c>
      <c r="D922" s="35" t="s">
        <v>8186</v>
      </c>
      <c r="E922" s="29" t="s">
        <v>6413</v>
      </c>
      <c r="F922" s="35"/>
      <c r="G922" s="30" t="s">
        <v>8485</v>
      </c>
      <c r="H922" s="29">
        <f>COUNTIF(关系明细!$D$2:$D$2253,B922)</f>
        <v>0</v>
      </c>
      <c r="I922" s="29">
        <f>COUNTIF(关系明细!$G$2:$G$2253,B922)</f>
        <v>1</v>
      </c>
    </row>
    <row r="923" spans="1:9" ht="16.5">
      <c r="A923" s="34" t="s">
        <v>6427</v>
      </c>
      <c r="B923" s="9" t="s">
        <v>6424</v>
      </c>
      <c r="C923" s="40" t="s">
        <v>82</v>
      </c>
      <c r="D923" s="34" t="s">
        <v>8186</v>
      </c>
      <c r="E923" s="27" t="s">
        <v>6413</v>
      </c>
      <c r="F923" s="34"/>
      <c r="G923" s="9" t="s">
        <v>8486</v>
      </c>
      <c r="H923" s="27">
        <f>COUNTIF(关系明细!$D$2:$D$2253,B923)</f>
        <v>0</v>
      </c>
      <c r="I923" s="27">
        <f>COUNTIF(关系明细!$G$2:$G$2253,B923)</f>
        <v>1</v>
      </c>
    </row>
    <row r="924" spans="1:9" ht="16.5">
      <c r="A924" s="35" t="s">
        <v>6465</v>
      </c>
      <c r="B924" s="30" t="s">
        <v>6462</v>
      </c>
      <c r="C924" s="39" t="s">
        <v>82</v>
      </c>
      <c r="D924" s="35" t="s">
        <v>8186</v>
      </c>
      <c r="E924" s="29" t="s">
        <v>6413</v>
      </c>
      <c r="F924" s="35"/>
      <c r="G924" s="30" t="s">
        <v>8188</v>
      </c>
      <c r="H924" s="29">
        <f>COUNTIF(关系明细!$D$2:$D$2253,B924)</f>
        <v>0</v>
      </c>
      <c r="I924" s="29">
        <f>COUNTIF(关系明细!$G$2:$G$2253,B924)</f>
        <v>1</v>
      </c>
    </row>
    <row r="925" spans="1:9" ht="16.5">
      <c r="A925" s="34" t="s">
        <v>6469</v>
      </c>
      <c r="B925" s="9" t="s">
        <v>6466</v>
      </c>
      <c r="C925" s="40" t="s">
        <v>82</v>
      </c>
      <c r="D925" s="34" t="s">
        <v>8186</v>
      </c>
      <c r="E925" s="27" t="s">
        <v>6413</v>
      </c>
      <c r="F925" s="34"/>
      <c r="G925" s="9" t="s">
        <v>6510</v>
      </c>
      <c r="H925" s="27">
        <f>COUNTIF(关系明细!$D$2:$D$2253,B925)</f>
        <v>0</v>
      </c>
      <c r="I925" s="27">
        <f>COUNTIF(关系明细!$G$2:$G$2253,B925)</f>
        <v>1</v>
      </c>
    </row>
    <row r="926" spans="1:9" ht="16.5">
      <c r="A926" s="35" t="s">
        <v>6098</v>
      </c>
      <c r="B926" s="30" t="s">
        <v>6095</v>
      </c>
      <c r="C926" s="39" t="s">
        <v>300</v>
      </c>
      <c r="D926" s="35" t="s">
        <v>8197</v>
      </c>
      <c r="E926" s="29" t="s">
        <v>6413</v>
      </c>
      <c r="F926" s="35"/>
      <c r="G926" s="35" t="s">
        <v>8487</v>
      </c>
      <c r="H926" s="29">
        <f>COUNTIF(关系明细!$D$2:$D$2253,B926)</f>
        <v>4</v>
      </c>
      <c r="I926" s="29">
        <f>COUNTIF(关系明细!$G$2:$G$2253,B926)</f>
        <v>1</v>
      </c>
    </row>
    <row r="927" spans="1:9" ht="16.5">
      <c r="A927" s="34" t="s">
        <v>5311</v>
      </c>
      <c r="B927" s="9" t="s">
        <v>5308</v>
      </c>
      <c r="C927" s="40" t="s">
        <v>300</v>
      </c>
      <c r="D927" s="34" t="s">
        <v>8197</v>
      </c>
      <c r="E927" s="27" t="s">
        <v>6413</v>
      </c>
      <c r="F927" s="34"/>
      <c r="G927" s="9" t="s">
        <v>8488</v>
      </c>
      <c r="H927" s="27">
        <f>COUNTIF(关系明细!$D$2:$D$2253,B927)</f>
        <v>3</v>
      </c>
      <c r="I927" s="27">
        <f>COUNTIF(关系明细!$G$2:$G$2253,B927)</f>
        <v>1</v>
      </c>
    </row>
    <row r="928" spans="1:9" ht="16.5">
      <c r="A928" s="35" t="s">
        <v>6497</v>
      </c>
      <c r="B928" s="30" t="s">
        <v>6494</v>
      </c>
      <c r="C928" s="39" t="s">
        <v>204</v>
      </c>
      <c r="D928" s="35" t="s">
        <v>8201</v>
      </c>
      <c r="E928" s="29" t="s">
        <v>6413</v>
      </c>
      <c r="F928" s="30" t="s">
        <v>6420</v>
      </c>
      <c r="G928" s="35" t="s">
        <v>584</v>
      </c>
      <c r="H928" s="29">
        <f>COUNTIF(关系明细!$D$2:$D$2253,B928)</f>
        <v>2</v>
      </c>
      <c r="I928" s="29">
        <f>COUNTIF(关系明细!$G$2:$G$2253,B928)</f>
        <v>1</v>
      </c>
    </row>
    <row r="929" spans="1:9" ht="16.5">
      <c r="A929" s="34" t="s">
        <v>6502</v>
      </c>
      <c r="B929" s="9" t="s">
        <v>6499</v>
      </c>
      <c r="C929" s="40" t="s">
        <v>204</v>
      </c>
      <c r="D929" s="34" t="s">
        <v>8201</v>
      </c>
      <c r="E929" s="27" t="s">
        <v>6413</v>
      </c>
      <c r="F929" s="9" t="s">
        <v>6428</v>
      </c>
      <c r="G929" s="9" t="s">
        <v>6500</v>
      </c>
      <c r="H929" s="27">
        <f>COUNTIF(关系明细!$D$2:$D$2253,B929)</f>
        <v>1</v>
      </c>
      <c r="I929" s="27">
        <f>COUNTIF(关系明细!$G$2:$G$2253,B929)</f>
        <v>1</v>
      </c>
    </row>
    <row r="930" spans="1:9" ht="16.5">
      <c r="A930" s="35" t="s">
        <v>6507</v>
      </c>
      <c r="B930" s="30" t="s">
        <v>6504</v>
      </c>
      <c r="C930" s="39" t="s">
        <v>204</v>
      </c>
      <c r="D930" s="35" t="s">
        <v>8201</v>
      </c>
      <c r="E930" s="29" t="s">
        <v>6413</v>
      </c>
      <c r="F930" s="30" t="s">
        <v>6428</v>
      </c>
      <c r="G930" s="30" t="s">
        <v>6505</v>
      </c>
      <c r="H930" s="29">
        <f>COUNTIF(关系明细!$D$2:$D$2253,B930)</f>
        <v>1</v>
      </c>
      <c r="I930" s="29">
        <f>COUNTIF(关系明细!$G$2:$G$2253,B930)</f>
        <v>1</v>
      </c>
    </row>
    <row r="931" spans="1:9" ht="16.5">
      <c r="A931" s="34" t="s">
        <v>6512</v>
      </c>
      <c r="B931" s="9" t="s">
        <v>6509</v>
      </c>
      <c r="C931" s="40" t="s">
        <v>204</v>
      </c>
      <c r="D931" s="34" t="s">
        <v>8201</v>
      </c>
      <c r="E931" s="27" t="s">
        <v>6413</v>
      </c>
      <c r="F931" s="9" t="s">
        <v>6445</v>
      </c>
      <c r="G931" s="9" t="s">
        <v>6510</v>
      </c>
      <c r="H931" s="27">
        <f>COUNTIF(关系明细!$D$2:$D$2253,B931)</f>
        <v>6</v>
      </c>
      <c r="I931" s="27">
        <f>COUNTIF(关系明细!$G$2:$G$2253,B931)</f>
        <v>1</v>
      </c>
    </row>
    <row r="932" spans="1:9" ht="16.5">
      <c r="A932" s="35" t="s">
        <v>6517</v>
      </c>
      <c r="B932" s="30" t="s">
        <v>6514</v>
      </c>
      <c r="C932" s="39" t="s">
        <v>204</v>
      </c>
      <c r="D932" s="35" t="s">
        <v>8201</v>
      </c>
      <c r="E932" s="29" t="s">
        <v>6413</v>
      </c>
      <c r="F932" s="30" t="s">
        <v>6445</v>
      </c>
      <c r="G932" s="35" t="s">
        <v>584</v>
      </c>
      <c r="H932" s="29">
        <f>COUNTIF(关系明细!$D$2:$D$2253,B932)</f>
        <v>1</v>
      </c>
      <c r="I932" s="29">
        <f>COUNTIF(关系明细!$G$2:$G$2253,B932)</f>
        <v>1</v>
      </c>
    </row>
    <row r="933" spans="1:9" ht="16.5">
      <c r="A933" s="34" t="s">
        <v>6522</v>
      </c>
      <c r="B933" s="9" t="s">
        <v>6519</v>
      </c>
      <c r="C933" s="40" t="s">
        <v>204</v>
      </c>
      <c r="D933" s="34" t="s">
        <v>8201</v>
      </c>
      <c r="E933" s="27" t="s">
        <v>6413</v>
      </c>
      <c r="F933" s="9" t="s">
        <v>6470</v>
      </c>
      <c r="G933" s="34" t="s">
        <v>584</v>
      </c>
      <c r="H933" s="27">
        <f>COUNTIF(关系明细!$D$2:$D$2253,B933)</f>
        <v>1</v>
      </c>
      <c r="I933" s="27">
        <f>COUNTIF(关系明细!$G$2:$G$2253,B933)</f>
        <v>1</v>
      </c>
    </row>
    <row r="934" spans="1:9" ht="16.5">
      <c r="A934" s="35" t="s">
        <v>6527</v>
      </c>
      <c r="B934" s="30" t="s">
        <v>6524</v>
      </c>
      <c r="C934" s="39" t="s">
        <v>204</v>
      </c>
      <c r="D934" s="35" t="s">
        <v>8201</v>
      </c>
      <c r="E934" s="29" t="s">
        <v>6413</v>
      </c>
      <c r="F934" s="30" t="s">
        <v>6470</v>
      </c>
      <c r="G934" s="35" t="s">
        <v>584</v>
      </c>
      <c r="H934" s="29">
        <f>COUNTIF(关系明细!$D$2:$D$2253,B934)</f>
        <v>1</v>
      </c>
      <c r="I934" s="29">
        <f>COUNTIF(关系明细!$G$2:$G$2253,B934)</f>
        <v>1</v>
      </c>
    </row>
    <row r="935" spans="1:9" ht="16.5">
      <c r="A935" s="34" t="s">
        <v>6532</v>
      </c>
      <c r="B935" s="9" t="s">
        <v>6529</v>
      </c>
      <c r="C935" s="40" t="s">
        <v>204</v>
      </c>
      <c r="D935" s="34" t="s">
        <v>8201</v>
      </c>
      <c r="E935" s="27" t="s">
        <v>6413</v>
      </c>
      <c r="F935" s="9" t="s">
        <v>6482</v>
      </c>
      <c r="G935" s="34" t="s">
        <v>584</v>
      </c>
      <c r="H935" s="27">
        <f>COUNTIF(关系明细!$D$2:$D$2253,B935)</f>
        <v>1</v>
      </c>
      <c r="I935" s="27">
        <f>COUNTIF(关系明细!$G$2:$G$2253,B935)</f>
        <v>1</v>
      </c>
    </row>
    <row r="936" spans="1:9" ht="16.5">
      <c r="A936" s="35" t="s">
        <v>6537</v>
      </c>
      <c r="B936" s="30" t="s">
        <v>6534</v>
      </c>
      <c r="C936" s="39" t="s">
        <v>204</v>
      </c>
      <c r="D936" s="35" t="s">
        <v>8201</v>
      </c>
      <c r="E936" s="29" t="s">
        <v>6413</v>
      </c>
      <c r="F936" s="30" t="s">
        <v>6482</v>
      </c>
      <c r="G936" s="35" t="s">
        <v>584</v>
      </c>
      <c r="H936" s="29">
        <f>COUNTIF(关系明细!$D$2:$D$2253,B936)</f>
        <v>1</v>
      </c>
      <c r="I936" s="29">
        <f>COUNTIF(关系明细!$G$2:$G$2253,B936)</f>
        <v>1</v>
      </c>
    </row>
    <row r="937" spans="1:9" ht="16.5">
      <c r="A937" s="34" t="s">
        <v>6586</v>
      </c>
      <c r="B937" s="9" t="s">
        <v>6583</v>
      </c>
      <c r="C937" s="40" t="s">
        <v>566</v>
      </c>
      <c r="D937" s="34" t="s">
        <v>8206</v>
      </c>
      <c r="E937" s="27" t="s">
        <v>6413</v>
      </c>
      <c r="F937" s="34"/>
      <c r="G937" s="9" t="s">
        <v>8489</v>
      </c>
      <c r="H937" s="27">
        <f>COUNTIF(关系明细!$D$2:$D$2253,B937)</f>
        <v>0</v>
      </c>
      <c r="I937" s="27">
        <f>COUNTIF(关系明细!$G$2:$G$2253,B937)</f>
        <v>1</v>
      </c>
    </row>
    <row r="938" spans="1:9" ht="16.5">
      <c r="A938" s="35" t="s">
        <v>5408</v>
      </c>
      <c r="B938" s="35" t="s">
        <v>5404</v>
      </c>
      <c r="C938" s="39" t="s">
        <v>44</v>
      </c>
      <c r="D938" s="35" t="s">
        <v>8172</v>
      </c>
      <c r="E938" s="29" t="s">
        <v>6606</v>
      </c>
      <c r="F938" s="35"/>
      <c r="G938" s="35" t="s">
        <v>8490</v>
      </c>
      <c r="H938" s="29">
        <f>COUNTIF(关系明细!$D$2:$D$2253,B938)</f>
        <v>2</v>
      </c>
      <c r="I938" s="29">
        <f>COUNTIF(关系明细!$G$2:$G$2253,B938)</f>
        <v>2</v>
      </c>
    </row>
    <row r="939" spans="1:9" ht="16.5">
      <c r="A939" s="34" t="s">
        <v>6611</v>
      </c>
      <c r="B939" s="34" t="s">
        <v>6608</v>
      </c>
      <c r="C939" s="40" t="s">
        <v>62</v>
      </c>
      <c r="D939" s="34" t="s">
        <v>8174</v>
      </c>
      <c r="E939" s="27" t="s">
        <v>6606</v>
      </c>
      <c r="F939" s="34"/>
      <c r="G939" s="9" t="s">
        <v>8491</v>
      </c>
      <c r="H939" s="27">
        <f>COUNTIF(关系明细!$D$2:$D$2253,B939)</f>
        <v>16</v>
      </c>
      <c r="I939" s="27">
        <f>COUNTIF(关系明细!$G$2:$G$2253,B939)</f>
        <v>5</v>
      </c>
    </row>
    <row r="940" spans="1:9" ht="16.5">
      <c r="A940" s="35" t="s">
        <v>6616</v>
      </c>
      <c r="B940" s="30" t="s">
        <v>6613</v>
      </c>
      <c r="C940" s="39" t="s">
        <v>72</v>
      </c>
      <c r="D940" s="35" t="s">
        <v>8181</v>
      </c>
      <c r="E940" s="29" t="s">
        <v>6606</v>
      </c>
      <c r="F940" s="35"/>
      <c r="G940" s="35" t="s">
        <v>8492</v>
      </c>
      <c r="H940" s="29">
        <f>COUNTIF(关系明细!$D$2:$D$2253,B940)</f>
        <v>0</v>
      </c>
      <c r="I940" s="29">
        <f>COUNTIF(关系明细!$G$2:$G$2253,B940)</f>
        <v>1</v>
      </c>
    </row>
    <row r="941" spans="1:9" ht="16.5">
      <c r="A941" s="34" t="s">
        <v>6619</v>
      </c>
      <c r="B941" s="9" t="s">
        <v>6617</v>
      </c>
      <c r="C941" s="40" t="s">
        <v>72</v>
      </c>
      <c r="D941" s="34" t="s">
        <v>8181</v>
      </c>
      <c r="E941" s="27" t="s">
        <v>6606</v>
      </c>
      <c r="F941" s="34"/>
      <c r="G941" s="34" t="s">
        <v>8492</v>
      </c>
      <c r="H941" s="27">
        <f>COUNTIF(关系明细!$D$2:$D$2253,B941)</f>
        <v>0</v>
      </c>
      <c r="I941" s="27">
        <f>COUNTIF(关系明细!$G$2:$G$2253,B941)</f>
        <v>1</v>
      </c>
    </row>
    <row r="942" spans="1:9" ht="16.5">
      <c r="A942" s="35" t="s">
        <v>6622</v>
      </c>
      <c r="B942" s="30" t="s">
        <v>6620</v>
      </c>
      <c r="C942" s="39" t="s">
        <v>72</v>
      </c>
      <c r="D942" s="35" t="s">
        <v>8181</v>
      </c>
      <c r="E942" s="29" t="s">
        <v>6606</v>
      </c>
      <c r="F942" s="35"/>
      <c r="G942" s="35" t="s">
        <v>8492</v>
      </c>
      <c r="H942" s="29">
        <f>COUNTIF(关系明细!$D$2:$D$2253,B942)</f>
        <v>0</v>
      </c>
      <c r="I942" s="29">
        <f>COUNTIF(关系明细!$G$2:$G$2253,B942)</f>
        <v>1</v>
      </c>
    </row>
    <row r="943" spans="1:9" ht="16.5">
      <c r="A943" s="34" t="s">
        <v>6626</v>
      </c>
      <c r="B943" s="34" t="s">
        <v>6623</v>
      </c>
      <c r="C943" s="40" t="s">
        <v>82</v>
      </c>
      <c r="D943" s="34" t="s">
        <v>8186</v>
      </c>
      <c r="E943" s="27" t="s">
        <v>6606</v>
      </c>
      <c r="F943" s="34"/>
      <c r="G943" s="9" t="s">
        <v>8493</v>
      </c>
      <c r="H943" s="27">
        <f>COUNTIF(关系明细!$D$2:$D$2253,B943)</f>
        <v>0</v>
      </c>
      <c r="I943" s="27">
        <f>COUNTIF(关系明细!$G$2:$G$2253,B943)</f>
        <v>1</v>
      </c>
    </row>
    <row r="944" spans="1:9" ht="16.5">
      <c r="A944" s="35" t="s">
        <v>6630</v>
      </c>
      <c r="B944" s="35" t="s">
        <v>6627</v>
      </c>
      <c r="C944" s="39" t="s">
        <v>82</v>
      </c>
      <c r="D944" s="35" t="s">
        <v>8186</v>
      </c>
      <c r="E944" s="29" t="s">
        <v>6606</v>
      </c>
      <c r="F944" s="35"/>
      <c r="G944" s="30" t="s">
        <v>8494</v>
      </c>
      <c r="H944" s="29">
        <f>COUNTIF(关系明细!$D$2:$D$2253,B944)</f>
        <v>0</v>
      </c>
      <c r="I944" s="29">
        <f>COUNTIF(关系明细!$G$2:$G$2253,B944)</f>
        <v>1</v>
      </c>
    </row>
    <row r="945" spans="1:9" ht="16.5">
      <c r="A945" s="34" t="s">
        <v>6634</v>
      </c>
      <c r="B945" s="34" t="s">
        <v>6631</v>
      </c>
      <c r="C945" s="40" t="s">
        <v>82</v>
      </c>
      <c r="D945" s="34" t="s">
        <v>8186</v>
      </c>
      <c r="E945" s="27" t="s">
        <v>6606</v>
      </c>
      <c r="F945" s="34"/>
      <c r="G945" s="9" t="s">
        <v>8495</v>
      </c>
      <c r="H945" s="27">
        <f>COUNTIF(关系明细!$D$2:$D$2253,B945)</f>
        <v>0</v>
      </c>
      <c r="I945" s="27">
        <f>COUNTIF(关系明细!$G$2:$G$2253,B945)</f>
        <v>1</v>
      </c>
    </row>
    <row r="946" spans="1:9" ht="16.5">
      <c r="A946" s="35" t="s">
        <v>6638</v>
      </c>
      <c r="B946" s="35" t="s">
        <v>6635</v>
      </c>
      <c r="C946" s="39" t="s">
        <v>82</v>
      </c>
      <c r="D946" s="35" t="s">
        <v>8186</v>
      </c>
      <c r="E946" s="29" t="s">
        <v>6606</v>
      </c>
      <c r="F946" s="35"/>
      <c r="G946" s="30" t="s">
        <v>8496</v>
      </c>
      <c r="H946" s="29">
        <f>COUNTIF(关系明细!$D$2:$D$2253,B946)</f>
        <v>0</v>
      </c>
      <c r="I946" s="29">
        <f>COUNTIF(关系明细!$G$2:$G$2253,B946)</f>
        <v>1</v>
      </c>
    </row>
    <row r="947" spans="1:9" ht="16.5">
      <c r="A947" s="34" t="s">
        <v>6642</v>
      </c>
      <c r="B947" s="34" t="s">
        <v>6639</v>
      </c>
      <c r="C947" s="40" t="s">
        <v>82</v>
      </c>
      <c r="D947" s="34" t="s">
        <v>8186</v>
      </c>
      <c r="E947" s="27" t="s">
        <v>6606</v>
      </c>
      <c r="F947" s="34"/>
      <c r="G947" s="9" t="s">
        <v>8497</v>
      </c>
      <c r="H947" s="27">
        <f>COUNTIF(关系明细!$D$2:$D$2253,B947)</f>
        <v>0</v>
      </c>
      <c r="I947" s="27">
        <f>COUNTIF(关系明细!$G$2:$G$2253,B947)</f>
        <v>1</v>
      </c>
    </row>
    <row r="948" spans="1:9" ht="16.5">
      <c r="A948" s="35" t="s">
        <v>6681</v>
      </c>
      <c r="B948" s="35" t="s">
        <v>6679</v>
      </c>
      <c r="C948" s="39" t="s">
        <v>300</v>
      </c>
      <c r="D948" s="35" t="s">
        <v>8197</v>
      </c>
      <c r="E948" s="29" t="s">
        <v>6606</v>
      </c>
      <c r="F948" s="35"/>
      <c r="G948" s="30" t="s">
        <v>8498</v>
      </c>
      <c r="H948" s="29">
        <f>COUNTIF(关系明细!$D$2:$D$2253,B948)</f>
        <v>0</v>
      </c>
      <c r="I948" s="29">
        <f>COUNTIF(关系明细!$G$2:$G$2253,B948)</f>
        <v>1</v>
      </c>
    </row>
    <row r="949" spans="1:9" ht="16.5">
      <c r="A949" s="34" t="s">
        <v>6646</v>
      </c>
      <c r="B949" s="9" t="s">
        <v>6643</v>
      </c>
      <c r="C949" s="40" t="s">
        <v>204</v>
      </c>
      <c r="D949" s="34" t="s">
        <v>8201</v>
      </c>
      <c r="E949" s="27" t="s">
        <v>6606</v>
      </c>
      <c r="F949" s="34" t="s">
        <v>6608</v>
      </c>
      <c r="G949" s="34" t="s">
        <v>584</v>
      </c>
      <c r="H949" s="27">
        <f>COUNTIF(关系明细!$D$2:$D$2253,B949)</f>
        <v>3</v>
      </c>
      <c r="I949" s="27">
        <f>COUNTIF(关系明细!$G$2:$G$2253,B949)</f>
        <v>1</v>
      </c>
    </row>
    <row r="950" spans="1:9" ht="16.5">
      <c r="A950" s="35" t="s">
        <v>6651</v>
      </c>
      <c r="B950" s="30" t="s">
        <v>6648</v>
      </c>
      <c r="C950" s="39" t="s">
        <v>204</v>
      </c>
      <c r="D950" s="35" t="s">
        <v>8201</v>
      </c>
      <c r="E950" s="29" t="s">
        <v>6606</v>
      </c>
      <c r="F950" s="35" t="s">
        <v>6608</v>
      </c>
      <c r="G950" s="35" t="s">
        <v>584</v>
      </c>
      <c r="H950" s="29">
        <f>COUNTIF(关系明细!$D$2:$D$2253,B950)</f>
        <v>1</v>
      </c>
      <c r="I950" s="29">
        <f>COUNTIF(关系明细!$G$2:$G$2253,B950)</f>
        <v>1</v>
      </c>
    </row>
    <row r="951" spans="1:9" ht="16.5">
      <c r="A951" s="34" t="s">
        <v>6656</v>
      </c>
      <c r="B951" s="9" t="s">
        <v>6653</v>
      </c>
      <c r="C951" s="40" t="s">
        <v>204</v>
      </c>
      <c r="D951" s="34" t="s">
        <v>8201</v>
      </c>
      <c r="E951" s="27" t="s">
        <v>6606</v>
      </c>
      <c r="F951" s="34" t="s">
        <v>6608</v>
      </c>
      <c r="G951" s="34" t="s">
        <v>584</v>
      </c>
      <c r="H951" s="27">
        <f>COUNTIF(关系明细!$D$2:$D$2253,B951)</f>
        <v>1</v>
      </c>
      <c r="I951" s="27">
        <f>COUNTIF(关系明细!$G$2:$G$2253,B951)</f>
        <v>1</v>
      </c>
    </row>
    <row r="952" spans="1:9" ht="16.5">
      <c r="A952" s="35" t="s">
        <v>6153</v>
      </c>
      <c r="B952" s="35" t="s">
        <v>6150</v>
      </c>
      <c r="C952" s="39" t="s">
        <v>295</v>
      </c>
      <c r="D952" s="35" t="s">
        <v>8202</v>
      </c>
      <c r="E952" s="29" t="s">
        <v>6606</v>
      </c>
      <c r="F952" s="35" t="s">
        <v>6608</v>
      </c>
      <c r="G952" s="35" t="s">
        <v>584</v>
      </c>
      <c r="H952" s="29">
        <f>COUNTIF(关系明细!$D$2:$D$2253,B952)</f>
        <v>0</v>
      </c>
      <c r="I952" s="29">
        <f>COUNTIF(关系明细!$G$2:$G$2253,B952)</f>
        <v>3</v>
      </c>
    </row>
    <row r="953" spans="1:9" ht="16.5">
      <c r="A953" s="34" t="s">
        <v>2173</v>
      </c>
      <c r="B953" s="34" t="s">
        <v>2170</v>
      </c>
      <c r="C953" s="40" t="s">
        <v>295</v>
      </c>
      <c r="D953" s="34" t="s">
        <v>8202</v>
      </c>
      <c r="E953" s="27" t="s">
        <v>6606</v>
      </c>
      <c r="F953" s="34" t="s">
        <v>6608</v>
      </c>
      <c r="G953" s="34" t="s">
        <v>584</v>
      </c>
      <c r="H953" s="27">
        <f>COUNTIF(关系明细!$D$2:$D$2253,B953)</f>
        <v>1</v>
      </c>
      <c r="I953" s="27">
        <f>COUNTIF(关系明细!$G$2:$G$2253,B953)</f>
        <v>6</v>
      </c>
    </row>
    <row r="954" spans="1:9" ht="16.5">
      <c r="A954" s="35" t="s">
        <v>6665</v>
      </c>
      <c r="B954" s="30" t="s">
        <v>6662</v>
      </c>
      <c r="C954" s="39" t="s">
        <v>295</v>
      </c>
      <c r="D954" s="35" t="s">
        <v>8202</v>
      </c>
      <c r="E954" s="29" t="s">
        <v>6606</v>
      </c>
      <c r="F954" s="35" t="s">
        <v>6608</v>
      </c>
      <c r="G954" s="35" t="s">
        <v>584</v>
      </c>
      <c r="H954" s="29">
        <f>COUNTIF(关系明细!$D$2:$D$2253,B954)</f>
        <v>1</v>
      </c>
      <c r="I954" s="29">
        <f>COUNTIF(关系明细!$G$2:$G$2253,B954)</f>
        <v>2</v>
      </c>
    </row>
    <row r="955" spans="1:9" ht="16.5">
      <c r="A955" s="34" t="s">
        <v>5412</v>
      </c>
      <c r="B955" s="9" t="s">
        <v>5409</v>
      </c>
      <c r="C955" s="40" t="s">
        <v>44</v>
      </c>
      <c r="D955" s="34" t="s">
        <v>8172</v>
      </c>
      <c r="E955" s="27" t="s">
        <v>6692</v>
      </c>
      <c r="F955" s="34"/>
      <c r="G955" s="9" t="s">
        <v>8499</v>
      </c>
      <c r="H955" s="27">
        <f>COUNTIF(关系明细!$D$2:$D$2253,B955)</f>
        <v>6</v>
      </c>
      <c r="I955" s="27">
        <f>COUNTIF(关系明细!$G$2:$G$2253,B955)</f>
        <v>1</v>
      </c>
    </row>
    <row r="956" spans="1:9" ht="16.5">
      <c r="A956" s="35" t="s">
        <v>6750</v>
      </c>
      <c r="B956" s="30" t="s">
        <v>6747</v>
      </c>
      <c r="C956" s="39" t="s">
        <v>62</v>
      </c>
      <c r="D956" s="35" t="s">
        <v>8174</v>
      </c>
      <c r="E956" s="29" t="s">
        <v>6692</v>
      </c>
      <c r="F956" s="35"/>
      <c r="G956" s="30" t="s">
        <v>8500</v>
      </c>
      <c r="H956" s="29">
        <f>COUNTIF(关系明细!$D$2:$D$2253,B956)</f>
        <v>9</v>
      </c>
      <c r="I956" s="29">
        <f>COUNTIF(关系明细!$G$2:$G$2253,B956)</f>
        <v>2</v>
      </c>
    </row>
    <row r="957" spans="1:9" ht="16.5">
      <c r="A957" s="34" t="s">
        <v>6725</v>
      </c>
      <c r="B957" s="9" t="s">
        <v>6722</v>
      </c>
      <c r="C957" s="40" t="s">
        <v>62</v>
      </c>
      <c r="D957" s="34" t="s">
        <v>8174</v>
      </c>
      <c r="E957" s="27" t="s">
        <v>6692</v>
      </c>
      <c r="F957" s="34"/>
      <c r="G957" s="9" t="s">
        <v>8501</v>
      </c>
      <c r="H957" s="27">
        <f>COUNTIF(关系明细!$D$2:$D$2253,B957)</f>
        <v>12</v>
      </c>
      <c r="I957" s="27">
        <f>COUNTIF(关系明细!$G$2:$G$2253,B957)</f>
        <v>2</v>
      </c>
    </row>
    <row r="958" spans="1:9" ht="16.5">
      <c r="A958" s="35" t="s">
        <v>6773</v>
      </c>
      <c r="B958" s="30" t="s">
        <v>6770</v>
      </c>
      <c r="C958" s="39" t="s">
        <v>62</v>
      </c>
      <c r="D958" s="35" t="s">
        <v>8174</v>
      </c>
      <c r="E958" s="29" t="s">
        <v>6692</v>
      </c>
      <c r="F958" s="35"/>
      <c r="G958" s="30" t="s">
        <v>8502</v>
      </c>
      <c r="H958" s="29">
        <f>COUNTIF(关系明细!$D$2:$D$2253,B958)</f>
        <v>5</v>
      </c>
      <c r="I958" s="29">
        <f>COUNTIF(关系明细!$G$2:$G$2253,B958)</f>
        <v>2</v>
      </c>
    </row>
    <row r="959" spans="1:9" ht="16.5">
      <c r="A959" s="34" t="s">
        <v>6697</v>
      </c>
      <c r="B959" s="9" t="s">
        <v>6694</v>
      </c>
      <c r="C959" s="40" t="s">
        <v>62</v>
      </c>
      <c r="D959" s="34" t="s">
        <v>8174</v>
      </c>
      <c r="E959" s="27" t="s">
        <v>6692</v>
      </c>
      <c r="F959" s="34"/>
      <c r="G959" s="9" t="s">
        <v>8503</v>
      </c>
      <c r="H959" s="27">
        <f>COUNTIF(关系明细!$D$2:$D$2253,B959)</f>
        <v>10</v>
      </c>
      <c r="I959" s="27">
        <f>COUNTIF(关系明细!$G$2:$G$2253,B959)</f>
        <v>2</v>
      </c>
    </row>
    <row r="960" spans="1:9" ht="16.5">
      <c r="A960" s="35" t="s">
        <v>6717</v>
      </c>
      <c r="B960" s="30" t="s">
        <v>6714</v>
      </c>
      <c r="C960" s="39" t="s">
        <v>62</v>
      </c>
      <c r="D960" s="35" t="s">
        <v>8174</v>
      </c>
      <c r="E960" s="29" t="s">
        <v>6692</v>
      </c>
      <c r="F960" s="35"/>
      <c r="G960" s="30" t="s">
        <v>8504</v>
      </c>
      <c r="H960" s="29">
        <f>COUNTIF(关系明细!$D$2:$D$2253,B960)</f>
        <v>2</v>
      </c>
      <c r="I960" s="29">
        <f>COUNTIF(关系明细!$G$2:$G$2253,B960)</f>
        <v>2</v>
      </c>
    </row>
    <row r="961" spans="1:9" ht="16.5">
      <c r="A961" s="34" t="s">
        <v>6754</v>
      </c>
      <c r="B961" s="9" t="s">
        <v>6751</v>
      </c>
      <c r="C961" s="40" t="s">
        <v>72</v>
      </c>
      <c r="D961" s="34" t="s">
        <v>8181</v>
      </c>
      <c r="E961" s="27" t="s">
        <v>6692</v>
      </c>
      <c r="F961" s="34"/>
      <c r="G961" s="9" t="s">
        <v>8505</v>
      </c>
      <c r="H961" s="27">
        <f>COUNTIF(关系明细!$D$2:$D$2253,B961)</f>
        <v>0</v>
      </c>
      <c r="I961" s="27">
        <f>COUNTIF(关系明细!$G$2:$G$2253,B961)</f>
        <v>1</v>
      </c>
    </row>
    <row r="962" spans="1:9" ht="16.5">
      <c r="A962" s="35" t="s">
        <v>6757</v>
      </c>
      <c r="B962" s="30" t="s">
        <v>6755</v>
      </c>
      <c r="C962" s="39" t="s">
        <v>72</v>
      </c>
      <c r="D962" s="35" t="s">
        <v>8181</v>
      </c>
      <c r="E962" s="29" t="s">
        <v>6692</v>
      </c>
      <c r="F962" s="35"/>
      <c r="G962" s="30" t="s">
        <v>8505</v>
      </c>
      <c r="H962" s="29">
        <f>COUNTIF(关系明细!$D$2:$D$2253,B962)</f>
        <v>0</v>
      </c>
      <c r="I962" s="29">
        <f>COUNTIF(关系明细!$G$2:$G$2253,B962)</f>
        <v>1</v>
      </c>
    </row>
    <row r="963" spans="1:9" ht="16.5">
      <c r="A963" s="34" t="s">
        <v>6729</v>
      </c>
      <c r="B963" s="9" t="s">
        <v>6726</v>
      </c>
      <c r="C963" s="40" t="s">
        <v>72</v>
      </c>
      <c r="D963" s="34" t="s">
        <v>8181</v>
      </c>
      <c r="E963" s="27" t="s">
        <v>6692</v>
      </c>
      <c r="F963" s="34"/>
      <c r="G963" s="9" t="s">
        <v>8506</v>
      </c>
      <c r="H963" s="27">
        <f>COUNTIF(关系明细!$D$2:$D$2253,B963)</f>
        <v>0</v>
      </c>
      <c r="I963" s="27">
        <f>COUNTIF(关系明细!$G$2:$G$2253,B963)</f>
        <v>1</v>
      </c>
    </row>
    <row r="964" spans="1:9" ht="16.5">
      <c r="A964" s="35" t="s">
        <v>6732</v>
      </c>
      <c r="B964" s="30" t="s">
        <v>6730</v>
      </c>
      <c r="C964" s="39" t="s">
        <v>72</v>
      </c>
      <c r="D964" s="35" t="s">
        <v>8181</v>
      </c>
      <c r="E964" s="29" t="s">
        <v>6692</v>
      </c>
      <c r="F964" s="35"/>
      <c r="G964" s="30" t="s">
        <v>8506</v>
      </c>
      <c r="H964" s="29">
        <f>COUNTIF(关系明细!$D$2:$D$2253,B964)</f>
        <v>0</v>
      </c>
      <c r="I964" s="29">
        <f>COUNTIF(关系明细!$G$2:$G$2253,B964)</f>
        <v>1</v>
      </c>
    </row>
    <row r="965" spans="1:9" ht="16.5">
      <c r="A965" s="34" t="s">
        <v>6735</v>
      </c>
      <c r="B965" s="9" t="s">
        <v>6733</v>
      </c>
      <c r="C965" s="40" t="s">
        <v>72</v>
      </c>
      <c r="D965" s="34" t="s">
        <v>8181</v>
      </c>
      <c r="E965" s="27" t="s">
        <v>6692</v>
      </c>
      <c r="F965" s="34"/>
      <c r="G965" s="9" t="s">
        <v>8506</v>
      </c>
      <c r="H965" s="27">
        <f>COUNTIF(关系明细!$D$2:$D$2253,B965)</f>
        <v>0</v>
      </c>
      <c r="I965" s="27">
        <f>COUNTIF(关系明细!$G$2:$G$2253,B965)</f>
        <v>1</v>
      </c>
    </row>
    <row r="966" spans="1:9" ht="16.5">
      <c r="A966" s="35" t="s">
        <v>6738</v>
      </c>
      <c r="B966" s="30" t="s">
        <v>6736</v>
      </c>
      <c r="C966" s="39" t="s">
        <v>72</v>
      </c>
      <c r="D966" s="35" t="s">
        <v>8181</v>
      </c>
      <c r="E966" s="29" t="s">
        <v>6692</v>
      </c>
      <c r="F966" s="35"/>
      <c r="G966" s="30" t="s">
        <v>8506</v>
      </c>
      <c r="H966" s="29">
        <f>COUNTIF(关系明细!$D$2:$D$2253,B966)</f>
        <v>0</v>
      </c>
      <c r="I966" s="29">
        <f>COUNTIF(关系明细!$G$2:$G$2253,B966)</f>
        <v>1</v>
      </c>
    </row>
    <row r="967" spans="1:9" ht="16.5">
      <c r="A967" s="34" t="s">
        <v>6777</v>
      </c>
      <c r="B967" s="9" t="s">
        <v>6774</v>
      </c>
      <c r="C967" s="40" t="s">
        <v>72</v>
      </c>
      <c r="D967" s="34" t="s">
        <v>8181</v>
      </c>
      <c r="E967" s="27" t="s">
        <v>6692</v>
      </c>
      <c r="F967" s="34"/>
      <c r="G967" s="9" t="s">
        <v>8507</v>
      </c>
      <c r="H967" s="27">
        <f>COUNTIF(关系明细!$D$2:$D$2253,B967)</f>
        <v>0</v>
      </c>
      <c r="I967" s="27">
        <f>COUNTIF(关系明细!$G$2:$G$2253,B967)</f>
        <v>1</v>
      </c>
    </row>
    <row r="968" spans="1:9" ht="16.5">
      <c r="A968" s="35" t="s">
        <v>6780</v>
      </c>
      <c r="B968" s="30" t="s">
        <v>6778</v>
      </c>
      <c r="C968" s="39" t="s">
        <v>72</v>
      </c>
      <c r="D968" s="35" t="s">
        <v>8181</v>
      </c>
      <c r="E968" s="29" t="s">
        <v>6692</v>
      </c>
      <c r="F968" s="35"/>
      <c r="G968" s="30" t="s">
        <v>8507</v>
      </c>
      <c r="H968" s="29">
        <f>COUNTIF(关系明细!$D$2:$D$2253,B968)</f>
        <v>0</v>
      </c>
      <c r="I968" s="29">
        <f>COUNTIF(关系明细!$G$2:$G$2253,B968)</f>
        <v>1</v>
      </c>
    </row>
    <row r="969" spans="1:9" ht="16.5">
      <c r="A969" s="34" t="s">
        <v>6702</v>
      </c>
      <c r="B969" s="9" t="s">
        <v>6700</v>
      </c>
      <c r="C969" s="40" t="s">
        <v>72</v>
      </c>
      <c r="D969" s="34" t="s">
        <v>8181</v>
      </c>
      <c r="E969" s="27" t="s">
        <v>6692</v>
      </c>
      <c r="F969" s="34"/>
      <c r="G969" s="9" t="s">
        <v>8508</v>
      </c>
      <c r="H969" s="27">
        <f>COUNTIF(关系明细!$D$2:$D$2253,B969)</f>
        <v>0</v>
      </c>
      <c r="I969" s="27">
        <f>COUNTIF(关系明细!$G$2:$G$2253,B969)</f>
        <v>1</v>
      </c>
    </row>
    <row r="970" spans="1:9" ht="16.5">
      <c r="A970" s="35" t="s">
        <v>6705</v>
      </c>
      <c r="B970" s="30" t="s">
        <v>6703</v>
      </c>
      <c r="C970" s="39" t="s">
        <v>72</v>
      </c>
      <c r="D970" s="35" t="s">
        <v>8181</v>
      </c>
      <c r="E970" s="29" t="s">
        <v>6692</v>
      </c>
      <c r="F970" s="35"/>
      <c r="G970" s="30" t="s">
        <v>8508</v>
      </c>
      <c r="H970" s="29">
        <f>COUNTIF(关系明细!$D$2:$D$2253,B970)</f>
        <v>0</v>
      </c>
      <c r="I970" s="29">
        <f>COUNTIF(关系明细!$G$2:$G$2253,B970)</f>
        <v>1</v>
      </c>
    </row>
    <row r="971" spans="1:9" ht="16.5">
      <c r="A971" s="34" t="s">
        <v>6761</v>
      </c>
      <c r="B971" s="9" t="s">
        <v>6758</v>
      </c>
      <c r="C971" s="40" t="s">
        <v>82</v>
      </c>
      <c r="D971" s="34" t="s">
        <v>8186</v>
      </c>
      <c r="E971" s="27" t="s">
        <v>6692</v>
      </c>
      <c r="F971" s="34"/>
      <c r="G971" s="9" t="s">
        <v>8509</v>
      </c>
      <c r="H971" s="27">
        <f>COUNTIF(关系明细!$D$2:$D$2253,B971)</f>
        <v>0</v>
      </c>
      <c r="I971" s="27">
        <f>COUNTIF(关系明细!$G$2:$G$2253,B971)</f>
        <v>1</v>
      </c>
    </row>
    <row r="972" spans="1:9" ht="16.5">
      <c r="A972" s="35" t="s">
        <v>6765</v>
      </c>
      <c r="B972" s="30" t="s">
        <v>6762</v>
      </c>
      <c r="C972" s="39" t="s">
        <v>82</v>
      </c>
      <c r="D972" s="35" t="s">
        <v>8186</v>
      </c>
      <c r="E972" s="29" t="s">
        <v>6692</v>
      </c>
      <c r="F972" s="35"/>
      <c r="G972" s="30" t="s">
        <v>8510</v>
      </c>
      <c r="H972" s="29">
        <f>COUNTIF(关系明细!$D$2:$D$2253,B972)</f>
        <v>0</v>
      </c>
      <c r="I972" s="29">
        <f>COUNTIF(关系明细!$G$2:$G$2253,B972)</f>
        <v>1</v>
      </c>
    </row>
    <row r="973" spans="1:9" ht="16.5">
      <c r="A973" s="34" t="s">
        <v>6769</v>
      </c>
      <c r="B973" s="9" t="s">
        <v>6766</v>
      </c>
      <c r="C973" s="40" t="s">
        <v>82</v>
      </c>
      <c r="D973" s="34" t="s">
        <v>8186</v>
      </c>
      <c r="E973" s="27" t="s">
        <v>6692</v>
      </c>
      <c r="F973" s="34"/>
      <c r="G973" s="9" t="s">
        <v>8511</v>
      </c>
      <c r="H973" s="27">
        <f>COUNTIF(关系明细!$D$2:$D$2253,B973)</f>
        <v>0</v>
      </c>
      <c r="I973" s="27">
        <f>COUNTIF(关系明细!$G$2:$G$2253,B973)</f>
        <v>1</v>
      </c>
    </row>
    <row r="974" spans="1:9" ht="16.5">
      <c r="A974" s="35" t="s">
        <v>6742</v>
      </c>
      <c r="B974" s="30" t="s">
        <v>6739</v>
      </c>
      <c r="C974" s="39" t="s">
        <v>82</v>
      </c>
      <c r="D974" s="35" t="s">
        <v>8186</v>
      </c>
      <c r="E974" s="29" t="s">
        <v>6692</v>
      </c>
      <c r="F974" s="35"/>
      <c r="G974" s="30" t="s">
        <v>8512</v>
      </c>
      <c r="H974" s="29">
        <f>COUNTIF(关系明细!$D$2:$D$2253,B974)</f>
        <v>0</v>
      </c>
      <c r="I974" s="29">
        <f>COUNTIF(关系明细!$G$2:$G$2253,B974)</f>
        <v>1</v>
      </c>
    </row>
    <row r="975" spans="1:9" ht="16.5">
      <c r="A975" s="34" t="s">
        <v>6746</v>
      </c>
      <c r="B975" s="9" t="s">
        <v>6743</v>
      </c>
      <c r="C975" s="40" t="s">
        <v>82</v>
      </c>
      <c r="D975" s="34" t="s">
        <v>8186</v>
      </c>
      <c r="E975" s="27" t="s">
        <v>6692</v>
      </c>
      <c r="F975" s="34"/>
      <c r="G975" s="9" t="s">
        <v>8513</v>
      </c>
      <c r="H975" s="27">
        <f>COUNTIF(关系明细!$D$2:$D$2253,B975)</f>
        <v>0</v>
      </c>
      <c r="I975" s="27">
        <f>COUNTIF(关系明细!$G$2:$G$2253,B975)</f>
        <v>1</v>
      </c>
    </row>
    <row r="976" spans="1:9" ht="16.5">
      <c r="A976" s="35" t="s">
        <v>6709</v>
      </c>
      <c r="B976" s="30" t="s">
        <v>6706</v>
      </c>
      <c r="C976" s="39" t="s">
        <v>82</v>
      </c>
      <c r="D976" s="35" t="s">
        <v>8186</v>
      </c>
      <c r="E976" s="29" t="s">
        <v>6692</v>
      </c>
      <c r="F976" s="35"/>
      <c r="G976" s="35" t="s">
        <v>8195</v>
      </c>
      <c r="H976" s="29">
        <f>COUNTIF(关系明细!$D$2:$D$2253,B976)</f>
        <v>0</v>
      </c>
      <c r="I976" s="29">
        <f>COUNTIF(关系明细!$G$2:$G$2253,B976)</f>
        <v>1</v>
      </c>
    </row>
    <row r="977" spans="1:9" ht="16.5">
      <c r="A977" s="34" t="s">
        <v>6713</v>
      </c>
      <c r="B977" s="9" t="s">
        <v>6710</v>
      </c>
      <c r="C977" s="40" t="s">
        <v>82</v>
      </c>
      <c r="D977" s="34" t="s">
        <v>8186</v>
      </c>
      <c r="E977" s="27" t="s">
        <v>6692</v>
      </c>
      <c r="F977" s="34"/>
      <c r="G977" s="9" t="s">
        <v>8188</v>
      </c>
      <c r="H977" s="27">
        <f>COUNTIF(关系明细!$D$2:$D$2253,B977)</f>
        <v>0</v>
      </c>
      <c r="I977" s="27">
        <f>COUNTIF(关系明细!$G$2:$G$2253,B977)</f>
        <v>1</v>
      </c>
    </row>
    <row r="978" spans="1:9" ht="16.5">
      <c r="A978" s="35" t="s">
        <v>6721</v>
      </c>
      <c r="B978" s="30" t="s">
        <v>6718</v>
      </c>
      <c r="C978" s="39" t="s">
        <v>82</v>
      </c>
      <c r="D978" s="35" t="s">
        <v>8186</v>
      </c>
      <c r="E978" s="29" t="s">
        <v>6692</v>
      </c>
      <c r="F978" s="35"/>
      <c r="G978" s="30" t="s">
        <v>8514</v>
      </c>
      <c r="H978" s="29">
        <f>COUNTIF(关系明细!$D$2:$D$2253,B978)</f>
        <v>0</v>
      </c>
      <c r="I978" s="29">
        <f>COUNTIF(关系明细!$G$2:$G$2253,B978)</f>
        <v>1</v>
      </c>
    </row>
    <row r="979" spans="1:9" ht="16.5">
      <c r="A979" s="34" t="s">
        <v>4546</v>
      </c>
      <c r="B979" s="9" t="s">
        <v>4543</v>
      </c>
      <c r="C979" s="40" t="s">
        <v>300</v>
      </c>
      <c r="D979" s="34" t="s">
        <v>8197</v>
      </c>
      <c r="E979" s="27" t="s">
        <v>6692</v>
      </c>
      <c r="F979" s="34"/>
      <c r="G979" s="9" t="s">
        <v>8515</v>
      </c>
      <c r="H979" s="27">
        <f>COUNTIF(关系明细!$D$2:$D$2253,B979)</f>
        <v>2</v>
      </c>
      <c r="I979" s="27">
        <f>COUNTIF(关系明细!$G$2:$G$2253,B979)</f>
        <v>1</v>
      </c>
    </row>
    <row r="980" spans="1:9" ht="16.5">
      <c r="A980" s="35" t="s">
        <v>6784</v>
      </c>
      <c r="B980" s="30" t="s">
        <v>6781</v>
      </c>
      <c r="C980" s="39" t="s">
        <v>204</v>
      </c>
      <c r="D980" s="35" t="s">
        <v>8201</v>
      </c>
      <c r="E980" s="29" t="s">
        <v>6692</v>
      </c>
      <c r="F980" s="30" t="s">
        <v>6694</v>
      </c>
      <c r="G980" s="35" t="s">
        <v>584</v>
      </c>
      <c r="H980" s="29">
        <f>COUNTIF(关系明细!$D$2:$D$2253,B980)</f>
        <v>1</v>
      </c>
      <c r="I980" s="29">
        <f>COUNTIF(关系明细!$G$2:$G$2253,B980)</f>
        <v>1</v>
      </c>
    </row>
    <row r="981" spans="1:9" ht="16.5">
      <c r="A981" s="34" t="s">
        <v>6789</v>
      </c>
      <c r="B981" s="9" t="s">
        <v>6786</v>
      </c>
      <c r="C981" s="40" t="s">
        <v>204</v>
      </c>
      <c r="D981" s="34" t="s">
        <v>8201</v>
      </c>
      <c r="E981" s="27" t="s">
        <v>6692</v>
      </c>
      <c r="F981" s="9" t="s">
        <v>6694</v>
      </c>
      <c r="G981" s="34" t="s">
        <v>584</v>
      </c>
      <c r="H981" s="27">
        <f>COUNTIF(关系明细!$D$2:$D$2253,B981)</f>
        <v>1</v>
      </c>
      <c r="I981" s="27">
        <f>COUNTIF(关系明细!$G$2:$G$2253,B981)</f>
        <v>1</v>
      </c>
    </row>
    <row r="982" spans="1:9" ht="16.5">
      <c r="A982" s="35" t="s">
        <v>6794</v>
      </c>
      <c r="B982" s="30" t="s">
        <v>6791</v>
      </c>
      <c r="C982" s="39" t="s">
        <v>204</v>
      </c>
      <c r="D982" s="35" t="s">
        <v>8201</v>
      </c>
      <c r="E982" s="29" t="s">
        <v>6692</v>
      </c>
      <c r="F982" s="30" t="s">
        <v>6722</v>
      </c>
      <c r="G982" s="35" t="s">
        <v>584</v>
      </c>
      <c r="H982" s="29">
        <f>COUNTIF(关系明细!$D$2:$D$2253,B982)</f>
        <v>4</v>
      </c>
      <c r="I982" s="29">
        <f>COUNTIF(关系明细!$G$2:$G$2253,B982)</f>
        <v>1</v>
      </c>
    </row>
    <row r="983" spans="1:9" ht="16.5">
      <c r="A983" s="34" t="s">
        <v>6799</v>
      </c>
      <c r="B983" s="9" t="s">
        <v>6796</v>
      </c>
      <c r="C983" s="40" t="s">
        <v>204</v>
      </c>
      <c r="D983" s="34" t="s">
        <v>8201</v>
      </c>
      <c r="E983" s="27" t="s">
        <v>6692</v>
      </c>
      <c r="F983" s="9" t="s">
        <v>6722</v>
      </c>
      <c r="G983" s="34" t="s">
        <v>584</v>
      </c>
      <c r="H983" s="27">
        <f>COUNTIF(关系明细!$D$2:$D$2253,B983)</f>
        <v>5</v>
      </c>
      <c r="I983" s="27">
        <f>COUNTIF(关系明细!$G$2:$G$2253,B983)</f>
        <v>2</v>
      </c>
    </row>
    <row r="984" spans="1:9" ht="16.5">
      <c r="A984" s="35" t="s">
        <v>6804</v>
      </c>
      <c r="B984" s="30" t="s">
        <v>6801</v>
      </c>
      <c r="C984" s="39" t="s">
        <v>204</v>
      </c>
      <c r="D984" s="35" t="s">
        <v>8201</v>
      </c>
      <c r="E984" s="29" t="s">
        <v>6692</v>
      </c>
      <c r="F984" s="30" t="s">
        <v>6722</v>
      </c>
      <c r="G984" s="35" t="s">
        <v>584</v>
      </c>
      <c r="H984" s="29">
        <f>COUNTIF(关系明细!$D$2:$D$2253,B984)</f>
        <v>4</v>
      </c>
      <c r="I984" s="29">
        <f>COUNTIF(关系明细!$G$2:$G$2253,B984)</f>
        <v>1</v>
      </c>
    </row>
    <row r="985" spans="1:9" ht="16.5">
      <c r="A985" s="34" t="s">
        <v>6809</v>
      </c>
      <c r="B985" s="9" t="s">
        <v>6806</v>
      </c>
      <c r="C985" s="40" t="s">
        <v>204</v>
      </c>
      <c r="D985" s="34" t="s">
        <v>8201</v>
      </c>
      <c r="E985" s="27" t="s">
        <v>6692</v>
      </c>
      <c r="F985" s="9" t="s">
        <v>6722</v>
      </c>
      <c r="G985" s="34" t="s">
        <v>584</v>
      </c>
      <c r="H985" s="27">
        <f>COUNTIF(关系明细!$D$2:$D$2253,B985)</f>
        <v>2</v>
      </c>
      <c r="I985" s="27">
        <f>COUNTIF(关系明细!$G$2:$G$2253,B985)</f>
        <v>2</v>
      </c>
    </row>
    <row r="986" spans="1:9" ht="16.5">
      <c r="A986" s="35" t="s">
        <v>6814</v>
      </c>
      <c r="B986" s="30" t="s">
        <v>6811</v>
      </c>
      <c r="C986" s="39" t="s">
        <v>204</v>
      </c>
      <c r="D986" s="35" t="s">
        <v>8201</v>
      </c>
      <c r="E986" s="29" t="s">
        <v>6692</v>
      </c>
      <c r="F986" s="30" t="s">
        <v>6747</v>
      </c>
      <c r="G986" s="35" t="s">
        <v>584</v>
      </c>
      <c r="H986" s="29">
        <f>COUNTIF(关系明细!$D$2:$D$2253,B986)</f>
        <v>3</v>
      </c>
      <c r="I986" s="29">
        <f>COUNTIF(关系明细!$G$2:$G$2253,B986)</f>
        <v>2</v>
      </c>
    </row>
    <row r="987" spans="1:9" ht="16.5">
      <c r="A987" s="34" t="s">
        <v>6819</v>
      </c>
      <c r="B987" s="9" t="s">
        <v>6816</v>
      </c>
      <c r="C987" s="40" t="s">
        <v>204</v>
      </c>
      <c r="D987" s="34" t="s">
        <v>8201</v>
      </c>
      <c r="E987" s="27" t="s">
        <v>6692</v>
      </c>
      <c r="F987" s="9" t="s">
        <v>6747</v>
      </c>
      <c r="G987" s="34" t="s">
        <v>584</v>
      </c>
      <c r="H987" s="27">
        <f>COUNTIF(关系明细!$D$2:$D$2253,B987)</f>
        <v>2</v>
      </c>
      <c r="I987" s="27">
        <f>COUNTIF(关系明细!$G$2:$G$2253,B987)</f>
        <v>1</v>
      </c>
    </row>
    <row r="988" spans="1:9" ht="16.5">
      <c r="A988" s="35" t="s">
        <v>6824</v>
      </c>
      <c r="B988" s="30" t="s">
        <v>6821</v>
      </c>
      <c r="C988" s="39" t="s">
        <v>204</v>
      </c>
      <c r="D988" s="35" t="s">
        <v>8201</v>
      </c>
      <c r="E988" s="29" t="s">
        <v>6692</v>
      </c>
      <c r="F988" s="30" t="s">
        <v>6747</v>
      </c>
      <c r="G988" s="35" t="s">
        <v>584</v>
      </c>
      <c r="H988" s="29">
        <f>COUNTIF(关系明细!$D$2:$D$2253,B988)</f>
        <v>2</v>
      </c>
      <c r="I988" s="29">
        <f>COUNTIF(关系明细!$G$2:$G$2253,B988)</f>
        <v>1</v>
      </c>
    </row>
    <row r="989" spans="1:9" ht="16.5">
      <c r="A989" s="34" t="s">
        <v>6829</v>
      </c>
      <c r="B989" s="9" t="s">
        <v>6826</v>
      </c>
      <c r="C989" s="40" t="s">
        <v>204</v>
      </c>
      <c r="D989" s="34" t="s">
        <v>8201</v>
      </c>
      <c r="E989" s="27" t="s">
        <v>6692</v>
      </c>
      <c r="F989" s="9" t="s">
        <v>6770</v>
      </c>
      <c r="G989" s="34" t="s">
        <v>584</v>
      </c>
      <c r="H989" s="27">
        <f>COUNTIF(关系明细!$D$2:$D$2253,B989)</f>
        <v>2</v>
      </c>
      <c r="I989" s="27">
        <f>COUNTIF(关系明细!$G$2:$G$2253,B989)</f>
        <v>1</v>
      </c>
    </row>
    <row r="990" spans="1:9" ht="16.5">
      <c r="A990" s="35" t="s">
        <v>6834</v>
      </c>
      <c r="B990" s="30" t="s">
        <v>6831</v>
      </c>
      <c r="C990" s="39" t="s">
        <v>204</v>
      </c>
      <c r="D990" s="35" t="s">
        <v>8201</v>
      </c>
      <c r="E990" s="29" t="s">
        <v>6692</v>
      </c>
      <c r="F990" s="30" t="s">
        <v>6770</v>
      </c>
      <c r="G990" s="35" t="s">
        <v>584</v>
      </c>
      <c r="H990" s="29">
        <f>COUNTIF(关系明细!$D$2:$D$2253,B990)</f>
        <v>2</v>
      </c>
      <c r="I990" s="29">
        <f>COUNTIF(关系明细!$G$2:$G$2253,B990)</f>
        <v>1</v>
      </c>
    </row>
    <row r="991" spans="1:9" ht="16.5">
      <c r="A991" s="34" t="s">
        <v>6839</v>
      </c>
      <c r="B991" s="9" t="s">
        <v>6836</v>
      </c>
      <c r="C991" s="40" t="s">
        <v>295</v>
      </c>
      <c r="D991" s="34" t="s">
        <v>8202</v>
      </c>
      <c r="E991" s="27" t="s">
        <v>6692</v>
      </c>
      <c r="F991" s="9" t="s">
        <v>6722</v>
      </c>
      <c r="G991" s="34" t="s">
        <v>584</v>
      </c>
      <c r="H991" s="27">
        <f>COUNTIF(关系明细!$D$2:$D$2253,B991)</f>
        <v>1</v>
      </c>
      <c r="I991" s="27">
        <f>COUNTIF(关系明细!$G$2:$G$2253,B991)</f>
        <v>3</v>
      </c>
    </row>
    <row r="992" spans="1:9" ht="16.5">
      <c r="A992" s="35" t="s">
        <v>6932</v>
      </c>
      <c r="B992" s="30" t="s">
        <v>6929</v>
      </c>
      <c r="C992" s="39" t="s">
        <v>488</v>
      </c>
      <c r="D992" s="35" t="s">
        <v>8203</v>
      </c>
      <c r="E992" s="29" t="s">
        <v>6692</v>
      </c>
      <c r="F992" s="35"/>
      <c r="G992" s="35" t="s">
        <v>584</v>
      </c>
      <c r="H992" s="29">
        <f>COUNTIF(关系明细!$D$2:$D$2253,B992)</f>
        <v>1</v>
      </c>
      <c r="I992" s="29">
        <f>COUNTIF(关系明细!$G$2:$G$2253,B992)</f>
        <v>1</v>
      </c>
    </row>
    <row r="993" spans="1:9" ht="16.5">
      <c r="A993" s="34" t="s">
        <v>6942</v>
      </c>
      <c r="B993" s="9" t="s">
        <v>6939</v>
      </c>
      <c r="C993" s="40" t="s">
        <v>488</v>
      </c>
      <c r="D993" s="34" t="s">
        <v>8203</v>
      </c>
      <c r="E993" s="27" t="s">
        <v>6692</v>
      </c>
      <c r="F993" s="34"/>
      <c r="G993" s="34" t="s">
        <v>584</v>
      </c>
      <c r="H993" s="27">
        <f>COUNTIF(关系明细!$D$2:$D$2253,B993)</f>
        <v>1</v>
      </c>
      <c r="I993" s="27">
        <f>COUNTIF(关系明细!$G$2:$G$2253,B993)</f>
        <v>1</v>
      </c>
    </row>
    <row r="994" spans="1:9" ht="16.5">
      <c r="A994" s="35" t="s">
        <v>6952</v>
      </c>
      <c r="B994" s="30" t="s">
        <v>6949</v>
      </c>
      <c r="C994" s="39" t="s">
        <v>488</v>
      </c>
      <c r="D994" s="35" t="s">
        <v>8203</v>
      </c>
      <c r="E994" s="29" t="s">
        <v>6692</v>
      </c>
      <c r="F994" s="35"/>
      <c r="G994" s="35" t="s">
        <v>584</v>
      </c>
      <c r="H994" s="29">
        <f>COUNTIF(关系明细!$D$2:$D$2253,B994)</f>
        <v>1</v>
      </c>
      <c r="I994" s="29">
        <f>COUNTIF(关系明细!$G$2:$G$2253,B994)</f>
        <v>1</v>
      </c>
    </row>
    <row r="995" spans="1:9" ht="16.5">
      <c r="A995" s="34" t="s">
        <v>6933</v>
      </c>
      <c r="B995" s="9" t="s">
        <v>6930</v>
      </c>
      <c r="C995" s="40" t="s">
        <v>491</v>
      </c>
      <c r="D995" s="34" t="s">
        <v>8204</v>
      </c>
      <c r="E995" s="27" t="s">
        <v>6692</v>
      </c>
      <c r="F995" s="34"/>
      <c r="G995" s="34" t="s">
        <v>6934</v>
      </c>
      <c r="H995" s="27">
        <f>COUNTIF(关系明细!$D$2:$D$2253,B995)</f>
        <v>1</v>
      </c>
      <c r="I995" s="27">
        <f>COUNTIF(关系明细!$G$2:$G$2253,B995)</f>
        <v>1</v>
      </c>
    </row>
    <row r="996" spans="1:9" ht="16.5">
      <c r="A996" s="35" t="s">
        <v>6943</v>
      </c>
      <c r="B996" s="30" t="s">
        <v>6940</v>
      </c>
      <c r="C996" s="39" t="s">
        <v>491</v>
      </c>
      <c r="D996" s="35" t="s">
        <v>8204</v>
      </c>
      <c r="E996" s="29" t="s">
        <v>6692</v>
      </c>
      <c r="F996" s="35"/>
      <c r="G996" s="35" t="s">
        <v>6944</v>
      </c>
      <c r="H996" s="29">
        <f>COUNTIF(关系明细!$D$2:$D$2253,B996)</f>
        <v>1</v>
      </c>
      <c r="I996" s="29">
        <f>COUNTIF(关系明细!$G$2:$G$2253,B996)</f>
        <v>1</v>
      </c>
    </row>
    <row r="997" spans="1:9" ht="16.5">
      <c r="A997" s="34" t="s">
        <v>6953</v>
      </c>
      <c r="B997" s="9" t="s">
        <v>6950</v>
      </c>
      <c r="C997" s="40" t="s">
        <v>491</v>
      </c>
      <c r="D997" s="34" t="s">
        <v>8204</v>
      </c>
      <c r="E997" s="27" t="s">
        <v>6692</v>
      </c>
      <c r="F997" s="34"/>
      <c r="G997" s="34" t="s">
        <v>6954</v>
      </c>
      <c r="H997" s="27">
        <f>COUNTIF(关系明细!$D$2:$D$2253,B997)</f>
        <v>1</v>
      </c>
      <c r="I997" s="27">
        <f>COUNTIF(关系明细!$G$2:$G$2253,B997)</f>
        <v>1</v>
      </c>
    </row>
    <row r="998" spans="1:9" ht="16.5">
      <c r="A998" s="35" t="s">
        <v>3139</v>
      </c>
      <c r="B998" s="30" t="s">
        <v>3136</v>
      </c>
      <c r="C998" s="39" t="s">
        <v>44</v>
      </c>
      <c r="D998" s="35" t="s">
        <v>8172</v>
      </c>
      <c r="E998" s="29" t="s">
        <v>6981</v>
      </c>
      <c r="F998" s="35"/>
      <c r="G998" s="30" t="s">
        <v>8516</v>
      </c>
      <c r="H998" s="29">
        <f>COUNTIF(关系明细!$D$2:$D$2253,B998)</f>
        <v>6</v>
      </c>
      <c r="I998" s="29">
        <f>COUNTIF(关系明细!$G$2:$G$2253,B998)</f>
        <v>3</v>
      </c>
    </row>
    <row r="999" spans="1:9" ht="16.5">
      <c r="A999" s="34" t="s">
        <v>7029</v>
      </c>
      <c r="B999" s="9" t="s">
        <v>7026</v>
      </c>
      <c r="C999" s="40" t="s">
        <v>62</v>
      </c>
      <c r="D999" s="34" t="s">
        <v>8174</v>
      </c>
      <c r="E999" s="27" t="s">
        <v>6981</v>
      </c>
      <c r="F999" s="34"/>
      <c r="G999" s="9" t="s">
        <v>8517</v>
      </c>
      <c r="H999" s="27">
        <f>COUNTIF(关系明细!$D$2:$D$2253,B999)</f>
        <v>8</v>
      </c>
      <c r="I999" s="27">
        <f>COUNTIF(关系明细!$G$2:$G$2253,B999)</f>
        <v>3</v>
      </c>
    </row>
    <row r="1000" spans="1:9" ht="16.5">
      <c r="A1000" s="35" t="s">
        <v>7014</v>
      </c>
      <c r="B1000" s="30" t="s">
        <v>7011</v>
      </c>
      <c r="C1000" s="39" t="s">
        <v>62</v>
      </c>
      <c r="D1000" s="35" t="s">
        <v>8174</v>
      </c>
      <c r="E1000" s="29" t="s">
        <v>6981</v>
      </c>
      <c r="F1000" s="35"/>
      <c r="G1000" s="30" t="s">
        <v>8518</v>
      </c>
      <c r="H1000" s="29">
        <f>COUNTIF(关系明细!$D$2:$D$2253,B1000)</f>
        <v>6</v>
      </c>
      <c r="I1000" s="29">
        <f>COUNTIF(关系明细!$G$2:$G$2253,B1000)</f>
        <v>2</v>
      </c>
    </row>
    <row r="1001" spans="1:9" ht="16.5">
      <c r="A1001" s="34" t="s">
        <v>6988</v>
      </c>
      <c r="B1001" s="9" t="s">
        <v>6985</v>
      </c>
      <c r="C1001" s="40" t="s">
        <v>62</v>
      </c>
      <c r="D1001" s="34" t="s">
        <v>8174</v>
      </c>
      <c r="E1001" s="27" t="s">
        <v>6981</v>
      </c>
      <c r="F1001" s="34"/>
      <c r="G1001" s="9" t="s">
        <v>8519</v>
      </c>
      <c r="H1001" s="27">
        <f>COUNTIF(关系明细!$D$2:$D$2253,B1001)</f>
        <v>10</v>
      </c>
      <c r="I1001" s="27">
        <f>COUNTIF(关系明细!$G$2:$G$2253,B1001)</f>
        <v>4</v>
      </c>
    </row>
    <row r="1002" spans="1:9" ht="16.5">
      <c r="A1002" s="35" t="s">
        <v>7048</v>
      </c>
      <c r="B1002" s="30" t="s">
        <v>7045</v>
      </c>
      <c r="C1002" s="39" t="s">
        <v>62</v>
      </c>
      <c r="D1002" s="35" t="s">
        <v>8174</v>
      </c>
      <c r="E1002" s="29" t="s">
        <v>6981</v>
      </c>
      <c r="F1002" s="35"/>
      <c r="G1002" s="30" t="s">
        <v>8520</v>
      </c>
      <c r="H1002" s="29">
        <f>COUNTIF(关系明细!$D$2:$D$2253,B1002)</f>
        <v>9</v>
      </c>
      <c r="I1002" s="29">
        <f>COUNTIF(关系明细!$G$2:$G$2253,B1002)</f>
        <v>3</v>
      </c>
    </row>
    <row r="1003" spans="1:9" ht="16.5">
      <c r="A1003" s="34" t="s">
        <v>7033</v>
      </c>
      <c r="B1003" s="9" t="s">
        <v>7030</v>
      </c>
      <c r="C1003" s="40" t="s">
        <v>72</v>
      </c>
      <c r="D1003" s="34" t="s">
        <v>8181</v>
      </c>
      <c r="E1003" s="27" t="s">
        <v>6981</v>
      </c>
      <c r="F1003" s="34"/>
      <c r="G1003" s="9" t="s">
        <v>8521</v>
      </c>
      <c r="H1003" s="27">
        <f>COUNTIF(关系明细!$D$2:$D$2253,B1003)</f>
        <v>0</v>
      </c>
      <c r="I1003" s="27">
        <f>COUNTIF(关系明细!$G$2:$G$2253,B1003)</f>
        <v>1</v>
      </c>
    </row>
    <row r="1004" spans="1:9" ht="16.5">
      <c r="A1004" s="35" t="s">
        <v>7036</v>
      </c>
      <c r="B1004" s="30" t="s">
        <v>7034</v>
      </c>
      <c r="C1004" s="39" t="s">
        <v>72</v>
      </c>
      <c r="D1004" s="35" t="s">
        <v>8181</v>
      </c>
      <c r="E1004" s="29" t="s">
        <v>6981</v>
      </c>
      <c r="F1004" s="35"/>
      <c r="G1004" s="30" t="s">
        <v>8521</v>
      </c>
      <c r="H1004" s="29">
        <f>COUNTIF(关系明细!$D$2:$D$2253,B1004)</f>
        <v>0</v>
      </c>
      <c r="I1004" s="29">
        <f>COUNTIF(关系明细!$G$2:$G$2253,B1004)</f>
        <v>1</v>
      </c>
    </row>
    <row r="1005" spans="1:9" ht="16.5">
      <c r="A1005" s="34" t="s">
        <v>7018</v>
      </c>
      <c r="B1005" s="9" t="s">
        <v>7015</v>
      </c>
      <c r="C1005" s="40" t="s">
        <v>72</v>
      </c>
      <c r="D1005" s="34" t="s">
        <v>8181</v>
      </c>
      <c r="E1005" s="27" t="s">
        <v>6981</v>
      </c>
      <c r="F1005" s="34"/>
      <c r="G1005" s="9" t="s">
        <v>8522</v>
      </c>
      <c r="H1005" s="27">
        <f>COUNTIF(关系明细!$D$2:$D$2253,B1005)</f>
        <v>0</v>
      </c>
      <c r="I1005" s="27">
        <f>COUNTIF(关系明细!$G$2:$G$2253,B1005)</f>
        <v>1</v>
      </c>
    </row>
    <row r="1006" spans="1:9" ht="16.5">
      <c r="A1006" s="35" t="s">
        <v>7021</v>
      </c>
      <c r="B1006" s="30" t="s">
        <v>7019</v>
      </c>
      <c r="C1006" s="39" t="s">
        <v>72</v>
      </c>
      <c r="D1006" s="35" t="s">
        <v>8181</v>
      </c>
      <c r="E1006" s="29" t="s">
        <v>6981</v>
      </c>
      <c r="F1006" s="35"/>
      <c r="G1006" s="30" t="s">
        <v>8522</v>
      </c>
      <c r="H1006" s="29">
        <f>COUNTIF(关系明细!$D$2:$D$2253,B1006)</f>
        <v>0</v>
      </c>
      <c r="I1006" s="29">
        <f>COUNTIF(关系明细!$G$2:$G$2253,B1006)</f>
        <v>1</v>
      </c>
    </row>
    <row r="1007" spans="1:9" ht="16.5">
      <c r="A1007" s="34" t="s">
        <v>6992</v>
      </c>
      <c r="B1007" s="9" t="s">
        <v>6989</v>
      </c>
      <c r="C1007" s="40" t="s">
        <v>72</v>
      </c>
      <c r="D1007" s="34" t="s">
        <v>8181</v>
      </c>
      <c r="E1007" s="27" t="s">
        <v>6981</v>
      </c>
      <c r="F1007" s="34"/>
      <c r="G1007" s="9" t="s">
        <v>8523</v>
      </c>
      <c r="H1007" s="27">
        <f>COUNTIF(关系明细!$D$2:$D$2253,B1007)</f>
        <v>0</v>
      </c>
      <c r="I1007" s="27">
        <f>COUNTIF(关系明细!$G$2:$G$2253,B1007)</f>
        <v>1</v>
      </c>
    </row>
    <row r="1008" spans="1:9" ht="16.5">
      <c r="A1008" s="35" t="s">
        <v>6995</v>
      </c>
      <c r="B1008" s="30" t="s">
        <v>6993</v>
      </c>
      <c r="C1008" s="39" t="s">
        <v>72</v>
      </c>
      <c r="D1008" s="35" t="s">
        <v>8181</v>
      </c>
      <c r="E1008" s="29" t="s">
        <v>6981</v>
      </c>
      <c r="F1008" s="35"/>
      <c r="G1008" s="30" t="s">
        <v>8523</v>
      </c>
      <c r="H1008" s="29">
        <f>COUNTIF(关系明细!$D$2:$D$2253,B1008)</f>
        <v>0</v>
      </c>
      <c r="I1008" s="29">
        <f>COUNTIF(关系明细!$G$2:$G$2253,B1008)</f>
        <v>1</v>
      </c>
    </row>
    <row r="1009" spans="1:9" ht="16.5">
      <c r="A1009" s="34" t="s">
        <v>6998</v>
      </c>
      <c r="B1009" s="9" t="s">
        <v>6996</v>
      </c>
      <c r="C1009" s="40" t="s">
        <v>72</v>
      </c>
      <c r="D1009" s="34" t="s">
        <v>8181</v>
      </c>
      <c r="E1009" s="27" t="s">
        <v>6981</v>
      </c>
      <c r="F1009" s="34"/>
      <c r="G1009" s="9" t="s">
        <v>8523</v>
      </c>
      <c r="H1009" s="27">
        <f>COUNTIF(关系明细!$D$2:$D$2253,B1009)</f>
        <v>0</v>
      </c>
      <c r="I1009" s="27">
        <f>COUNTIF(关系明细!$G$2:$G$2253,B1009)</f>
        <v>1</v>
      </c>
    </row>
    <row r="1010" spans="1:9" ht="16.5">
      <c r="A1010" s="35" t="s">
        <v>7052</v>
      </c>
      <c r="B1010" s="30" t="s">
        <v>7049</v>
      </c>
      <c r="C1010" s="39" t="s">
        <v>72</v>
      </c>
      <c r="D1010" s="35" t="s">
        <v>8181</v>
      </c>
      <c r="E1010" s="29" t="s">
        <v>6981</v>
      </c>
      <c r="F1010" s="35"/>
      <c r="G1010" s="30" t="s">
        <v>8524</v>
      </c>
      <c r="H1010" s="29">
        <f>COUNTIF(关系明细!$D$2:$D$2253,B1010)</f>
        <v>0</v>
      </c>
      <c r="I1010" s="29">
        <f>COUNTIF(关系明细!$G$2:$G$2253,B1010)</f>
        <v>1</v>
      </c>
    </row>
    <row r="1011" spans="1:9" ht="16.5">
      <c r="A1011" s="34" t="s">
        <v>7055</v>
      </c>
      <c r="B1011" s="9" t="s">
        <v>7053</v>
      </c>
      <c r="C1011" s="40" t="s">
        <v>72</v>
      </c>
      <c r="D1011" s="34" t="s">
        <v>8181</v>
      </c>
      <c r="E1011" s="27" t="s">
        <v>6981</v>
      </c>
      <c r="F1011" s="34"/>
      <c r="G1011" s="9" t="s">
        <v>8524</v>
      </c>
      <c r="H1011" s="27">
        <f>COUNTIF(关系明细!$D$2:$D$2253,B1011)</f>
        <v>0</v>
      </c>
      <c r="I1011" s="27">
        <f>COUNTIF(关系明细!$G$2:$G$2253,B1011)</f>
        <v>1</v>
      </c>
    </row>
    <row r="1012" spans="1:9" ht="16.5">
      <c r="A1012" s="35" t="s">
        <v>7058</v>
      </c>
      <c r="B1012" s="30" t="s">
        <v>7056</v>
      </c>
      <c r="C1012" s="39" t="s">
        <v>72</v>
      </c>
      <c r="D1012" s="35" t="s">
        <v>8181</v>
      </c>
      <c r="E1012" s="29" t="s">
        <v>6981</v>
      </c>
      <c r="F1012" s="35"/>
      <c r="G1012" s="30" t="s">
        <v>8524</v>
      </c>
      <c r="H1012" s="29">
        <f>COUNTIF(关系明细!$D$2:$D$2253,B1012)</f>
        <v>0</v>
      </c>
      <c r="I1012" s="29">
        <f>COUNTIF(关系明细!$G$2:$G$2253,B1012)</f>
        <v>1</v>
      </c>
    </row>
    <row r="1013" spans="1:9" ht="16.5">
      <c r="A1013" s="34" t="s">
        <v>7061</v>
      </c>
      <c r="B1013" s="9" t="s">
        <v>7059</v>
      </c>
      <c r="C1013" s="40" t="s">
        <v>72</v>
      </c>
      <c r="D1013" s="34" t="s">
        <v>8181</v>
      </c>
      <c r="E1013" s="27" t="s">
        <v>6981</v>
      </c>
      <c r="F1013" s="34"/>
      <c r="G1013" s="9" t="s">
        <v>8524</v>
      </c>
      <c r="H1013" s="27">
        <f>COUNTIF(关系明细!$D$2:$D$2253,B1013)</f>
        <v>0</v>
      </c>
      <c r="I1013" s="27">
        <f>COUNTIF(关系明细!$G$2:$G$2253,B1013)</f>
        <v>1</v>
      </c>
    </row>
    <row r="1014" spans="1:9" ht="16.5">
      <c r="A1014" s="35" t="s">
        <v>7040</v>
      </c>
      <c r="B1014" s="30" t="s">
        <v>7037</v>
      </c>
      <c r="C1014" s="39" t="s">
        <v>82</v>
      </c>
      <c r="D1014" s="35" t="s">
        <v>8186</v>
      </c>
      <c r="E1014" s="29" t="s">
        <v>6981</v>
      </c>
      <c r="F1014" s="35"/>
      <c r="G1014" s="30" t="s">
        <v>8525</v>
      </c>
      <c r="H1014" s="29">
        <f>COUNTIF(关系明细!$D$2:$D$2253,B1014)</f>
        <v>0</v>
      </c>
      <c r="I1014" s="29">
        <f>COUNTIF(关系明细!$G$2:$G$2253,B1014)</f>
        <v>1</v>
      </c>
    </row>
    <row r="1015" spans="1:9" ht="16.5">
      <c r="A1015" s="34" t="s">
        <v>7044</v>
      </c>
      <c r="B1015" s="9" t="s">
        <v>7041</v>
      </c>
      <c r="C1015" s="40" t="s">
        <v>82</v>
      </c>
      <c r="D1015" s="34" t="s">
        <v>8186</v>
      </c>
      <c r="E1015" s="27" t="s">
        <v>6981</v>
      </c>
      <c r="F1015" s="34"/>
      <c r="G1015" s="9" t="s">
        <v>8526</v>
      </c>
      <c r="H1015" s="27">
        <f>COUNTIF(关系明细!$D$2:$D$2253,B1015)</f>
        <v>0</v>
      </c>
      <c r="I1015" s="27">
        <f>COUNTIF(关系明细!$G$2:$G$2253,B1015)</f>
        <v>1</v>
      </c>
    </row>
    <row r="1016" spans="1:9" ht="16.5">
      <c r="A1016" s="35" t="s">
        <v>7025</v>
      </c>
      <c r="B1016" s="30" t="s">
        <v>7022</v>
      </c>
      <c r="C1016" s="39" t="s">
        <v>82</v>
      </c>
      <c r="D1016" s="35" t="s">
        <v>8186</v>
      </c>
      <c r="E1016" s="29" t="s">
        <v>6981</v>
      </c>
      <c r="F1016" s="35"/>
      <c r="G1016" s="30" t="s">
        <v>8525</v>
      </c>
      <c r="H1016" s="29">
        <f>COUNTIF(关系明细!$D$2:$D$2253,B1016)</f>
        <v>0</v>
      </c>
      <c r="I1016" s="29">
        <f>COUNTIF(关系明细!$G$2:$G$2253,B1016)</f>
        <v>1</v>
      </c>
    </row>
    <row r="1017" spans="1:9" ht="16.5">
      <c r="A1017" s="34" t="s">
        <v>7002</v>
      </c>
      <c r="B1017" s="9" t="s">
        <v>6999</v>
      </c>
      <c r="C1017" s="40" t="s">
        <v>82</v>
      </c>
      <c r="D1017" s="34" t="s">
        <v>8186</v>
      </c>
      <c r="E1017" s="27" t="s">
        <v>6981</v>
      </c>
      <c r="F1017" s="34"/>
      <c r="G1017" s="9" t="s">
        <v>8525</v>
      </c>
      <c r="H1017" s="27">
        <f>COUNTIF(关系明细!$D$2:$D$2253,B1017)</f>
        <v>0</v>
      </c>
      <c r="I1017" s="27">
        <f>COUNTIF(关系明细!$G$2:$G$2253,B1017)</f>
        <v>1</v>
      </c>
    </row>
    <row r="1018" spans="1:9" ht="16.5">
      <c r="A1018" s="35" t="s">
        <v>7006</v>
      </c>
      <c r="B1018" s="30" t="s">
        <v>7003</v>
      </c>
      <c r="C1018" s="39" t="s">
        <v>82</v>
      </c>
      <c r="D1018" s="35" t="s">
        <v>8186</v>
      </c>
      <c r="E1018" s="29" t="s">
        <v>6981</v>
      </c>
      <c r="F1018" s="35"/>
      <c r="G1018" s="30" t="s">
        <v>8527</v>
      </c>
      <c r="H1018" s="29">
        <f>COUNTIF(关系明细!$D$2:$D$2253,B1018)</f>
        <v>0</v>
      </c>
      <c r="I1018" s="29">
        <f>COUNTIF(关系明细!$G$2:$G$2253,B1018)</f>
        <v>1</v>
      </c>
    </row>
    <row r="1019" spans="1:9" ht="16.5">
      <c r="A1019" s="34" t="s">
        <v>7010</v>
      </c>
      <c r="B1019" s="9" t="s">
        <v>7007</v>
      </c>
      <c r="C1019" s="40" t="s">
        <v>82</v>
      </c>
      <c r="D1019" s="34" t="s">
        <v>8186</v>
      </c>
      <c r="E1019" s="27" t="s">
        <v>6981</v>
      </c>
      <c r="F1019" s="34"/>
      <c r="G1019" s="9" t="s">
        <v>8528</v>
      </c>
      <c r="H1019" s="27">
        <f>COUNTIF(关系明细!$D$2:$D$2253,B1019)</f>
        <v>0</v>
      </c>
      <c r="I1019" s="27">
        <f>COUNTIF(关系明细!$G$2:$G$2253,B1019)</f>
        <v>1</v>
      </c>
    </row>
    <row r="1020" spans="1:9" ht="16.5">
      <c r="A1020" s="35" t="s">
        <v>7065</v>
      </c>
      <c r="B1020" s="30" t="s">
        <v>7062</v>
      </c>
      <c r="C1020" s="39" t="s">
        <v>82</v>
      </c>
      <c r="D1020" s="35" t="s">
        <v>8186</v>
      </c>
      <c r="E1020" s="29" t="s">
        <v>6981</v>
      </c>
      <c r="F1020" s="35"/>
      <c r="G1020" s="30" t="s">
        <v>8423</v>
      </c>
      <c r="H1020" s="29">
        <f>COUNTIF(关系明细!$D$2:$D$2253,B1020)</f>
        <v>0</v>
      </c>
      <c r="I1020" s="29">
        <f>COUNTIF(关系明细!$G$2:$G$2253,B1020)</f>
        <v>1</v>
      </c>
    </row>
    <row r="1021" spans="1:9" ht="16.5">
      <c r="A1021" s="34" t="s">
        <v>1021</v>
      </c>
      <c r="B1021" s="9" t="s">
        <v>1018</v>
      </c>
      <c r="C1021" s="40" t="s">
        <v>300</v>
      </c>
      <c r="D1021" s="34" t="s">
        <v>8197</v>
      </c>
      <c r="E1021" s="27" t="s">
        <v>6981</v>
      </c>
      <c r="F1021" s="34"/>
      <c r="G1021" s="9" t="s">
        <v>8529</v>
      </c>
      <c r="H1021" s="27">
        <f>COUNTIF(关系明细!$D$2:$D$2253,B1021)</f>
        <v>3</v>
      </c>
      <c r="I1021" s="27">
        <f>COUNTIF(关系明细!$G$2:$G$2253,B1021)</f>
        <v>4</v>
      </c>
    </row>
    <row r="1022" spans="1:9" ht="16.5">
      <c r="A1022" s="35" t="s">
        <v>7069</v>
      </c>
      <c r="B1022" s="30" t="s">
        <v>7066</v>
      </c>
      <c r="C1022" s="39" t="s">
        <v>204</v>
      </c>
      <c r="D1022" s="35" t="s">
        <v>8201</v>
      </c>
      <c r="E1022" s="29" t="s">
        <v>6981</v>
      </c>
      <c r="F1022" s="30" t="s">
        <v>6985</v>
      </c>
      <c r="G1022" s="35" t="s">
        <v>584</v>
      </c>
      <c r="H1022" s="29">
        <f>COUNTIF(关系明细!$D$2:$D$2253,B1022)</f>
        <v>5</v>
      </c>
      <c r="I1022" s="29">
        <f>COUNTIF(关系明细!$G$2:$G$2253,B1022)</f>
        <v>2</v>
      </c>
    </row>
    <row r="1023" spans="1:9" ht="16.5">
      <c r="A1023" s="34" t="s">
        <v>7074</v>
      </c>
      <c r="B1023" s="9" t="s">
        <v>7071</v>
      </c>
      <c r="C1023" s="40" t="s">
        <v>204</v>
      </c>
      <c r="D1023" s="34" t="s">
        <v>8201</v>
      </c>
      <c r="E1023" s="27" t="s">
        <v>6981</v>
      </c>
      <c r="F1023" s="9" t="s">
        <v>6985</v>
      </c>
      <c r="G1023" s="34" t="s">
        <v>584</v>
      </c>
      <c r="H1023" s="27">
        <f>COUNTIF(关系明细!$D$2:$D$2253,B1023)</f>
        <v>3</v>
      </c>
      <c r="I1023" s="27">
        <f>COUNTIF(关系明细!$G$2:$G$2253,B1023)</f>
        <v>1</v>
      </c>
    </row>
    <row r="1024" spans="1:9" ht="16.5">
      <c r="A1024" s="35" t="s">
        <v>7079</v>
      </c>
      <c r="B1024" s="30" t="s">
        <v>7076</v>
      </c>
      <c r="C1024" s="39" t="s">
        <v>204</v>
      </c>
      <c r="D1024" s="35" t="s">
        <v>8201</v>
      </c>
      <c r="E1024" s="29" t="s">
        <v>6981</v>
      </c>
      <c r="F1024" s="30" t="s">
        <v>6985</v>
      </c>
      <c r="G1024" s="35" t="s">
        <v>584</v>
      </c>
      <c r="H1024" s="29">
        <f>COUNTIF(关系明细!$D$2:$D$2253,B1024)</f>
        <v>4</v>
      </c>
      <c r="I1024" s="29">
        <f>COUNTIF(关系明细!$G$2:$G$2253,B1024)</f>
        <v>2</v>
      </c>
    </row>
    <row r="1025" spans="1:9" ht="16.5">
      <c r="A1025" s="34" t="s">
        <v>7084</v>
      </c>
      <c r="B1025" s="9" t="s">
        <v>7081</v>
      </c>
      <c r="C1025" s="40" t="s">
        <v>204</v>
      </c>
      <c r="D1025" s="34" t="s">
        <v>8201</v>
      </c>
      <c r="E1025" s="27" t="s">
        <v>6981</v>
      </c>
      <c r="F1025" s="9" t="s">
        <v>7011</v>
      </c>
      <c r="G1025" s="34" t="s">
        <v>584</v>
      </c>
      <c r="H1025" s="27">
        <f>COUNTIF(关系明细!$D$2:$D$2253,B1025)</f>
        <v>2</v>
      </c>
      <c r="I1025" s="27">
        <f>COUNTIF(关系明细!$G$2:$G$2253,B1025)</f>
        <v>1</v>
      </c>
    </row>
    <row r="1026" spans="1:9" ht="16.5">
      <c r="A1026" s="35" t="s">
        <v>7089</v>
      </c>
      <c r="B1026" s="30" t="s">
        <v>7086</v>
      </c>
      <c r="C1026" s="39" t="s">
        <v>204</v>
      </c>
      <c r="D1026" s="35" t="s">
        <v>8201</v>
      </c>
      <c r="E1026" s="29" t="s">
        <v>6981</v>
      </c>
      <c r="F1026" s="30" t="s">
        <v>7011</v>
      </c>
      <c r="G1026" s="35" t="s">
        <v>584</v>
      </c>
      <c r="H1026" s="29">
        <f>COUNTIF(关系明细!$D$2:$D$2253,B1026)</f>
        <v>2</v>
      </c>
      <c r="I1026" s="29">
        <f>COUNTIF(关系明细!$G$2:$G$2253,B1026)</f>
        <v>1</v>
      </c>
    </row>
    <row r="1027" spans="1:9" ht="16.5">
      <c r="A1027" s="34" t="s">
        <v>7094</v>
      </c>
      <c r="B1027" s="9" t="s">
        <v>7091</v>
      </c>
      <c r="C1027" s="40" t="s">
        <v>204</v>
      </c>
      <c r="D1027" s="34" t="s">
        <v>8201</v>
      </c>
      <c r="E1027" s="27" t="s">
        <v>6981</v>
      </c>
      <c r="F1027" s="9" t="s">
        <v>7026</v>
      </c>
      <c r="G1027" s="34" t="s">
        <v>584</v>
      </c>
      <c r="H1027" s="27">
        <f>COUNTIF(关系明细!$D$2:$D$2253,B1027)</f>
        <v>1</v>
      </c>
      <c r="I1027" s="27">
        <f>COUNTIF(关系明细!$G$2:$G$2253,B1027)</f>
        <v>1</v>
      </c>
    </row>
    <row r="1028" spans="1:9" ht="16.5">
      <c r="A1028" s="35" t="s">
        <v>7099</v>
      </c>
      <c r="B1028" s="30" t="s">
        <v>7096</v>
      </c>
      <c r="C1028" s="39" t="s">
        <v>204</v>
      </c>
      <c r="D1028" s="35" t="s">
        <v>8201</v>
      </c>
      <c r="E1028" s="29" t="s">
        <v>6981</v>
      </c>
      <c r="F1028" s="30" t="s">
        <v>7026</v>
      </c>
      <c r="G1028" s="35" t="s">
        <v>584</v>
      </c>
      <c r="H1028" s="29">
        <f>COUNTIF(关系明细!$D$2:$D$2253,B1028)</f>
        <v>2</v>
      </c>
      <c r="I1028" s="29">
        <f>COUNTIF(关系明细!$G$2:$G$2253,B1028)</f>
        <v>1</v>
      </c>
    </row>
    <row r="1029" spans="1:9" ht="16.5">
      <c r="A1029" s="34" t="s">
        <v>7104</v>
      </c>
      <c r="B1029" s="9" t="s">
        <v>7101</v>
      </c>
      <c r="C1029" s="40" t="s">
        <v>204</v>
      </c>
      <c r="D1029" s="34" t="s">
        <v>8201</v>
      </c>
      <c r="E1029" s="27" t="s">
        <v>6981</v>
      </c>
      <c r="F1029" s="9" t="s">
        <v>7026</v>
      </c>
      <c r="G1029" s="34" t="s">
        <v>584</v>
      </c>
      <c r="H1029" s="27">
        <f>COUNTIF(关系明细!$D$2:$D$2253,B1029)</f>
        <v>1</v>
      </c>
      <c r="I1029" s="27">
        <f>COUNTIF(关系明细!$G$2:$G$2253,B1029)</f>
        <v>1</v>
      </c>
    </row>
    <row r="1030" spans="1:9" ht="16.5">
      <c r="A1030" s="35" t="s">
        <v>7109</v>
      </c>
      <c r="B1030" s="30" t="s">
        <v>7106</v>
      </c>
      <c r="C1030" s="39" t="s">
        <v>204</v>
      </c>
      <c r="D1030" s="35" t="s">
        <v>8201</v>
      </c>
      <c r="E1030" s="29" t="s">
        <v>6981</v>
      </c>
      <c r="F1030" s="30" t="s">
        <v>7045</v>
      </c>
      <c r="G1030" s="35" t="s">
        <v>584</v>
      </c>
      <c r="H1030" s="29">
        <f>COUNTIF(关系明细!$D$2:$D$2253,B1030)</f>
        <v>1</v>
      </c>
      <c r="I1030" s="29">
        <f>COUNTIF(关系明细!$G$2:$G$2253,B1030)</f>
        <v>1</v>
      </c>
    </row>
    <row r="1031" spans="1:9" ht="16.5">
      <c r="A1031" s="34" t="s">
        <v>7114</v>
      </c>
      <c r="B1031" s="9" t="s">
        <v>7111</v>
      </c>
      <c r="C1031" s="40" t="s">
        <v>204</v>
      </c>
      <c r="D1031" s="34" t="s">
        <v>8201</v>
      </c>
      <c r="E1031" s="27" t="s">
        <v>6981</v>
      </c>
      <c r="F1031" s="9" t="s">
        <v>7045</v>
      </c>
      <c r="G1031" s="34" t="s">
        <v>584</v>
      </c>
      <c r="H1031" s="27">
        <f>COUNTIF(关系明细!$D$2:$D$2253,B1031)</f>
        <v>1</v>
      </c>
      <c r="I1031" s="27">
        <f>COUNTIF(关系明细!$G$2:$G$2253,B1031)</f>
        <v>1</v>
      </c>
    </row>
    <row r="1032" spans="1:9" ht="16.5">
      <c r="A1032" s="35" t="s">
        <v>7119</v>
      </c>
      <c r="B1032" s="30" t="s">
        <v>7116</v>
      </c>
      <c r="C1032" s="39" t="s">
        <v>295</v>
      </c>
      <c r="D1032" s="35" t="s">
        <v>8202</v>
      </c>
      <c r="E1032" s="29" t="s">
        <v>6981</v>
      </c>
      <c r="F1032" s="30" t="s">
        <v>7045</v>
      </c>
      <c r="G1032" s="35" t="s">
        <v>584</v>
      </c>
      <c r="H1032" s="29">
        <f>COUNTIF(关系明细!$D$2:$D$2253,B1032)</f>
        <v>2</v>
      </c>
      <c r="I1032" s="29">
        <f>COUNTIF(关系明细!$G$2:$G$2253,B1032)</f>
        <v>3</v>
      </c>
    </row>
    <row r="1033" spans="1:9" ht="16.5">
      <c r="A1033" s="34" t="s">
        <v>7190</v>
      </c>
      <c r="B1033" s="9" t="s">
        <v>7187</v>
      </c>
      <c r="C1033" s="40" t="s">
        <v>488</v>
      </c>
      <c r="D1033" s="34" t="s">
        <v>8203</v>
      </c>
      <c r="E1033" s="27" t="s">
        <v>6981</v>
      </c>
      <c r="F1033" s="34"/>
      <c r="G1033" s="34" t="s">
        <v>584</v>
      </c>
      <c r="H1033" s="27">
        <f>COUNTIF(关系明细!$D$2:$D$2253,B1033)</f>
        <v>1</v>
      </c>
      <c r="I1033" s="27">
        <f>COUNTIF(关系明细!$G$2:$G$2253,B1033)</f>
        <v>1</v>
      </c>
    </row>
    <row r="1034" spans="1:9" ht="16.5">
      <c r="A1034" s="35" t="s">
        <v>7200</v>
      </c>
      <c r="B1034" s="30" t="s">
        <v>7197</v>
      </c>
      <c r="C1034" s="39" t="s">
        <v>488</v>
      </c>
      <c r="D1034" s="35" t="s">
        <v>8203</v>
      </c>
      <c r="E1034" s="29" t="s">
        <v>6981</v>
      </c>
      <c r="F1034" s="35"/>
      <c r="G1034" s="35" t="s">
        <v>584</v>
      </c>
      <c r="H1034" s="29">
        <f>COUNTIF(关系明细!$D$2:$D$2253,B1034)</f>
        <v>1</v>
      </c>
      <c r="I1034" s="29">
        <f>COUNTIF(关系明细!$G$2:$G$2253,B1034)</f>
        <v>1</v>
      </c>
    </row>
    <row r="1035" spans="1:9" ht="16.5">
      <c r="A1035" s="34" t="s">
        <v>7191</v>
      </c>
      <c r="B1035" s="9" t="s">
        <v>7188</v>
      </c>
      <c r="C1035" s="40" t="s">
        <v>491</v>
      </c>
      <c r="D1035" s="34" t="s">
        <v>8204</v>
      </c>
      <c r="E1035" s="27" t="s">
        <v>6981</v>
      </c>
      <c r="F1035" s="34"/>
      <c r="G1035" s="34" t="s">
        <v>7192</v>
      </c>
      <c r="H1035" s="27">
        <f>COUNTIF(关系明细!$D$2:$D$2253,B1035)</f>
        <v>1</v>
      </c>
      <c r="I1035" s="27">
        <f>COUNTIF(关系明细!$G$2:$G$2253,B1035)</f>
        <v>1</v>
      </c>
    </row>
    <row r="1036" spans="1:9" ht="16.5">
      <c r="A1036" s="35" t="s">
        <v>7201</v>
      </c>
      <c r="B1036" s="30" t="s">
        <v>7198</v>
      </c>
      <c r="C1036" s="39" t="s">
        <v>491</v>
      </c>
      <c r="D1036" s="35" t="s">
        <v>8204</v>
      </c>
      <c r="E1036" s="29" t="s">
        <v>6981</v>
      </c>
      <c r="F1036" s="35"/>
      <c r="G1036" s="35" t="s">
        <v>7202</v>
      </c>
      <c r="H1036" s="29">
        <f>COUNTIF(关系明细!$D$2:$D$2253,B1036)</f>
        <v>1</v>
      </c>
      <c r="I1036" s="29">
        <f>COUNTIF(关系明细!$G$2:$G$2253,B1036)</f>
        <v>1</v>
      </c>
    </row>
    <row r="1037" spans="1:9" ht="16.5">
      <c r="A1037" s="34" t="s">
        <v>4610</v>
      </c>
      <c r="B1037" s="9" t="s">
        <v>4607</v>
      </c>
      <c r="C1037" s="40" t="s">
        <v>44</v>
      </c>
      <c r="D1037" s="34" t="s">
        <v>8172</v>
      </c>
      <c r="E1037" s="27" t="s">
        <v>7226</v>
      </c>
      <c r="F1037" s="34"/>
      <c r="G1037" s="9" t="s">
        <v>8530</v>
      </c>
      <c r="H1037" s="27">
        <f>COUNTIF(关系明细!$D$2:$D$2253,B1037)</f>
        <v>5</v>
      </c>
      <c r="I1037" s="27">
        <f>COUNTIF(关系明细!$G$2:$G$2253,B1037)</f>
        <v>1</v>
      </c>
    </row>
    <row r="1038" spans="1:9" ht="16.5">
      <c r="A1038" s="35" t="s">
        <v>7284</v>
      </c>
      <c r="B1038" s="30" t="s">
        <v>7281</v>
      </c>
      <c r="C1038" s="39" t="s">
        <v>62</v>
      </c>
      <c r="D1038" s="35" t="s">
        <v>8174</v>
      </c>
      <c r="E1038" s="29" t="s">
        <v>7226</v>
      </c>
      <c r="F1038" s="35"/>
      <c r="G1038" s="30" t="s">
        <v>8531</v>
      </c>
      <c r="H1038" s="29">
        <f>COUNTIF(关系明细!$D$2:$D$2253,B1038)</f>
        <v>5</v>
      </c>
      <c r="I1038" s="29">
        <f>COUNTIF(关系明细!$G$2:$G$2253,B1038)</f>
        <v>1</v>
      </c>
    </row>
    <row r="1039" spans="1:9" ht="16.5">
      <c r="A1039" s="34" t="s">
        <v>7263</v>
      </c>
      <c r="B1039" s="9" t="s">
        <v>7260</v>
      </c>
      <c r="C1039" s="40" t="s">
        <v>62</v>
      </c>
      <c r="D1039" s="34" t="s">
        <v>8174</v>
      </c>
      <c r="E1039" s="27" t="s">
        <v>7226</v>
      </c>
      <c r="F1039" s="34"/>
      <c r="G1039" s="9" t="s">
        <v>8532</v>
      </c>
      <c r="H1039" s="27">
        <f>COUNTIF(关系明细!$D$2:$D$2253,B1039)</f>
        <v>9</v>
      </c>
      <c r="I1039" s="27">
        <f>COUNTIF(关系明细!$G$2:$G$2253,B1039)</f>
        <v>2</v>
      </c>
    </row>
    <row r="1040" spans="1:9" ht="16.5">
      <c r="A1040" s="35" t="s">
        <v>7243</v>
      </c>
      <c r="B1040" s="30" t="s">
        <v>7240</v>
      </c>
      <c r="C1040" s="39" t="s">
        <v>62</v>
      </c>
      <c r="D1040" s="35" t="s">
        <v>8174</v>
      </c>
      <c r="E1040" s="29" t="s">
        <v>7226</v>
      </c>
      <c r="F1040" s="35"/>
      <c r="G1040" s="30" t="s">
        <v>8533</v>
      </c>
      <c r="H1040" s="29">
        <f>COUNTIF(关系明细!$D$2:$D$2253,B1040)</f>
        <v>6</v>
      </c>
      <c r="I1040" s="29">
        <f>COUNTIF(关系明细!$G$2:$G$2253,B1040)</f>
        <v>2</v>
      </c>
    </row>
    <row r="1041" spans="1:9" ht="16.5">
      <c r="A1041" s="34" t="s">
        <v>7231</v>
      </c>
      <c r="B1041" s="9" t="s">
        <v>7228</v>
      </c>
      <c r="C1041" s="40" t="s">
        <v>62</v>
      </c>
      <c r="D1041" s="34" t="s">
        <v>8174</v>
      </c>
      <c r="E1041" s="27" t="s">
        <v>7226</v>
      </c>
      <c r="F1041" s="34"/>
      <c r="G1041" s="9" t="s">
        <v>8534</v>
      </c>
      <c r="H1041" s="27">
        <f>COUNTIF(关系明细!$D$2:$D$2253,B1041)</f>
        <v>9</v>
      </c>
      <c r="I1041" s="27">
        <f>COUNTIF(关系明细!$G$2:$G$2253,B1041)</f>
        <v>3</v>
      </c>
    </row>
    <row r="1042" spans="1:9" ht="16.5">
      <c r="A1042" s="35" t="s">
        <v>7288</v>
      </c>
      <c r="B1042" s="30" t="s">
        <v>7285</v>
      </c>
      <c r="C1042" s="39" t="s">
        <v>72</v>
      </c>
      <c r="D1042" s="35" t="s">
        <v>8181</v>
      </c>
      <c r="E1042" s="29" t="s">
        <v>7226</v>
      </c>
      <c r="F1042" s="35"/>
      <c r="G1042" s="30" t="s">
        <v>8535</v>
      </c>
      <c r="H1042" s="29">
        <f>COUNTIF(关系明细!$D$2:$D$2253,B1042)</f>
        <v>0</v>
      </c>
      <c r="I1042" s="29">
        <f>COUNTIF(关系明细!$G$2:$G$2253,B1042)</f>
        <v>1</v>
      </c>
    </row>
    <row r="1043" spans="1:9" ht="16.5">
      <c r="A1043" s="34" t="s">
        <v>7291</v>
      </c>
      <c r="B1043" s="9" t="s">
        <v>7289</v>
      </c>
      <c r="C1043" s="40" t="s">
        <v>72</v>
      </c>
      <c r="D1043" s="34" t="s">
        <v>8181</v>
      </c>
      <c r="E1043" s="27" t="s">
        <v>7226</v>
      </c>
      <c r="F1043" s="34"/>
      <c r="G1043" s="9" t="s">
        <v>8535</v>
      </c>
      <c r="H1043" s="27">
        <f>COUNTIF(关系明细!$D$2:$D$2253,B1043)</f>
        <v>0</v>
      </c>
      <c r="I1043" s="27">
        <f>COUNTIF(关系明细!$G$2:$G$2253,B1043)</f>
        <v>1</v>
      </c>
    </row>
    <row r="1044" spans="1:9" ht="16.5">
      <c r="A1044" s="35" t="s">
        <v>7267</v>
      </c>
      <c r="B1044" s="30" t="s">
        <v>7264</v>
      </c>
      <c r="C1044" s="39" t="s">
        <v>72</v>
      </c>
      <c r="D1044" s="35" t="s">
        <v>8181</v>
      </c>
      <c r="E1044" s="29" t="s">
        <v>7226</v>
      </c>
      <c r="F1044" s="35"/>
      <c r="G1044" s="30" t="s">
        <v>8536</v>
      </c>
      <c r="H1044" s="29">
        <f>COUNTIF(关系明细!$D$2:$D$2253,B1044)</f>
        <v>0</v>
      </c>
      <c r="I1044" s="29">
        <f>COUNTIF(关系明细!$G$2:$G$2253,B1044)</f>
        <v>1</v>
      </c>
    </row>
    <row r="1045" spans="1:9" ht="16.5">
      <c r="A1045" s="34" t="s">
        <v>7270</v>
      </c>
      <c r="B1045" s="9" t="s">
        <v>7268</v>
      </c>
      <c r="C1045" s="40" t="s">
        <v>72</v>
      </c>
      <c r="D1045" s="34" t="s">
        <v>8181</v>
      </c>
      <c r="E1045" s="27" t="s">
        <v>7226</v>
      </c>
      <c r="F1045" s="34"/>
      <c r="G1045" s="9" t="s">
        <v>8536</v>
      </c>
      <c r="H1045" s="27">
        <f>COUNTIF(关系明细!$D$2:$D$2253,B1045)</f>
        <v>0</v>
      </c>
      <c r="I1045" s="27">
        <f>COUNTIF(关系明细!$G$2:$G$2253,B1045)</f>
        <v>1</v>
      </c>
    </row>
    <row r="1046" spans="1:9" ht="16.5">
      <c r="A1046" s="35" t="s">
        <v>7273</v>
      </c>
      <c r="B1046" s="30" t="s">
        <v>7271</v>
      </c>
      <c r="C1046" s="39" t="s">
        <v>72</v>
      </c>
      <c r="D1046" s="35" t="s">
        <v>8181</v>
      </c>
      <c r="E1046" s="29" t="s">
        <v>7226</v>
      </c>
      <c r="F1046" s="35"/>
      <c r="G1046" s="30" t="s">
        <v>8536</v>
      </c>
      <c r="H1046" s="29">
        <f>COUNTIF(关系明细!$D$2:$D$2253,B1046)</f>
        <v>0</v>
      </c>
      <c r="I1046" s="29">
        <f>COUNTIF(关系明细!$G$2:$G$2253,B1046)</f>
        <v>1</v>
      </c>
    </row>
    <row r="1047" spans="1:9" ht="16.5">
      <c r="A1047" s="34" t="s">
        <v>7276</v>
      </c>
      <c r="B1047" s="9" t="s">
        <v>7274</v>
      </c>
      <c r="C1047" s="40" t="s">
        <v>72</v>
      </c>
      <c r="D1047" s="34" t="s">
        <v>8181</v>
      </c>
      <c r="E1047" s="27" t="s">
        <v>7226</v>
      </c>
      <c r="F1047" s="34"/>
      <c r="G1047" s="9" t="s">
        <v>8536</v>
      </c>
      <c r="H1047" s="27">
        <f>COUNTIF(关系明细!$D$2:$D$2253,B1047)</f>
        <v>0</v>
      </c>
      <c r="I1047" s="27">
        <f>COUNTIF(关系明细!$G$2:$G$2253,B1047)</f>
        <v>1</v>
      </c>
    </row>
    <row r="1048" spans="1:9" ht="16.5">
      <c r="A1048" s="35" t="s">
        <v>7247</v>
      </c>
      <c r="B1048" s="30" t="s">
        <v>7244</v>
      </c>
      <c r="C1048" s="39" t="s">
        <v>72</v>
      </c>
      <c r="D1048" s="35" t="s">
        <v>8181</v>
      </c>
      <c r="E1048" s="29" t="s">
        <v>7226</v>
      </c>
      <c r="F1048" s="35"/>
      <c r="G1048" s="30" t="s">
        <v>8537</v>
      </c>
      <c r="H1048" s="29">
        <f>COUNTIF(关系明细!$D$2:$D$2253,B1048)</f>
        <v>0</v>
      </c>
      <c r="I1048" s="29">
        <f>COUNTIF(关系明细!$G$2:$G$2253,B1048)</f>
        <v>1</v>
      </c>
    </row>
    <row r="1049" spans="1:9" ht="16.5">
      <c r="A1049" s="34" t="s">
        <v>7250</v>
      </c>
      <c r="B1049" s="9" t="s">
        <v>7248</v>
      </c>
      <c r="C1049" s="40" t="s">
        <v>72</v>
      </c>
      <c r="D1049" s="34" t="s">
        <v>8181</v>
      </c>
      <c r="E1049" s="27" t="s">
        <v>7226</v>
      </c>
      <c r="F1049" s="34"/>
      <c r="G1049" s="9" t="s">
        <v>8537</v>
      </c>
      <c r="H1049" s="27">
        <f>COUNTIF(关系明细!$D$2:$D$2253,B1049)</f>
        <v>0</v>
      </c>
      <c r="I1049" s="27">
        <f>COUNTIF(关系明细!$G$2:$G$2253,B1049)</f>
        <v>1</v>
      </c>
    </row>
    <row r="1050" spans="1:9" ht="16.5">
      <c r="A1050" s="35" t="s">
        <v>7253</v>
      </c>
      <c r="B1050" s="30" t="s">
        <v>7251</v>
      </c>
      <c r="C1050" s="39" t="s">
        <v>72</v>
      </c>
      <c r="D1050" s="35" t="s">
        <v>8181</v>
      </c>
      <c r="E1050" s="29" t="s">
        <v>7226</v>
      </c>
      <c r="F1050" s="35"/>
      <c r="G1050" s="30" t="s">
        <v>8537</v>
      </c>
      <c r="H1050" s="29">
        <f>COUNTIF(关系明细!$D$2:$D$2253,B1050)</f>
        <v>0</v>
      </c>
      <c r="I1050" s="29">
        <f>COUNTIF(关系明细!$G$2:$G$2253,B1050)</f>
        <v>1</v>
      </c>
    </row>
    <row r="1051" spans="1:9" ht="16.5">
      <c r="A1051" s="34" t="s">
        <v>7256</v>
      </c>
      <c r="B1051" s="9" t="s">
        <v>7254</v>
      </c>
      <c r="C1051" s="40" t="s">
        <v>72</v>
      </c>
      <c r="D1051" s="34" t="s">
        <v>8181</v>
      </c>
      <c r="E1051" s="27" t="s">
        <v>7226</v>
      </c>
      <c r="F1051" s="34"/>
      <c r="G1051" s="9" t="s">
        <v>8537</v>
      </c>
      <c r="H1051" s="27">
        <f>COUNTIF(关系明细!$D$2:$D$2253,B1051)</f>
        <v>0</v>
      </c>
      <c r="I1051" s="27">
        <f>COUNTIF(关系明细!$G$2:$G$2253,B1051)</f>
        <v>1</v>
      </c>
    </row>
    <row r="1052" spans="1:9" ht="16.5">
      <c r="A1052" s="35" t="s">
        <v>7259</v>
      </c>
      <c r="B1052" s="30" t="s">
        <v>7257</v>
      </c>
      <c r="C1052" s="39" t="s">
        <v>72</v>
      </c>
      <c r="D1052" s="35" t="s">
        <v>8181</v>
      </c>
      <c r="E1052" s="29" t="s">
        <v>7226</v>
      </c>
      <c r="F1052" s="35"/>
      <c r="G1052" s="30" t="s">
        <v>8537</v>
      </c>
      <c r="H1052" s="29">
        <f>COUNTIF(关系明细!$D$2:$D$2253,B1052)</f>
        <v>0</v>
      </c>
      <c r="I1052" s="29">
        <f>COUNTIF(关系明细!$G$2:$G$2253,B1052)</f>
        <v>1</v>
      </c>
    </row>
    <row r="1053" spans="1:9" ht="16.5">
      <c r="A1053" s="34" t="s">
        <v>7295</v>
      </c>
      <c r="B1053" s="9" t="s">
        <v>7292</v>
      </c>
      <c r="C1053" s="40" t="s">
        <v>82</v>
      </c>
      <c r="D1053" s="34" t="s">
        <v>8186</v>
      </c>
      <c r="E1053" s="27" t="s">
        <v>7226</v>
      </c>
      <c r="F1053" s="34"/>
      <c r="G1053" s="34" t="s">
        <v>8195</v>
      </c>
      <c r="H1053" s="27">
        <f>COUNTIF(关系明细!$D$2:$D$2253,B1053)</f>
        <v>0</v>
      </c>
      <c r="I1053" s="27">
        <f>COUNTIF(关系明细!$G$2:$G$2253,B1053)</f>
        <v>1</v>
      </c>
    </row>
    <row r="1054" spans="1:9" ht="16.5">
      <c r="A1054" s="35" t="s">
        <v>7280</v>
      </c>
      <c r="B1054" s="30" t="s">
        <v>7277</v>
      </c>
      <c r="C1054" s="39" t="s">
        <v>82</v>
      </c>
      <c r="D1054" s="35" t="s">
        <v>8186</v>
      </c>
      <c r="E1054" s="29" t="s">
        <v>7226</v>
      </c>
      <c r="F1054" s="35"/>
      <c r="G1054" s="30" t="s">
        <v>8538</v>
      </c>
      <c r="H1054" s="29">
        <f>COUNTIF(关系明细!$D$2:$D$2253,B1054)</f>
        <v>0</v>
      </c>
      <c r="I1054" s="29">
        <f>COUNTIF(关系明细!$G$2:$G$2253,B1054)</f>
        <v>1</v>
      </c>
    </row>
    <row r="1055" spans="1:9" ht="16.5">
      <c r="A1055" s="34" t="s">
        <v>7235</v>
      </c>
      <c r="B1055" s="9" t="s">
        <v>7232</v>
      </c>
      <c r="C1055" s="40" t="s">
        <v>82</v>
      </c>
      <c r="D1055" s="34" t="s">
        <v>8186</v>
      </c>
      <c r="E1055" s="27" t="s">
        <v>7226</v>
      </c>
      <c r="F1055" s="34"/>
      <c r="G1055" s="9" t="s">
        <v>8525</v>
      </c>
      <c r="H1055" s="27">
        <f>COUNTIF(关系明细!$D$2:$D$2253,B1055)</f>
        <v>0</v>
      </c>
      <c r="I1055" s="27">
        <f>COUNTIF(关系明细!$G$2:$G$2253,B1055)</f>
        <v>1</v>
      </c>
    </row>
    <row r="1056" spans="1:9" ht="16.5">
      <c r="A1056" s="35" t="s">
        <v>7239</v>
      </c>
      <c r="B1056" s="30" t="s">
        <v>7236</v>
      </c>
      <c r="C1056" s="39" t="s">
        <v>82</v>
      </c>
      <c r="D1056" s="35" t="s">
        <v>8186</v>
      </c>
      <c r="E1056" s="29" t="s">
        <v>7226</v>
      </c>
      <c r="F1056" s="35"/>
      <c r="G1056" s="30" t="s">
        <v>8539</v>
      </c>
      <c r="H1056" s="29">
        <f>COUNTIF(关系明细!$D$2:$D$2253,B1056)</f>
        <v>0</v>
      </c>
      <c r="I1056" s="29">
        <f>COUNTIF(关系明细!$G$2:$G$2253,B1056)</f>
        <v>1</v>
      </c>
    </row>
    <row r="1057" spans="1:9" ht="16.5">
      <c r="A1057" s="34" t="s">
        <v>7412</v>
      </c>
      <c r="B1057" s="9" t="s">
        <v>7410</v>
      </c>
      <c r="C1057" s="40" t="s">
        <v>300</v>
      </c>
      <c r="D1057" s="34" t="s">
        <v>8197</v>
      </c>
      <c r="E1057" s="27" t="s">
        <v>7226</v>
      </c>
      <c r="F1057" s="34"/>
      <c r="G1057" s="9" t="s">
        <v>8540</v>
      </c>
      <c r="H1057" s="27">
        <f>COUNTIF(关系明细!$D$2:$D$2253,B1057)</f>
        <v>1</v>
      </c>
      <c r="I1057" s="27">
        <f>COUNTIF(关系明细!$G$2:$G$2253,B1057)</f>
        <v>1</v>
      </c>
    </row>
    <row r="1058" spans="1:9" ht="16.5">
      <c r="A1058" s="35" t="s">
        <v>7299</v>
      </c>
      <c r="B1058" s="30" t="s">
        <v>7296</v>
      </c>
      <c r="C1058" s="39" t="s">
        <v>204</v>
      </c>
      <c r="D1058" s="35" t="s">
        <v>8201</v>
      </c>
      <c r="E1058" s="29" t="s">
        <v>7226</v>
      </c>
      <c r="F1058" s="30" t="s">
        <v>7228</v>
      </c>
      <c r="G1058" s="35" t="s">
        <v>584</v>
      </c>
      <c r="H1058" s="29">
        <f>COUNTIF(关系明细!$D$2:$D$2253,B1058)</f>
        <v>3</v>
      </c>
      <c r="I1058" s="29">
        <f>COUNTIF(关系明细!$G$2:$G$2253,B1058)</f>
        <v>1</v>
      </c>
    </row>
    <row r="1059" spans="1:9" ht="16.5">
      <c r="A1059" s="34" t="s">
        <v>7304</v>
      </c>
      <c r="B1059" s="9" t="s">
        <v>7301</v>
      </c>
      <c r="C1059" s="40" t="s">
        <v>204</v>
      </c>
      <c r="D1059" s="34" t="s">
        <v>8201</v>
      </c>
      <c r="E1059" s="27" t="s">
        <v>7226</v>
      </c>
      <c r="F1059" s="9" t="s">
        <v>7228</v>
      </c>
      <c r="G1059" s="34" t="s">
        <v>584</v>
      </c>
      <c r="H1059" s="27">
        <f>COUNTIF(关系明细!$D$2:$D$2253,B1059)</f>
        <v>2</v>
      </c>
      <c r="I1059" s="27">
        <f>COUNTIF(关系明细!$G$2:$G$2253,B1059)</f>
        <v>1</v>
      </c>
    </row>
    <row r="1060" spans="1:9" ht="16.5">
      <c r="A1060" s="35" t="s">
        <v>7309</v>
      </c>
      <c r="B1060" s="30" t="s">
        <v>7306</v>
      </c>
      <c r="C1060" s="39" t="s">
        <v>204</v>
      </c>
      <c r="D1060" s="35" t="s">
        <v>8201</v>
      </c>
      <c r="E1060" s="29" t="s">
        <v>7226</v>
      </c>
      <c r="F1060" s="30" t="s">
        <v>7228</v>
      </c>
      <c r="G1060" s="35" t="s">
        <v>584</v>
      </c>
      <c r="H1060" s="29">
        <f>COUNTIF(关系明细!$D$2:$D$2253,B1060)</f>
        <v>2</v>
      </c>
      <c r="I1060" s="29">
        <f>COUNTIF(关系明细!$G$2:$G$2253,B1060)</f>
        <v>1</v>
      </c>
    </row>
    <row r="1061" spans="1:9" ht="16.5">
      <c r="A1061" s="34" t="s">
        <v>7314</v>
      </c>
      <c r="B1061" s="9" t="s">
        <v>7311</v>
      </c>
      <c r="C1061" s="40" t="s">
        <v>204</v>
      </c>
      <c r="D1061" s="34" t="s">
        <v>8201</v>
      </c>
      <c r="E1061" s="27" t="s">
        <v>7226</v>
      </c>
      <c r="F1061" s="9" t="s">
        <v>7228</v>
      </c>
      <c r="G1061" s="34" t="s">
        <v>584</v>
      </c>
      <c r="H1061" s="27">
        <f>COUNTIF(关系明细!$D$2:$D$2253,B1061)</f>
        <v>2</v>
      </c>
      <c r="I1061" s="27">
        <f>COUNTIF(关系明细!$G$2:$G$2253,B1061)</f>
        <v>1</v>
      </c>
    </row>
    <row r="1062" spans="1:9" ht="16.5">
      <c r="A1062" s="35" t="s">
        <v>7319</v>
      </c>
      <c r="B1062" s="30" t="s">
        <v>7316</v>
      </c>
      <c r="C1062" s="39" t="s">
        <v>204</v>
      </c>
      <c r="D1062" s="35" t="s">
        <v>8201</v>
      </c>
      <c r="E1062" s="29" t="s">
        <v>7226</v>
      </c>
      <c r="F1062" s="30" t="s">
        <v>7228</v>
      </c>
      <c r="G1062" s="35" t="s">
        <v>584</v>
      </c>
      <c r="H1062" s="29">
        <f>COUNTIF(关系明细!$D$2:$D$2253,B1062)</f>
        <v>2</v>
      </c>
      <c r="I1062" s="29">
        <f>COUNTIF(关系明细!$G$2:$G$2253,B1062)</f>
        <v>1</v>
      </c>
    </row>
    <row r="1063" spans="1:9" ht="16.5">
      <c r="A1063" s="34" t="s">
        <v>7324</v>
      </c>
      <c r="B1063" s="9" t="s">
        <v>7321</v>
      </c>
      <c r="C1063" s="40" t="s">
        <v>204</v>
      </c>
      <c r="D1063" s="34" t="s">
        <v>8201</v>
      </c>
      <c r="E1063" s="27" t="s">
        <v>7226</v>
      </c>
      <c r="F1063" s="9" t="s">
        <v>7240</v>
      </c>
      <c r="G1063" s="9" t="s">
        <v>7322</v>
      </c>
      <c r="H1063" s="27">
        <f>COUNTIF(关系明细!$D$2:$D$2253,B1063)</f>
        <v>1</v>
      </c>
      <c r="I1063" s="27">
        <f>COUNTIF(关系明细!$G$2:$G$2253,B1063)</f>
        <v>1</v>
      </c>
    </row>
    <row r="1064" spans="1:9" ht="16.5">
      <c r="A1064" s="35" t="s">
        <v>7329</v>
      </c>
      <c r="B1064" s="30" t="s">
        <v>7326</v>
      </c>
      <c r="C1064" s="39" t="s">
        <v>204</v>
      </c>
      <c r="D1064" s="35" t="s">
        <v>8201</v>
      </c>
      <c r="E1064" s="29" t="s">
        <v>7226</v>
      </c>
      <c r="F1064" s="30" t="s">
        <v>7260</v>
      </c>
      <c r="G1064" s="35" t="s">
        <v>584</v>
      </c>
      <c r="H1064" s="29">
        <f>COUNTIF(关系明细!$D$2:$D$2253,B1064)</f>
        <v>1</v>
      </c>
      <c r="I1064" s="29">
        <f>COUNTIF(关系明细!$G$2:$G$2253,B1064)</f>
        <v>1</v>
      </c>
    </row>
    <row r="1065" spans="1:9" ht="16.5">
      <c r="A1065" s="34" t="s">
        <v>7334</v>
      </c>
      <c r="B1065" s="9" t="s">
        <v>7331</v>
      </c>
      <c r="C1065" s="40" t="s">
        <v>204</v>
      </c>
      <c r="D1065" s="34" t="s">
        <v>8201</v>
      </c>
      <c r="E1065" s="27" t="s">
        <v>7226</v>
      </c>
      <c r="F1065" s="9" t="s">
        <v>7260</v>
      </c>
      <c r="G1065" s="34" t="s">
        <v>584</v>
      </c>
      <c r="H1065" s="27">
        <f>COUNTIF(关系明细!$D$2:$D$2253,B1065)</f>
        <v>2</v>
      </c>
      <c r="I1065" s="27">
        <f>COUNTIF(关系明细!$G$2:$G$2253,B1065)</f>
        <v>1</v>
      </c>
    </row>
    <row r="1066" spans="1:9" ht="16.5">
      <c r="A1066" s="35" t="s">
        <v>7339</v>
      </c>
      <c r="B1066" s="30" t="s">
        <v>7336</v>
      </c>
      <c r="C1066" s="39" t="s">
        <v>204</v>
      </c>
      <c r="D1066" s="35" t="s">
        <v>8201</v>
      </c>
      <c r="E1066" s="29" t="s">
        <v>7226</v>
      </c>
      <c r="F1066" s="30" t="s">
        <v>7260</v>
      </c>
      <c r="G1066" s="35" t="s">
        <v>584</v>
      </c>
      <c r="H1066" s="29">
        <f>COUNTIF(关系明细!$D$2:$D$2253,B1066)</f>
        <v>2</v>
      </c>
      <c r="I1066" s="29">
        <f>COUNTIF(关系明细!$G$2:$G$2253,B1066)</f>
        <v>1</v>
      </c>
    </row>
    <row r="1067" spans="1:9" ht="16.5">
      <c r="A1067" s="34" t="s">
        <v>7344</v>
      </c>
      <c r="B1067" s="9" t="s">
        <v>7341</v>
      </c>
      <c r="C1067" s="40" t="s">
        <v>204</v>
      </c>
      <c r="D1067" s="34" t="s">
        <v>8201</v>
      </c>
      <c r="E1067" s="27" t="s">
        <v>7226</v>
      </c>
      <c r="F1067" s="9" t="s">
        <v>7281</v>
      </c>
      <c r="G1067" s="34" t="s">
        <v>584</v>
      </c>
      <c r="H1067" s="27">
        <f>COUNTIF(关系明细!$D$2:$D$2253,B1067)</f>
        <v>2</v>
      </c>
      <c r="I1067" s="27">
        <f>COUNTIF(关系明细!$G$2:$G$2253,B1067)</f>
        <v>1</v>
      </c>
    </row>
    <row r="1068" spans="1:9" ht="16.5">
      <c r="A1068" s="35" t="s">
        <v>5403</v>
      </c>
      <c r="B1068" s="30" t="s">
        <v>5401</v>
      </c>
      <c r="C1068" s="39" t="s">
        <v>295</v>
      </c>
      <c r="D1068" s="35" t="s">
        <v>8202</v>
      </c>
      <c r="E1068" s="29" t="s">
        <v>7226</v>
      </c>
      <c r="F1068" s="30" t="s">
        <v>7228</v>
      </c>
      <c r="G1068" s="35" t="s">
        <v>584</v>
      </c>
      <c r="H1068" s="29">
        <f>COUNTIF(关系明细!$D$2:$D$2253,B1068)</f>
        <v>0</v>
      </c>
      <c r="I1068" s="29">
        <f>COUNTIF(关系明细!$G$2:$G$2253,B1068)</f>
        <v>3</v>
      </c>
    </row>
    <row r="1069" spans="1:9" ht="16.5">
      <c r="A1069" s="34" t="s">
        <v>711</v>
      </c>
      <c r="B1069" s="9" t="s">
        <v>708</v>
      </c>
      <c r="C1069" s="40" t="s">
        <v>44</v>
      </c>
      <c r="D1069" s="34" t="s">
        <v>8172</v>
      </c>
      <c r="E1069" s="27" t="s">
        <v>7426</v>
      </c>
      <c r="F1069" s="34"/>
      <c r="G1069" s="9" t="s">
        <v>8541</v>
      </c>
      <c r="H1069" s="27">
        <f>COUNTIF(关系明细!$D$2:$D$2253,B1069)</f>
        <v>5</v>
      </c>
      <c r="I1069" s="27">
        <f>COUNTIF(关系明细!$G$2:$G$2253,B1069)</f>
        <v>1</v>
      </c>
    </row>
    <row r="1070" spans="1:9" ht="16.5">
      <c r="A1070" s="35" t="s">
        <v>7476</v>
      </c>
      <c r="B1070" s="30" t="s">
        <v>7473</v>
      </c>
      <c r="C1070" s="39" t="s">
        <v>62</v>
      </c>
      <c r="D1070" s="35" t="s">
        <v>8174</v>
      </c>
      <c r="E1070" s="29" t="s">
        <v>7426</v>
      </c>
      <c r="F1070" s="35"/>
      <c r="G1070" s="30" t="s">
        <v>8542</v>
      </c>
      <c r="H1070" s="29">
        <f>COUNTIF(关系明细!$D$2:$D$2253,B1070)</f>
        <v>2</v>
      </c>
      <c r="I1070" s="29">
        <f>COUNTIF(关系明细!$G$2:$G$2253,B1070)</f>
        <v>2</v>
      </c>
    </row>
    <row r="1071" spans="1:9" ht="16.5">
      <c r="A1071" s="34" t="s">
        <v>7457</v>
      </c>
      <c r="B1071" s="9" t="s">
        <v>7454</v>
      </c>
      <c r="C1071" s="40" t="s">
        <v>62</v>
      </c>
      <c r="D1071" s="34" t="s">
        <v>8174</v>
      </c>
      <c r="E1071" s="27" t="s">
        <v>7426</v>
      </c>
      <c r="F1071" s="34"/>
      <c r="G1071" s="9" t="s">
        <v>8543</v>
      </c>
      <c r="H1071" s="27">
        <f>COUNTIF(关系明细!$D$2:$D$2253,B1071)</f>
        <v>9</v>
      </c>
      <c r="I1071" s="27">
        <f>COUNTIF(关系明细!$G$2:$G$2253,B1071)</f>
        <v>2</v>
      </c>
    </row>
    <row r="1072" spans="1:9" ht="16.5">
      <c r="A1072" s="35" t="s">
        <v>7480</v>
      </c>
      <c r="B1072" s="30" t="s">
        <v>7477</v>
      </c>
      <c r="C1072" s="39" t="s">
        <v>62</v>
      </c>
      <c r="D1072" s="35" t="s">
        <v>8174</v>
      </c>
      <c r="E1072" s="29" t="s">
        <v>7426</v>
      </c>
      <c r="F1072" s="35"/>
      <c r="G1072" s="30" t="s">
        <v>8544</v>
      </c>
      <c r="H1072" s="29">
        <f>COUNTIF(关系明细!$D$2:$D$2253,B1072)</f>
        <v>6</v>
      </c>
      <c r="I1072" s="29">
        <f>COUNTIF(关系明细!$G$2:$G$2253,B1072)</f>
        <v>2</v>
      </c>
    </row>
    <row r="1073" spans="1:9" ht="16.5">
      <c r="A1073" s="34" t="s">
        <v>7431</v>
      </c>
      <c r="B1073" s="9" t="s">
        <v>7428</v>
      </c>
      <c r="C1073" s="40" t="s">
        <v>62</v>
      </c>
      <c r="D1073" s="34" t="s">
        <v>8174</v>
      </c>
      <c r="E1073" s="27" t="s">
        <v>7426</v>
      </c>
      <c r="F1073" s="34"/>
      <c r="G1073" s="9" t="s">
        <v>8545</v>
      </c>
      <c r="H1073" s="27">
        <f>COUNTIF(关系明细!$D$2:$D$2253,B1073)</f>
        <v>11</v>
      </c>
      <c r="I1073" s="27">
        <f>COUNTIF(关系明细!$G$2:$G$2253,B1073)</f>
        <v>3</v>
      </c>
    </row>
    <row r="1074" spans="1:9" ht="16.5">
      <c r="A1074" s="35" t="s">
        <v>7461</v>
      </c>
      <c r="B1074" s="30" t="s">
        <v>7458</v>
      </c>
      <c r="C1074" s="39" t="s">
        <v>72</v>
      </c>
      <c r="D1074" s="35" t="s">
        <v>8181</v>
      </c>
      <c r="E1074" s="29" t="s">
        <v>7426</v>
      </c>
      <c r="F1074" s="35"/>
      <c r="G1074" s="30" t="s">
        <v>8546</v>
      </c>
      <c r="H1074" s="29">
        <f>COUNTIF(关系明细!$D$2:$D$2253,B1074)</f>
        <v>0</v>
      </c>
      <c r="I1074" s="29">
        <f>COUNTIF(关系明细!$G$2:$G$2253,B1074)</f>
        <v>1</v>
      </c>
    </row>
    <row r="1075" spans="1:9" ht="16.5">
      <c r="A1075" s="34" t="s">
        <v>7464</v>
      </c>
      <c r="B1075" s="9" t="s">
        <v>7462</v>
      </c>
      <c r="C1075" s="40" t="s">
        <v>72</v>
      </c>
      <c r="D1075" s="34" t="s">
        <v>8181</v>
      </c>
      <c r="E1075" s="27" t="s">
        <v>7426</v>
      </c>
      <c r="F1075" s="34"/>
      <c r="G1075" s="9" t="s">
        <v>8546</v>
      </c>
      <c r="H1075" s="27">
        <f>COUNTIF(关系明细!$D$2:$D$2253,B1075)</f>
        <v>0</v>
      </c>
      <c r="I1075" s="27">
        <f>COUNTIF(关系明细!$G$2:$G$2253,B1075)</f>
        <v>1</v>
      </c>
    </row>
    <row r="1076" spans="1:9" ht="16.5">
      <c r="A1076" s="35" t="s">
        <v>7484</v>
      </c>
      <c r="B1076" s="30" t="s">
        <v>7481</v>
      </c>
      <c r="C1076" s="39" t="s">
        <v>72</v>
      </c>
      <c r="D1076" s="35" t="s">
        <v>8181</v>
      </c>
      <c r="E1076" s="29" t="s">
        <v>7426</v>
      </c>
      <c r="F1076" s="35"/>
      <c r="G1076" s="30" t="s">
        <v>8547</v>
      </c>
      <c r="H1076" s="29">
        <f>COUNTIF(关系明细!$D$2:$D$2253,B1076)</f>
        <v>0</v>
      </c>
      <c r="I1076" s="29">
        <f>COUNTIF(关系明细!$G$2:$G$2253,B1076)</f>
        <v>1</v>
      </c>
    </row>
    <row r="1077" spans="1:9" ht="16.5">
      <c r="A1077" s="34" t="s">
        <v>7487</v>
      </c>
      <c r="B1077" s="9" t="s">
        <v>7485</v>
      </c>
      <c r="C1077" s="40" t="s">
        <v>72</v>
      </c>
      <c r="D1077" s="34" t="s">
        <v>8181</v>
      </c>
      <c r="E1077" s="27" t="s">
        <v>7426</v>
      </c>
      <c r="F1077" s="34"/>
      <c r="G1077" s="9" t="s">
        <v>8547</v>
      </c>
      <c r="H1077" s="27">
        <f>COUNTIF(关系明细!$D$2:$D$2253,B1077)</f>
        <v>0</v>
      </c>
      <c r="I1077" s="27">
        <f>COUNTIF(关系明细!$G$2:$G$2253,B1077)</f>
        <v>1</v>
      </c>
    </row>
    <row r="1078" spans="1:9" ht="16.5">
      <c r="A1078" s="35" t="s">
        <v>7490</v>
      </c>
      <c r="B1078" s="30" t="s">
        <v>7488</v>
      </c>
      <c r="C1078" s="39" t="s">
        <v>72</v>
      </c>
      <c r="D1078" s="35" t="s">
        <v>8181</v>
      </c>
      <c r="E1078" s="29" t="s">
        <v>7426</v>
      </c>
      <c r="F1078" s="35"/>
      <c r="G1078" s="30" t="s">
        <v>8547</v>
      </c>
      <c r="H1078" s="29">
        <f>COUNTIF(关系明细!$D$2:$D$2253,B1078)</f>
        <v>0</v>
      </c>
      <c r="I1078" s="29">
        <f>COUNTIF(关系明细!$G$2:$G$2253,B1078)</f>
        <v>1</v>
      </c>
    </row>
    <row r="1079" spans="1:9" ht="16.5">
      <c r="A1079" s="34" t="s">
        <v>7435</v>
      </c>
      <c r="B1079" s="9" t="s">
        <v>7432</v>
      </c>
      <c r="C1079" s="40" t="s">
        <v>72</v>
      </c>
      <c r="D1079" s="34" t="s">
        <v>8181</v>
      </c>
      <c r="E1079" s="27" t="s">
        <v>7426</v>
      </c>
      <c r="F1079" s="34"/>
      <c r="G1079" s="9" t="s">
        <v>8548</v>
      </c>
      <c r="H1079" s="27">
        <f>COUNTIF(关系明细!$D$2:$D$2253,B1079)</f>
        <v>0</v>
      </c>
      <c r="I1079" s="27">
        <f>COUNTIF(关系明细!$G$2:$G$2253,B1079)</f>
        <v>1</v>
      </c>
    </row>
    <row r="1080" spans="1:9" ht="16.5">
      <c r="A1080" s="35" t="s">
        <v>7438</v>
      </c>
      <c r="B1080" s="30" t="s">
        <v>7436</v>
      </c>
      <c r="C1080" s="39" t="s">
        <v>72</v>
      </c>
      <c r="D1080" s="35" t="s">
        <v>8181</v>
      </c>
      <c r="E1080" s="29" t="s">
        <v>7426</v>
      </c>
      <c r="F1080" s="35"/>
      <c r="G1080" s="30" t="s">
        <v>8548</v>
      </c>
      <c r="H1080" s="29">
        <f>COUNTIF(关系明细!$D$2:$D$2253,B1080)</f>
        <v>0</v>
      </c>
      <c r="I1080" s="29">
        <f>COUNTIF(关系明细!$G$2:$G$2253,B1080)</f>
        <v>1</v>
      </c>
    </row>
    <row r="1081" spans="1:9" ht="16.5">
      <c r="A1081" s="34" t="s">
        <v>7441</v>
      </c>
      <c r="B1081" s="9" t="s">
        <v>7439</v>
      </c>
      <c r="C1081" s="40" t="s">
        <v>72</v>
      </c>
      <c r="D1081" s="34" t="s">
        <v>8181</v>
      </c>
      <c r="E1081" s="27" t="s">
        <v>7426</v>
      </c>
      <c r="F1081" s="34"/>
      <c r="G1081" s="9" t="s">
        <v>8548</v>
      </c>
      <c r="H1081" s="27">
        <f>COUNTIF(关系明细!$D$2:$D$2253,B1081)</f>
        <v>0</v>
      </c>
      <c r="I1081" s="27">
        <f>COUNTIF(关系明细!$G$2:$G$2253,B1081)</f>
        <v>1</v>
      </c>
    </row>
    <row r="1082" spans="1:9" ht="16.5">
      <c r="A1082" s="35" t="s">
        <v>7468</v>
      </c>
      <c r="B1082" s="30" t="s">
        <v>7465</v>
      </c>
      <c r="C1082" s="39" t="s">
        <v>82</v>
      </c>
      <c r="D1082" s="35" t="s">
        <v>8186</v>
      </c>
      <c r="E1082" s="29" t="s">
        <v>7426</v>
      </c>
      <c r="F1082" s="35"/>
      <c r="G1082" s="30" t="s">
        <v>8549</v>
      </c>
      <c r="H1082" s="29">
        <f>COUNTIF(关系明细!$D$2:$D$2253,B1082)</f>
        <v>0</v>
      </c>
      <c r="I1082" s="29">
        <f>COUNTIF(关系明细!$G$2:$G$2253,B1082)</f>
        <v>1</v>
      </c>
    </row>
    <row r="1083" spans="1:9" ht="16.5">
      <c r="A1083" s="34" t="s">
        <v>7472</v>
      </c>
      <c r="B1083" s="9" t="s">
        <v>7469</v>
      </c>
      <c r="C1083" s="40" t="s">
        <v>82</v>
      </c>
      <c r="D1083" s="34" t="s">
        <v>8186</v>
      </c>
      <c r="E1083" s="27" t="s">
        <v>7426</v>
      </c>
      <c r="F1083" s="34"/>
      <c r="G1083" s="9" t="s">
        <v>8550</v>
      </c>
      <c r="H1083" s="27">
        <f>COUNTIF(关系明细!$D$2:$D$2253,B1083)</f>
        <v>0</v>
      </c>
      <c r="I1083" s="27">
        <f>COUNTIF(关系明细!$G$2:$G$2253,B1083)</f>
        <v>1</v>
      </c>
    </row>
    <row r="1084" spans="1:9" ht="16.5">
      <c r="A1084" s="35" t="s">
        <v>7494</v>
      </c>
      <c r="B1084" s="30" t="s">
        <v>7491</v>
      </c>
      <c r="C1084" s="39" t="s">
        <v>82</v>
      </c>
      <c r="D1084" s="35" t="s">
        <v>8186</v>
      </c>
      <c r="E1084" s="29" t="s">
        <v>7426</v>
      </c>
      <c r="F1084" s="35"/>
      <c r="G1084" s="30" t="s">
        <v>8551</v>
      </c>
      <c r="H1084" s="29">
        <f>COUNTIF(关系明细!$D$2:$D$2253,B1084)</f>
        <v>0</v>
      </c>
      <c r="I1084" s="29">
        <f>COUNTIF(关系明细!$G$2:$G$2253,B1084)</f>
        <v>1</v>
      </c>
    </row>
    <row r="1085" spans="1:9" ht="16.5">
      <c r="A1085" s="34" t="s">
        <v>7445</v>
      </c>
      <c r="B1085" s="9" t="s">
        <v>7442</v>
      </c>
      <c r="C1085" s="40" t="s">
        <v>82</v>
      </c>
      <c r="D1085" s="34" t="s">
        <v>8186</v>
      </c>
      <c r="E1085" s="27" t="s">
        <v>7426</v>
      </c>
      <c r="F1085" s="34"/>
      <c r="G1085" s="9" t="s">
        <v>8510</v>
      </c>
      <c r="H1085" s="27">
        <f>COUNTIF(关系明细!$D$2:$D$2253,B1085)</f>
        <v>0</v>
      </c>
      <c r="I1085" s="27">
        <f>COUNTIF(关系明细!$G$2:$G$2253,B1085)</f>
        <v>1</v>
      </c>
    </row>
    <row r="1086" spans="1:9" ht="16.5">
      <c r="A1086" s="35" t="s">
        <v>7449</v>
      </c>
      <c r="B1086" s="30" t="s">
        <v>7446</v>
      </c>
      <c r="C1086" s="39" t="s">
        <v>82</v>
      </c>
      <c r="D1086" s="35" t="s">
        <v>8186</v>
      </c>
      <c r="E1086" s="29" t="s">
        <v>7426</v>
      </c>
      <c r="F1086" s="35"/>
      <c r="G1086" s="30" t="s">
        <v>8552</v>
      </c>
      <c r="H1086" s="29">
        <f>COUNTIF(关系明细!$D$2:$D$2253,B1086)</f>
        <v>0</v>
      </c>
      <c r="I1086" s="29">
        <f>COUNTIF(关系明细!$G$2:$G$2253,B1086)</f>
        <v>1</v>
      </c>
    </row>
    <row r="1087" spans="1:9" ht="16.5">
      <c r="A1087" s="34" t="s">
        <v>7453</v>
      </c>
      <c r="B1087" s="9" t="s">
        <v>7450</v>
      </c>
      <c r="C1087" s="40" t="s">
        <v>82</v>
      </c>
      <c r="D1087" s="34" t="s">
        <v>8186</v>
      </c>
      <c r="E1087" s="27" t="s">
        <v>7426</v>
      </c>
      <c r="F1087" s="34"/>
      <c r="G1087" s="9" t="s">
        <v>8511</v>
      </c>
      <c r="H1087" s="27">
        <f>COUNTIF(关系明细!$D$2:$D$2253,B1087)</f>
        <v>0</v>
      </c>
      <c r="I1087" s="27">
        <f>COUNTIF(关系明细!$G$2:$G$2253,B1087)</f>
        <v>1</v>
      </c>
    </row>
    <row r="1088" spans="1:9" ht="16.5">
      <c r="A1088" s="35" t="s">
        <v>7498</v>
      </c>
      <c r="B1088" s="30" t="s">
        <v>7495</v>
      </c>
      <c r="C1088" s="39" t="s">
        <v>204</v>
      </c>
      <c r="D1088" s="35" t="s">
        <v>8201</v>
      </c>
      <c r="E1088" s="29" t="s">
        <v>7426</v>
      </c>
      <c r="F1088" s="30" t="s">
        <v>7428</v>
      </c>
      <c r="G1088" s="35" t="s">
        <v>584</v>
      </c>
      <c r="H1088" s="29">
        <f>COUNTIF(关系明细!$D$2:$D$2253,B1088)</f>
        <v>3</v>
      </c>
      <c r="I1088" s="29">
        <f>COUNTIF(关系明细!$G$2:$G$2253,B1088)</f>
        <v>1</v>
      </c>
    </row>
    <row r="1089" spans="1:9" ht="16.5">
      <c r="A1089" s="34" t="s">
        <v>7503</v>
      </c>
      <c r="B1089" s="9" t="s">
        <v>7500</v>
      </c>
      <c r="C1089" s="40" t="s">
        <v>204</v>
      </c>
      <c r="D1089" s="34" t="s">
        <v>8201</v>
      </c>
      <c r="E1089" s="27" t="s">
        <v>7426</v>
      </c>
      <c r="F1089" s="9" t="s">
        <v>7428</v>
      </c>
      <c r="G1089" s="34" t="s">
        <v>584</v>
      </c>
      <c r="H1089" s="27">
        <f>COUNTIF(关系明细!$D$2:$D$2253,B1089)</f>
        <v>5</v>
      </c>
      <c r="I1089" s="27">
        <f>COUNTIF(关系明细!$G$2:$G$2253,B1089)</f>
        <v>1</v>
      </c>
    </row>
    <row r="1090" spans="1:9" ht="16.5">
      <c r="A1090" s="35" t="s">
        <v>7508</v>
      </c>
      <c r="B1090" s="30" t="s">
        <v>7505</v>
      </c>
      <c r="C1090" s="39" t="s">
        <v>204</v>
      </c>
      <c r="D1090" s="35" t="s">
        <v>8201</v>
      </c>
      <c r="E1090" s="29" t="s">
        <v>7426</v>
      </c>
      <c r="F1090" s="30" t="s">
        <v>7428</v>
      </c>
      <c r="G1090" s="35" t="s">
        <v>584</v>
      </c>
      <c r="H1090" s="29">
        <f>COUNTIF(关系明细!$D$2:$D$2253,B1090)</f>
        <v>4</v>
      </c>
      <c r="I1090" s="29">
        <f>COUNTIF(关系明细!$G$2:$G$2253,B1090)</f>
        <v>1</v>
      </c>
    </row>
    <row r="1091" spans="1:9" ht="16.5">
      <c r="A1091" s="34" t="s">
        <v>7513</v>
      </c>
      <c r="B1091" s="9" t="s">
        <v>7510</v>
      </c>
      <c r="C1091" s="40" t="s">
        <v>204</v>
      </c>
      <c r="D1091" s="34" t="s">
        <v>8201</v>
      </c>
      <c r="E1091" s="27" t="s">
        <v>7426</v>
      </c>
      <c r="F1091" s="9" t="s">
        <v>7477</v>
      </c>
      <c r="G1091" s="34" t="s">
        <v>584</v>
      </c>
      <c r="H1091" s="27">
        <f>COUNTIF(关系明细!$D$2:$D$2253,B1091)</f>
        <v>1</v>
      </c>
      <c r="I1091" s="27">
        <f>COUNTIF(关系明细!$G$2:$G$2253,B1091)</f>
        <v>1</v>
      </c>
    </row>
    <row r="1092" spans="1:9" ht="16.5">
      <c r="A1092" s="35" t="s">
        <v>7518</v>
      </c>
      <c r="B1092" s="30" t="s">
        <v>7515</v>
      </c>
      <c r="C1092" s="39" t="s">
        <v>204</v>
      </c>
      <c r="D1092" s="35" t="s">
        <v>8201</v>
      </c>
      <c r="E1092" s="29" t="s">
        <v>7426</v>
      </c>
      <c r="F1092" s="30" t="s">
        <v>7454</v>
      </c>
      <c r="G1092" s="35" t="s">
        <v>584</v>
      </c>
      <c r="H1092" s="29">
        <f>COUNTIF(关系明细!$D$2:$D$2253,B1092)</f>
        <v>2</v>
      </c>
      <c r="I1092" s="29">
        <f>COUNTIF(关系明细!$G$2:$G$2253,B1092)</f>
        <v>1</v>
      </c>
    </row>
    <row r="1093" spans="1:9" ht="16.5">
      <c r="A1093" s="34" t="s">
        <v>7523</v>
      </c>
      <c r="B1093" s="9" t="s">
        <v>7520</v>
      </c>
      <c r="C1093" s="40" t="s">
        <v>204</v>
      </c>
      <c r="D1093" s="34" t="s">
        <v>8201</v>
      </c>
      <c r="E1093" s="27" t="s">
        <v>7426</v>
      </c>
      <c r="F1093" s="9" t="s">
        <v>7454</v>
      </c>
      <c r="G1093" s="34" t="s">
        <v>584</v>
      </c>
      <c r="H1093" s="27">
        <f>COUNTIF(关系明细!$D$2:$D$2253,B1093)</f>
        <v>1</v>
      </c>
      <c r="I1093" s="27">
        <f>COUNTIF(关系明细!$G$2:$G$2253,B1093)</f>
        <v>1</v>
      </c>
    </row>
    <row r="1094" spans="1:9" ht="16.5">
      <c r="A1094" s="35" t="s">
        <v>7528</v>
      </c>
      <c r="B1094" s="30" t="s">
        <v>7525</v>
      </c>
      <c r="C1094" s="39" t="s">
        <v>204</v>
      </c>
      <c r="D1094" s="35" t="s">
        <v>8201</v>
      </c>
      <c r="E1094" s="29" t="s">
        <v>7426</v>
      </c>
      <c r="F1094" s="30" t="s">
        <v>7454</v>
      </c>
      <c r="G1094" s="35" t="s">
        <v>584</v>
      </c>
      <c r="H1094" s="29">
        <f>COUNTIF(关系明细!$D$2:$D$2253,B1094)</f>
        <v>4</v>
      </c>
      <c r="I1094" s="29">
        <f>COUNTIF(关系明细!$G$2:$G$2253,B1094)</f>
        <v>1</v>
      </c>
    </row>
    <row r="1095" spans="1:9" ht="16.5">
      <c r="A1095" s="34" t="s">
        <v>7533</v>
      </c>
      <c r="B1095" s="9" t="s">
        <v>7530</v>
      </c>
      <c r="C1095" s="40" t="s">
        <v>204</v>
      </c>
      <c r="D1095" s="34" t="s">
        <v>8201</v>
      </c>
      <c r="E1095" s="27" t="s">
        <v>7426</v>
      </c>
      <c r="F1095" s="9" t="s">
        <v>7454</v>
      </c>
      <c r="G1095" s="34" t="s">
        <v>584</v>
      </c>
      <c r="H1095" s="27">
        <f>COUNTIF(关系明细!$D$2:$D$2253,B1095)</f>
        <v>1</v>
      </c>
      <c r="I1095" s="27">
        <f>COUNTIF(关系明细!$G$2:$G$2253,B1095)</f>
        <v>1</v>
      </c>
    </row>
    <row r="1096" spans="1:9" ht="16.5">
      <c r="A1096" s="35" t="s">
        <v>7538</v>
      </c>
      <c r="B1096" s="30" t="s">
        <v>7535</v>
      </c>
      <c r="C1096" s="39" t="s">
        <v>204</v>
      </c>
      <c r="D1096" s="35" t="s">
        <v>8201</v>
      </c>
      <c r="E1096" s="29" t="s">
        <v>7426</v>
      </c>
      <c r="F1096" s="30" t="s">
        <v>7473</v>
      </c>
      <c r="G1096" s="35" t="s">
        <v>584</v>
      </c>
      <c r="H1096" s="29">
        <f>COUNTIF(关系明细!$D$2:$D$2253,B1096)</f>
        <v>6</v>
      </c>
      <c r="I1096" s="29">
        <f>COUNTIF(关系明细!$G$2:$G$2253,B1096)</f>
        <v>1</v>
      </c>
    </row>
    <row r="1097" spans="1:9" ht="16.5">
      <c r="A1097" s="34" t="s">
        <v>7543</v>
      </c>
      <c r="B1097" s="9" t="s">
        <v>7540</v>
      </c>
      <c r="C1097" s="40" t="s">
        <v>295</v>
      </c>
      <c r="D1097" s="34" t="s">
        <v>8202</v>
      </c>
      <c r="E1097" s="27" t="s">
        <v>7426</v>
      </c>
      <c r="F1097" s="9" t="s">
        <v>7428</v>
      </c>
      <c r="G1097" s="34" t="s">
        <v>584</v>
      </c>
      <c r="H1097" s="27">
        <f>COUNTIF(关系明细!$D$2:$D$2253,B1097)</f>
        <v>1</v>
      </c>
      <c r="I1097" s="27">
        <f>COUNTIF(关系明细!$G$2:$G$2253,B1097)</f>
        <v>2</v>
      </c>
    </row>
    <row r="1098" spans="1:9" ht="16.5">
      <c r="A1098" s="35" t="s">
        <v>7661</v>
      </c>
      <c r="B1098" s="30" t="s">
        <v>7656</v>
      </c>
      <c r="C1098" s="39" t="s">
        <v>44</v>
      </c>
      <c r="D1098" s="35" t="s">
        <v>8172</v>
      </c>
      <c r="E1098" s="29" t="s">
        <v>7659</v>
      </c>
      <c r="F1098" s="35"/>
      <c r="G1098" s="30" t="s">
        <v>8553</v>
      </c>
      <c r="H1098" s="29">
        <f>COUNTIF(关系明细!$D$2:$D$2253,B1098)</f>
        <v>4</v>
      </c>
      <c r="I1098" s="29">
        <f>COUNTIF(关系明细!$G$2:$G$2253,B1098)</f>
        <v>0</v>
      </c>
    </row>
    <row r="1099" spans="1:9" ht="16.5">
      <c r="A1099" s="34" t="s">
        <v>7662</v>
      </c>
      <c r="B1099" s="9" t="s">
        <v>7657</v>
      </c>
      <c r="C1099" s="40" t="s">
        <v>62</v>
      </c>
      <c r="D1099" s="34" t="s">
        <v>8174</v>
      </c>
      <c r="E1099" s="27" t="s">
        <v>7659</v>
      </c>
      <c r="F1099" s="34"/>
      <c r="G1099" s="9" t="s">
        <v>8554</v>
      </c>
      <c r="H1099" s="27">
        <f>COUNTIF(关系明细!$D$2:$D$2253,B1099)</f>
        <v>8</v>
      </c>
      <c r="I1099" s="27">
        <f>COUNTIF(关系明细!$G$2:$G$2253,B1099)</f>
        <v>2</v>
      </c>
    </row>
    <row r="1100" spans="1:9" ht="16.5">
      <c r="A1100" s="35" t="s">
        <v>7698</v>
      </c>
      <c r="B1100" s="30" t="s">
        <v>7695</v>
      </c>
      <c r="C1100" s="39" t="s">
        <v>62</v>
      </c>
      <c r="D1100" s="35" t="s">
        <v>8174</v>
      </c>
      <c r="E1100" s="29" t="s">
        <v>7659</v>
      </c>
      <c r="F1100" s="35"/>
      <c r="G1100" s="30" t="s">
        <v>8555</v>
      </c>
      <c r="H1100" s="29">
        <f>COUNTIF(关系明细!$D$2:$D$2253,B1100)</f>
        <v>4</v>
      </c>
      <c r="I1100" s="29">
        <f>COUNTIF(关系明细!$G$2:$G$2253,B1100)</f>
        <v>2</v>
      </c>
    </row>
    <row r="1101" spans="1:9" ht="16.5">
      <c r="A1101" s="34" t="s">
        <v>7684</v>
      </c>
      <c r="B1101" s="9" t="s">
        <v>7681</v>
      </c>
      <c r="C1101" s="40" t="s">
        <v>62</v>
      </c>
      <c r="D1101" s="34" t="s">
        <v>8174</v>
      </c>
      <c r="E1101" s="27" t="s">
        <v>7659</v>
      </c>
      <c r="F1101" s="34"/>
      <c r="G1101" s="9" t="s">
        <v>8556</v>
      </c>
      <c r="H1101" s="27">
        <f>COUNTIF(关系明细!$D$2:$D$2253,B1101)</f>
        <v>4</v>
      </c>
      <c r="I1101" s="27">
        <f>COUNTIF(关系明细!$G$2:$G$2253,B1101)</f>
        <v>2</v>
      </c>
    </row>
    <row r="1102" spans="1:9" ht="16.5">
      <c r="A1102" s="35" t="s">
        <v>7713</v>
      </c>
      <c r="B1102" s="30" t="s">
        <v>7710</v>
      </c>
      <c r="C1102" s="39" t="s">
        <v>62</v>
      </c>
      <c r="D1102" s="35" t="s">
        <v>8174</v>
      </c>
      <c r="E1102" s="29" t="s">
        <v>7659</v>
      </c>
      <c r="F1102" s="35"/>
      <c r="G1102" s="30" t="s">
        <v>8557</v>
      </c>
      <c r="H1102" s="29">
        <f>COUNTIF(关系明细!$D$2:$D$2253,B1102)</f>
        <v>6</v>
      </c>
      <c r="I1102" s="29">
        <f>COUNTIF(关系明细!$G$2:$G$2253,B1102)</f>
        <v>1</v>
      </c>
    </row>
    <row r="1103" spans="1:9" ht="16.5">
      <c r="A1103" s="34" t="s">
        <v>7666</v>
      </c>
      <c r="B1103" s="9" t="s">
        <v>7663</v>
      </c>
      <c r="C1103" s="40" t="s">
        <v>72</v>
      </c>
      <c r="D1103" s="34" t="s">
        <v>8181</v>
      </c>
      <c r="E1103" s="27" t="s">
        <v>7659</v>
      </c>
      <c r="F1103" s="34"/>
      <c r="G1103" s="9" t="s">
        <v>8558</v>
      </c>
      <c r="H1103" s="27">
        <f>COUNTIF(关系明细!$D$2:$D$2253,B1103)</f>
        <v>0</v>
      </c>
      <c r="I1103" s="27">
        <f>COUNTIF(关系明细!$G$2:$G$2253,B1103)</f>
        <v>1</v>
      </c>
    </row>
    <row r="1104" spans="1:9" ht="16.5">
      <c r="A1104" s="35" t="s">
        <v>7669</v>
      </c>
      <c r="B1104" s="30" t="s">
        <v>7667</v>
      </c>
      <c r="C1104" s="39" t="s">
        <v>72</v>
      </c>
      <c r="D1104" s="35" t="s">
        <v>8181</v>
      </c>
      <c r="E1104" s="29" t="s">
        <v>7659</v>
      </c>
      <c r="F1104" s="35"/>
      <c r="G1104" s="30" t="s">
        <v>8558</v>
      </c>
      <c r="H1104" s="29">
        <f>COUNTIF(关系明细!$D$2:$D$2253,B1104)</f>
        <v>0</v>
      </c>
      <c r="I1104" s="29">
        <f>COUNTIF(关系明细!$G$2:$G$2253,B1104)</f>
        <v>1</v>
      </c>
    </row>
    <row r="1105" spans="1:9" ht="16.5">
      <c r="A1105" s="34" t="s">
        <v>7672</v>
      </c>
      <c r="B1105" s="9" t="s">
        <v>7670</v>
      </c>
      <c r="C1105" s="40" t="s">
        <v>72</v>
      </c>
      <c r="D1105" s="34" t="s">
        <v>8181</v>
      </c>
      <c r="E1105" s="27" t="s">
        <v>7659</v>
      </c>
      <c r="F1105" s="34"/>
      <c r="G1105" s="9" t="s">
        <v>8558</v>
      </c>
      <c r="H1105" s="27">
        <f>COUNTIF(关系明细!$D$2:$D$2253,B1105)</f>
        <v>0</v>
      </c>
      <c r="I1105" s="27">
        <f>COUNTIF(关系明细!$G$2:$G$2253,B1105)</f>
        <v>1</v>
      </c>
    </row>
    <row r="1106" spans="1:9" ht="16.5">
      <c r="A1106" s="35" t="s">
        <v>7702</v>
      </c>
      <c r="B1106" s="30" t="s">
        <v>7699</v>
      </c>
      <c r="C1106" s="39" t="s">
        <v>72</v>
      </c>
      <c r="D1106" s="35" t="s">
        <v>8181</v>
      </c>
      <c r="E1106" s="29" t="s">
        <v>7659</v>
      </c>
      <c r="F1106" s="35"/>
      <c r="G1106" s="30" t="s">
        <v>8559</v>
      </c>
      <c r="H1106" s="29">
        <f>COUNTIF(关系明细!$D$2:$D$2253,B1106)</f>
        <v>0</v>
      </c>
      <c r="I1106" s="29">
        <f>COUNTIF(关系明细!$G$2:$G$2253,B1106)</f>
        <v>1</v>
      </c>
    </row>
    <row r="1107" spans="1:9" ht="16.5">
      <c r="A1107" s="34" t="s">
        <v>7705</v>
      </c>
      <c r="B1107" s="9" t="s">
        <v>7703</v>
      </c>
      <c r="C1107" s="40" t="s">
        <v>72</v>
      </c>
      <c r="D1107" s="34" t="s">
        <v>8181</v>
      </c>
      <c r="E1107" s="27" t="s">
        <v>7659</v>
      </c>
      <c r="F1107" s="34"/>
      <c r="G1107" s="9" t="s">
        <v>8559</v>
      </c>
      <c r="H1107" s="27">
        <f>COUNTIF(关系明细!$D$2:$D$2253,B1107)</f>
        <v>0</v>
      </c>
      <c r="I1107" s="27">
        <f>COUNTIF(关系明细!$G$2:$G$2253,B1107)</f>
        <v>1</v>
      </c>
    </row>
    <row r="1108" spans="1:9" ht="16.5">
      <c r="A1108" s="35" t="s">
        <v>7688</v>
      </c>
      <c r="B1108" s="30" t="s">
        <v>7685</v>
      </c>
      <c r="C1108" s="39" t="s">
        <v>72</v>
      </c>
      <c r="D1108" s="35" t="s">
        <v>8181</v>
      </c>
      <c r="E1108" s="29" t="s">
        <v>7659</v>
      </c>
      <c r="F1108" s="35"/>
      <c r="G1108" s="30" t="s">
        <v>8560</v>
      </c>
      <c r="H1108" s="29">
        <f>COUNTIF(关系明细!$D$2:$D$2253,B1108)</f>
        <v>0</v>
      </c>
      <c r="I1108" s="29">
        <f>COUNTIF(关系明细!$G$2:$G$2253,B1108)</f>
        <v>1</v>
      </c>
    </row>
    <row r="1109" spans="1:9" ht="16.5">
      <c r="A1109" s="34" t="s">
        <v>7691</v>
      </c>
      <c r="B1109" s="9" t="s">
        <v>7689</v>
      </c>
      <c r="C1109" s="40" t="s">
        <v>72</v>
      </c>
      <c r="D1109" s="34" t="s">
        <v>8181</v>
      </c>
      <c r="E1109" s="27" t="s">
        <v>7659</v>
      </c>
      <c r="F1109" s="34"/>
      <c r="G1109" s="9" t="s">
        <v>8560</v>
      </c>
      <c r="H1109" s="27">
        <f>COUNTIF(关系明细!$D$2:$D$2253,B1109)</f>
        <v>0</v>
      </c>
      <c r="I1109" s="27">
        <f>COUNTIF(关系明细!$G$2:$G$2253,B1109)</f>
        <v>1</v>
      </c>
    </row>
    <row r="1110" spans="1:9" ht="16.5">
      <c r="A1110" s="35" t="s">
        <v>7694</v>
      </c>
      <c r="B1110" s="30" t="s">
        <v>7692</v>
      </c>
      <c r="C1110" s="39" t="s">
        <v>72</v>
      </c>
      <c r="D1110" s="35" t="s">
        <v>8181</v>
      </c>
      <c r="E1110" s="29" t="s">
        <v>7659</v>
      </c>
      <c r="F1110" s="35"/>
      <c r="G1110" s="30" t="s">
        <v>8560</v>
      </c>
      <c r="H1110" s="29">
        <f>COUNTIF(关系明细!$D$2:$D$2253,B1110)</f>
        <v>0</v>
      </c>
      <c r="I1110" s="29">
        <f>COUNTIF(关系明细!$G$2:$G$2253,B1110)</f>
        <v>1</v>
      </c>
    </row>
    <row r="1111" spans="1:9" ht="16.5">
      <c r="A1111" s="34" t="s">
        <v>7717</v>
      </c>
      <c r="B1111" s="9" t="s">
        <v>7714</v>
      </c>
      <c r="C1111" s="40" t="s">
        <v>72</v>
      </c>
      <c r="D1111" s="34" t="s">
        <v>8181</v>
      </c>
      <c r="E1111" s="27" t="s">
        <v>7659</v>
      </c>
      <c r="F1111" s="34"/>
      <c r="G1111" s="9" t="s">
        <v>8561</v>
      </c>
      <c r="H1111" s="27">
        <f>COUNTIF(关系明细!$D$2:$D$2253,B1111)</f>
        <v>0</v>
      </c>
      <c r="I1111" s="27">
        <f>COUNTIF(关系明细!$G$2:$G$2253,B1111)</f>
        <v>1</v>
      </c>
    </row>
    <row r="1112" spans="1:9" ht="16.5">
      <c r="A1112" s="35" t="s">
        <v>7720</v>
      </c>
      <c r="B1112" s="30" t="s">
        <v>7718</v>
      </c>
      <c r="C1112" s="39" t="s">
        <v>72</v>
      </c>
      <c r="D1112" s="35" t="s">
        <v>8181</v>
      </c>
      <c r="E1112" s="29" t="s">
        <v>7659</v>
      </c>
      <c r="F1112" s="35"/>
      <c r="G1112" s="30" t="s">
        <v>8561</v>
      </c>
      <c r="H1112" s="29">
        <f>COUNTIF(关系明细!$D$2:$D$2253,B1112)</f>
        <v>0</v>
      </c>
      <c r="I1112" s="29">
        <f>COUNTIF(关系明细!$G$2:$G$2253,B1112)</f>
        <v>1</v>
      </c>
    </row>
    <row r="1113" spans="1:9" ht="16.5">
      <c r="A1113" s="34" t="s">
        <v>7723</v>
      </c>
      <c r="B1113" s="9" t="s">
        <v>7721</v>
      </c>
      <c r="C1113" s="40" t="s">
        <v>72</v>
      </c>
      <c r="D1113" s="34" t="s">
        <v>8181</v>
      </c>
      <c r="E1113" s="27" t="s">
        <v>7659</v>
      </c>
      <c r="F1113" s="34"/>
      <c r="G1113" s="9" t="s">
        <v>8561</v>
      </c>
      <c r="H1113" s="27">
        <f>COUNTIF(关系明细!$D$2:$D$2253,B1113)</f>
        <v>0</v>
      </c>
      <c r="I1113" s="27">
        <f>COUNTIF(关系明细!$G$2:$G$2253,B1113)</f>
        <v>1</v>
      </c>
    </row>
    <row r="1114" spans="1:9" ht="16.5">
      <c r="A1114" s="35" t="s">
        <v>7726</v>
      </c>
      <c r="B1114" s="30" t="s">
        <v>7724</v>
      </c>
      <c r="C1114" s="39" t="s">
        <v>72</v>
      </c>
      <c r="D1114" s="35" t="s">
        <v>8181</v>
      </c>
      <c r="E1114" s="29" t="s">
        <v>7659</v>
      </c>
      <c r="F1114" s="35"/>
      <c r="G1114" s="30" t="s">
        <v>8561</v>
      </c>
      <c r="H1114" s="29">
        <f>COUNTIF(关系明细!$D$2:$D$2253,B1114)</f>
        <v>0</v>
      </c>
      <c r="I1114" s="29">
        <f>COUNTIF(关系明细!$G$2:$G$2253,B1114)</f>
        <v>1</v>
      </c>
    </row>
    <row r="1115" spans="1:9" ht="16.5">
      <c r="A1115" s="34" t="s">
        <v>7676</v>
      </c>
      <c r="B1115" s="9" t="s">
        <v>7673</v>
      </c>
      <c r="C1115" s="40" t="s">
        <v>82</v>
      </c>
      <c r="D1115" s="34" t="s">
        <v>8186</v>
      </c>
      <c r="E1115" s="27" t="s">
        <v>7659</v>
      </c>
      <c r="F1115" s="34"/>
      <c r="G1115" s="9" t="s">
        <v>8562</v>
      </c>
      <c r="H1115" s="27">
        <f>COUNTIF(关系明细!$D$2:$D$2253,B1115)</f>
        <v>0</v>
      </c>
      <c r="I1115" s="27">
        <f>COUNTIF(关系明细!$G$2:$G$2253,B1115)</f>
        <v>1</v>
      </c>
    </row>
    <row r="1116" spans="1:9" ht="16.5">
      <c r="A1116" s="35" t="s">
        <v>7680</v>
      </c>
      <c r="B1116" s="30" t="s">
        <v>7677</v>
      </c>
      <c r="C1116" s="39" t="s">
        <v>82</v>
      </c>
      <c r="D1116" s="35" t="s">
        <v>8186</v>
      </c>
      <c r="E1116" s="29" t="s">
        <v>7659</v>
      </c>
      <c r="F1116" s="35"/>
      <c r="G1116" s="30" t="s">
        <v>8563</v>
      </c>
      <c r="H1116" s="29">
        <f>COUNTIF(关系明细!$D$2:$D$2253,B1116)</f>
        <v>0</v>
      </c>
      <c r="I1116" s="29">
        <f>COUNTIF(关系明细!$G$2:$G$2253,B1116)</f>
        <v>1</v>
      </c>
    </row>
    <row r="1117" spans="1:9" ht="16.5">
      <c r="A1117" s="34" t="s">
        <v>7709</v>
      </c>
      <c r="B1117" s="9" t="s">
        <v>7706</v>
      </c>
      <c r="C1117" s="40" t="s">
        <v>82</v>
      </c>
      <c r="D1117" s="34" t="s">
        <v>8186</v>
      </c>
      <c r="E1117" s="27" t="s">
        <v>7659</v>
      </c>
      <c r="F1117" s="34"/>
      <c r="G1117" s="34" t="s">
        <v>8195</v>
      </c>
      <c r="H1117" s="27">
        <f>COUNTIF(关系明细!$D$2:$D$2253,B1117)</f>
        <v>0</v>
      </c>
      <c r="I1117" s="27">
        <f>COUNTIF(关系明细!$G$2:$G$2253,B1117)</f>
        <v>1</v>
      </c>
    </row>
    <row r="1118" spans="1:9" ht="16.5">
      <c r="A1118" s="35" t="s">
        <v>7730</v>
      </c>
      <c r="B1118" s="30" t="s">
        <v>7727</v>
      </c>
      <c r="C1118" s="39" t="s">
        <v>204</v>
      </c>
      <c r="D1118" s="35" t="s">
        <v>8201</v>
      </c>
      <c r="E1118" s="29" t="s">
        <v>7659</v>
      </c>
      <c r="F1118" s="30" t="s">
        <v>7657</v>
      </c>
      <c r="G1118" s="35" t="s">
        <v>584</v>
      </c>
      <c r="H1118" s="29">
        <f>COUNTIF(关系明细!$D$2:$D$2253,B1118)</f>
        <v>3</v>
      </c>
      <c r="I1118" s="29">
        <f>COUNTIF(关系明细!$G$2:$G$2253,B1118)</f>
        <v>1</v>
      </c>
    </row>
    <row r="1119" spans="1:9" ht="16.5">
      <c r="A1119" s="34" t="s">
        <v>7735</v>
      </c>
      <c r="B1119" s="9" t="s">
        <v>7732</v>
      </c>
      <c r="C1119" s="40" t="s">
        <v>204</v>
      </c>
      <c r="D1119" s="34" t="s">
        <v>8201</v>
      </c>
      <c r="E1119" s="27" t="s">
        <v>7659</v>
      </c>
      <c r="F1119" s="9" t="s">
        <v>7657</v>
      </c>
      <c r="G1119" s="9" t="s">
        <v>7733</v>
      </c>
      <c r="H1119" s="27">
        <f>COUNTIF(关系明细!$D$2:$D$2253,B1119)</f>
        <v>3</v>
      </c>
      <c r="I1119" s="27">
        <f>COUNTIF(关系明细!$G$2:$G$2253,B1119)</f>
        <v>1</v>
      </c>
    </row>
    <row r="1120" spans="1:9" ht="16.5">
      <c r="A1120" s="35" t="s">
        <v>7740</v>
      </c>
      <c r="B1120" s="30" t="s">
        <v>7737</v>
      </c>
      <c r="C1120" s="39" t="s">
        <v>204</v>
      </c>
      <c r="D1120" s="35" t="s">
        <v>8201</v>
      </c>
      <c r="E1120" s="29" t="s">
        <v>7659</v>
      </c>
      <c r="F1120" s="30" t="s">
        <v>7695</v>
      </c>
      <c r="G1120" s="35" t="s">
        <v>584</v>
      </c>
      <c r="H1120" s="29">
        <f>COUNTIF(关系明细!$D$2:$D$2253,B1120)</f>
        <v>5</v>
      </c>
      <c r="I1120" s="29">
        <f>COUNTIF(关系明细!$G$2:$G$2253,B1120)</f>
        <v>1</v>
      </c>
    </row>
    <row r="1121" spans="1:9" ht="16.5">
      <c r="A1121" s="34" t="s">
        <v>7745</v>
      </c>
      <c r="B1121" s="9" t="s">
        <v>7742</v>
      </c>
      <c r="C1121" s="40" t="s">
        <v>204</v>
      </c>
      <c r="D1121" s="34" t="s">
        <v>8201</v>
      </c>
      <c r="E1121" s="27" t="s">
        <v>7659</v>
      </c>
      <c r="F1121" s="9" t="s">
        <v>7710</v>
      </c>
      <c r="G1121" s="34" t="s">
        <v>584</v>
      </c>
      <c r="H1121" s="27">
        <f>COUNTIF(关系明细!$D$2:$D$2253,B1121)</f>
        <v>2</v>
      </c>
      <c r="I1121" s="27">
        <f>COUNTIF(关系明细!$G$2:$G$2253,B1121)</f>
        <v>1</v>
      </c>
    </row>
    <row r="1122" spans="1:9" ht="16.5">
      <c r="A1122" s="35" t="s">
        <v>7809</v>
      </c>
      <c r="B1122" s="30" t="s">
        <v>7805</v>
      </c>
      <c r="C1122" s="39" t="s">
        <v>44</v>
      </c>
      <c r="D1122" s="35" t="s">
        <v>8172</v>
      </c>
      <c r="E1122" s="29" t="s">
        <v>7807</v>
      </c>
      <c r="F1122" s="35"/>
      <c r="G1122" s="30" t="s">
        <v>8564</v>
      </c>
      <c r="H1122" s="29">
        <f>COUNTIF(关系明细!$D$2:$D$2253,B1122)</f>
        <v>9</v>
      </c>
      <c r="I1122" s="29">
        <f>COUNTIF(关系明细!$G$2:$G$2253,B1122)</f>
        <v>0</v>
      </c>
    </row>
    <row r="1123" spans="1:9" ht="16.5">
      <c r="A1123" s="34" t="s">
        <v>7819</v>
      </c>
      <c r="B1123" s="9" t="s">
        <v>7816</v>
      </c>
      <c r="C1123" s="40" t="s">
        <v>62</v>
      </c>
      <c r="D1123" s="34" t="s">
        <v>8174</v>
      </c>
      <c r="E1123" s="27" t="s">
        <v>7807</v>
      </c>
      <c r="F1123" s="34"/>
      <c r="G1123" s="9" t="s">
        <v>8565</v>
      </c>
      <c r="H1123" s="27">
        <f>COUNTIF(关系明细!$D$2:$D$2253,B1123)</f>
        <v>8</v>
      </c>
      <c r="I1123" s="27">
        <f>COUNTIF(关系明细!$G$2:$G$2253,B1123)</f>
        <v>1</v>
      </c>
    </row>
    <row r="1124" spans="1:9" ht="16.5">
      <c r="A1124" s="35" t="s">
        <v>7858</v>
      </c>
      <c r="B1124" s="30" t="s">
        <v>7855</v>
      </c>
      <c r="C1124" s="39" t="s">
        <v>62</v>
      </c>
      <c r="D1124" s="35" t="s">
        <v>8174</v>
      </c>
      <c r="E1124" s="29" t="s">
        <v>7807</v>
      </c>
      <c r="F1124" s="35"/>
      <c r="G1124" s="30" t="s">
        <v>8566</v>
      </c>
      <c r="H1124" s="29">
        <f>COUNTIF(关系明细!$D$2:$D$2253,B1124)</f>
        <v>6</v>
      </c>
      <c r="I1124" s="29">
        <f>COUNTIF(关系明细!$G$2:$G$2253,B1124)</f>
        <v>1</v>
      </c>
    </row>
    <row r="1125" spans="1:9" ht="16.5">
      <c r="A1125" s="34" t="s">
        <v>7876</v>
      </c>
      <c r="B1125" s="9" t="s">
        <v>7873</v>
      </c>
      <c r="C1125" s="40" t="s">
        <v>62</v>
      </c>
      <c r="D1125" s="34" t="s">
        <v>8174</v>
      </c>
      <c r="E1125" s="27" t="s">
        <v>7807</v>
      </c>
      <c r="F1125" s="34"/>
      <c r="G1125" s="9" t="s">
        <v>8567</v>
      </c>
      <c r="H1125" s="27">
        <f>COUNTIF(关系明细!$D$2:$D$2253,B1125)</f>
        <v>3</v>
      </c>
      <c r="I1125" s="27">
        <f>COUNTIF(关系明细!$G$2:$G$2253,B1125)</f>
        <v>1</v>
      </c>
    </row>
    <row r="1126" spans="1:9" ht="16.5">
      <c r="A1126" s="35" t="s">
        <v>7846</v>
      </c>
      <c r="B1126" s="30" t="s">
        <v>7843</v>
      </c>
      <c r="C1126" s="39" t="s">
        <v>62</v>
      </c>
      <c r="D1126" s="35" t="s">
        <v>8174</v>
      </c>
      <c r="E1126" s="29" t="s">
        <v>7807</v>
      </c>
      <c r="F1126" s="35"/>
      <c r="G1126" s="30" t="s">
        <v>8568</v>
      </c>
      <c r="H1126" s="29">
        <f>COUNTIF(关系明细!$D$2:$D$2253,B1126)</f>
        <v>4</v>
      </c>
      <c r="I1126" s="29">
        <f>COUNTIF(关系明细!$G$2:$G$2253,B1126)</f>
        <v>1</v>
      </c>
    </row>
    <row r="1127" spans="1:9" ht="16.5">
      <c r="A1127" s="34" t="s">
        <v>7834</v>
      </c>
      <c r="B1127" s="9" t="s">
        <v>7831</v>
      </c>
      <c r="C1127" s="40" t="s">
        <v>62</v>
      </c>
      <c r="D1127" s="34" t="s">
        <v>8174</v>
      </c>
      <c r="E1127" s="27" t="s">
        <v>7807</v>
      </c>
      <c r="F1127" s="34"/>
      <c r="G1127" s="9" t="s">
        <v>8569</v>
      </c>
      <c r="H1127" s="27">
        <f>COUNTIF(关系明细!$D$2:$D$2253,B1127)</f>
        <v>4</v>
      </c>
      <c r="I1127" s="27">
        <f>COUNTIF(关系明细!$G$2:$G$2253,B1127)</f>
        <v>1</v>
      </c>
    </row>
    <row r="1128" spans="1:9" ht="16.5">
      <c r="A1128" s="35" t="s">
        <v>7823</v>
      </c>
      <c r="B1128" s="30" t="s">
        <v>7820</v>
      </c>
      <c r="C1128" s="39" t="s">
        <v>72</v>
      </c>
      <c r="D1128" s="35" t="s">
        <v>8181</v>
      </c>
      <c r="E1128" s="29" t="s">
        <v>7807</v>
      </c>
      <c r="F1128" s="35"/>
      <c r="G1128" s="30" t="s">
        <v>8570</v>
      </c>
      <c r="H1128" s="29">
        <f>COUNTIF(关系明细!$D$2:$D$2253,B1128)</f>
        <v>0</v>
      </c>
      <c r="I1128" s="29">
        <f>COUNTIF(关系明细!$G$2:$G$2253,B1128)</f>
        <v>1</v>
      </c>
    </row>
    <row r="1129" spans="1:9" ht="16.5">
      <c r="A1129" s="34" t="s">
        <v>7826</v>
      </c>
      <c r="B1129" s="34" t="s">
        <v>7824</v>
      </c>
      <c r="C1129" s="40" t="s">
        <v>72</v>
      </c>
      <c r="D1129" s="34" t="s">
        <v>8181</v>
      </c>
      <c r="E1129" s="27" t="s">
        <v>7807</v>
      </c>
      <c r="F1129" s="34"/>
      <c r="G1129" s="9" t="s">
        <v>8570</v>
      </c>
      <c r="H1129" s="27">
        <f>COUNTIF(关系明细!$D$2:$D$2253,B1129)</f>
        <v>0</v>
      </c>
      <c r="I1129" s="27">
        <f>COUNTIF(关系明细!$G$2:$G$2253,B1129)</f>
        <v>1</v>
      </c>
    </row>
    <row r="1130" spans="1:9" ht="16.5">
      <c r="A1130" s="35" t="s">
        <v>7862</v>
      </c>
      <c r="B1130" s="35" t="s">
        <v>7859</v>
      </c>
      <c r="C1130" s="39" t="s">
        <v>72</v>
      </c>
      <c r="D1130" s="35" t="s">
        <v>8181</v>
      </c>
      <c r="E1130" s="29" t="s">
        <v>7807</v>
      </c>
      <c r="F1130" s="35"/>
      <c r="G1130" s="30" t="s">
        <v>8571</v>
      </c>
      <c r="H1130" s="29">
        <f>COUNTIF(关系明细!$D$2:$D$2253,B1130)</f>
        <v>0</v>
      </c>
      <c r="I1130" s="29">
        <f>COUNTIF(关系明细!$G$2:$G$2253,B1130)</f>
        <v>1</v>
      </c>
    </row>
    <row r="1131" spans="1:9" ht="16.5">
      <c r="A1131" s="34" t="s">
        <v>7865</v>
      </c>
      <c r="B1131" s="34" t="s">
        <v>7863</v>
      </c>
      <c r="C1131" s="40" t="s">
        <v>72</v>
      </c>
      <c r="D1131" s="34" t="s">
        <v>8181</v>
      </c>
      <c r="E1131" s="27" t="s">
        <v>7807</v>
      </c>
      <c r="F1131" s="34"/>
      <c r="G1131" s="9" t="s">
        <v>8571</v>
      </c>
      <c r="H1131" s="27">
        <f>COUNTIF(关系明细!$D$2:$D$2253,B1131)</f>
        <v>0</v>
      </c>
      <c r="I1131" s="27">
        <f>COUNTIF(关系明细!$G$2:$G$2253,B1131)</f>
        <v>1</v>
      </c>
    </row>
    <row r="1132" spans="1:9" ht="16.5">
      <c r="A1132" s="35" t="s">
        <v>7868</v>
      </c>
      <c r="B1132" s="35" t="s">
        <v>7866</v>
      </c>
      <c r="C1132" s="39" t="s">
        <v>72</v>
      </c>
      <c r="D1132" s="35" t="s">
        <v>8181</v>
      </c>
      <c r="E1132" s="29" t="s">
        <v>7807</v>
      </c>
      <c r="F1132" s="35"/>
      <c r="G1132" s="30" t="s">
        <v>8571</v>
      </c>
      <c r="H1132" s="29">
        <f>COUNTIF(关系明细!$D$2:$D$2253,B1132)</f>
        <v>0</v>
      </c>
      <c r="I1132" s="29">
        <f>COUNTIF(关系明细!$G$2:$G$2253,B1132)</f>
        <v>1</v>
      </c>
    </row>
    <row r="1133" spans="1:9" ht="16.5">
      <c r="A1133" s="34" t="s">
        <v>7880</v>
      </c>
      <c r="B1133" s="9" t="s">
        <v>7877</v>
      </c>
      <c r="C1133" s="40" t="s">
        <v>72</v>
      </c>
      <c r="D1133" s="34" t="s">
        <v>8181</v>
      </c>
      <c r="E1133" s="27" t="s">
        <v>7807</v>
      </c>
      <c r="F1133" s="34"/>
      <c r="G1133" s="9" t="s">
        <v>8572</v>
      </c>
      <c r="H1133" s="27">
        <f>COUNTIF(关系明细!$D$2:$D$2253,B1133)</f>
        <v>0</v>
      </c>
      <c r="I1133" s="27">
        <f>COUNTIF(关系明细!$G$2:$G$2253,B1133)</f>
        <v>1</v>
      </c>
    </row>
    <row r="1134" spans="1:9" ht="16.5">
      <c r="A1134" s="35" t="s">
        <v>7883</v>
      </c>
      <c r="B1134" s="30" t="s">
        <v>7881</v>
      </c>
      <c r="C1134" s="39" t="s">
        <v>72</v>
      </c>
      <c r="D1134" s="35" t="s">
        <v>8181</v>
      </c>
      <c r="E1134" s="29" t="s">
        <v>7807</v>
      </c>
      <c r="F1134" s="35"/>
      <c r="G1134" s="30" t="s">
        <v>8572</v>
      </c>
      <c r="H1134" s="29">
        <f>COUNTIF(关系明细!$D$2:$D$2253,B1134)</f>
        <v>0</v>
      </c>
      <c r="I1134" s="29">
        <f>COUNTIF(关系明细!$G$2:$G$2253,B1134)</f>
        <v>1</v>
      </c>
    </row>
    <row r="1135" spans="1:9" ht="16.5">
      <c r="A1135" s="34" t="s">
        <v>7830</v>
      </c>
      <c r="B1135" s="9" t="s">
        <v>7827</v>
      </c>
      <c r="C1135" s="40" t="s">
        <v>82</v>
      </c>
      <c r="D1135" s="34" t="s">
        <v>8186</v>
      </c>
      <c r="E1135" s="27" t="s">
        <v>7807</v>
      </c>
      <c r="F1135" s="34"/>
      <c r="G1135" s="9" t="s">
        <v>8573</v>
      </c>
      <c r="H1135" s="27">
        <f>COUNTIF(关系明细!$D$2:$D$2253,B1135)</f>
        <v>0</v>
      </c>
      <c r="I1135" s="27">
        <f>COUNTIF(关系明细!$G$2:$G$2253,B1135)</f>
        <v>1</v>
      </c>
    </row>
    <row r="1136" spans="1:9" ht="16.5">
      <c r="A1136" s="35" t="s">
        <v>7872</v>
      </c>
      <c r="B1136" s="30" t="s">
        <v>7869</v>
      </c>
      <c r="C1136" s="39" t="s">
        <v>82</v>
      </c>
      <c r="D1136" s="35" t="s">
        <v>8186</v>
      </c>
      <c r="E1136" s="29" t="s">
        <v>7807</v>
      </c>
      <c r="F1136" s="35"/>
      <c r="G1136" s="30" t="s">
        <v>8574</v>
      </c>
      <c r="H1136" s="29">
        <f>COUNTIF(关系明细!$D$2:$D$2253,B1136)</f>
        <v>0</v>
      </c>
      <c r="I1136" s="29">
        <f>COUNTIF(关系明细!$G$2:$G$2253,B1136)</f>
        <v>1</v>
      </c>
    </row>
    <row r="1137" spans="1:9" ht="16.5">
      <c r="A1137" s="34" t="s">
        <v>7850</v>
      </c>
      <c r="B1137" s="9" t="s">
        <v>7847</v>
      </c>
      <c r="C1137" s="40" t="s">
        <v>82</v>
      </c>
      <c r="D1137" s="34" t="s">
        <v>8186</v>
      </c>
      <c r="E1137" s="27" t="s">
        <v>7807</v>
      </c>
      <c r="F1137" s="34"/>
      <c r="G1137" s="9" t="s">
        <v>8575</v>
      </c>
      <c r="H1137" s="27">
        <f>COUNTIF(关系明细!$D$2:$D$2253,B1137)</f>
        <v>0</v>
      </c>
      <c r="I1137" s="27">
        <f>COUNTIF(关系明细!$G$2:$G$2253,B1137)</f>
        <v>1</v>
      </c>
    </row>
    <row r="1138" spans="1:9" ht="16.5">
      <c r="A1138" s="35" t="s">
        <v>7854</v>
      </c>
      <c r="B1138" s="30" t="s">
        <v>7851</v>
      </c>
      <c r="C1138" s="39" t="s">
        <v>82</v>
      </c>
      <c r="D1138" s="35" t="s">
        <v>8186</v>
      </c>
      <c r="E1138" s="29" t="s">
        <v>7807</v>
      </c>
      <c r="F1138" s="35"/>
      <c r="G1138" s="30" t="s">
        <v>8576</v>
      </c>
      <c r="H1138" s="29">
        <f>COUNTIF(关系明细!$D$2:$D$2253,B1138)</f>
        <v>0</v>
      </c>
      <c r="I1138" s="29">
        <f>COUNTIF(关系明细!$G$2:$G$2253,B1138)</f>
        <v>1</v>
      </c>
    </row>
    <row r="1139" spans="1:9" ht="16.5">
      <c r="A1139" s="34" t="s">
        <v>7838</v>
      </c>
      <c r="B1139" s="9" t="s">
        <v>7835</v>
      </c>
      <c r="C1139" s="40" t="s">
        <v>82</v>
      </c>
      <c r="D1139" s="34" t="s">
        <v>8186</v>
      </c>
      <c r="E1139" s="27" t="s">
        <v>7807</v>
      </c>
      <c r="F1139" s="34"/>
      <c r="G1139" s="9" t="s">
        <v>8577</v>
      </c>
      <c r="H1139" s="27">
        <f>COUNTIF(关系明细!$D$2:$D$2253,B1139)</f>
        <v>0</v>
      </c>
      <c r="I1139" s="27">
        <f>COUNTIF(关系明细!$G$2:$G$2253,B1139)</f>
        <v>1</v>
      </c>
    </row>
    <row r="1140" spans="1:9" ht="16.5">
      <c r="A1140" s="35" t="s">
        <v>7842</v>
      </c>
      <c r="B1140" s="30" t="s">
        <v>7839</v>
      </c>
      <c r="C1140" s="39" t="s">
        <v>82</v>
      </c>
      <c r="D1140" s="35" t="s">
        <v>8186</v>
      </c>
      <c r="E1140" s="29" t="s">
        <v>7807</v>
      </c>
      <c r="F1140" s="35"/>
      <c r="G1140" s="30" t="s">
        <v>8578</v>
      </c>
      <c r="H1140" s="29">
        <f>COUNTIF(关系明细!$D$2:$D$2253,B1140)</f>
        <v>0</v>
      </c>
      <c r="I1140" s="29">
        <f>COUNTIF(关系明细!$G$2:$G$2253,B1140)</f>
        <v>1</v>
      </c>
    </row>
    <row r="1141" spans="1:9" ht="16.5">
      <c r="A1141" s="34" t="s">
        <v>3609</v>
      </c>
      <c r="B1141" s="9" t="s">
        <v>3606</v>
      </c>
      <c r="C1141" s="40" t="s">
        <v>1250</v>
      </c>
      <c r="D1141" s="34" t="s">
        <v>8579</v>
      </c>
      <c r="E1141" s="27" t="s">
        <v>7807</v>
      </c>
      <c r="F1141" s="34"/>
      <c r="G1141" s="34" t="s">
        <v>8580</v>
      </c>
      <c r="H1141" s="27">
        <f>COUNTIF(关系明细!$D$2:$D$2253,B1141)</f>
        <v>3</v>
      </c>
      <c r="I1141" s="27">
        <f>COUNTIF(关系明细!$G$2:$G$2253,B1141)</f>
        <v>1</v>
      </c>
    </row>
    <row r="1142" spans="1:9" ht="16.5">
      <c r="A1142" s="35" t="s">
        <v>7970</v>
      </c>
      <c r="B1142" s="35" t="s">
        <v>7968</v>
      </c>
      <c r="C1142" s="39" t="s">
        <v>1250</v>
      </c>
      <c r="D1142" s="35" t="s">
        <v>8579</v>
      </c>
      <c r="E1142" s="29" t="s">
        <v>7807</v>
      </c>
      <c r="F1142" s="35"/>
      <c r="G1142" s="30" t="s">
        <v>8581</v>
      </c>
      <c r="H1142" s="29">
        <f>COUNTIF(关系明细!$D$2:$D$2253,B1142)</f>
        <v>0</v>
      </c>
      <c r="I1142" s="29">
        <f>COUNTIF(关系明细!$G$2:$G$2253,B1142)</f>
        <v>1</v>
      </c>
    </row>
    <row r="1143" spans="1:9" ht="16.5">
      <c r="A1143" s="34" t="s">
        <v>1394</v>
      </c>
      <c r="B1143" s="9" t="s">
        <v>1391</v>
      </c>
      <c r="C1143" s="40" t="s">
        <v>1250</v>
      </c>
      <c r="D1143" s="34" t="s">
        <v>8579</v>
      </c>
      <c r="E1143" s="27" t="s">
        <v>7807</v>
      </c>
      <c r="F1143" s="34"/>
      <c r="G1143" s="9" t="s">
        <v>8582</v>
      </c>
      <c r="H1143" s="27">
        <f>COUNTIF(关系明细!$D$2:$D$2253,B1143)</f>
        <v>2</v>
      </c>
      <c r="I1143" s="27">
        <f>COUNTIF(关系明细!$G$2:$G$2253,B1143)</f>
        <v>1</v>
      </c>
    </row>
    <row r="1144" spans="1:9" ht="16.5">
      <c r="A1144" s="35" t="s">
        <v>3596</v>
      </c>
      <c r="B1144" s="30" t="s">
        <v>3593</v>
      </c>
      <c r="C1144" s="39" t="s">
        <v>1250</v>
      </c>
      <c r="D1144" s="35" t="s">
        <v>8579</v>
      </c>
      <c r="E1144" s="29" t="s">
        <v>7807</v>
      </c>
      <c r="F1144" s="35"/>
      <c r="G1144" s="30" t="s">
        <v>8583</v>
      </c>
      <c r="H1144" s="29">
        <f>COUNTIF(关系明细!$D$2:$D$2253,B1144)</f>
        <v>3</v>
      </c>
      <c r="I1144" s="29">
        <f>COUNTIF(关系明细!$G$2:$G$2253,B1144)</f>
        <v>0</v>
      </c>
    </row>
    <row r="1145" spans="1:9" ht="16.5">
      <c r="A1145" s="34" t="s">
        <v>1254</v>
      </c>
      <c r="B1145" s="9" t="s">
        <v>1251</v>
      </c>
      <c r="C1145" s="40" t="s">
        <v>1250</v>
      </c>
      <c r="D1145" s="34" t="s">
        <v>8579</v>
      </c>
      <c r="E1145" s="27" t="s">
        <v>7807</v>
      </c>
      <c r="F1145" s="34"/>
      <c r="G1145" s="9" t="s">
        <v>8584</v>
      </c>
      <c r="H1145" s="27">
        <f>COUNTIF(关系明细!$D$2:$D$2253,B1145)</f>
        <v>3</v>
      </c>
      <c r="I1145" s="27">
        <f>COUNTIF(关系明细!$G$2:$G$2253,B1145)</f>
        <v>0</v>
      </c>
    </row>
    <row r="1146" spans="1:9" ht="16.5">
      <c r="A1146" s="35" t="s">
        <v>2753</v>
      </c>
      <c r="B1146" s="30" t="s">
        <v>2751</v>
      </c>
      <c r="C1146" s="39" t="s">
        <v>1250</v>
      </c>
      <c r="D1146" s="35" t="s">
        <v>8579</v>
      </c>
      <c r="E1146" s="29" t="s">
        <v>7807</v>
      </c>
      <c r="F1146" s="35"/>
      <c r="G1146" s="30" t="s">
        <v>8585</v>
      </c>
      <c r="H1146" s="29">
        <f>COUNTIF(关系明细!$D$2:$D$2253,B1146)</f>
        <v>4</v>
      </c>
      <c r="I1146" s="29">
        <f>COUNTIF(关系明细!$G$2:$G$2253,B1146)</f>
        <v>2</v>
      </c>
    </row>
    <row r="1147" spans="1:9" ht="16.5">
      <c r="A1147" s="34" t="s">
        <v>1389</v>
      </c>
      <c r="B1147" s="9" t="s">
        <v>1385</v>
      </c>
      <c r="C1147" s="40" t="s">
        <v>1250</v>
      </c>
      <c r="D1147" s="34" t="s">
        <v>8579</v>
      </c>
      <c r="E1147" s="27" t="s">
        <v>7807</v>
      </c>
      <c r="F1147" s="34"/>
      <c r="G1147" s="9" t="s">
        <v>8586</v>
      </c>
      <c r="H1147" s="27">
        <f>COUNTIF(关系明细!$D$2:$D$2253,B1147)</f>
        <v>7</v>
      </c>
      <c r="I1147" s="27">
        <f>COUNTIF(关系明细!$G$2:$G$2253,B1147)</f>
        <v>1</v>
      </c>
    </row>
    <row r="1148" spans="1:9" ht="16.5">
      <c r="A1148" s="35" t="s">
        <v>2153</v>
      </c>
      <c r="B1148" s="30" t="s">
        <v>2151</v>
      </c>
      <c r="C1148" s="39" t="s">
        <v>1250</v>
      </c>
      <c r="D1148" s="35" t="s">
        <v>8579</v>
      </c>
      <c r="E1148" s="29" t="s">
        <v>7807</v>
      </c>
      <c r="F1148" s="35"/>
      <c r="G1148" s="30" t="s">
        <v>8587</v>
      </c>
      <c r="H1148" s="29">
        <f>COUNTIF(关系明细!$D$2:$D$2253,B1148)</f>
        <v>4</v>
      </c>
      <c r="I1148" s="29">
        <f>COUNTIF(关系明细!$G$2:$G$2253,B1148)</f>
        <v>1</v>
      </c>
    </row>
    <row r="1149" spans="1:9" ht="16.5">
      <c r="A1149" s="34" t="s">
        <v>7887</v>
      </c>
      <c r="B1149" s="9" t="s">
        <v>7884</v>
      </c>
      <c r="C1149" s="40" t="s">
        <v>204</v>
      </c>
      <c r="D1149" s="34" t="s">
        <v>8201</v>
      </c>
      <c r="E1149" s="27" t="s">
        <v>7807</v>
      </c>
      <c r="F1149" s="9" t="s">
        <v>7816</v>
      </c>
      <c r="G1149" s="34" t="s">
        <v>584</v>
      </c>
      <c r="H1149" s="27">
        <f>COUNTIF(关系明细!$D$2:$D$2253,B1149)</f>
        <v>2</v>
      </c>
      <c r="I1149" s="27">
        <f>COUNTIF(关系明细!$G$2:$G$2253,B1149)</f>
        <v>1</v>
      </c>
    </row>
    <row r="1150" spans="1:9" ht="16.5">
      <c r="A1150" s="35" t="s">
        <v>7892</v>
      </c>
      <c r="B1150" s="35" t="s">
        <v>7889</v>
      </c>
      <c r="C1150" s="39" t="s">
        <v>204</v>
      </c>
      <c r="D1150" s="35" t="s">
        <v>8201</v>
      </c>
      <c r="E1150" s="29" t="s">
        <v>7807</v>
      </c>
      <c r="F1150" s="30" t="s">
        <v>7816</v>
      </c>
      <c r="G1150" s="35" t="s">
        <v>584</v>
      </c>
      <c r="H1150" s="29">
        <f>COUNTIF(关系明细!$D$2:$D$2253,B1150)</f>
        <v>2</v>
      </c>
      <c r="I1150" s="29">
        <f>COUNTIF(关系明细!$G$2:$G$2253,B1150)</f>
        <v>1</v>
      </c>
    </row>
    <row r="1151" spans="1:9" ht="16.5">
      <c r="A1151" s="34" t="s">
        <v>7897</v>
      </c>
      <c r="B1151" s="34" t="s">
        <v>7894</v>
      </c>
      <c r="C1151" s="40" t="s">
        <v>204</v>
      </c>
      <c r="D1151" s="34" t="s">
        <v>8201</v>
      </c>
      <c r="E1151" s="27" t="s">
        <v>7807</v>
      </c>
      <c r="F1151" s="9" t="s">
        <v>7816</v>
      </c>
      <c r="G1151" s="9" t="s">
        <v>7895</v>
      </c>
      <c r="H1151" s="27">
        <f>COUNTIF(关系明细!$D$2:$D$2253,B1151)</f>
        <v>3</v>
      </c>
      <c r="I1151" s="27">
        <f>COUNTIF(关系明细!$G$2:$G$2253,B1151)</f>
        <v>1</v>
      </c>
    </row>
    <row r="1152" spans="1:9" ht="16.5">
      <c r="A1152" s="35" t="s">
        <v>7902</v>
      </c>
      <c r="B1152" s="30" t="s">
        <v>7899</v>
      </c>
      <c r="C1152" s="39" t="s">
        <v>204</v>
      </c>
      <c r="D1152" s="35" t="s">
        <v>8201</v>
      </c>
      <c r="E1152" s="29" t="s">
        <v>7807</v>
      </c>
      <c r="F1152" s="30" t="s">
        <v>7831</v>
      </c>
      <c r="G1152" s="35" t="s">
        <v>584</v>
      </c>
      <c r="H1152" s="29">
        <f>COUNTIF(关系明细!$D$2:$D$2253,B1152)</f>
        <v>1</v>
      </c>
      <c r="I1152" s="29">
        <f>COUNTIF(关系明细!$G$2:$G$2253,B1152)</f>
        <v>1</v>
      </c>
    </row>
    <row r="1153" spans="1:9" ht="16.5">
      <c r="A1153" s="34" t="s">
        <v>7907</v>
      </c>
      <c r="B1153" s="9" t="s">
        <v>7904</v>
      </c>
      <c r="C1153" s="40" t="s">
        <v>204</v>
      </c>
      <c r="D1153" s="34" t="s">
        <v>8201</v>
      </c>
      <c r="E1153" s="27" t="s">
        <v>7807</v>
      </c>
      <c r="F1153" s="9" t="s">
        <v>7843</v>
      </c>
      <c r="G1153" s="34" t="s">
        <v>584</v>
      </c>
      <c r="H1153" s="27">
        <f>COUNTIF(关系明细!$D$2:$D$2253,B1153)</f>
        <v>1</v>
      </c>
      <c r="I1153" s="27">
        <f>COUNTIF(关系明细!$G$2:$G$2253,B1153)</f>
        <v>1</v>
      </c>
    </row>
    <row r="1154" spans="1:9" ht="16.5">
      <c r="A1154" s="35" t="s">
        <v>7912</v>
      </c>
      <c r="B1154" s="30" t="s">
        <v>7909</v>
      </c>
      <c r="C1154" s="39" t="s">
        <v>204</v>
      </c>
      <c r="D1154" s="35" t="s">
        <v>8201</v>
      </c>
      <c r="E1154" s="29" t="s">
        <v>7807</v>
      </c>
      <c r="F1154" s="30" t="s">
        <v>7855</v>
      </c>
      <c r="G1154" s="35" t="s">
        <v>584</v>
      </c>
      <c r="H1154" s="29">
        <f>COUNTIF(关系明细!$D$2:$D$2253,B1154)</f>
        <v>3</v>
      </c>
      <c r="I1154" s="29">
        <f>COUNTIF(关系明细!$G$2:$G$2253,B1154)</f>
        <v>1</v>
      </c>
    </row>
    <row r="1155" spans="1:9" ht="16.5">
      <c r="A1155" s="34" t="s">
        <v>7917</v>
      </c>
      <c r="B1155" s="9" t="s">
        <v>7914</v>
      </c>
      <c r="C1155" s="40" t="s">
        <v>204</v>
      </c>
      <c r="D1155" s="34" t="s">
        <v>8201</v>
      </c>
      <c r="E1155" s="27" t="s">
        <v>7807</v>
      </c>
      <c r="F1155" s="9" t="s">
        <v>7855</v>
      </c>
      <c r="G1155" s="34" t="s">
        <v>584</v>
      </c>
      <c r="H1155" s="27">
        <f>COUNTIF(关系明细!$D$2:$D$2253,B1155)</f>
        <v>3</v>
      </c>
      <c r="I1155" s="27">
        <f>COUNTIF(关系明细!$G$2:$G$2253,B1155)</f>
        <v>1</v>
      </c>
    </row>
    <row r="1156" spans="1:9" ht="16.5">
      <c r="A1156" s="35" t="s">
        <v>2815</v>
      </c>
      <c r="B1156" s="30" t="s">
        <v>2812</v>
      </c>
      <c r="C1156" s="39" t="s">
        <v>44</v>
      </c>
      <c r="D1156" s="35" t="s">
        <v>8172</v>
      </c>
      <c r="E1156" s="29" t="s">
        <v>7983</v>
      </c>
      <c r="F1156" s="35"/>
      <c r="G1156" s="30" t="s">
        <v>8588</v>
      </c>
      <c r="H1156" s="29">
        <f>COUNTIF(关系明细!$D$2:$D$2253,B1156)</f>
        <v>2</v>
      </c>
      <c r="I1156" s="29">
        <f>COUNTIF(关系明细!$G$2:$G$2253,B1156)</f>
        <v>2</v>
      </c>
    </row>
    <row r="1157" spans="1:9" ht="16.5">
      <c r="A1157" s="34" t="s">
        <v>7985</v>
      </c>
      <c r="B1157" s="9" t="s">
        <v>7981</v>
      </c>
      <c r="C1157" s="40" t="s">
        <v>62</v>
      </c>
      <c r="D1157" s="34" t="s">
        <v>8174</v>
      </c>
      <c r="E1157" s="27" t="s">
        <v>7983</v>
      </c>
      <c r="F1157" s="34"/>
      <c r="G1157" s="9" t="s">
        <v>8589</v>
      </c>
      <c r="H1157" s="27">
        <f>COUNTIF(关系明细!$D$2:$D$2253,B1157)</f>
        <v>10</v>
      </c>
      <c r="I1157" s="27">
        <f>COUNTIF(关系明细!$G$2:$G$2253,B1157)</f>
        <v>2</v>
      </c>
    </row>
    <row r="1158" spans="1:9" ht="16.5">
      <c r="A1158" s="35" t="s">
        <v>8015</v>
      </c>
      <c r="B1158" s="30" t="s">
        <v>8012</v>
      </c>
      <c r="C1158" s="39" t="s">
        <v>62</v>
      </c>
      <c r="D1158" s="35" t="s">
        <v>8174</v>
      </c>
      <c r="E1158" s="29" t="s">
        <v>7983</v>
      </c>
      <c r="F1158" s="35"/>
      <c r="G1158" s="30" t="s">
        <v>8590</v>
      </c>
      <c r="H1158" s="29">
        <f>COUNTIF(关系明细!$D$2:$D$2253,B1158)</f>
        <v>4</v>
      </c>
      <c r="I1158" s="29">
        <f>COUNTIF(关系明细!$G$2:$G$2253,B1158)</f>
        <v>2</v>
      </c>
    </row>
    <row r="1159" spans="1:9" ht="16.5">
      <c r="A1159" s="34" t="s">
        <v>7989</v>
      </c>
      <c r="B1159" s="9" t="s">
        <v>7986</v>
      </c>
      <c r="C1159" s="40" t="s">
        <v>72</v>
      </c>
      <c r="D1159" s="34" t="s">
        <v>8181</v>
      </c>
      <c r="E1159" s="27" t="s">
        <v>7983</v>
      </c>
      <c r="F1159" s="34"/>
      <c r="G1159" s="9" t="s">
        <v>8591</v>
      </c>
      <c r="H1159" s="27">
        <f>COUNTIF(关系明细!$D$2:$D$2253,B1159)</f>
        <v>0</v>
      </c>
      <c r="I1159" s="27">
        <f>COUNTIF(关系明细!$G$2:$G$2253,B1159)</f>
        <v>1</v>
      </c>
    </row>
    <row r="1160" spans="1:9" ht="16.5">
      <c r="A1160" s="35" t="s">
        <v>7992</v>
      </c>
      <c r="B1160" s="30" t="s">
        <v>7990</v>
      </c>
      <c r="C1160" s="39" t="s">
        <v>72</v>
      </c>
      <c r="D1160" s="35" t="s">
        <v>8181</v>
      </c>
      <c r="E1160" s="29" t="s">
        <v>7983</v>
      </c>
      <c r="F1160" s="35"/>
      <c r="G1160" s="30" t="s">
        <v>8591</v>
      </c>
      <c r="H1160" s="29">
        <f>COUNTIF(关系明细!$D$2:$D$2253,B1160)</f>
        <v>0</v>
      </c>
      <c r="I1160" s="29">
        <f>COUNTIF(关系明细!$G$2:$G$2253,B1160)</f>
        <v>1</v>
      </c>
    </row>
    <row r="1161" spans="1:9" ht="16.5">
      <c r="A1161" s="34" t="s">
        <v>7995</v>
      </c>
      <c r="B1161" s="9" t="s">
        <v>7993</v>
      </c>
      <c r="C1161" s="40" t="s">
        <v>72</v>
      </c>
      <c r="D1161" s="34" t="s">
        <v>8181</v>
      </c>
      <c r="E1161" s="27" t="s">
        <v>7983</v>
      </c>
      <c r="F1161" s="34"/>
      <c r="G1161" s="9" t="s">
        <v>8591</v>
      </c>
      <c r="H1161" s="27">
        <f>COUNTIF(关系明细!$D$2:$D$2253,B1161)</f>
        <v>0</v>
      </c>
      <c r="I1161" s="27">
        <f>COUNTIF(关系明细!$G$2:$G$2253,B1161)</f>
        <v>1</v>
      </c>
    </row>
    <row r="1162" spans="1:9" ht="16.5">
      <c r="A1162" s="35" t="s">
        <v>8019</v>
      </c>
      <c r="B1162" s="30" t="s">
        <v>8016</v>
      </c>
      <c r="C1162" s="39" t="s">
        <v>72</v>
      </c>
      <c r="D1162" s="35" t="s">
        <v>8181</v>
      </c>
      <c r="E1162" s="29" t="s">
        <v>7983</v>
      </c>
      <c r="F1162" s="35"/>
      <c r="G1162" s="30" t="s">
        <v>8592</v>
      </c>
      <c r="H1162" s="29">
        <f>COUNTIF(关系明细!$D$2:$D$2253,B1162)</f>
        <v>0</v>
      </c>
      <c r="I1162" s="29">
        <f>COUNTIF(关系明细!$G$2:$G$2253,B1162)</f>
        <v>1</v>
      </c>
    </row>
    <row r="1163" spans="1:9" ht="16.5">
      <c r="A1163" s="34" t="s">
        <v>8022</v>
      </c>
      <c r="B1163" s="9" t="s">
        <v>8020</v>
      </c>
      <c r="C1163" s="40" t="s">
        <v>72</v>
      </c>
      <c r="D1163" s="34" t="s">
        <v>8181</v>
      </c>
      <c r="E1163" s="27" t="s">
        <v>7983</v>
      </c>
      <c r="F1163" s="34"/>
      <c r="G1163" s="9" t="s">
        <v>8592</v>
      </c>
      <c r="H1163" s="27">
        <f>COUNTIF(关系明细!$D$2:$D$2253,B1163)</f>
        <v>0</v>
      </c>
      <c r="I1163" s="27">
        <f>COUNTIF(关系明细!$G$2:$G$2253,B1163)</f>
        <v>1</v>
      </c>
    </row>
    <row r="1164" spans="1:9" ht="16.5">
      <c r="A1164" s="35" t="s">
        <v>7999</v>
      </c>
      <c r="B1164" s="30" t="s">
        <v>7996</v>
      </c>
      <c r="C1164" s="39" t="s">
        <v>82</v>
      </c>
      <c r="D1164" s="35" t="s">
        <v>8186</v>
      </c>
      <c r="E1164" s="29" t="s">
        <v>7983</v>
      </c>
      <c r="F1164" s="35"/>
      <c r="G1164" s="30" t="s">
        <v>8593</v>
      </c>
      <c r="H1164" s="29">
        <f>COUNTIF(关系明细!$D$2:$D$2253,B1164)</f>
        <v>0</v>
      </c>
      <c r="I1164" s="29">
        <f>COUNTIF(关系明细!$G$2:$G$2253,B1164)</f>
        <v>1</v>
      </c>
    </row>
    <row r="1165" spans="1:9" ht="16.5">
      <c r="A1165" s="34" t="s">
        <v>8003</v>
      </c>
      <c r="B1165" s="9" t="s">
        <v>8000</v>
      </c>
      <c r="C1165" s="40" t="s">
        <v>82</v>
      </c>
      <c r="D1165" s="34" t="s">
        <v>8186</v>
      </c>
      <c r="E1165" s="27" t="s">
        <v>7983</v>
      </c>
      <c r="F1165" s="34"/>
      <c r="G1165" s="9" t="s">
        <v>8594</v>
      </c>
      <c r="H1165" s="27">
        <f>COUNTIF(关系明细!$D$2:$D$2253,B1165)</f>
        <v>0</v>
      </c>
      <c r="I1165" s="27">
        <f>COUNTIF(关系明细!$G$2:$G$2253,B1165)</f>
        <v>1</v>
      </c>
    </row>
    <row r="1166" spans="1:9" ht="16.5">
      <c r="A1166" s="35" t="s">
        <v>8007</v>
      </c>
      <c r="B1166" s="30" t="s">
        <v>8004</v>
      </c>
      <c r="C1166" s="39" t="s">
        <v>82</v>
      </c>
      <c r="D1166" s="35" t="s">
        <v>8186</v>
      </c>
      <c r="E1166" s="29" t="s">
        <v>7983</v>
      </c>
      <c r="F1166" s="35"/>
      <c r="G1166" s="30" t="s">
        <v>8595</v>
      </c>
      <c r="H1166" s="29">
        <f>COUNTIF(关系明细!$D$2:$D$2253,B1166)</f>
        <v>0</v>
      </c>
      <c r="I1166" s="29">
        <f>COUNTIF(关系明细!$G$2:$G$2253,B1166)</f>
        <v>1</v>
      </c>
    </row>
    <row r="1167" spans="1:9" ht="16.5">
      <c r="A1167" s="34" t="s">
        <v>8011</v>
      </c>
      <c r="B1167" s="9" t="s">
        <v>8008</v>
      </c>
      <c r="C1167" s="40" t="s">
        <v>82</v>
      </c>
      <c r="D1167" s="34" t="s">
        <v>8186</v>
      </c>
      <c r="E1167" s="27" t="s">
        <v>7983</v>
      </c>
      <c r="F1167" s="34"/>
      <c r="G1167" s="9" t="s">
        <v>8596</v>
      </c>
      <c r="H1167" s="27">
        <f>COUNTIF(关系明细!$D$2:$D$2253,B1167)</f>
        <v>0</v>
      </c>
      <c r="I1167" s="27">
        <f>COUNTIF(关系明细!$G$2:$G$2253,B1167)</f>
        <v>1</v>
      </c>
    </row>
    <row r="1168" spans="1:9" ht="16.5">
      <c r="A1168" s="35" t="s">
        <v>8026</v>
      </c>
      <c r="B1168" s="30" t="s">
        <v>8023</v>
      </c>
      <c r="C1168" s="39" t="s">
        <v>82</v>
      </c>
      <c r="D1168" s="35" t="s">
        <v>8186</v>
      </c>
      <c r="E1168" s="29" t="s">
        <v>7983</v>
      </c>
      <c r="F1168" s="35"/>
      <c r="G1168" s="30" t="s">
        <v>8597</v>
      </c>
      <c r="H1168" s="29">
        <f>COUNTIF(关系明细!$D$2:$D$2253,B1168)</f>
        <v>0</v>
      </c>
      <c r="I1168" s="29">
        <f>COUNTIF(关系明细!$G$2:$G$2253,B1168)</f>
        <v>1</v>
      </c>
    </row>
    <row r="1169" spans="1:9" ht="16.5">
      <c r="A1169" s="34" t="s">
        <v>8030</v>
      </c>
      <c r="B1169" s="9" t="s">
        <v>8027</v>
      </c>
      <c r="C1169" s="40" t="s">
        <v>82</v>
      </c>
      <c r="D1169" s="34" t="s">
        <v>8186</v>
      </c>
      <c r="E1169" s="27" t="s">
        <v>7983</v>
      </c>
      <c r="F1169" s="34"/>
      <c r="G1169" s="9" t="s">
        <v>8598</v>
      </c>
      <c r="H1169" s="27">
        <f>COUNTIF(关系明细!$D$2:$D$2253,B1169)</f>
        <v>0</v>
      </c>
      <c r="I1169" s="27">
        <f>COUNTIF(关系明细!$G$2:$G$2253,B1169)</f>
        <v>1</v>
      </c>
    </row>
    <row r="1170" spans="1:9" ht="16.5">
      <c r="A1170" s="35" t="s">
        <v>8034</v>
      </c>
      <c r="B1170" s="30" t="s">
        <v>8031</v>
      </c>
      <c r="C1170" s="39" t="s">
        <v>204</v>
      </c>
      <c r="D1170" s="35" t="s">
        <v>8201</v>
      </c>
      <c r="E1170" s="29" t="s">
        <v>7983</v>
      </c>
      <c r="F1170" s="30" t="s">
        <v>7981</v>
      </c>
      <c r="G1170" s="35" t="s">
        <v>584</v>
      </c>
      <c r="H1170" s="29">
        <f>COUNTIF(关系明细!$D$2:$D$2253,B1170)</f>
        <v>3</v>
      </c>
      <c r="I1170" s="29">
        <f>COUNTIF(关系明细!$G$2:$G$2253,B1170)</f>
        <v>1</v>
      </c>
    </row>
    <row r="1171" spans="1:9" ht="16.5">
      <c r="A1171" s="34" t="s">
        <v>8039</v>
      </c>
      <c r="B1171" s="9" t="s">
        <v>8036</v>
      </c>
      <c r="C1171" s="40" t="s">
        <v>204</v>
      </c>
      <c r="D1171" s="34" t="s">
        <v>8201</v>
      </c>
      <c r="E1171" s="27" t="s">
        <v>7983</v>
      </c>
      <c r="F1171" s="9" t="s">
        <v>7981</v>
      </c>
      <c r="G1171" s="34" t="s">
        <v>584</v>
      </c>
      <c r="H1171" s="27">
        <f>COUNTIF(关系明细!$D$2:$D$2253,B1171)</f>
        <v>3</v>
      </c>
      <c r="I1171" s="27">
        <f>COUNTIF(关系明细!$G$2:$G$2253,B1171)</f>
        <v>1</v>
      </c>
    </row>
    <row r="1172" spans="1:9" ht="16.5">
      <c r="A1172" s="35" t="s">
        <v>686</v>
      </c>
      <c r="B1172" s="30" t="s">
        <v>683</v>
      </c>
      <c r="C1172" s="39" t="s">
        <v>204</v>
      </c>
      <c r="D1172" s="35" t="s">
        <v>8201</v>
      </c>
      <c r="E1172" s="29" t="s">
        <v>8071</v>
      </c>
      <c r="F1172" s="35"/>
      <c r="G1172" s="30" t="s">
        <v>8599</v>
      </c>
      <c r="H1172" s="29">
        <f>COUNTIF(关系明细!$D$2:$D$2253,B1172)</f>
        <v>1</v>
      </c>
      <c r="I1172" s="29">
        <f>COUNTIF(关系明细!$G$2:$G$2253,B1172)</f>
        <v>3</v>
      </c>
    </row>
    <row r="1173" spans="1:9" ht="16.5">
      <c r="A1173" s="34" t="s">
        <v>703</v>
      </c>
      <c r="B1173" s="9" t="s">
        <v>699</v>
      </c>
      <c r="C1173" s="40" t="s">
        <v>698</v>
      </c>
      <c r="D1173" s="34" t="s">
        <v>8600</v>
      </c>
      <c r="E1173" s="27" t="s">
        <v>8071</v>
      </c>
      <c r="F1173" s="34"/>
      <c r="G1173" s="9" t="s">
        <v>8601</v>
      </c>
      <c r="H1173" s="27">
        <f>COUNTIF(关系明细!$D$2:$D$2253,B1173)</f>
        <v>1</v>
      </c>
      <c r="I1173" s="27">
        <f>COUNTIF(关系明细!$G$2:$G$2253,B1173)</f>
        <v>2</v>
      </c>
    </row>
    <row r="1174" spans="1:9" ht="16.5">
      <c r="A1174" s="35" t="s">
        <v>3641</v>
      </c>
      <c r="B1174" s="30" t="s">
        <v>3638</v>
      </c>
      <c r="C1174" s="39" t="s">
        <v>698</v>
      </c>
      <c r="D1174" s="35" t="s">
        <v>8600</v>
      </c>
      <c r="E1174" s="29" t="s">
        <v>8071</v>
      </c>
      <c r="F1174" s="35"/>
      <c r="G1174" s="30" t="s">
        <v>8602</v>
      </c>
      <c r="H1174" s="29">
        <f>COUNTIF(关系明细!$D$2:$D$2253,B1174)</f>
        <v>0</v>
      </c>
      <c r="I1174" s="29">
        <f>COUNTIF(关系明细!$G$2:$G$2253,B1174)</f>
        <v>4</v>
      </c>
    </row>
    <row r="1175" spans="1:9" ht="16.5">
      <c r="A1175" s="34" t="s">
        <v>2169</v>
      </c>
      <c r="B1175" s="9" t="s">
        <v>2167</v>
      </c>
      <c r="C1175" s="40" t="s">
        <v>698</v>
      </c>
      <c r="D1175" s="34" t="s">
        <v>8600</v>
      </c>
      <c r="E1175" s="27" t="s">
        <v>8071</v>
      </c>
      <c r="F1175" s="34"/>
      <c r="G1175" s="34" t="s">
        <v>584</v>
      </c>
      <c r="H1175" s="27">
        <f>COUNTIF(关系明细!$D$2:$D$2253,B1175)</f>
        <v>1</v>
      </c>
      <c r="I1175" s="27">
        <f>COUNTIF(关系明细!$G$2:$G$2253,B1175)</f>
        <v>7</v>
      </c>
    </row>
    <row r="1176" spans="1:9" ht="16.5">
      <c r="A1176" s="35" t="s">
        <v>6690</v>
      </c>
      <c r="B1176" s="30" t="s">
        <v>6686</v>
      </c>
      <c r="C1176" s="39" t="s">
        <v>698</v>
      </c>
      <c r="D1176" s="35" t="s">
        <v>8600</v>
      </c>
      <c r="E1176" s="29" t="s">
        <v>8071</v>
      </c>
      <c r="F1176" s="35"/>
      <c r="G1176" s="30" t="s">
        <v>8603</v>
      </c>
      <c r="H1176" s="29">
        <f>COUNTIF(关系明细!$D$2:$D$2253,B1176)</f>
        <v>0</v>
      </c>
      <c r="I1176" s="29">
        <f>COUNTIF(关系明细!$G$2:$G$2253,B1176)</f>
        <v>6</v>
      </c>
    </row>
    <row r="1177" spans="1:9" ht="16.5">
      <c r="A1177" s="34" t="s">
        <v>4594</v>
      </c>
      <c r="B1177" s="34" t="s">
        <v>4590</v>
      </c>
      <c r="C1177" s="40" t="s">
        <v>698</v>
      </c>
      <c r="D1177" s="34" t="s">
        <v>8600</v>
      </c>
      <c r="E1177" s="27" t="s">
        <v>8071</v>
      </c>
      <c r="F1177" s="34"/>
      <c r="G1177" s="9" t="s">
        <v>8604</v>
      </c>
      <c r="H1177" s="27">
        <f>COUNTIF(关系明细!$D$2:$D$2253,B1177)</f>
        <v>0</v>
      </c>
      <c r="I1177" s="27">
        <f>COUNTIF(关系明细!$G$2:$G$2253,B1177)</f>
        <v>2</v>
      </c>
    </row>
  </sheetData>
  <autoFilter ref="A3:I1177" xr:uid="{00000000-0009-0000-0000-000003000000}"/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6"/>
  <sheetViews>
    <sheetView zoomScaleNormal="100" workbookViewId="0"/>
  </sheetViews>
  <sheetFormatPr defaultColWidth="8.5" defaultRowHeight="13.5"/>
  <cols>
    <col min="1" max="1" width="18" customWidth="1"/>
    <col min="2" max="2" width="30" customWidth="1"/>
    <col min="3" max="3" width="34" customWidth="1"/>
    <col min="4" max="5" width="22" customWidth="1"/>
    <col min="6" max="6" width="10" customWidth="1"/>
    <col min="7" max="10" width="12" customWidth="1"/>
    <col min="11" max="11" width="10" customWidth="1"/>
    <col min="12" max="12" width="11" customWidth="1"/>
  </cols>
  <sheetData>
    <row r="1" spans="1:6" ht="21.75" customHeight="1">
      <c r="A1" s="37" t="s">
        <v>8605</v>
      </c>
    </row>
    <row r="2" spans="1:6" ht="16.5">
      <c r="A2" s="41" t="s">
        <v>8606</v>
      </c>
    </row>
    <row r="3" spans="1:6" ht="15" customHeight="1">
      <c r="A3" s="42" t="s">
        <v>24</v>
      </c>
      <c r="B3" s="42" t="s">
        <v>8607</v>
      </c>
      <c r="C3" s="42" t="s">
        <v>8608</v>
      </c>
      <c r="D3" s="42" t="s">
        <v>8609</v>
      </c>
      <c r="E3" s="42" t="s">
        <v>8610</v>
      </c>
      <c r="F3" s="42" t="s">
        <v>8611</v>
      </c>
    </row>
    <row r="4" spans="1:6" ht="16.5" customHeight="1">
      <c r="A4" s="39" t="s">
        <v>43</v>
      </c>
      <c r="B4" s="30" t="s">
        <v>8612</v>
      </c>
      <c r="C4" s="30" t="s">
        <v>8613</v>
      </c>
      <c r="D4" s="30" t="s">
        <v>44</v>
      </c>
      <c r="E4" s="30" t="s">
        <v>44</v>
      </c>
      <c r="F4" s="29">
        <f>COUNTIFS(关系明细!$B$2:$B$2253,"工段衔接",关系明细!$E$2:$E$2253,"串联下游")</f>
        <v>40</v>
      </c>
    </row>
    <row r="5" spans="1:6" ht="16.5" customHeight="1">
      <c r="A5" s="40" t="s">
        <v>60</v>
      </c>
      <c r="B5" s="9" t="s">
        <v>8614</v>
      </c>
      <c r="C5" s="9" t="s">
        <v>8615</v>
      </c>
      <c r="D5" s="9" t="s">
        <v>44</v>
      </c>
      <c r="E5" s="9" t="s">
        <v>62</v>
      </c>
      <c r="F5" s="27">
        <f>COUNTIFS(关系明细!$B$2:$B$2253,"结构关系",关系明细!$E$2:$E$2253,"包含设备")</f>
        <v>120</v>
      </c>
    </row>
    <row r="6" spans="1:6" ht="16.5" customHeight="1">
      <c r="A6" s="39" t="s">
        <v>60</v>
      </c>
      <c r="B6" s="30" t="s">
        <v>8616</v>
      </c>
      <c r="C6" s="30" t="s">
        <v>8617</v>
      </c>
      <c r="D6" s="30" t="s">
        <v>62</v>
      </c>
      <c r="E6" s="30" t="s">
        <v>72</v>
      </c>
      <c r="F6" s="29">
        <f>COUNTIFS(关系明细!$B$2:$B$2253,"结构关系",关系明细!$E$2:$E$2253,"包含实例")</f>
        <v>302</v>
      </c>
    </row>
    <row r="7" spans="1:6" ht="16.5" customHeight="1">
      <c r="A7" s="40" t="s">
        <v>60</v>
      </c>
      <c r="B7" s="9" t="s">
        <v>8618</v>
      </c>
      <c r="C7" s="9" t="s">
        <v>8619</v>
      </c>
      <c r="D7" s="9" t="s">
        <v>62</v>
      </c>
      <c r="E7" s="9" t="s">
        <v>82</v>
      </c>
      <c r="F7" s="27">
        <f>COUNTIFS(关系明细!$B$2:$B$2253,"结构关系",关系明细!$E$2:$E$2253,"具有部件")</f>
        <v>223</v>
      </c>
    </row>
    <row r="8" spans="1:6" ht="16.5" customHeight="1">
      <c r="A8" s="39" t="s">
        <v>60</v>
      </c>
      <c r="B8" s="30" t="s">
        <v>8620</v>
      </c>
      <c r="C8" s="30" t="s">
        <v>8621</v>
      </c>
      <c r="D8" s="30" t="s">
        <v>8622</v>
      </c>
      <c r="E8" s="30" t="s">
        <v>8623</v>
      </c>
      <c r="F8" s="29">
        <f>COUNTIFS(关系明细!$B$2:$B$2253,"结构关系",关系明细!$E$2:$E$2253,"具有属性")</f>
        <v>335</v>
      </c>
    </row>
    <row r="9" spans="1:6" ht="16.5" customHeight="1">
      <c r="A9" s="40" t="s">
        <v>311</v>
      </c>
      <c r="B9" s="9" t="s">
        <v>8624</v>
      </c>
      <c r="C9" s="9" t="s">
        <v>8625</v>
      </c>
      <c r="D9" s="9" t="s">
        <v>204</v>
      </c>
      <c r="E9" s="34" t="s">
        <v>313</v>
      </c>
      <c r="F9" s="27">
        <f>COUNTIFS(关系明细!$B$2:$B$2253,"测点绑定关系",关系明细!$E$2:$E$2253,"绑定测点")</f>
        <v>622</v>
      </c>
    </row>
    <row r="10" spans="1:6" ht="16.5" customHeight="1">
      <c r="A10" s="39" t="s">
        <v>487</v>
      </c>
      <c r="B10" s="30" t="s">
        <v>8626</v>
      </c>
      <c r="C10" s="30" t="s">
        <v>8627</v>
      </c>
      <c r="D10" s="30" t="s">
        <v>488</v>
      </c>
      <c r="E10" s="30" t="s">
        <v>491</v>
      </c>
      <c r="F10" s="29">
        <f>COUNTIFS(关系明细!$B$2:$B$2253,"控制关系",关系明细!$E$2:$E$2253,"控制")</f>
        <v>59</v>
      </c>
    </row>
    <row r="11" spans="1:6" ht="16.5" customHeight="1">
      <c r="A11" s="40" t="s">
        <v>487</v>
      </c>
      <c r="B11" s="9" t="s">
        <v>8628</v>
      </c>
      <c r="C11" s="9" t="s">
        <v>8629</v>
      </c>
      <c r="D11" s="9" t="s">
        <v>204</v>
      </c>
      <c r="E11" s="9" t="s">
        <v>488</v>
      </c>
      <c r="F11" s="27">
        <f>COUNTIFS(关系明细!$B$2:$B$2253,"控制关系",关系明细!$E$2:$E$2253,"反馈给")</f>
        <v>59</v>
      </c>
    </row>
    <row r="12" spans="1:6" ht="16.5" customHeight="1">
      <c r="A12" s="39" t="s">
        <v>487</v>
      </c>
      <c r="B12" s="30" t="s">
        <v>8630</v>
      </c>
      <c r="C12" s="30" t="s">
        <v>8631</v>
      </c>
      <c r="D12" s="30" t="s">
        <v>491</v>
      </c>
      <c r="E12" s="30" t="s">
        <v>204</v>
      </c>
      <c r="F12" s="29">
        <f>COUNTIFS(关系明细!$B$2:$B$2253,"控制关系",关系明细!$E$2:$E$2253,"影响")</f>
        <v>59</v>
      </c>
    </row>
    <row r="13" spans="1:6" ht="16.5" customHeight="1">
      <c r="A13" s="40" t="s">
        <v>487</v>
      </c>
      <c r="B13" s="9" t="s">
        <v>8632</v>
      </c>
      <c r="C13" s="9" t="s">
        <v>8633</v>
      </c>
      <c r="D13" s="9" t="s">
        <v>8634</v>
      </c>
      <c r="E13" s="9" t="s">
        <v>556</v>
      </c>
      <c r="F13" s="27">
        <f>COUNTIFS(关系明细!$B$2:$B$2253,"控制关系",关系明细!$E$2:$E$2253,"被控制")</f>
        <v>15</v>
      </c>
    </row>
    <row r="14" spans="1:6" ht="16.5" customHeight="1">
      <c r="A14" s="39" t="s">
        <v>564</v>
      </c>
      <c r="B14" s="30" t="s">
        <v>8635</v>
      </c>
      <c r="C14" s="30" t="s">
        <v>8636</v>
      </c>
      <c r="D14" s="30" t="s">
        <v>204</v>
      </c>
      <c r="E14" s="30" t="s">
        <v>566</v>
      </c>
      <c r="F14" s="29">
        <f>COUNTIFS(关系明细!$B$2:$B$2253,"报警联锁关系",关系明细!$E$2:$E$2253,"触发报警")</f>
        <v>15</v>
      </c>
    </row>
    <row r="15" spans="1:6" ht="16.5" customHeight="1">
      <c r="A15" s="40" t="s">
        <v>578</v>
      </c>
      <c r="B15" s="9" t="s">
        <v>8637</v>
      </c>
      <c r="C15" s="9" t="s">
        <v>8638</v>
      </c>
      <c r="D15" s="9" t="s">
        <v>300</v>
      </c>
      <c r="E15" s="9" t="s">
        <v>62</v>
      </c>
      <c r="F15" s="27">
        <f>COUNTIFS(关系明细!$B$2:$B$2253,"物理拓扑关系",关系明细!$E$2:$E$2253,"流入")</f>
        <v>67</v>
      </c>
    </row>
    <row r="16" spans="1:6" ht="16.5" customHeight="1">
      <c r="A16" s="39" t="s">
        <v>578</v>
      </c>
      <c r="B16" s="30" t="s">
        <v>8639</v>
      </c>
      <c r="C16" s="30" t="s">
        <v>8640</v>
      </c>
      <c r="D16" s="30" t="s">
        <v>300</v>
      </c>
      <c r="E16" s="30" t="s">
        <v>62</v>
      </c>
      <c r="F16" s="29">
        <f>COUNTIFS(关系明细!$B$2:$B$2253,"物理拓扑关系",关系明细!$E$2:$E$2253,"注入")</f>
        <v>12</v>
      </c>
    </row>
    <row r="17" spans="1:12" ht="16.5">
      <c r="A17" s="40" t="s">
        <v>578</v>
      </c>
      <c r="B17" s="9" t="s">
        <v>8641</v>
      </c>
      <c r="C17" s="9" t="s">
        <v>8642</v>
      </c>
      <c r="D17" s="9" t="s">
        <v>300</v>
      </c>
      <c r="E17" s="9" t="s">
        <v>62</v>
      </c>
      <c r="F17" s="27">
        <f>COUNTIFS(关系明细!$B$2:$B$2253,"物理拓扑关系",关系明细!$E$2:$E$2253,"滴加入")</f>
        <v>1</v>
      </c>
    </row>
    <row r="18" spans="1:12" ht="16.5">
      <c r="A18" s="39" t="s">
        <v>578</v>
      </c>
      <c r="B18" s="30" t="s">
        <v>8643</v>
      </c>
      <c r="C18" s="30" t="s">
        <v>8644</v>
      </c>
      <c r="D18" s="30" t="s">
        <v>300</v>
      </c>
      <c r="E18" s="30" t="s">
        <v>62</v>
      </c>
      <c r="F18" s="29">
        <f>COUNTIFS(关系明细!$B$2:$B$2253,"物理拓扑关系",关系明细!$E$2:$E$2253,"循环返回")</f>
        <v>4</v>
      </c>
    </row>
    <row r="19" spans="1:12" ht="16.5">
      <c r="A19" s="40" t="s">
        <v>578</v>
      </c>
      <c r="B19" s="9" t="s">
        <v>8645</v>
      </c>
      <c r="C19" s="9" t="s">
        <v>8646</v>
      </c>
      <c r="D19" s="9" t="s">
        <v>1250</v>
      </c>
      <c r="E19" s="9" t="s">
        <v>62</v>
      </c>
      <c r="F19" s="27">
        <f>COUNTIFS(关系明细!$B$2:$B$2253,"物理拓扑关系",关系明细!$E$2:$E$2253,"供给介质")</f>
        <v>19</v>
      </c>
    </row>
    <row r="20" spans="1:12" ht="16.5">
      <c r="A20" s="39" t="s">
        <v>578</v>
      </c>
      <c r="B20" s="30" t="s">
        <v>8647</v>
      </c>
      <c r="C20" s="30" t="s">
        <v>8648</v>
      </c>
      <c r="D20" s="30" t="s">
        <v>62</v>
      </c>
      <c r="E20" s="30" t="s">
        <v>300</v>
      </c>
      <c r="F20" s="29">
        <f>COUNTIFS(关系明细!$B$2:$B$2253,"物理拓扑关系",关系明细!$E$2:$E$2253,"产出")</f>
        <v>37</v>
      </c>
    </row>
    <row r="21" spans="1:12" ht="16.5">
      <c r="A21" s="40" t="s">
        <v>578</v>
      </c>
      <c r="B21" s="9" t="s">
        <v>8649</v>
      </c>
      <c r="C21" s="9" t="s">
        <v>8650</v>
      </c>
      <c r="D21" s="9" t="s">
        <v>62</v>
      </c>
      <c r="E21" s="9" t="s">
        <v>300</v>
      </c>
      <c r="F21" s="27">
        <f>COUNTIFS(关系明细!$B$2:$B$2253,"物理拓扑关系",关系明细!$E$2:$E$2253,"分离产出")</f>
        <v>21</v>
      </c>
    </row>
    <row r="22" spans="1:12" ht="16.5">
      <c r="A22" s="39" t="s">
        <v>578</v>
      </c>
      <c r="B22" s="30" t="s">
        <v>8612</v>
      </c>
      <c r="C22" s="30" t="s">
        <v>8651</v>
      </c>
      <c r="D22" s="30" t="s">
        <v>62</v>
      </c>
      <c r="E22" s="30" t="s">
        <v>62</v>
      </c>
      <c r="F22" s="29">
        <f>COUNTIFS(关系明细!$B$2:$B$2253,"物理拓扑关系",关系明细!$E$2:$E$2253,"串联下游")</f>
        <v>85</v>
      </c>
    </row>
    <row r="23" spans="1:12" ht="16.5">
      <c r="A23" s="40" t="s">
        <v>650</v>
      </c>
      <c r="B23" s="9" t="s">
        <v>8652</v>
      </c>
      <c r="C23" s="9" t="s">
        <v>8653</v>
      </c>
      <c r="D23" s="9" t="s">
        <v>204</v>
      </c>
      <c r="E23" s="9" t="s">
        <v>8623</v>
      </c>
      <c r="F23" s="27">
        <f>COUNTIFS(关系明细!$B$2:$B$2253,"影响关系",关系明细!$E$2:$E$2253,"正向影响")</f>
        <v>47</v>
      </c>
    </row>
    <row r="24" spans="1:12" ht="16.5">
      <c r="A24" s="39" t="s">
        <v>650</v>
      </c>
      <c r="B24" s="30" t="s">
        <v>8654</v>
      </c>
      <c r="C24" s="30" t="s">
        <v>8655</v>
      </c>
      <c r="D24" s="30" t="s">
        <v>204</v>
      </c>
      <c r="E24" s="30" t="s">
        <v>8623</v>
      </c>
      <c r="F24" s="29">
        <f>COUNTIFS(关系明细!$B$2:$B$2253,"影响关系",关系明细!$E$2:$E$2253,"负向影响")</f>
        <v>41</v>
      </c>
    </row>
    <row r="25" spans="1:12" ht="16.5">
      <c r="A25" s="40" t="s">
        <v>650</v>
      </c>
      <c r="B25" s="9" t="s">
        <v>8630</v>
      </c>
      <c r="C25" s="9" t="s">
        <v>8656</v>
      </c>
      <c r="D25" s="9" t="s">
        <v>204</v>
      </c>
      <c r="E25" s="9" t="s">
        <v>204</v>
      </c>
      <c r="F25" s="27">
        <f>COUNTIFS(关系明细!$B$2:$B$2253,"影响关系",关系明细!$E$2:$E$2253,"影响")</f>
        <v>35</v>
      </c>
    </row>
    <row r="26" spans="1:12" ht="16.5">
      <c r="A26" s="39" t="s">
        <v>695</v>
      </c>
      <c r="B26" s="30" t="s">
        <v>8652</v>
      </c>
      <c r="C26" s="30" t="s">
        <v>8657</v>
      </c>
      <c r="D26" s="30" t="s">
        <v>8658</v>
      </c>
      <c r="E26" s="30" t="s">
        <v>8659</v>
      </c>
      <c r="F26" s="29">
        <f>COUNTIFS(关系明细!$B$2:$B$2253,"质量关系",关系明细!$E$2:$E$2253,"正向影响")</f>
        <v>18</v>
      </c>
    </row>
    <row r="27" spans="1:12" ht="16.5">
      <c r="A27" s="40" t="s">
        <v>695</v>
      </c>
      <c r="B27" s="9" t="s">
        <v>8654</v>
      </c>
      <c r="C27" s="9" t="s">
        <v>8660</v>
      </c>
      <c r="D27" s="9" t="s">
        <v>8658</v>
      </c>
      <c r="E27" s="9" t="s">
        <v>8659</v>
      </c>
      <c r="F27" s="27">
        <f>COUNTIFS(关系明细!$B$2:$B$2253,"质量关系",关系明细!$E$2:$E$2253,"负向影响")</f>
        <v>16</v>
      </c>
    </row>
    <row r="28" spans="1:12" ht="16.5">
      <c r="A28" s="4" t="s">
        <v>8661</v>
      </c>
      <c r="F28" s="43">
        <f>SUM(F4:F27)</f>
        <v>2252</v>
      </c>
    </row>
    <row r="29" spans="1:12" ht="16.5">
      <c r="A29" s="4" t="s">
        <v>8662</v>
      </c>
      <c r="F29" s="27">
        <f>COUNTA(关系明细!$L$2:$L$2253)</f>
        <v>2252</v>
      </c>
    </row>
    <row r="31" spans="1:12" ht="18">
      <c r="A31" s="44" t="s">
        <v>8663</v>
      </c>
    </row>
    <row r="32" spans="1:12">
      <c r="A32" s="42" t="s">
        <v>33</v>
      </c>
      <c r="B32" s="42" t="s">
        <v>8664</v>
      </c>
      <c r="C32" s="42" t="s">
        <v>43</v>
      </c>
      <c r="D32" s="42" t="s">
        <v>60</v>
      </c>
      <c r="E32" s="42" t="s">
        <v>311</v>
      </c>
      <c r="F32" s="42" t="s">
        <v>487</v>
      </c>
      <c r="G32" s="42" t="s">
        <v>564</v>
      </c>
      <c r="H32" s="42" t="s">
        <v>578</v>
      </c>
      <c r="I32" s="42" t="s">
        <v>650</v>
      </c>
      <c r="J32" s="42" t="s">
        <v>695</v>
      </c>
      <c r="K32" s="42" t="s">
        <v>8661</v>
      </c>
      <c r="L32" s="42" t="s">
        <v>8665</v>
      </c>
    </row>
    <row r="33" spans="1:12" ht="16.5">
      <c r="A33" s="27" t="s">
        <v>48</v>
      </c>
      <c r="B33" s="9" t="s">
        <v>42</v>
      </c>
      <c r="C33" s="27">
        <f>COUNTIFS(关系明细!$K$2:$K$2253,$A33,关系明细!$B$2:$B$2253,"工段衔接")</f>
        <v>2</v>
      </c>
      <c r="D33" s="27">
        <f>COUNTIFS(关系明细!$K$2:$K$2253,$A33,关系明细!$B$2:$B$2253,"结构关系")</f>
        <v>57</v>
      </c>
      <c r="E33" s="27">
        <f>COUNTIFS(关系明细!$K$2:$K$2253,$A33,关系明细!$B$2:$B$2253,"测点绑定关系")</f>
        <v>44</v>
      </c>
      <c r="F33" s="27">
        <f>COUNTIFS(关系明细!$K$2:$K$2253,$A33,关系明细!$B$2:$B$2253,"控制关系")</f>
        <v>17</v>
      </c>
      <c r="G33" s="27">
        <f>COUNTIFS(关系明细!$K$2:$K$2253,$A33,关系明细!$B$2:$B$2253,"报警联锁关系")</f>
        <v>2</v>
      </c>
      <c r="H33" s="27">
        <f>COUNTIFS(关系明细!$K$2:$K$2253,$A33,关系明细!$B$2:$B$2253,"物理拓扑关系")</f>
        <v>16</v>
      </c>
      <c r="I33" s="27">
        <f>COUNTIFS(关系明细!$K$2:$K$2253,$A33,关系明细!$B$2:$B$2253,"影响关系")</f>
        <v>12</v>
      </c>
      <c r="J33" s="27">
        <f>COUNTIFS(关系明细!$K$2:$K$2253,$A33,关系明细!$B$2:$B$2253,"质量关系")</f>
        <v>3</v>
      </c>
      <c r="K33" s="43">
        <f t="shared" ref="K33:K56" si="0">SUM(C33:J33)</f>
        <v>153</v>
      </c>
      <c r="L33" s="45">
        <f>IF(K33=0,0,COUNTIFS(关系明细!$K$2:$K$2253,$A33,关系明细!$R$2:$R$2253,"高")/K33)</f>
        <v>0.77124183006535951</v>
      </c>
    </row>
    <row r="34" spans="1:12" ht="16.5">
      <c r="A34" s="27" t="s">
        <v>706</v>
      </c>
      <c r="B34" s="9" t="s">
        <v>46</v>
      </c>
      <c r="C34" s="27">
        <f>COUNTIFS(关系明细!$K$2:$K$2253,$A34,关系明细!$B$2:$B$2253,"工段衔接")</f>
        <v>2</v>
      </c>
      <c r="D34" s="27">
        <f>COUNTIFS(关系明细!$K$2:$K$2253,$A34,关系明细!$B$2:$B$2253,"结构关系")</f>
        <v>38</v>
      </c>
      <c r="E34" s="27">
        <f>COUNTIFS(关系明细!$K$2:$K$2253,$A34,关系明细!$B$2:$B$2253,"测点绑定关系")</f>
        <v>29</v>
      </c>
      <c r="F34" s="27">
        <f>COUNTIFS(关系明细!$K$2:$K$2253,$A34,关系明细!$B$2:$B$2253,"控制关系")</f>
        <v>7</v>
      </c>
      <c r="G34" s="27">
        <f>COUNTIFS(关系明细!$K$2:$K$2253,$A34,关系明细!$B$2:$B$2253,"报警联锁关系")</f>
        <v>0</v>
      </c>
      <c r="H34" s="27">
        <f>COUNTIFS(关系明细!$K$2:$K$2253,$A34,关系明细!$B$2:$B$2253,"物理拓扑关系")</f>
        <v>11</v>
      </c>
      <c r="I34" s="27">
        <f>COUNTIFS(关系明细!$K$2:$K$2253,$A34,关系明细!$B$2:$B$2253,"影响关系")</f>
        <v>4</v>
      </c>
      <c r="J34" s="27">
        <f>COUNTIFS(关系明细!$K$2:$K$2253,$A34,关系明细!$B$2:$B$2253,"质量关系")</f>
        <v>0</v>
      </c>
      <c r="K34" s="43">
        <f t="shared" si="0"/>
        <v>91</v>
      </c>
      <c r="L34" s="45">
        <f>IF(K34=0,0,COUNTIFS(关系明细!$K$2:$K$2253,$A34,关系明细!$R$2:$R$2253,"高")/K34)</f>
        <v>0.76923076923076927</v>
      </c>
    </row>
    <row r="35" spans="1:12" ht="16.5">
      <c r="A35" s="27" t="s">
        <v>1034</v>
      </c>
      <c r="B35" s="9" t="s">
        <v>1032</v>
      </c>
      <c r="C35" s="27">
        <f>COUNTIFS(关系明细!$K$2:$K$2253,$A35,关系明细!$B$2:$B$2253,"工段衔接")</f>
        <v>1</v>
      </c>
      <c r="D35" s="27">
        <f>COUNTIFS(关系明细!$K$2:$K$2253,$A35,关系明细!$B$2:$B$2253,"结构关系")</f>
        <v>36</v>
      </c>
      <c r="E35" s="27">
        <f>COUNTIFS(关系明细!$K$2:$K$2253,$A35,关系明细!$B$2:$B$2253,"测点绑定关系")</f>
        <v>18</v>
      </c>
      <c r="F35" s="27">
        <f>COUNTIFS(关系明细!$K$2:$K$2253,$A35,关系明细!$B$2:$B$2253,"控制关系")</f>
        <v>0</v>
      </c>
      <c r="G35" s="27">
        <f>COUNTIFS(关系明细!$K$2:$K$2253,$A35,关系明细!$B$2:$B$2253,"报警联锁关系")</f>
        <v>1</v>
      </c>
      <c r="H35" s="27">
        <f>COUNTIFS(关系明细!$K$2:$K$2253,$A35,关系明细!$B$2:$B$2253,"物理拓扑关系")</f>
        <v>7</v>
      </c>
      <c r="I35" s="27">
        <f>COUNTIFS(关系明细!$K$2:$K$2253,$A35,关系明细!$B$2:$B$2253,"影响关系")</f>
        <v>2</v>
      </c>
      <c r="J35" s="27">
        <f>COUNTIFS(关系明细!$K$2:$K$2253,$A35,关系明细!$B$2:$B$2253,"质量关系")</f>
        <v>0</v>
      </c>
      <c r="K35" s="43">
        <f t="shared" si="0"/>
        <v>65</v>
      </c>
      <c r="L35" s="45">
        <f>IF(K35=0,0,COUNTIFS(关系明细!$K$2:$K$2253,$A35,关系明细!$R$2:$R$2253,"高")/K35)</f>
        <v>0.90769230769230769</v>
      </c>
    </row>
    <row r="36" spans="1:12" ht="16.5">
      <c r="A36" s="27" t="s">
        <v>1268</v>
      </c>
      <c r="B36" s="9" t="s">
        <v>1266</v>
      </c>
      <c r="C36" s="27">
        <f>COUNTIFS(关系明细!$K$2:$K$2253,$A36,关系明细!$B$2:$B$2253,"工段衔接")</f>
        <v>1</v>
      </c>
      <c r="D36" s="27">
        <f>COUNTIFS(关系明细!$K$2:$K$2253,$A36,关系明细!$B$2:$B$2253,"结构关系")</f>
        <v>19</v>
      </c>
      <c r="E36" s="27">
        <f>COUNTIFS(关系明细!$K$2:$K$2253,$A36,关系明细!$B$2:$B$2253,"测点绑定关系")</f>
        <v>8</v>
      </c>
      <c r="F36" s="27">
        <f>COUNTIFS(关系明细!$K$2:$K$2253,$A36,关系明细!$B$2:$B$2253,"控制关系")</f>
        <v>1</v>
      </c>
      <c r="G36" s="27">
        <f>COUNTIFS(关系明细!$K$2:$K$2253,$A36,关系明细!$B$2:$B$2253,"报警联锁关系")</f>
        <v>1</v>
      </c>
      <c r="H36" s="27">
        <f>COUNTIFS(关系明细!$K$2:$K$2253,$A36,关系明细!$B$2:$B$2253,"物理拓扑关系")</f>
        <v>8</v>
      </c>
      <c r="I36" s="27">
        <f>COUNTIFS(关系明细!$K$2:$K$2253,$A36,关系明细!$B$2:$B$2253,"影响关系")</f>
        <v>2</v>
      </c>
      <c r="J36" s="27">
        <f>COUNTIFS(关系明细!$K$2:$K$2253,$A36,关系明细!$B$2:$B$2253,"质量关系")</f>
        <v>0</v>
      </c>
      <c r="K36" s="43">
        <f t="shared" si="0"/>
        <v>40</v>
      </c>
      <c r="L36" s="45">
        <f>IF(K36=0,0,COUNTIFS(关系明细!$K$2:$K$2253,$A36,关系明细!$R$2:$R$2253,"高")/K36)</f>
        <v>0.77500000000000002</v>
      </c>
    </row>
    <row r="37" spans="1:12" ht="16.5">
      <c r="A37" s="27" t="s">
        <v>1407</v>
      </c>
      <c r="B37" s="34" t="s">
        <v>56</v>
      </c>
      <c r="C37" s="27">
        <f>COUNTIFS(关系明细!$K$2:$K$2253,$A37,关系明细!$B$2:$B$2253,"工段衔接")</f>
        <v>2</v>
      </c>
      <c r="D37" s="27">
        <f>COUNTIFS(关系明细!$K$2:$K$2253,$A37,关系明细!$B$2:$B$2253,"结构关系")</f>
        <v>38</v>
      </c>
      <c r="E37" s="27">
        <f>COUNTIFS(关系明细!$K$2:$K$2253,$A37,关系明细!$B$2:$B$2253,"测点绑定关系")</f>
        <v>31</v>
      </c>
      <c r="F37" s="27">
        <f>COUNTIFS(关系明细!$K$2:$K$2253,$A37,关系明细!$B$2:$B$2253,"控制关系")</f>
        <v>6</v>
      </c>
      <c r="G37" s="27">
        <f>COUNTIFS(关系明细!$K$2:$K$2253,$A37,关系明细!$B$2:$B$2253,"报警联锁关系")</f>
        <v>1</v>
      </c>
      <c r="H37" s="27">
        <f>COUNTIFS(关系明细!$K$2:$K$2253,$A37,关系明细!$B$2:$B$2253,"物理拓扑关系")</f>
        <v>10</v>
      </c>
      <c r="I37" s="27">
        <f>COUNTIFS(关系明细!$K$2:$K$2253,$A37,关系明细!$B$2:$B$2253,"影响关系")</f>
        <v>3</v>
      </c>
      <c r="J37" s="27">
        <f>COUNTIFS(关系明细!$K$2:$K$2253,$A37,关系明细!$B$2:$B$2253,"质量关系")</f>
        <v>1</v>
      </c>
      <c r="K37" s="43">
        <f t="shared" si="0"/>
        <v>92</v>
      </c>
      <c r="L37" s="45">
        <f>IF(K37=0,0,COUNTIFS(关系明细!$K$2:$K$2253,$A37,关系明细!$R$2:$R$2253,"高")/K37)</f>
        <v>0.79347826086956519</v>
      </c>
    </row>
    <row r="38" spans="1:12" ht="16.5">
      <c r="A38" s="27" t="s">
        <v>1742</v>
      </c>
      <c r="B38" s="9" t="s">
        <v>1409</v>
      </c>
      <c r="C38" s="27">
        <f>COUNTIFS(关系明细!$K$2:$K$2253,$A38,关系明细!$B$2:$B$2253,"工段衔接")</f>
        <v>2</v>
      </c>
      <c r="D38" s="27">
        <f>COUNTIFS(关系明细!$K$2:$K$2253,$A38,关系明细!$B$2:$B$2253,"结构关系")</f>
        <v>55</v>
      </c>
      <c r="E38" s="27">
        <f>COUNTIFS(关系明细!$K$2:$K$2253,$A38,关系明细!$B$2:$B$2253,"测点绑定关系")</f>
        <v>29</v>
      </c>
      <c r="F38" s="27">
        <f>COUNTIFS(关系明细!$K$2:$K$2253,$A38,关系明细!$B$2:$B$2253,"控制关系")</f>
        <v>8</v>
      </c>
      <c r="G38" s="27">
        <f>COUNTIFS(关系明细!$K$2:$K$2253,$A38,关系明细!$B$2:$B$2253,"报警联锁关系")</f>
        <v>3</v>
      </c>
      <c r="H38" s="27">
        <f>COUNTIFS(关系明细!$K$2:$K$2253,$A38,关系明细!$B$2:$B$2253,"物理拓扑关系")</f>
        <v>14</v>
      </c>
      <c r="I38" s="27">
        <f>COUNTIFS(关系明细!$K$2:$K$2253,$A38,关系明细!$B$2:$B$2253,"影响关系")</f>
        <v>5</v>
      </c>
      <c r="J38" s="27">
        <f>COUNTIFS(关系明细!$K$2:$K$2253,$A38,关系明细!$B$2:$B$2253,"质量关系")</f>
        <v>2</v>
      </c>
      <c r="K38" s="43">
        <f t="shared" si="0"/>
        <v>118</v>
      </c>
      <c r="L38" s="45">
        <f>IF(K38=0,0,COUNTIFS(关系明细!$K$2:$K$2253,$A38,关系明细!$R$2:$R$2253,"高")/K38)</f>
        <v>0.72881355932203384</v>
      </c>
    </row>
    <row r="39" spans="1:12" ht="16.5">
      <c r="A39" s="27" t="s">
        <v>2175</v>
      </c>
      <c r="B39" s="34" t="s">
        <v>1740</v>
      </c>
      <c r="C39" s="27">
        <f>COUNTIFS(关系明细!$K$2:$K$2253,$A39,关系明细!$B$2:$B$2253,"工段衔接")</f>
        <v>2</v>
      </c>
      <c r="D39" s="27">
        <f>COUNTIFS(关系明细!$K$2:$K$2253,$A39,关系明细!$B$2:$B$2253,"结构关系")</f>
        <v>78</v>
      </c>
      <c r="E39" s="27">
        <f>COUNTIFS(关系明细!$K$2:$K$2253,$A39,关系明细!$B$2:$B$2253,"测点绑定关系")</f>
        <v>49</v>
      </c>
      <c r="F39" s="27">
        <f>COUNTIFS(关系明细!$K$2:$K$2253,$A39,关系明细!$B$2:$B$2253,"控制关系")</f>
        <v>21</v>
      </c>
      <c r="G39" s="27">
        <f>COUNTIFS(关系明细!$K$2:$K$2253,$A39,关系明细!$B$2:$B$2253,"报警联锁关系")</f>
        <v>0</v>
      </c>
      <c r="H39" s="27">
        <f>COUNTIFS(关系明细!$K$2:$K$2253,$A39,关系明细!$B$2:$B$2253,"物理拓扑关系")</f>
        <v>18</v>
      </c>
      <c r="I39" s="27">
        <f>COUNTIFS(关系明细!$K$2:$K$2253,$A39,关系明细!$B$2:$B$2253,"影响关系")</f>
        <v>7</v>
      </c>
      <c r="J39" s="27">
        <f>COUNTIFS(关系明细!$K$2:$K$2253,$A39,关系明细!$B$2:$B$2253,"质量关系")</f>
        <v>1</v>
      </c>
      <c r="K39" s="43">
        <f t="shared" si="0"/>
        <v>176</v>
      </c>
      <c r="L39" s="45">
        <f>IF(K39=0,0,COUNTIFS(关系明细!$K$2:$K$2253,$A39,关系明细!$R$2:$R$2253,"高")/K39)</f>
        <v>0.77840909090909094</v>
      </c>
    </row>
    <row r="40" spans="1:12" ht="16.5">
      <c r="A40" s="27" t="s">
        <v>2810</v>
      </c>
      <c r="B40" s="9" t="s">
        <v>1745</v>
      </c>
      <c r="C40" s="27">
        <f>COUNTIFS(关系明细!$K$2:$K$2253,$A40,关系明细!$B$2:$B$2253,"工段衔接")</f>
        <v>2</v>
      </c>
      <c r="D40" s="27">
        <f>COUNTIFS(关系明细!$K$2:$K$2253,$A40,关系明细!$B$2:$B$2253,"结构关系")</f>
        <v>42</v>
      </c>
      <c r="E40" s="27">
        <f>COUNTIFS(关系明细!$K$2:$K$2253,$A40,关系明细!$B$2:$B$2253,"测点绑定关系")</f>
        <v>26</v>
      </c>
      <c r="F40" s="27">
        <f>COUNTIFS(关系明细!$K$2:$K$2253,$A40,关系明细!$B$2:$B$2253,"控制关系")</f>
        <v>9</v>
      </c>
      <c r="G40" s="27">
        <f>COUNTIFS(关系明细!$K$2:$K$2253,$A40,关系明细!$B$2:$B$2253,"报警联锁关系")</f>
        <v>0</v>
      </c>
      <c r="H40" s="27">
        <f>COUNTIFS(关系明细!$K$2:$K$2253,$A40,关系明细!$B$2:$B$2253,"物理拓扑关系")</f>
        <v>10</v>
      </c>
      <c r="I40" s="27">
        <f>COUNTIFS(关系明细!$K$2:$K$2253,$A40,关系明细!$B$2:$B$2253,"影响关系")</f>
        <v>2</v>
      </c>
      <c r="J40" s="27">
        <f>COUNTIFS(关系明细!$K$2:$K$2253,$A40,关系明细!$B$2:$B$2253,"质量关系")</f>
        <v>0</v>
      </c>
      <c r="K40" s="43">
        <f t="shared" si="0"/>
        <v>91</v>
      </c>
      <c r="L40" s="45">
        <f>IF(K40=0,0,COUNTIFS(关系明细!$K$2:$K$2253,$A40,关系明细!$R$2:$R$2253,"高")/K40)</f>
        <v>0.81318681318681318</v>
      </c>
    </row>
    <row r="41" spans="1:12" ht="16.5">
      <c r="A41" s="27" t="s">
        <v>3133</v>
      </c>
      <c r="B41" s="9" t="s">
        <v>2177</v>
      </c>
      <c r="C41" s="27">
        <f>COUNTIFS(关系明细!$K$2:$K$2253,$A41,关系明细!$B$2:$B$2253,"工段衔接")</f>
        <v>2</v>
      </c>
      <c r="D41" s="27">
        <f>COUNTIFS(关系明细!$K$2:$K$2253,$A41,关系明细!$B$2:$B$2253,"结构关系")</f>
        <v>64</v>
      </c>
      <c r="E41" s="27">
        <f>COUNTIFS(关系明细!$K$2:$K$2253,$A41,关系明细!$B$2:$B$2253,"测点绑定关系")</f>
        <v>40</v>
      </c>
      <c r="F41" s="27">
        <f>COUNTIFS(关系明细!$K$2:$K$2253,$A41,关系明细!$B$2:$B$2253,"控制关系")</f>
        <v>10</v>
      </c>
      <c r="G41" s="27">
        <f>COUNTIFS(关系明细!$K$2:$K$2253,$A41,关系明细!$B$2:$B$2253,"报警联锁关系")</f>
        <v>1</v>
      </c>
      <c r="H41" s="27">
        <f>COUNTIFS(关系明细!$K$2:$K$2253,$A41,关系明细!$B$2:$B$2253,"物理拓扑关系")</f>
        <v>14</v>
      </c>
      <c r="I41" s="27">
        <f>COUNTIFS(关系明细!$K$2:$K$2253,$A41,关系明细!$B$2:$B$2253,"影响关系")</f>
        <v>9</v>
      </c>
      <c r="J41" s="27">
        <f>COUNTIFS(关系明细!$K$2:$K$2253,$A41,关系明细!$B$2:$B$2253,"质量关系")</f>
        <v>3</v>
      </c>
      <c r="K41" s="43">
        <f t="shared" si="0"/>
        <v>143</v>
      </c>
      <c r="L41" s="45">
        <f>IF(K41=0,0,COUNTIFS(关系明细!$K$2:$K$2253,$A41,关系明细!$R$2:$R$2253,"高")/K41)</f>
        <v>0.75524475524475521</v>
      </c>
    </row>
    <row r="42" spans="1:12" ht="16.5">
      <c r="A42" s="27" t="s">
        <v>3655</v>
      </c>
      <c r="B42" s="9" t="s">
        <v>3653</v>
      </c>
      <c r="C42" s="27">
        <f>COUNTIFS(关系明细!$K$2:$K$2253,$A42,关系明细!$B$2:$B$2253,"工段衔接")</f>
        <v>3</v>
      </c>
      <c r="D42" s="27">
        <f>COUNTIFS(关系明细!$K$2:$K$2253,$A42,关系明细!$B$2:$B$2253,"结构关系")</f>
        <v>46</v>
      </c>
      <c r="E42" s="27">
        <f>COUNTIFS(关系明细!$K$2:$K$2253,$A42,关系明细!$B$2:$B$2253,"测点绑定关系")</f>
        <v>14</v>
      </c>
      <c r="F42" s="27">
        <f>COUNTIFS(关系明细!$K$2:$K$2253,$A42,关系明细!$B$2:$B$2253,"控制关系")</f>
        <v>0</v>
      </c>
      <c r="G42" s="27">
        <f>COUNTIFS(关系明细!$K$2:$K$2253,$A42,关系明细!$B$2:$B$2253,"报警联锁关系")</f>
        <v>0</v>
      </c>
      <c r="H42" s="27">
        <f>COUNTIFS(关系明细!$K$2:$K$2253,$A42,关系明细!$B$2:$B$2253,"物理拓扑关系")</f>
        <v>15</v>
      </c>
      <c r="I42" s="27">
        <f>COUNTIFS(关系明细!$K$2:$K$2253,$A42,关系明细!$B$2:$B$2253,"影响关系")</f>
        <v>3</v>
      </c>
      <c r="J42" s="27">
        <f>COUNTIFS(关系明细!$K$2:$K$2253,$A42,关系明细!$B$2:$B$2253,"质量关系")</f>
        <v>0</v>
      </c>
      <c r="K42" s="43">
        <f t="shared" si="0"/>
        <v>81</v>
      </c>
      <c r="L42" s="45">
        <f>IF(K42=0,0,COUNTIFS(关系明细!$K$2:$K$2253,$A42,关系明细!$R$2:$R$2253,"高")/K42)</f>
        <v>0.75308641975308643</v>
      </c>
    </row>
    <row r="43" spans="1:12" ht="16.5">
      <c r="A43" s="27" t="s">
        <v>3945</v>
      </c>
      <c r="B43" s="9" t="s">
        <v>3131</v>
      </c>
      <c r="C43" s="27">
        <f>COUNTIFS(关系明细!$K$2:$K$2253,$A43,关系明细!$B$2:$B$2253,"工段衔接")</f>
        <v>1</v>
      </c>
      <c r="D43" s="27">
        <f>COUNTIFS(关系明细!$K$2:$K$2253,$A43,关系明细!$B$2:$B$2253,"结构关系")</f>
        <v>62</v>
      </c>
      <c r="E43" s="27">
        <f>COUNTIFS(关系明细!$K$2:$K$2253,$A43,关系明细!$B$2:$B$2253,"测点绑定关系")</f>
        <v>68</v>
      </c>
      <c r="F43" s="27">
        <f>COUNTIFS(关系明细!$K$2:$K$2253,$A43,关系明细!$B$2:$B$2253,"控制关系")</f>
        <v>24</v>
      </c>
      <c r="G43" s="27">
        <f>COUNTIFS(关系明细!$K$2:$K$2253,$A43,关系明细!$B$2:$B$2253,"报警联锁关系")</f>
        <v>3</v>
      </c>
      <c r="H43" s="27">
        <f>COUNTIFS(关系明细!$K$2:$K$2253,$A43,关系明细!$B$2:$B$2253,"物理拓扑关系")</f>
        <v>10</v>
      </c>
      <c r="I43" s="27">
        <f>COUNTIFS(关系明细!$K$2:$K$2253,$A43,关系明细!$B$2:$B$2253,"影响关系")</f>
        <v>17</v>
      </c>
      <c r="J43" s="27">
        <f>COUNTIFS(关系明细!$K$2:$K$2253,$A43,关系明细!$B$2:$B$2253,"质量关系")</f>
        <v>5</v>
      </c>
      <c r="K43" s="43">
        <f t="shared" si="0"/>
        <v>190</v>
      </c>
      <c r="L43" s="45">
        <f>IF(K43=0,0,COUNTIFS(关系明细!$K$2:$K$2253,$A43,关系明细!$R$2:$R$2253,"高")/K43)</f>
        <v>0.75789473684210529</v>
      </c>
    </row>
    <row r="44" spans="1:12" ht="16.5">
      <c r="A44" s="27" t="s">
        <v>4600</v>
      </c>
      <c r="B44" s="9" t="s">
        <v>3658</v>
      </c>
      <c r="C44" s="27">
        <f>COUNTIFS(关系明细!$K$2:$K$2253,$A44,关系明细!$B$2:$B$2253,"工段衔接")</f>
        <v>4</v>
      </c>
      <c r="D44" s="27">
        <f>COUNTIFS(关系明细!$K$2:$K$2253,$A44,关系明细!$B$2:$B$2253,"结构关系")</f>
        <v>98</v>
      </c>
      <c r="E44" s="27">
        <f>COUNTIFS(关系明细!$K$2:$K$2253,$A44,关系明细!$B$2:$B$2253,"测点绑定关系")</f>
        <v>45</v>
      </c>
      <c r="F44" s="27">
        <f>COUNTIFS(关系明细!$K$2:$K$2253,$A44,关系明细!$B$2:$B$2253,"控制关系")</f>
        <v>39</v>
      </c>
      <c r="G44" s="27">
        <f>COUNTIFS(关系明细!$K$2:$K$2253,$A44,关系明细!$B$2:$B$2253,"报警联锁关系")</f>
        <v>1</v>
      </c>
      <c r="H44" s="27">
        <f>COUNTIFS(关系明细!$K$2:$K$2253,$A44,关系明细!$B$2:$B$2253,"物理拓扑关系")</f>
        <v>28</v>
      </c>
      <c r="I44" s="27">
        <f>COUNTIFS(关系明细!$K$2:$K$2253,$A44,关系明细!$B$2:$B$2253,"影响关系")</f>
        <v>22</v>
      </c>
      <c r="J44" s="27">
        <f>COUNTIFS(关系明细!$K$2:$K$2253,$A44,关系明细!$B$2:$B$2253,"质量关系")</f>
        <v>5</v>
      </c>
      <c r="K44" s="43">
        <f t="shared" si="0"/>
        <v>242</v>
      </c>
      <c r="L44" s="45">
        <f>IF(K44=0,0,COUNTIFS(关系明细!$K$2:$K$2253,$A44,关系明细!$R$2:$R$2253,"高")/K44)</f>
        <v>0.71487603305785119</v>
      </c>
    </row>
    <row r="45" spans="1:12" ht="16.5">
      <c r="A45" s="27" t="s">
        <v>5406</v>
      </c>
      <c r="B45" s="34" t="s">
        <v>4598</v>
      </c>
      <c r="C45" s="27">
        <f>COUNTIFS(关系明细!$K$2:$K$2253,$A45,关系明细!$B$2:$B$2253,"工段衔接")</f>
        <v>2</v>
      </c>
      <c r="D45" s="27">
        <f>COUNTIFS(关系明细!$K$2:$K$2253,$A45,关系明细!$B$2:$B$2253,"结构关系")</f>
        <v>77</v>
      </c>
      <c r="E45" s="27">
        <f>COUNTIFS(关系明细!$K$2:$K$2253,$A45,关系明细!$B$2:$B$2253,"测点绑定关系")</f>
        <v>81</v>
      </c>
      <c r="F45" s="27">
        <f>COUNTIFS(关系明细!$K$2:$K$2253,$A45,关系明细!$B$2:$B$2253,"控制关系")</f>
        <v>20</v>
      </c>
      <c r="G45" s="27">
        <f>COUNTIFS(关系明细!$K$2:$K$2253,$A45,关系明细!$B$2:$B$2253,"报警联锁关系")</f>
        <v>1</v>
      </c>
      <c r="H45" s="27">
        <f>COUNTIFS(关系明细!$K$2:$K$2253,$A45,关系明细!$B$2:$B$2253,"物理拓扑关系")</f>
        <v>12</v>
      </c>
      <c r="I45" s="27">
        <f>COUNTIFS(关系明细!$K$2:$K$2253,$A45,关系明细!$B$2:$B$2253,"影响关系")</f>
        <v>13</v>
      </c>
      <c r="J45" s="27">
        <f>COUNTIFS(关系明细!$K$2:$K$2253,$A45,关系明细!$B$2:$B$2253,"质量关系")</f>
        <v>4</v>
      </c>
      <c r="K45" s="43">
        <f t="shared" si="0"/>
        <v>210</v>
      </c>
      <c r="L45" s="45">
        <f>IF(K45=0,0,COUNTIFS(关系明细!$K$2:$K$2253,$A45,关系明细!$R$2:$R$2253,"高")/K45)</f>
        <v>0.7857142857142857</v>
      </c>
    </row>
    <row r="46" spans="1:12" ht="16.5">
      <c r="A46" s="27" t="s">
        <v>6156</v>
      </c>
      <c r="B46" s="34" t="s">
        <v>4603</v>
      </c>
      <c r="C46" s="27">
        <f>COUNTIFS(关系明细!$K$2:$K$2253,$A46,关系明细!$B$2:$B$2253,"工段衔接")</f>
        <v>1</v>
      </c>
      <c r="D46" s="27">
        <f>COUNTIFS(关系明细!$K$2:$K$2253,$A46,关系明细!$B$2:$B$2253,"结构关系")</f>
        <v>34</v>
      </c>
      <c r="E46" s="27">
        <f>COUNTIFS(关系明细!$K$2:$K$2253,$A46,关系明细!$B$2:$B$2253,"测点绑定关系")</f>
        <v>11</v>
      </c>
      <c r="F46" s="27">
        <f>COUNTIFS(关系明细!$K$2:$K$2253,$A46,关系明细!$B$2:$B$2253,"控制关系")</f>
        <v>15</v>
      </c>
      <c r="G46" s="27">
        <f>COUNTIFS(关系明细!$K$2:$K$2253,$A46,关系明细!$B$2:$B$2253,"报警联锁关系")</f>
        <v>0</v>
      </c>
      <c r="H46" s="27">
        <f>COUNTIFS(关系明细!$K$2:$K$2253,$A46,关系明细!$B$2:$B$2253,"物理拓扑关系")</f>
        <v>10</v>
      </c>
      <c r="I46" s="27">
        <f>COUNTIFS(关系明细!$K$2:$K$2253,$A46,关系明细!$B$2:$B$2253,"影响关系")</f>
        <v>7</v>
      </c>
      <c r="J46" s="27">
        <f>COUNTIFS(关系明细!$K$2:$K$2253,$A46,关系明细!$B$2:$B$2253,"质量关系")</f>
        <v>0</v>
      </c>
      <c r="K46" s="43">
        <f t="shared" si="0"/>
        <v>78</v>
      </c>
      <c r="L46" s="45">
        <f>IF(K46=0,0,COUNTIFS(关系明细!$K$2:$K$2253,$A46,关系明细!$R$2:$R$2253,"高")/K46)</f>
        <v>0.70512820512820518</v>
      </c>
    </row>
    <row r="47" spans="1:12" ht="16.5">
      <c r="A47" s="27" t="s">
        <v>6413</v>
      </c>
      <c r="B47" s="9" t="s">
        <v>6411</v>
      </c>
      <c r="C47" s="27">
        <f>COUNTIFS(关系明细!$K$2:$K$2253,$A47,关系明细!$B$2:$B$2253,"工段衔接")</f>
        <v>3</v>
      </c>
      <c r="D47" s="27">
        <f>COUNTIFS(关系明细!$K$2:$K$2253,$A47,关系明细!$B$2:$B$2253,"结构关系")</f>
        <v>31</v>
      </c>
      <c r="E47" s="27">
        <f>COUNTIFS(关系明细!$K$2:$K$2253,$A47,关系明细!$B$2:$B$2253,"测点绑定关系")</f>
        <v>12</v>
      </c>
      <c r="F47" s="27">
        <f>COUNTIFS(关系明细!$K$2:$K$2253,$A47,关系明细!$B$2:$B$2253,"控制关系")</f>
        <v>0</v>
      </c>
      <c r="G47" s="27">
        <f>COUNTIFS(关系明细!$K$2:$K$2253,$A47,关系明细!$B$2:$B$2253,"报警联锁关系")</f>
        <v>1</v>
      </c>
      <c r="H47" s="27">
        <f>COUNTIFS(关系明细!$K$2:$K$2253,$A47,关系明细!$B$2:$B$2253,"物理拓扑关系")</f>
        <v>7</v>
      </c>
      <c r="I47" s="27">
        <f>COUNTIFS(关系明细!$K$2:$K$2253,$A47,关系明细!$B$2:$B$2253,"影响关系")</f>
        <v>2</v>
      </c>
      <c r="J47" s="27">
        <f>COUNTIFS(关系明细!$K$2:$K$2253,$A47,关系明细!$B$2:$B$2253,"质量关系")</f>
        <v>0</v>
      </c>
      <c r="K47" s="43">
        <f t="shared" si="0"/>
        <v>56</v>
      </c>
      <c r="L47" s="45">
        <f>IF(K47=0,0,COUNTIFS(关系明细!$K$2:$K$2253,$A47,关系明细!$R$2:$R$2253,"高")/K47)</f>
        <v>0.8214285714285714</v>
      </c>
    </row>
    <row r="48" spans="1:12" ht="16.5">
      <c r="A48" s="27" t="s">
        <v>6606</v>
      </c>
      <c r="B48" s="34" t="s">
        <v>5404</v>
      </c>
      <c r="C48" s="27">
        <f>COUNTIFS(关系明细!$K$2:$K$2253,$A48,关系明细!$B$2:$B$2253,"工段衔接")</f>
        <v>1</v>
      </c>
      <c r="D48" s="27">
        <f>COUNTIFS(关系明细!$K$2:$K$2253,$A48,关系明细!$B$2:$B$2253,"结构关系")</f>
        <v>15</v>
      </c>
      <c r="E48" s="27">
        <f>COUNTIFS(关系明细!$K$2:$K$2253,$A48,关系明细!$B$2:$B$2253,"测点绑定关系")</f>
        <v>3</v>
      </c>
      <c r="F48" s="27">
        <f>COUNTIFS(关系明细!$K$2:$K$2253,$A48,关系明细!$B$2:$B$2253,"控制关系")</f>
        <v>0</v>
      </c>
      <c r="G48" s="27">
        <f>COUNTIFS(关系明细!$K$2:$K$2253,$A48,关系明细!$B$2:$B$2253,"报警联锁关系")</f>
        <v>0</v>
      </c>
      <c r="H48" s="27">
        <f>COUNTIFS(关系明细!$K$2:$K$2253,$A48,关系明细!$B$2:$B$2253,"物理拓扑关系")</f>
        <v>4</v>
      </c>
      <c r="I48" s="27">
        <f>COUNTIFS(关系明细!$K$2:$K$2253,$A48,关系明细!$B$2:$B$2253,"影响关系")</f>
        <v>2</v>
      </c>
      <c r="J48" s="27">
        <f>COUNTIFS(关系明细!$K$2:$K$2253,$A48,关系明细!$B$2:$B$2253,"质量关系")</f>
        <v>2</v>
      </c>
      <c r="K48" s="43">
        <f t="shared" si="0"/>
        <v>27</v>
      </c>
      <c r="L48" s="45">
        <f>IF(K48=0,0,COUNTIFS(关系明细!$K$2:$K$2253,$A48,关系明细!$R$2:$R$2253,"高")/K48)</f>
        <v>0.48148148148148145</v>
      </c>
    </row>
    <row r="49" spans="1:12" ht="16.5">
      <c r="A49" s="27" t="s">
        <v>6692</v>
      </c>
      <c r="B49" s="9" t="s">
        <v>5409</v>
      </c>
      <c r="C49" s="27">
        <f>COUNTIFS(关系明细!$K$2:$K$2253,$A49,关系明细!$B$2:$B$2253,"工段衔接")</f>
        <v>1</v>
      </c>
      <c r="D49" s="27">
        <f>COUNTIFS(关系明细!$K$2:$K$2253,$A49,关系明细!$B$2:$B$2253,"结构关系")</f>
        <v>36</v>
      </c>
      <c r="E49" s="27">
        <f>COUNTIFS(关系明细!$K$2:$K$2253,$A49,关系明细!$B$2:$B$2253,"测点绑定关系")</f>
        <v>23</v>
      </c>
      <c r="F49" s="27">
        <f>COUNTIFS(关系明细!$K$2:$K$2253,$A49,关系明细!$B$2:$B$2253,"控制关系")</f>
        <v>9</v>
      </c>
      <c r="G49" s="27">
        <f>COUNTIFS(关系明细!$K$2:$K$2253,$A49,关系明细!$B$2:$B$2253,"报警联锁关系")</f>
        <v>0</v>
      </c>
      <c r="H49" s="27">
        <f>COUNTIFS(关系明细!$K$2:$K$2253,$A49,关系明细!$B$2:$B$2253,"物理拓扑关系")</f>
        <v>9</v>
      </c>
      <c r="I49" s="27">
        <f>COUNTIFS(关系明细!$K$2:$K$2253,$A49,关系明细!$B$2:$B$2253,"影响关系")</f>
        <v>2</v>
      </c>
      <c r="J49" s="27">
        <f>COUNTIFS(关系明细!$K$2:$K$2253,$A49,关系明细!$B$2:$B$2253,"质量关系")</f>
        <v>1</v>
      </c>
      <c r="K49" s="43">
        <f t="shared" si="0"/>
        <v>81</v>
      </c>
      <c r="L49" s="45">
        <f>IF(K49=0,0,COUNTIFS(关系明细!$K$2:$K$2253,$A49,关系明细!$R$2:$R$2253,"高")/K49)</f>
        <v>0.76543209876543206</v>
      </c>
    </row>
    <row r="50" spans="1:12" ht="16.5">
      <c r="A50" s="27" t="s">
        <v>6981</v>
      </c>
      <c r="B50" s="9" t="s">
        <v>3136</v>
      </c>
      <c r="C50" s="27">
        <f>COUNTIFS(关系明细!$K$2:$K$2253,$A50,关系明细!$B$2:$B$2253,"工段衔接")</f>
        <v>2</v>
      </c>
      <c r="D50" s="27">
        <f>COUNTIFS(关系明细!$K$2:$K$2253,$A50,关系明细!$B$2:$B$2253,"结构关系")</f>
        <v>33</v>
      </c>
      <c r="E50" s="27">
        <f>COUNTIFS(关系明细!$K$2:$K$2253,$A50,关系明细!$B$2:$B$2253,"测点绑定关系")</f>
        <v>18</v>
      </c>
      <c r="F50" s="27">
        <f>COUNTIFS(关系明细!$K$2:$K$2253,$A50,关系明细!$B$2:$B$2253,"控制关系")</f>
        <v>6</v>
      </c>
      <c r="G50" s="27">
        <f>COUNTIFS(关系明细!$K$2:$K$2253,$A50,关系明细!$B$2:$B$2253,"报警联锁关系")</f>
        <v>0</v>
      </c>
      <c r="H50" s="27">
        <f>COUNTIFS(关系明细!$K$2:$K$2253,$A50,关系明细!$B$2:$B$2253,"物理拓扑关系")</f>
        <v>8</v>
      </c>
      <c r="I50" s="27">
        <f>COUNTIFS(关系明细!$K$2:$K$2253,$A50,关系明细!$B$2:$B$2253,"影响关系")</f>
        <v>3</v>
      </c>
      <c r="J50" s="27">
        <f>COUNTIFS(关系明细!$K$2:$K$2253,$A50,关系明细!$B$2:$B$2253,"质量关系")</f>
        <v>1</v>
      </c>
      <c r="K50" s="43">
        <f t="shared" si="0"/>
        <v>71</v>
      </c>
      <c r="L50" s="45">
        <f>IF(K50=0,0,COUNTIFS(关系明细!$K$2:$K$2253,$A50,关系明细!$R$2:$R$2253,"高")/K50)</f>
        <v>0.76056338028169013</v>
      </c>
    </row>
    <row r="51" spans="1:12" ht="16.5">
      <c r="A51" s="27" t="s">
        <v>7226</v>
      </c>
      <c r="B51" s="9" t="s">
        <v>4607</v>
      </c>
      <c r="C51" s="27">
        <f>COUNTIFS(关系明细!$K$2:$K$2253,$A51,关系明细!$B$2:$B$2253,"工段衔接")</f>
        <v>1</v>
      </c>
      <c r="D51" s="27">
        <f>COUNTIFS(关系明细!$K$2:$K$2253,$A51,关系明细!$B$2:$B$2253,"结构关系")</f>
        <v>30</v>
      </c>
      <c r="E51" s="27">
        <f>COUNTIFS(关系明细!$K$2:$K$2253,$A51,关系明细!$B$2:$B$2253,"测点绑定关系")</f>
        <v>16</v>
      </c>
      <c r="F51" s="27">
        <f>COUNTIFS(关系明细!$K$2:$K$2253,$A51,关系明细!$B$2:$B$2253,"控制关系")</f>
        <v>0</v>
      </c>
      <c r="G51" s="27">
        <f>COUNTIFS(关系明细!$K$2:$K$2253,$A51,关系明细!$B$2:$B$2253,"报警联锁关系")</f>
        <v>0</v>
      </c>
      <c r="H51" s="27">
        <f>COUNTIFS(关系明细!$K$2:$K$2253,$A51,关系明细!$B$2:$B$2253,"物理拓扑关系")</f>
        <v>7</v>
      </c>
      <c r="I51" s="27">
        <f>COUNTIFS(关系明细!$K$2:$K$2253,$A51,关系明细!$B$2:$B$2253,"影响关系")</f>
        <v>3</v>
      </c>
      <c r="J51" s="27">
        <f>COUNTIFS(关系明细!$K$2:$K$2253,$A51,关系明细!$B$2:$B$2253,"质量关系")</f>
        <v>0</v>
      </c>
      <c r="K51" s="43">
        <f t="shared" si="0"/>
        <v>57</v>
      </c>
      <c r="L51" s="45">
        <f>IF(K51=0,0,COUNTIFS(关系明细!$K$2:$K$2253,$A51,关系明细!$R$2:$R$2253,"高")/K51)</f>
        <v>0.78947368421052633</v>
      </c>
    </row>
    <row r="52" spans="1:12" ht="16.5">
      <c r="A52" s="27" t="s">
        <v>7426</v>
      </c>
      <c r="B52" s="9" t="s">
        <v>708</v>
      </c>
      <c r="C52" s="27">
        <f>COUNTIFS(关系明细!$K$2:$K$2253,$A52,关系明细!$B$2:$B$2253,"工段衔接")</f>
        <v>1</v>
      </c>
      <c r="D52" s="27">
        <f>COUNTIFS(关系明细!$K$2:$K$2253,$A52,关系明细!$B$2:$B$2253,"结构关系")</f>
        <v>28</v>
      </c>
      <c r="E52" s="27">
        <f>COUNTIFS(关系明细!$K$2:$K$2253,$A52,关系明细!$B$2:$B$2253,"测点绑定关系")</f>
        <v>25</v>
      </c>
      <c r="F52" s="27">
        <f>COUNTIFS(关系明细!$K$2:$K$2253,$A52,关系明细!$B$2:$B$2253,"控制关系")</f>
        <v>0</v>
      </c>
      <c r="G52" s="27">
        <f>COUNTIFS(关系明细!$K$2:$K$2253,$A52,关系明细!$B$2:$B$2253,"报警联锁关系")</f>
        <v>0</v>
      </c>
      <c r="H52" s="27">
        <f>COUNTIFS(关系明细!$K$2:$K$2253,$A52,关系明细!$B$2:$B$2253,"物理拓扑关系")</f>
        <v>7</v>
      </c>
      <c r="I52" s="27">
        <f>COUNTIFS(关系明细!$K$2:$K$2253,$A52,关系明细!$B$2:$B$2253,"影响关系")</f>
        <v>1</v>
      </c>
      <c r="J52" s="27">
        <f>COUNTIFS(关系明细!$K$2:$K$2253,$A52,关系明细!$B$2:$B$2253,"质量关系")</f>
        <v>2</v>
      </c>
      <c r="K52" s="43">
        <f t="shared" si="0"/>
        <v>64</v>
      </c>
      <c r="L52" s="45">
        <f>IF(K52=0,0,COUNTIFS(关系明细!$K$2:$K$2253,$A52,关系明细!$R$2:$R$2253,"高")/K52)</f>
        <v>0.796875</v>
      </c>
    </row>
    <row r="53" spans="1:12" ht="16.5">
      <c r="A53" s="27" t="s">
        <v>7659</v>
      </c>
      <c r="B53" s="9" t="s">
        <v>7656</v>
      </c>
      <c r="C53" s="27">
        <f>COUNTIFS(关系明细!$K$2:$K$2253,$A53,关系明细!$B$2:$B$2253,"工段衔接")</f>
        <v>0</v>
      </c>
      <c r="D53" s="27">
        <f>COUNTIFS(关系明细!$K$2:$K$2253,$A53,关系明细!$B$2:$B$2253,"结构关系")</f>
        <v>23</v>
      </c>
      <c r="E53" s="27">
        <f>COUNTIFS(关系明细!$K$2:$K$2253,$A53,关系明细!$B$2:$B$2253,"测点绑定关系")</f>
        <v>13</v>
      </c>
      <c r="F53" s="27">
        <f>COUNTIFS(关系明细!$K$2:$K$2253,$A53,关系明细!$B$2:$B$2253,"控制关系")</f>
        <v>0</v>
      </c>
      <c r="G53" s="27">
        <f>COUNTIFS(关系明细!$K$2:$K$2253,$A53,关系明细!$B$2:$B$2253,"报警联锁关系")</f>
        <v>0</v>
      </c>
      <c r="H53" s="27">
        <f>COUNTIFS(关系明细!$K$2:$K$2253,$A53,关系明细!$B$2:$B$2253,"物理拓扑关系")</f>
        <v>3</v>
      </c>
      <c r="I53" s="27">
        <f>COUNTIFS(关系明细!$K$2:$K$2253,$A53,关系明细!$B$2:$B$2253,"影响关系")</f>
        <v>0</v>
      </c>
      <c r="J53" s="27">
        <f>COUNTIFS(关系明细!$K$2:$K$2253,$A53,关系明细!$B$2:$B$2253,"质量关系")</f>
        <v>0</v>
      </c>
      <c r="K53" s="43">
        <f t="shared" si="0"/>
        <v>39</v>
      </c>
      <c r="L53" s="45">
        <f>IF(K53=0,0,COUNTIFS(关系明细!$K$2:$K$2253,$A53,关系明细!$R$2:$R$2253,"高")/K53)</f>
        <v>0.84615384615384615</v>
      </c>
    </row>
    <row r="54" spans="1:12" ht="16.5">
      <c r="A54" s="27" t="s">
        <v>7807</v>
      </c>
      <c r="B54" s="9" t="s">
        <v>7805</v>
      </c>
      <c r="C54" s="27">
        <f>COUNTIFS(关系明细!$K$2:$K$2253,$A54,关系明细!$B$2:$B$2253,"工段衔接")</f>
        <v>4</v>
      </c>
      <c r="D54" s="27">
        <f>COUNTIFS(关系明细!$K$2:$K$2253,$A54,关系明细!$B$2:$B$2253,"结构关系")</f>
        <v>25</v>
      </c>
      <c r="E54" s="27">
        <f>COUNTIFS(关系明细!$K$2:$K$2253,$A54,关系明细!$B$2:$B$2253,"测点绑定关系")</f>
        <v>13</v>
      </c>
      <c r="F54" s="27">
        <f>COUNTIFS(关系明细!$K$2:$K$2253,$A54,关系明细!$B$2:$B$2253,"控制关系")</f>
        <v>0</v>
      </c>
      <c r="G54" s="27">
        <f>COUNTIFS(关系明细!$K$2:$K$2253,$A54,关系明细!$B$2:$B$2253,"报警联锁关系")</f>
        <v>0</v>
      </c>
      <c r="H54" s="27">
        <f>COUNTIFS(关系明细!$K$2:$K$2253,$A54,关系明细!$B$2:$B$2253,"物理拓扑关系")</f>
        <v>5</v>
      </c>
      <c r="I54" s="27">
        <f>COUNTIFS(关系明细!$K$2:$K$2253,$A54,关系明细!$B$2:$B$2253,"影响关系")</f>
        <v>2</v>
      </c>
      <c r="J54" s="27">
        <f>COUNTIFS(关系明细!$K$2:$K$2253,$A54,关系明细!$B$2:$B$2253,"质量关系")</f>
        <v>0</v>
      </c>
      <c r="K54" s="43">
        <f t="shared" si="0"/>
        <v>49</v>
      </c>
      <c r="L54" s="45">
        <f>IF(K54=0,0,COUNTIFS(关系明细!$K$2:$K$2253,$A54,关系明细!$R$2:$R$2253,"高")/K54)</f>
        <v>0.75510204081632648</v>
      </c>
    </row>
    <row r="55" spans="1:12" ht="16.5">
      <c r="A55" s="27" t="s">
        <v>7983</v>
      </c>
      <c r="B55" s="9" t="s">
        <v>2812</v>
      </c>
      <c r="C55" s="27">
        <f>COUNTIFS(关系明细!$K$2:$K$2253,$A55,关系明细!$B$2:$B$2253,"工段衔接")</f>
        <v>0</v>
      </c>
      <c r="D55" s="27">
        <f>COUNTIFS(关系明细!$K$2:$K$2253,$A55,关系明细!$B$2:$B$2253,"结构关系")</f>
        <v>15</v>
      </c>
      <c r="E55" s="27">
        <f>COUNTIFS(关系明细!$K$2:$K$2253,$A55,关系明细!$B$2:$B$2253,"测点绑定关系")</f>
        <v>6</v>
      </c>
      <c r="F55" s="27">
        <f>COUNTIFS(关系明细!$K$2:$K$2253,$A55,关系明细!$B$2:$B$2253,"控制关系")</f>
        <v>0</v>
      </c>
      <c r="G55" s="27">
        <f>COUNTIFS(关系明细!$K$2:$K$2253,$A55,关系明细!$B$2:$B$2253,"报警联锁关系")</f>
        <v>0</v>
      </c>
      <c r="H55" s="27">
        <f>COUNTIFS(关系明细!$K$2:$K$2253,$A55,关系明细!$B$2:$B$2253,"物理拓扑关系")</f>
        <v>2</v>
      </c>
      <c r="I55" s="27">
        <f>COUNTIFS(关系明细!$K$2:$K$2253,$A55,关系明细!$B$2:$B$2253,"影响关系")</f>
        <v>0</v>
      </c>
      <c r="J55" s="27">
        <f>COUNTIFS(关系明细!$K$2:$K$2253,$A55,关系明细!$B$2:$B$2253,"质量关系")</f>
        <v>0</v>
      </c>
      <c r="K55" s="43">
        <f t="shared" si="0"/>
        <v>23</v>
      </c>
      <c r="L55" s="45">
        <f>IF(K55=0,0,COUNTIFS(关系明细!$K$2:$K$2253,$A55,关系明细!$R$2:$R$2253,"高")/K55)</f>
        <v>0.65217391304347827</v>
      </c>
    </row>
    <row r="56" spans="1:12" ht="16.5">
      <c r="A56" s="27" t="s">
        <v>8071</v>
      </c>
      <c r="B56" s="9" t="s">
        <v>8069</v>
      </c>
      <c r="C56" s="27">
        <f>COUNTIFS(关系明细!$K$2:$K$2253,$A56,关系明细!$B$2:$B$2253,"工段衔接")</f>
        <v>0</v>
      </c>
      <c r="D56" s="27">
        <f>COUNTIFS(关系明细!$K$2:$K$2253,$A56,关系明细!$B$2:$B$2253,"结构关系")</f>
        <v>0</v>
      </c>
      <c r="E56" s="27">
        <f>COUNTIFS(关系明细!$K$2:$K$2253,$A56,关系明细!$B$2:$B$2253,"测点绑定关系")</f>
        <v>0</v>
      </c>
      <c r="F56" s="27">
        <f>COUNTIFS(关系明细!$K$2:$K$2253,$A56,关系明细!$B$2:$B$2253,"控制关系")</f>
        <v>0</v>
      </c>
      <c r="G56" s="27">
        <f>COUNTIFS(关系明细!$K$2:$K$2253,$A56,关系明细!$B$2:$B$2253,"报警联锁关系")</f>
        <v>0</v>
      </c>
      <c r="H56" s="27">
        <f>COUNTIFS(关系明细!$K$2:$K$2253,$A56,关系明细!$B$2:$B$2253,"物理拓扑关系")</f>
        <v>11</v>
      </c>
      <c r="I56" s="27">
        <f>COUNTIFS(关系明细!$K$2:$K$2253,$A56,关系明细!$B$2:$B$2253,"影响关系")</f>
        <v>0</v>
      </c>
      <c r="J56" s="27">
        <f>COUNTIFS(关系明细!$K$2:$K$2253,$A56,关系明细!$B$2:$B$2253,"质量关系")</f>
        <v>4</v>
      </c>
      <c r="K56" s="43">
        <f t="shared" si="0"/>
        <v>15</v>
      </c>
      <c r="L56" s="45">
        <f>IF(K56=0,0,COUNTIFS(关系明细!$K$2:$K$2253,$A56,关系明细!$R$2:$R$2253,"高")/K56)</f>
        <v>0.6</v>
      </c>
    </row>
  </sheetData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132"/>
  <sheetViews>
    <sheetView topLeftCell="A10" zoomScaleNormal="100" workbookViewId="0"/>
  </sheetViews>
  <sheetFormatPr defaultColWidth="8.5" defaultRowHeight="13.5"/>
  <cols>
    <col min="1" max="1" width="140" customWidth="1"/>
  </cols>
  <sheetData>
    <row r="1" spans="1:1" ht="21.75" customHeight="1">
      <c r="A1" s="46" t="s">
        <v>8666</v>
      </c>
    </row>
    <row r="3" spans="1:1" ht="14.25" customHeight="1">
      <c r="A3" s="47" t="s">
        <v>8667</v>
      </c>
    </row>
    <row r="4" spans="1:1" ht="14.25" customHeight="1">
      <c r="A4" s="47" t="s">
        <v>8668</v>
      </c>
    </row>
    <row r="5" spans="1:1" ht="14.25" customHeight="1">
      <c r="A5" s="47" t="s">
        <v>8669</v>
      </c>
    </row>
    <row r="6" spans="1:1" ht="14.25" customHeight="1">
      <c r="A6" s="47" t="s">
        <v>8670</v>
      </c>
    </row>
    <row r="7" spans="1:1" ht="14.25" customHeight="1">
      <c r="A7" s="47" t="s">
        <v>8671</v>
      </c>
    </row>
    <row r="8" spans="1:1" ht="14.25" customHeight="1">
      <c r="A8" s="47"/>
    </row>
    <row r="9" spans="1:1" ht="14.25" customHeight="1">
      <c r="A9" s="47" t="s">
        <v>8672</v>
      </c>
    </row>
    <row r="10" spans="1:1" ht="14.25" customHeight="1">
      <c r="A10" s="47"/>
    </row>
    <row r="11" spans="1:1" ht="14.25" customHeight="1">
      <c r="A11" s="48" t="s">
        <v>8673</v>
      </c>
    </row>
    <row r="12" spans="1:1" ht="14.25" customHeight="1">
      <c r="A12" s="47" t="s">
        <v>8674</v>
      </c>
    </row>
    <row r="13" spans="1:1" ht="14.25" customHeight="1">
      <c r="A13" s="47" t="s">
        <v>8675</v>
      </c>
    </row>
    <row r="14" spans="1:1" ht="14.25" customHeight="1">
      <c r="A14" s="47" t="s">
        <v>8676</v>
      </c>
    </row>
    <row r="15" spans="1:1" ht="14.25" customHeight="1">
      <c r="A15" s="47" t="s">
        <v>8677</v>
      </c>
    </row>
    <row r="16" spans="1:1" ht="14.25" customHeight="1">
      <c r="A16" s="47" t="s">
        <v>8678</v>
      </c>
    </row>
    <row r="17" spans="1:1" ht="14.25" customHeight="1">
      <c r="A17" s="47" t="s">
        <v>8679</v>
      </c>
    </row>
    <row r="18" spans="1:1" ht="14.25" customHeight="1">
      <c r="A18" s="47" t="s">
        <v>8680</v>
      </c>
    </row>
    <row r="19" spans="1:1" ht="14.25" customHeight="1">
      <c r="A19" s="47" t="s">
        <v>8681</v>
      </c>
    </row>
    <row r="20" spans="1:1" ht="14.25" customHeight="1">
      <c r="A20" s="47" t="s">
        <v>8682</v>
      </c>
    </row>
    <row r="21" spans="1:1" ht="14.25" customHeight="1">
      <c r="A21" s="47" t="s">
        <v>8683</v>
      </c>
    </row>
    <row r="22" spans="1:1" ht="14.25" customHeight="1">
      <c r="A22" s="47" t="s">
        <v>8684</v>
      </c>
    </row>
    <row r="23" spans="1:1" ht="14.25" customHeight="1">
      <c r="A23" s="47" t="s">
        <v>8685</v>
      </c>
    </row>
    <row r="24" spans="1:1" ht="14.25" customHeight="1">
      <c r="A24" s="47" t="s">
        <v>8686</v>
      </c>
    </row>
    <row r="25" spans="1:1" ht="14.25" customHeight="1">
      <c r="A25" s="47" t="s">
        <v>8687</v>
      </c>
    </row>
    <row r="26" spans="1:1" ht="14.25" customHeight="1">
      <c r="A26" s="47" t="s">
        <v>8688</v>
      </c>
    </row>
    <row r="27" spans="1:1" ht="14.25" customHeight="1">
      <c r="A27" s="47" t="s">
        <v>8689</v>
      </c>
    </row>
    <row r="28" spans="1:1" ht="14.25" customHeight="1">
      <c r="A28" s="47" t="s">
        <v>8690</v>
      </c>
    </row>
    <row r="29" spans="1:1" ht="14.25" customHeight="1">
      <c r="A29" s="47" t="s">
        <v>8691</v>
      </c>
    </row>
    <row r="30" spans="1:1" ht="14.25" customHeight="1">
      <c r="A30" s="47"/>
    </row>
    <row r="31" spans="1:1" ht="14.25" customHeight="1">
      <c r="A31" s="48" t="s">
        <v>8692</v>
      </c>
    </row>
    <row r="32" spans="1:1" ht="14.25" customHeight="1">
      <c r="A32" s="47" t="s">
        <v>8693</v>
      </c>
    </row>
    <row r="33" spans="1:1" ht="14.25" customHeight="1">
      <c r="A33" s="47" t="s">
        <v>8694</v>
      </c>
    </row>
    <row r="34" spans="1:1" ht="14.25" customHeight="1">
      <c r="A34" s="47" t="s">
        <v>8695</v>
      </c>
    </row>
    <row r="35" spans="1:1" ht="14.25" customHeight="1">
      <c r="A35" s="47" t="s">
        <v>8696</v>
      </c>
    </row>
    <row r="36" spans="1:1" ht="14.25" customHeight="1">
      <c r="A36" s="47" t="s">
        <v>8697</v>
      </c>
    </row>
    <row r="37" spans="1:1" ht="14.25" customHeight="1">
      <c r="A37" s="47" t="s">
        <v>8698</v>
      </c>
    </row>
    <row r="38" spans="1:1" ht="14.25" customHeight="1">
      <c r="A38" s="47" t="s">
        <v>8699</v>
      </c>
    </row>
    <row r="39" spans="1:1" ht="14.25" customHeight="1">
      <c r="A39" s="47" t="s">
        <v>8700</v>
      </c>
    </row>
    <row r="40" spans="1:1" ht="14.25" customHeight="1">
      <c r="A40" s="47" t="s">
        <v>8701</v>
      </c>
    </row>
    <row r="41" spans="1:1" ht="14.25" customHeight="1">
      <c r="A41" s="47" t="s">
        <v>8702</v>
      </c>
    </row>
    <row r="42" spans="1:1" ht="14.25" customHeight="1">
      <c r="A42" s="47" t="s">
        <v>8703</v>
      </c>
    </row>
    <row r="43" spans="1:1" ht="14.25" customHeight="1">
      <c r="A43" s="47" t="s">
        <v>8704</v>
      </c>
    </row>
    <row r="44" spans="1:1" ht="14.25" customHeight="1">
      <c r="A44" s="47" t="s">
        <v>8705</v>
      </c>
    </row>
    <row r="45" spans="1:1" ht="14.25" customHeight="1">
      <c r="A45" s="47" t="s">
        <v>8706</v>
      </c>
    </row>
    <row r="46" spans="1:1" ht="14.25" customHeight="1">
      <c r="A46" s="47" t="s">
        <v>8707</v>
      </c>
    </row>
    <row r="47" spans="1:1" ht="14.25" customHeight="1">
      <c r="A47" s="47" t="s">
        <v>8708</v>
      </c>
    </row>
    <row r="48" spans="1:1" ht="14.25" customHeight="1">
      <c r="A48" s="47" t="s">
        <v>8709</v>
      </c>
    </row>
    <row r="49" spans="1:1" ht="14.25" customHeight="1">
      <c r="A49" s="47" t="s">
        <v>8710</v>
      </c>
    </row>
    <row r="50" spans="1:1" ht="14.25" customHeight="1">
      <c r="A50" s="47" t="s">
        <v>8711</v>
      </c>
    </row>
    <row r="51" spans="1:1" ht="14.25" customHeight="1">
      <c r="A51" s="47" t="s">
        <v>8712</v>
      </c>
    </row>
    <row r="52" spans="1:1" ht="14.25" customHeight="1">
      <c r="A52" s="47" t="s">
        <v>8713</v>
      </c>
    </row>
    <row r="53" spans="1:1" ht="14.25" customHeight="1">
      <c r="A53" s="47" t="s">
        <v>8714</v>
      </c>
    </row>
    <row r="54" spans="1:1" ht="14.25" customHeight="1">
      <c r="A54" s="47"/>
    </row>
    <row r="55" spans="1:1" ht="14.25" customHeight="1">
      <c r="A55" s="47" t="s">
        <v>8715</v>
      </c>
    </row>
    <row r="56" spans="1:1" ht="14.25" customHeight="1">
      <c r="A56" s="47" t="s">
        <v>8716</v>
      </c>
    </row>
    <row r="57" spans="1:1" ht="14.25" customHeight="1">
      <c r="A57" s="47"/>
    </row>
    <row r="58" spans="1:1" ht="14.25" customHeight="1">
      <c r="A58" s="48" t="s">
        <v>8717</v>
      </c>
    </row>
    <row r="59" spans="1:1" ht="14.25" customHeight="1">
      <c r="A59" s="47" t="s">
        <v>8718</v>
      </c>
    </row>
    <row r="60" spans="1:1" ht="14.25" customHeight="1">
      <c r="A60" s="47" t="s">
        <v>8719</v>
      </c>
    </row>
    <row r="61" spans="1:1" ht="14.25" customHeight="1">
      <c r="A61" s="47" t="s">
        <v>8720</v>
      </c>
    </row>
    <row r="62" spans="1:1" ht="14.25" customHeight="1">
      <c r="A62" s="47" t="s">
        <v>8721</v>
      </c>
    </row>
    <row r="63" spans="1:1" ht="14.25" customHeight="1">
      <c r="A63" s="47" t="s">
        <v>8722</v>
      </c>
    </row>
    <row r="64" spans="1:1" ht="14.25" customHeight="1">
      <c r="A64" s="47" t="s">
        <v>8723</v>
      </c>
    </row>
    <row r="65" spans="1:1" ht="14.25" customHeight="1">
      <c r="A65" s="47" t="s">
        <v>8724</v>
      </c>
    </row>
    <row r="66" spans="1:1" ht="14.25">
      <c r="A66" s="47" t="s">
        <v>8725</v>
      </c>
    </row>
    <row r="67" spans="1:1" ht="14.25">
      <c r="A67" s="47" t="s">
        <v>8726</v>
      </c>
    </row>
    <row r="68" spans="1:1" ht="14.25">
      <c r="A68" s="47" t="s">
        <v>8727</v>
      </c>
    </row>
    <row r="69" spans="1:1" ht="14.25">
      <c r="A69" s="47" t="s">
        <v>8728</v>
      </c>
    </row>
    <row r="70" spans="1:1" ht="14.25">
      <c r="A70" s="47" t="s">
        <v>8729</v>
      </c>
    </row>
    <row r="71" spans="1:1" ht="14.25">
      <c r="A71" s="47" t="s">
        <v>8730</v>
      </c>
    </row>
    <row r="72" spans="1:1" ht="14.25">
      <c r="A72" s="47" t="s">
        <v>8731</v>
      </c>
    </row>
    <row r="73" spans="1:1" ht="14.25">
      <c r="A73" s="47" t="s">
        <v>8732</v>
      </c>
    </row>
    <row r="74" spans="1:1" ht="14.25">
      <c r="A74" s="47" t="s">
        <v>8733</v>
      </c>
    </row>
    <row r="75" spans="1:1" ht="14.25">
      <c r="A75" s="47" t="s">
        <v>8734</v>
      </c>
    </row>
    <row r="76" spans="1:1" ht="14.25">
      <c r="A76" s="47" t="s">
        <v>8735</v>
      </c>
    </row>
    <row r="77" spans="1:1" ht="14.25">
      <c r="A77" s="47" t="s">
        <v>8736</v>
      </c>
    </row>
    <row r="78" spans="1:1" ht="14.25">
      <c r="A78" s="47" t="s">
        <v>8737</v>
      </c>
    </row>
    <row r="79" spans="1:1" ht="14.25">
      <c r="A79" s="47" t="s">
        <v>8738</v>
      </c>
    </row>
    <row r="80" spans="1:1" ht="14.25">
      <c r="A80" s="47" t="s">
        <v>8739</v>
      </c>
    </row>
    <row r="81" spans="1:1" ht="14.25">
      <c r="A81" s="47" t="s">
        <v>8740</v>
      </c>
    </row>
    <row r="82" spans="1:1" ht="14.25">
      <c r="A82" s="47" t="s">
        <v>8741</v>
      </c>
    </row>
    <row r="83" spans="1:1" ht="14.25">
      <c r="A83" s="47" t="s">
        <v>8742</v>
      </c>
    </row>
    <row r="84" spans="1:1" ht="14.25">
      <c r="A84" s="47" t="s">
        <v>8743</v>
      </c>
    </row>
    <row r="85" spans="1:1" ht="14.25">
      <c r="A85" s="47" t="s">
        <v>8744</v>
      </c>
    </row>
    <row r="86" spans="1:1" ht="14.25">
      <c r="A86" s="47" t="s">
        <v>8745</v>
      </c>
    </row>
    <row r="87" spans="1:1" ht="14.25">
      <c r="A87" s="47" t="s">
        <v>8746</v>
      </c>
    </row>
    <row r="88" spans="1:1" ht="14.25">
      <c r="A88" s="47" t="s">
        <v>8747</v>
      </c>
    </row>
    <row r="89" spans="1:1" ht="14.25">
      <c r="A89" s="47" t="s">
        <v>8748</v>
      </c>
    </row>
    <row r="90" spans="1:1" ht="14.25">
      <c r="A90" s="47" t="s">
        <v>8749</v>
      </c>
    </row>
    <row r="91" spans="1:1" ht="14.25">
      <c r="A91" s="47" t="s">
        <v>8750</v>
      </c>
    </row>
    <row r="92" spans="1:1" ht="14.25">
      <c r="A92" s="47" t="s">
        <v>8751</v>
      </c>
    </row>
    <row r="93" spans="1:1" ht="14.25">
      <c r="A93" s="47" t="s">
        <v>8752</v>
      </c>
    </row>
    <row r="94" spans="1:1" ht="14.25">
      <c r="A94" s="47" t="s">
        <v>8753</v>
      </c>
    </row>
    <row r="95" spans="1:1" ht="14.25">
      <c r="A95" s="47" t="s">
        <v>8754</v>
      </c>
    </row>
    <row r="96" spans="1:1" ht="14.25">
      <c r="A96" s="47" t="s">
        <v>8755</v>
      </c>
    </row>
    <row r="97" spans="1:1" ht="14.25">
      <c r="A97" s="47" t="s">
        <v>8756</v>
      </c>
    </row>
    <row r="98" spans="1:1" ht="14.25">
      <c r="A98" s="47" t="s">
        <v>8757</v>
      </c>
    </row>
    <row r="99" spans="1:1" ht="14.25">
      <c r="A99" s="47" t="s">
        <v>8758</v>
      </c>
    </row>
    <row r="100" spans="1:1" ht="14.25">
      <c r="A100" s="47" t="s">
        <v>8759</v>
      </c>
    </row>
    <row r="101" spans="1:1" ht="14.25">
      <c r="A101" s="47" t="s">
        <v>8760</v>
      </c>
    </row>
    <row r="102" spans="1:1" ht="14.25">
      <c r="A102" s="47" t="s">
        <v>8761</v>
      </c>
    </row>
    <row r="103" spans="1:1" ht="14.25">
      <c r="A103" s="47" t="s">
        <v>8762</v>
      </c>
    </row>
    <row r="104" spans="1:1" ht="14.25">
      <c r="A104" s="47" t="s">
        <v>8763</v>
      </c>
    </row>
    <row r="105" spans="1:1" ht="14.25">
      <c r="A105" s="47" t="s">
        <v>8764</v>
      </c>
    </row>
    <row r="106" spans="1:1" ht="14.25">
      <c r="A106" s="47" t="s">
        <v>8765</v>
      </c>
    </row>
    <row r="107" spans="1:1" ht="14.25">
      <c r="A107" s="47" t="s">
        <v>8766</v>
      </c>
    </row>
    <row r="108" spans="1:1" ht="14.25">
      <c r="A108" s="47" t="s">
        <v>8767</v>
      </c>
    </row>
    <row r="109" spans="1:1" ht="14.25">
      <c r="A109" s="47" t="s">
        <v>8768</v>
      </c>
    </row>
    <row r="110" spans="1:1" ht="14.25">
      <c r="A110" s="47" t="s">
        <v>8769</v>
      </c>
    </row>
    <row r="111" spans="1:1" ht="14.25">
      <c r="A111" s="47" t="s">
        <v>8770</v>
      </c>
    </row>
    <row r="112" spans="1:1" ht="14.25">
      <c r="A112" s="47" t="s">
        <v>8771</v>
      </c>
    </row>
    <row r="113" spans="1:1" ht="14.25">
      <c r="A113" s="47" t="s">
        <v>8772</v>
      </c>
    </row>
    <row r="114" spans="1:1" ht="14.25">
      <c r="A114" s="47" t="s">
        <v>8773</v>
      </c>
    </row>
    <row r="115" spans="1:1" ht="14.25">
      <c r="A115" s="47" t="s">
        <v>8774</v>
      </c>
    </row>
    <row r="116" spans="1:1" ht="14.25">
      <c r="A116" s="47" t="s">
        <v>8775</v>
      </c>
    </row>
    <row r="117" spans="1:1" ht="14.25">
      <c r="A117" s="47" t="s">
        <v>8776</v>
      </c>
    </row>
    <row r="118" spans="1:1" ht="14.25">
      <c r="A118" s="47" t="s">
        <v>8777</v>
      </c>
    </row>
    <row r="119" spans="1:1" ht="14.25">
      <c r="A119" s="47" t="s">
        <v>8778</v>
      </c>
    </row>
    <row r="120" spans="1:1" ht="14.25">
      <c r="A120" s="47" t="s">
        <v>8779</v>
      </c>
    </row>
    <row r="121" spans="1:1" ht="14.25">
      <c r="A121" s="47" t="s">
        <v>8780</v>
      </c>
    </row>
    <row r="122" spans="1:1" ht="14.25">
      <c r="A122" s="47" t="s">
        <v>8781</v>
      </c>
    </row>
    <row r="123" spans="1:1" ht="14.25">
      <c r="A123" s="47" t="s">
        <v>8782</v>
      </c>
    </row>
    <row r="124" spans="1:1" ht="14.25">
      <c r="A124" s="47" t="s">
        <v>8783</v>
      </c>
    </row>
    <row r="125" spans="1:1" ht="14.25">
      <c r="A125" s="47" t="s">
        <v>8784</v>
      </c>
    </row>
    <row r="126" spans="1:1" ht="14.25">
      <c r="A126" s="47" t="s">
        <v>8785</v>
      </c>
    </row>
    <row r="127" spans="1:1" ht="14.25">
      <c r="A127" s="47" t="s">
        <v>8786</v>
      </c>
    </row>
    <row r="128" spans="1:1" ht="14.25">
      <c r="A128" s="47" t="s">
        <v>8787</v>
      </c>
    </row>
    <row r="129" spans="1:1" ht="14.25">
      <c r="A129" s="47" t="s">
        <v>8788</v>
      </c>
    </row>
    <row r="130" spans="1:1" ht="14.25">
      <c r="A130" s="47" t="s">
        <v>8789</v>
      </c>
    </row>
    <row r="131" spans="1:1" ht="14.25">
      <c r="A131" s="47" t="s">
        <v>8790</v>
      </c>
    </row>
    <row r="132" spans="1:1" ht="14.25">
      <c r="A132" s="47" t="s">
        <v>8791</v>
      </c>
    </row>
    <row r="133" spans="1:1" ht="14.25">
      <c r="A133" s="47" t="s">
        <v>8792</v>
      </c>
    </row>
    <row r="134" spans="1:1" ht="14.25">
      <c r="A134" s="47" t="s">
        <v>8793</v>
      </c>
    </row>
    <row r="135" spans="1:1" ht="14.25">
      <c r="A135" s="47" t="s">
        <v>8794</v>
      </c>
    </row>
    <row r="136" spans="1:1" ht="14.25">
      <c r="A136" s="47" t="s">
        <v>8795</v>
      </c>
    </row>
    <row r="137" spans="1:1" ht="14.25">
      <c r="A137" s="47" t="s">
        <v>8796</v>
      </c>
    </row>
    <row r="138" spans="1:1" ht="14.25">
      <c r="A138" s="47" t="s">
        <v>8797</v>
      </c>
    </row>
    <row r="139" spans="1:1" ht="14.25">
      <c r="A139" s="47" t="s">
        <v>8798</v>
      </c>
    </row>
    <row r="140" spans="1:1" ht="14.25">
      <c r="A140" s="47" t="s">
        <v>8799</v>
      </c>
    </row>
    <row r="141" spans="1:1" ht="14.25">
      <c r="A141" s="47" t="s">
        <v>8800</v>
      </c>
    </row>
    <row r="142" spans="1:1" ht="14.25">
      <c r="A142" s="47" t="s">
        <v>8801</v>
      </c>
    </row>
    <row r="143" spans="1:1" ht="14.25">
      <c r="A143" s="47" t="s">
        <v>8802</v>
      </c>
    </row>
    <row r="144" spans="1:1" ht="14.25">
      <c r="A144" s="47" t="s">
        <v>8803</v>
      </c>
    </row>
    <row r="145" spans="1:1" ht="14.25">
      <c r="A145" s="47" t="s">
        <v>8804</v>
      </c>
    </row>
    <row r="146" spans="1:1" ht="14.25">
      <c r="A146" s="47" t="s">
        <v>8805</v>
      </c>
    </row>
    <row r="147" spans="1:1" ht="14.25">
      <c r="A147" s="47" t="s">
        <v>8806</v>
      </c>
    </row>
    <row r="148" spans="1:1" ht="14.25">
      <c r="A148" s="47" t="s">
        <v>8807</v>
      </c>
    </row>
    <row r="149" spans="1:1" ht="14.25">
      <c r="A149" s="47" t="s">
        <v>8808</v>
      </c>
    </row>
    <row r="150" spans="1:1" ht="14.25">
      <c r="A150" s="47" t="s">
        <v>8809</v>
      </c>
    </row>
    <row r="151" spans="1:1" ht="14.25">
      <c r="A151" s="47" t="s">
        <v>8810</v>
      </c>
    </row>
    <row r="152" spans="1:1" ht="14.25">
      <c r="A152" s="47" t="s">
        <v>8811</v>
      </c>
    </row>
    <row r="153" spans="1:1" ht="14.25">
      <c r="A153" s="47" t="s">
        <v>8812</v>
      </c>
    </row>
    <row r="154" spans="1:1" ht="14.25">
      <c r="A154" s="47" t="s">
        <v>8813</v>
      </c>
    </row>
    <row r="155" spans="1:1" ht="14.25">
      <c r="A155" s="47" t="s">
        <v>8814</v>
      </c>
    </row>
    <row r="156" spans="1:1" ht="14.25">
      <c r="A156" s="47" t="s">
        <v>8815</v>
      </c>
    </row>
    <row r="157" spans="1:1" ht="14.25">
      <c r="A157" s="47" t="s">
        <v>8816</v>
      </c>
    </row>
    <row r="158" spans="1:1" ht="14.25">
      <c r="A158" s="47" t="s">
        <v>8817</v>
      </c>
    </row>
    <row r="159" spans="1:1" ht="14.25">
      <c r="A159" s="47" t="s">
        <v>8818</v>
      </c>
    </row>
    <row r="160" spans="1:1" ht="14.25">
      <c r="A160" s="47" t="s">
        <v>8819</v>
      </c>
    </row>
    <row r="161" spans="1:1" ht="14.25">
      <c r="A161" s="47" t="s">
        <v>8820</v>
      </c>
    </row>
    <row r="162" spans="1:1" ht="14.25">
      <c r="A162" s="47" t="s">
        <v>8821</v>
      </c>
    </row>
    <row r="163" spans="1:1" ht="14.25">
      <c r="A163" s="47" t="s">
        <v>8822</v>
      </c>
    </row>
    <row r="164" spans="1:1" ht="14.25">
      <c r="A164" s="47" t="s">
        <v>8823</v>
      </c>
    </row>
    <row r="165" spans="1:1" ht="14.25">
      <c r="A165" s="47" t="s">
        <v>8824</v>
      </c>
    </row>
    <row r="166" spans="1:1" ht="14.25">
      <c r="A166" s="47" t="s">
        <v>8825</v>
      </c>
    </row>
    <row r="167" spans="1:1" ht="14.25">
      <c r="A167" s="47" t="s">
        <v>8826</v>
      </c>
    </row>
    <row r="168" spans="1:1" ht="14.25">
      <c r="A168" s="47" t="s">
        <v>8827</v>
      </c>
    </row>
    <row r="169" spans="1:1" ht="14.25">
      <c r="A169" s="47" t="s">
        <v>8828</v>
      </c>
    </row>
    <row r="170" spans="1:1" ht="14.25">
      <c r="A170" s="47" t="s">
        <v>8829</v>
      </c>
    </row>
    <row r="171" spans="1:1" ht="14.25">
      <c r="A171" s="47" t="s">
        <v>8830</v>
      </c>
    </row>
    <row r="172" spans="1:1" ht="14.25">
      <c r="A172" s="47" t="s">
        <v>8831</v>
      </c>
    </row>
    <row r="173" spans="1:1" ht="14.25">
      <c r="A173" s="47" t="s">
        <v>8832</v>
      </c>
    </row>
    <row r="174" spans="1:1" ht="14.25">
      <c r="A174" s="47" t="s">
        <v>8833</v>
      </c>
    </row>
    <row r="175" spans="1:1" ht="14.25">
      <c r="A175" s="47" t="s">
        <v>8834</v>
      </c>
    </row>
    <row r="176" spans="1:1" ht="14.25">
      <c r="A176" s="47" t="s">
        <v>8835</v>
      </c>
    </row>
    <row r="177" spans="1:1" ht="14.25">
      <c r="A177" s="47" t="s">
        <v>8836</v>
      </c>
    </row>
    <row r="178" spans="1:1" ht="14.25">
      <c r="A178" s="47" t="s">
        <v>8837</v>
      </c>
    </row>
    <row r="179" spans="1:1" ht="14.25">
      <c r="A179" s="47" t="s">
        <v>8838</v>
      </c>
    </row>
    <row r="180" spans="1:1" ht="14.25">
      <c r="A180" s="47" t="s">
        <v>8839</v>
      </c>
    </row>
    <row r="181" spans="1:1" ht="14.25">
      <c r="A181" s="47" t="s">
        <v>8840</v>
      </c>
    </row>
    <row r="182" spans="1:1" ht="14.25">
      <c r="A182" s="47" t="s">
        <v>8841</v>
      </c>
    </row>
    <row r="183" spans="1:1" ht="14.25">
      <c r="A183" s="47" t="s">
        <v>8842</v>
      </c>
    </row>
    <row r="184" spans="1:1" ht="14.25">
      <c r="A184" s="47" t="s">
        <v>8843</v>
      </c>
    </row>
    <row r="185" spans="1:1" ht="14.25">
      <c r="A185" s="47" t="s">
        <v>8844</v>
      </c>
    </row>
    <row r="186" spans="1:1" ht="14.25">
      <c r="A186" s="47" t="s">
        <v>8845</v>
      </c>
    </row>
    <row r="187" spans="1:1" ht="14.25">
      <c r="A187" s="47" t="s">
        <v>8846</v>
      </c>
    </row>
    <row r="188" spans="1:1" ht="14.25">
      <c r="A188" s="47" t="s">
        <v>8847</v>
      </c>
    </row>
    <row r="189" spans="1:1" ht="14.25">
      <c r="A189" s="47" t="s">
        <v>8848</v>
      </c>
    </row>
    <row r="190" spans="1:1" ht="14.25">
      <c r="A190" s="47" t="s">
        <v>8849</v>
      </c>
    </row>
    <row r="191" spans="1:1" ht="14.25">
      <c r="A191" s="47" t="s">
        <v>8850</v>
      </c>
    </row>
    <row r="192" spans="1:1" ht="14.25">
      <c r="A192" s="47" t="s">
        <v>8851</v>
      </c>
    </row>
    <row r="193" spans="1:1" ht="14.25">
      <c r="A193" s="47" t="s">
        <v>8852</v>
      </c>
    </row>
    <row r="194" spans="1:1" ht="14.25">
      <c r="A194" s="47" t="s">
        <v>8853</v>
      </c>
    </row>
    <row r="195" spans="1:1" ht="14.25">
      <c r="A195" s="47" t="s">
        <v>8854</v>
      </c>
    </row>
    <row r="196" spans="1:1" ht="14.25">
      <c r="A196" s="47" t="s">
        <v>8855</v>
      </c>
    </row>
    <row r="197" spans="1:1" ht="14.25">
      <c r="A197" s="47" t="s">
        <v>8856</v>
      </c>
    </row>
    <row r="198" spans="1:1" ht="14.25">
      <c r="A198" s="47" t="s">
        <v>8857</v>
      </c>
    </row>
    <row r="199" spans="1:1" ht="14.25">
      <c r="A199" s="47" t="s">
        <v>8858</v>
      </c>
    </row>
    <row r="200" spans="1:1" ht="14.25">
      <c r="A200" s="47" t="s">
        <v>8859</v>
      </c>
    </row>
    <row r="201" spans="1:1" ht="14.25">
      <c r="A201" s="47" t="s">
        <v>8860</v>
      </c>
    </row>
    <row r="202" spans="1:1" ht="14.25">
      <c r="A202" s="47" t="s">
        <v>8861</v>
      </c>
    </row>
    <row r="203" spans="1:1" ht="14.25">
      <c r="A203" s="47" t="s">
        <v>8862</v>
      </c>
    </row>
    <row r="204" spans="1:1" ht="14.25">
      <c r="A204" s="47" t="s">
        <v>8863</v>
      </c>
    </row>
    <row r="205" spans="1:1" ht="14.25">
      <c r="A205" s="47" t="s">
        <v>8864</v>
      </c>
    </row>
    <row r="206" spans="1:1" ht="14.25">
      <c r="A206" s="47" t="s">
        <v>8865</v>
      </c>
    </row>
    <row r="207" spans="1:1" ht="14.25">
      <c r="A207" s="47" t="s">
        <v>8866</v>
      </c>
    </row>
    <row r="208" spans="1:1" ht="14.25">
      <c r="A208" s="47" t="s">
        <v>8867</v>
      </c>
    </row>
    <row r="209" spans="1:1" ht="14.25">
      <c r="A209" s="47" t="s">
        <v>8868</v>
      </c>
    </row>
    <row r="210" spans="1:1" ht="14.25">
      <c r="A210" s="47" t="s">
        <v>8869</v>
      </c>
    </row>
    <row r="211" spans="1:1" ht="14.25">
      <c r="A211" s="47" t="s">
        <v>8870</v>
      </c>
    </row>
    <row r="212" spans="1:1" ht="14.25">
      <c r="A212" s="47" t="s">
        <v>8871</v>
      </c>
    </row>
    <row r="213" spans="1:1" ht="14.25">
      <c r="A213" s="47" t="s">
        <v>8872</v>
      </c>
    </row>
    <row r="214" spans="1:1" ht="14.25">
      <c r="A214" s="47" t="s">
        <v>8873</v>
      </c>
    </row>
    <row r="215" spans="1:1" ht="14.25">
      <c r="A215" s="47" t="s">
        <v>8874</v>
      </c>
    </row>
    <row r="216" spans="1:1" ht="14.25">
      <c r="A216" s="47" t="s">
        <v>8875</v>
      </c>
    </row>
    <row r="217" spans="1:1" ht="14.25">
      <c r="A217" s="47" t="s">
        <v>8876</v>
      </c>
    </row>
    <row r="218" spans="1:1" ht="14.25">
      <c r="A218" s="47" t="s">
        <v>8877</v>
      </c>
    </row>
    <row r="219" spans="1:1" ht="14.25">
      <c r="A219" s="47" t="s">
        <v>8878</v>
      </c>
    </row>
    <row r="220" spans="1:1" ht="14.25">
      <c r="A220" s="47" t="s">
        <v>8879</v>
      </c>
    </row>
    <row r="221" spans="1:1" ht="14.25">
      <c r="A221" s="47" t="s">
        <v>8880</v>
      </c>
    </row>
    <row r="222" spans="1:1" ht="14.25">
      <c r="A222" s="47" t="s">
        <v>8881</v>
      </c>
    </row>
    <row r="223" spans="1:1" ht="14.25">
      <c r="A223" s="47" t="s">
        <v>8882</v>
      </c>
    </row>
    <row r="224" spans="1:1" ht="14.25">
      <c r="A224" s="47" t="s">
        <v>8883</v>
      </c>
    </row>
    <row r="225" spans="1:1" ht="14.25">
      <c r="A225" s="47" t="s">
        <v>8884</v>
      </c>
    </row>
    <row r="226" spans="1:1" ht="14.25">
      <c r="A226" s="47" t="s">
        <v>8885</v>
      </c>
    </row>
    <row r="227" spans="1:1" ht="14.25">
      <c r="A227" s="47" t="s">
        <v>8886</v>
      </c>
    </row>
    <row r="228" spans="1:1" ht="14.25">
      <c r="A228" s="47" t="s">
        <v>8887</v>
      </c>
    </row>
    <row r="229" spans="1:1" ht="14.25">
      <c r="A229" s="47" t="s">
        <v>8888</v>
      </c>
    </row>
    <row r="230" spans="1:1" ht="14.25">
      <c r="A230" s="47" t="s">
        <v>8889</v>
      </c>
    </row>
    <row r="231" spans="1:1" ht="14.25">
      <c r="A231" s="47" t="s">
        <v>8890</v>
      </c>
    </row>
    <row r="232" spans="1:1" ht="14.25">
      <c r="A232" s="47" t="s">
        <v>8891</v>
      </c>
    </row>
    <row r="233" spans="1:1" ht="14.25">
      <c r="A233" s="47" t="s">
        <v>8892</v>
      </c>
    </row>
    <row r="234" spans="1:1" ht="14.25">
      <c r="A234" s="47" t="s">
        <v>8893</v>
      </c>
    </row>
    <row r="235" spans="1:1" ht="14.25">
      <c r="A235" s="47" t="s">
        <v>8894</v>
      </c>
    </row>
    <row r="236" spans="1:1" ht="14.25">
      <c r="A236" s="47" t="s">
        <v>8895</v>
      </c>
    </row>
    <row r="237" spans="1:1" ht="14.25">
      <c r="A237" s="47" t="s">
        <v>8896</v>
      </c>
    </row>
    <row r="238" spans="1:1" ht="14.25">
      <c r="A238" s="47" t="s">
        <v>8897</v>
      </c>
    </row>
    <row r="239" spans="1:1" ht="14.25">
      <c r="A239" s="47" t="s">
        <v>8898</v>
      </c>
    </row>
    <row r="240" spans="1:1" ht="14.25">
      <c r="A240" s="47" t="s">
        <v>8899</v>
      </c>
    </row>
    <row r="241" spans="1:1" ht="14.25">
      <c r="A241" s="47" t="s">
        <v>8900</v>
      </c>
    </row>
    <row r="242" spans="1:1" ht="14.25">
      <c r="A242" s="47" t="s">
        <v>8901</v>
      </c>
    </row>
    <row r="243" spans="1:1" ht="14.25">
      <c r="A243" s="47" t="s">
        <v>8902</v>
      </c>
    </row>
    <row r="244" spans="1:1" ht="14.25">
      <c r="A244" s="47" t="s">
        <v>8903</v>
      </c>
    </row>
    <row r="245" spans="1:1" ht="14.25">
      <c r="A245" s="47" t="s">
        <v>8904</v>
      </c>
    </row>
    <row r="246" spans="1:1" ht="14.25">
      <c r="A246" s="47" t="s">
        <v>8905</v>
      </c>
    </row>
    <row r="247" spans="1:1" ht="14.25">
      <c r="A247" s="47" t="s">
        <v>8906</v>
      </c>
    </row>
    <row r="248" spans="1:1" ht="14.25">
      <c r="A248" s="47" t="s">
        <v>8907</v>
      </c>
    </row>
    <row r="249" spans="1:1" ht="14.25">
      <c r="A249" s="47" t="s">
        <v>8908</v>
      </c>
    </row>
    <row r="250" spans="1:1" ht="14.25">
      <c r="A250" s="47" t="s">
        <v>8909</v>
      </c>
    </row>
    <row r="251" spans="1:1" ht="14.25">
      <c r="A251" s="47" t="s">
        <v>8910</v>
      </c>
    </row>
    <row r="252" spans="1:1" ht="14.25">
      <c r="A252" s="47" t="s">
        <v>8911</v>
      </c>
    </row>
    <row r="253" spans="1:1" ht="14.25">
      <c r="A253" s="47" t="s">
        <v>8912</v>
      </c>
    </row>
    <row r="254" spans="1:1" ht="14.25">
      <c r="A254" s="47" t="s">
        <v>8913</v>
      </c>
    </row>
    <row r="255" spans="1:1" ht="14.25">
      <c r="A255" s="47" t="s">
        <v>8914</v>
      </c>
    </row>
    <row r="256" spans="1:1" ht="14.25">
      <c r="A256" s="47" t="s">
        <v>8915</v>
      </c>
    </row>
    <row r="257" spans="1:1" ht="14.25">
      <c r="A257" s="47" t="s">
        <v>8916</v>
      </c>
    </row>
    <row r="258" spans="1:1" ht="14.25">
      <c r="A258" s="47" t="s">
        <v>8917</v>
      </c>
    </row>
    <row r="259" spans="1:1" ht="14.25">
      <c r="A259" s="47" t="s">
        <v>8918</v>
      </c>
    </row>
    <row r="260" spans="1:1" ht="14.25">
      <c r="A260" s="47" t="s">
        <v>8919</v>
      </c>
    </row>
    <row r="261" spans="1:1" ht="14.25">
      <c r="A261" s="47" t="s">
        <v>8920</v>
      </c>
    </row>
    <row r="262" spans="1:1" ht="14.25">
      <c r="A262" s="47" t="s">
        <v>8921</v>
      </c>
    </row>
    <row r="263" spans="1:1" ht="14.25">
      <c r="A263" s="47" t="s">
        <v>8922</v>
      </c>
    </row>
    <row r="264" spans="1:1" ht="14.25">
      <c r="A264" s="47" t="s">
        <v>8923</v>
      </c>
    </row>
    <row r="265" spans="1:1" ht="14.25">
      <c r="A265" s="47" t="s">
        <v>8924</v>
      </c>
    </row>
    <row r="266" spans="1:1" ht="14.25">
      <c r="A266" s="47" t="s">
        <v>8925</v>
      </c>
    </row>
    <row r="267" spans="1:1" ht="14.25">
      <c r="A267" s="47" t="s">
        <v>8926</v>
      </c>
    </row>
    <row r="268" spans="1:1" ht="14.25">
      <c r="A268" s="47" t="s">
        <v>8927</v>
      </c>
    </row>
    <row r="269" spans="1:1" ht="14.25">
      <c r="A269" s="47" t="s">
        <v>8928</v>
      </c>
    </row>
    <row r="270" spans="1:1" ht="14.25">
      <c r="A270" s="47" t="s">
        <v>8929</v>
      </c>
    </row>
    <row r="271" spans="1:1" ht="14.25">
      <c r="A271" s="47" t="s">
        <v>8930</v>
      </c>
    </row>
    <row r="272" spans="1:1" ht="14.25">
      <c r="A272" s="47" t="s">
        <v>8931</v>
      </c>
    </row>
    <row r="273" spans="1:1" ht="14.25">
      <c r="A273" s="47" t="s">
        <v>8932</v>
      </c>
    </row>
    <row r="274" spans="1:1" ht="14.25">
      <c r="A274" s="47" t="s">
        <v>8933</v>
      </c>
    </row>
    <row r="275" spans="1:1" ht="14.25">
      <c r="A275" s="47" t="s">
        <v>8934</v>
      </c>
    </row>
    <row r="276" spans="1:1" ht="14.25">
      <c r="A276" s="47" t="s">
        <v>8935</v>
      </c>
    </row>
    <row r="277" spans="1:1" ht="14.25">
      <c r="A277" s="47" t="s">
        <v>8936</v>
      </c>
    </row>
    <row r="278" spans="1:1" ht="14.25">
      <c r="A278" s="47" t="s">
        <v>8937</v>
      </c>
    </row>
    <row r="279" spans="1:1" ht="14.25">
      <c r="A279" s="47" t="s">
        <v>8938</v>
      </c>
    </row>
    <row r="280" spans="1:1" ht="14.25">
      <c r="A280" s="47" t="s">
        <v>8939</v>
      </c>
    </row>
    <row r="281" spans="1:1" ht="14.25">
      <c r="A281" s="47" t="s">
        <v>8940</v>
      </c>
    </row>
    <row r="282" spans="1:1" ht="14.25">
      <c r="A282" s="47" t="s">
        <v>8941</v>
      </c>
    </row>
    <row r="283" spans="1:1" ht="14.25">
      <c r="A283" s="47" t="s">
        <v>8942</v>
      </c>
    </row>
    <row r="284" spans="1:1" ht="14.25">
      <c r="A284" s="47" t="s">
        <v>8943</v>
      </c>
    </row>
    <row r="285" spans="1:1" ht="14.25">
      <c r="A285" s="47" t="s">
        <v>8944</v>
      </c>
    </row>
    <row r="286" spans="1:1" ht="14.25">
      <c r="A286" s="47" t="s">
        <v>8945</v>
      </c>
    </row>
    <row r="287" spans="1:1" ht="14.25">
      <c r="A287" s="47" t="s">
        <v>8946</v>
      </c>
    </row>
    <row r="288" spans="1:1" ht="14.25">
      <c r="A288" s="47" t="s">
        <v>8947</v>
      </c>
    </row>
    <row r="289" spans="1:1" ht="14.25">
      <c r="A289" s="47" t="s">
        <v>8948</v>
      </c>
    </row>
    <row r="290" spans="1:1" ht="14.25">
      <c r="A290" s="47" t="s">
        <v>8949</v>
      </c>
    </row>
    <row r="291" spans="1:1" ht="14.25">
      <c r="A291" s="47" t="s">
        <v>8950</v>
      </c>
    </row>
    <row r="292" spans="1:1" ht="14.25">
      <c r="A292" s="47" t="s">
        <v>8951</v>
      </c>
    </row>
    <row r="293" spans="1:1" ht="14.25">
      <c r="A293" s="47" t="s">
        <v>8952</v>
      </c>
    </row>
    <row r="294" spans="1:1" ht="14.25">
      <c r="A294" s="47" t="s">
        <v>8953</v>
      </c>
    </row>
    <row r="295" spans="1:1" ht="14.25">
      <c r="A295" s="47" t="s">
        <v>8954</v>
      </c>
    </row>
    <row r="296" spans="1:1" ht="14.25">
      <c r="A296" s="47" t="s">
        <v>8955</v>
      </c>
    </row>
    <row r="297" spans="1:1" ht="14.25">
      <c r="A297" s="47" t="s">
        <v>8956</v>
      </c>
    </row>
    <row r="298" spans="1:1" ht="14.25">
      <c r="A298" s="47" t="s">
        <v>8957</v>
      </c>
    </row>
    <row r="299" spans="1:1" ht="14.25">
      <c r="A299" s="47" t="s">
        <v>8958</v>
      </c>
    </row>
    <row r="300" spans="1:1" ht="14.25">
      <c r="A300" s="47" t="s">
        <v>8959</v>
      </c>
    </row>
    <row r="301" spans="1:1" ht="14.25">
      <c r="A301" s="47" t="s">
        <v>8960</v>
      </c>
    </row>
    <row r="302" spans="1:1" ht="14.25">
      <c r="A302" s="47" t="s">
        <v>8961</v>
      </c>
    </row>
    <row r="303" spans="1:1" ht="14.25">
      <c r="A303" s="47" t="s">
        <v>8962</v>
      </c>
    </row>
    <row r="304" spans="1:1" ht="14.25">
      <c r="A304" s="47" t="s">
        <v>8963</v>
      </c>
    </row>
    <row r="305" spans="1:1" ht="14.25">
      <c r="A305" s="47" t="s">
        <v>8964</v>
      </c>
    </row>
    <row r="306" spans="1:1" ht="14.25">
      <c r="A306" s="47" t="s">
        <v>8965</v>
      </c>
    </row>
    <row r="307" spans="1:1" ht="14.25">
      <c r="A307" s="47" t="s">
        <v>8966</v>
      </c>
    </row>
    <row r="308" spans="1:1" ht="14.25">
      <c r="A308" s="47" t="s">
        <v>8967</v>
      </c>
    </row>
    <row r="309" spans="1:1" ht="14.25">
      <c r="A309" s="47" t="s">
        <v>8968</v>
      </c>
    </row>
    <row r="310" spans="1:1" ht="14.25">
      <c r="A310" s="47" t="s">
        <v>8969</v>
      </c>
    </row>
    <row r="311" spans="1:1" ht="14.25">
      <c r="A311" s="47" t="s">
        <v>8970</v>
      </c>
    </row>
    <row r="312" spans="1:1" ht="14.25">
      <c r="A312" s="47" t="s">
        <v>8971</v>
      </c>
    </row>
    <row r="313" spans="1:1" ht="14.25">
      <c r="A313" s="47" t="s">
        <v>8972</v>
      </c>
    </row>
    <row r="314" spans="1:1" ht="14.25">
      <c r="A314" s="47" t="s">
        <v>8973</v>
      </c>
    </row>
    <row r="315" spans="1:1" ht="14.25">
      <c r="A315" s="47" t="s">
        <v>8974</v>
      </c>
    </row>
    <row r="316" spans="1:1" ht="14.25">
      <c r="A316" s="47" t="s">
        <v>8975</v>
      </c>
    </row>
    <row r="317" spans="1:1" ht="14.25">
      <c r="A317" s="47" t="s">
        <v>8976</v>
      </c>
    </row>
    <row r="318" spans="1:1" ht="14.25">
      <c r="A318" s="47" t="s">
        <v>8977</v>
      </c>
    </row>
    <row r="319" spans="1:1" ht="14.25">
      <c r="A319" s="47" t="s">
        <v>8978</v>
      </c>
    </row>
    <row r="320" spans="1:1" ht="14.25">
      <c r="A320" s="47" t="s">
        <v>8979</v>
      </c>
    </row>
    <row r="321" spans="1:1" ht="14.25">
      <c r="A321" s="47" t="s">
        <v>8980</v>
      </c>
    </row>
    <row r="322" spans="1:1" ht="14.25">
      <c r="A322" s="47" t="s">
        <v>8981</v>
      </c>
    </row>
    <row r="323" spans="1:1" ht="14.25">
      <c r="A323" s="47" t="s">
        <v>8982</v>
      </c>
    </row>
    <row r="324" spans="1:1" ht="14.25">
      <c r="A324" s="47" t="s">
        <v>8983</v>
      </c>
    </row>
    <row r="325" spans="1:1" ht="14.25">
      <c r="A325" s="47" t="s">
        <v>8984</v>
      </c>
    </row>
    <row r="326" spans="1:1" ht="14.25">
      <c r="A326" s="47" t="s">
        <v>8985</v>
      </c>
    </row>
    <row r="327" spans="1:1" ht="14.25">
      <c r="A327" s="47" t="s">
        <v>8986</v>
      </c>
    </row>
    <row r="328" spans="1:1" ht="14.25">
      <c r="A328" s="47" t="s">
        <v>8987</v>
      </c>
    </row>
    <row r="329" spans="1:1" ht="14.25">
      <c r="A329" s="47" t="s">
        <v>8988</v>
      </c>
    </row>
    <row r="330" spans="1:1" ht="14.25">
      <c r="A330" s="47" t="s">
        <v>8989</v>
      </c>
    </row>
    <row r="331" spans="1:1" ht="14.25">
      <c r="A331" s="47" t="s">
        <v>8990</v>
      </c>
    </row>
    <row r="332" spans="1:1" ht="14.25">
      <c r="A332" s="47" t="s">
        <v>8991</v>
      </c>
    </row>
    <row r="333" spans="1:1" ht="14.25">
      <c r="A333" s="47" t="s">
        <v>8992</v>
      </c>
    </row>
    <row r="334" spans="1:1" ht="14.25">
      <c r="A334" s="47" t="s">
        <v>8993</v>
      </c>
    </row>
    <row r="335" spans="1:1" ht="14.25">
      <c r="A335" s="47" t="s">
        <v>8994</v>
      </c>
    </row>
    <row r="336" spans="1:1" ht="14.25">
      <c r="A336" s="47" t="s">
        <v>8995</v>
      </c>
    </row>
    <row r="337" spans="1:1" ht="14.25">
      <c r="A337" s="47" t="s">
        <v>8996</v>
      </c>
    </row>
    <row r="338" spans="1:1" ht="14.25">
      <c r="A338" s="47" t="s">
        <v>8997</v>
      </c>
    </row>
    <row r="339" spans="1:1" ht="14.25">
      <c r="A339" s="47" t="s">
        <v>8998</v>
      </c>
    </row>
    <row r="340" spans="1:1" ht="14.25">
      <c r="A340" s="47" t="s">
        <v>8999</v>
      </c>
    </row>
    <row r="341" spans="1:1" ht="14.25">
      <c r="A341" s="47" t="s">
        <v>9000</v>
      </c>
    </row>
    <row r="342" spans="1:1" ht="14.25">
      <c r="A342" s="47" t="s">
        <v>9001</v>
      </c>
    </row>
    <row r="343" spans="1:1" ht="14.25">
      <c r="A343" s="47" t="s">
        <v>9002</v>
      </c>
    </row>
    <row r="344" spans="1:1" ht="14.25">
      <c r="A344" s="47" t="s">
        <v>9003</v>
      </c>
    </row>
    <row r="345" spans="1:1" ht="14.25">
      <c r="A345" s="47" t="s">
        <v>9004</v>
      </c>
    </row>
    <row r="346" spans="1:1" ht="14.25">
      <c r="A346" s="47" t="s">
        <v>9005</v>
      </c>
    </row>
    <row r="347" spans="1:1" ht="14.25">
      <c r="A347" s="47" t="s">
        <v>9006</v>
      </c>
    </row>
    <row r="348" spans="1:1" ht="14.25">
      <c r="A348" s="47" t="s">
        <v>9007</v>
      </c>
    </row>
    <row r="349" spans="1:1" ht="14.25">
      <c r="A349" s="47" t="s">
        <v>9008</v>
      </c>
    </row>
    <row r="350" spans="1:1" ht="14.25">
      <c r="A350" s="47" t="s">
        <v>9009</v>
      </c>
    </row>
    <row r="351" spans="1:1" ht="14.25">
      <c r="A351" s="47" t="s">
        <v>9010</v>
      </c>
    </row>
    <row r="352" spans="1:1" ht="14.25">
      <c r="A352" s="47" t="s">
        <v>9011</v>
      </c>
    </row>
    <row r="353" spans="1:1" ht="14.25">
      <c r="A353" s="47" t="s">
        <v>9012</v>
      </c>
    </row>
    <row r="354" spans="1:1" ht="14.25">
      <c r="A354" s="47" t="s">
        <v>9013</v>
      </c>
    </row>
    <row r="355" spans="1:1" ht="14.25">
      <c r="A355" s="47" t="s">
        <v>9014</v>
      </c>
    </row>
    <row r="356" spans="1:1" ht="14.25">
      <c r="A356" s="47" t="s">
        <v>9015</v>
      </c>
    </row>
    <row r="357" spans="1:1" ht="14.25">
      <c r="A357" s="47" t="s">
        <v>9016</v>
      </c>
    </row>
    <row r="358" spans="1:1" ht="14.25">
      <c r="A358" s="47" t="s">
        <v>9017</v>
      </c>
    </row>
    <row r="359" spans="1:1" ht="14.25">
      <c r="A359" s="47" t="s">
        <v>9018</v>
      </c>
    </row>
    <row r="360" spans="1:1" ht="14.25">
      <c r="A360" s="47" t="s">
        <v>9019</v>
      </c>
    </row>
    <row r="361" spans="1:1" ht="14.25">
      <c r="A361" s="47" t="s">
        <v>9020</v>
      </c>
    </row>
    <row r="362" spans="1:1" ht="14.25">
      <c r="A362" s="47" t="s">
        <v>9021</v>
      </c>
    </row>
    <row r="363" spans="1:1" ht="14.25">
      <c r="A363" s="47" t="s">
        <v>9022</v>
      </c>
    </row>
    <row r="364" spans="1:1" ht="14.25">
      <c r="A364" s="47" t="s">
        <v>9023</v>
      </c>
    </row>
    <row r="365" spans="1:1" ht="14.25">
      <c r="A365" s="47" t="s">
        <v>9024</v>
      </c>
    </row>
    <row r="366" spans="1:1" ht="14.25">
      <c r="A366" s="47" t="s">
        <v>9025</v>
      </c>
    </row>
    <row r="367" spans="1:1" ht="14.25">
      <c r="A367" s="47" t="s">
        <v>9026</v>
      </c>
    </row>
    <row r="368" spans="1:1" ht="14.25">
      <c r="A368" s="47" t="s">
        <v>9027</v>
      </c>
    </row>
    <row r="369" spans="1:1" ht="14.25">
      <c r="A369" s="47" t="s">
        <v>9028</v>
      </c>
    </row>
    <row r="370" spans="1:1" ht="14.25">
      <c r="A370" s="47" t="s">
        <v>9029</v>
      </c>
    </row>
    <row r="371" spans="1:1" ht="14.25">
      <c r="A371" s="47" t="s">
        <v>9030</v>
      </c>
    </row>
    <row r="372" spans="1:1" ht="14.25">
      <c r="A372" s="47" t="s">
        <v>9031</v>
      </c>
    </row>
    <row r="373" spans="1:1" ht="14.25">
      <c r="A373" s="47" t="s">
        <v>9032</v>
      </c>
    </row>
    <row r="374" spans="1:1" ht="14.25">
      <c r="A374" s="47" t="s">
        <v>9033</v>
      </c>
    </row>
    <row r="375" spans="1:1" ht="14.25">
      <c r="A375" s="47" t="s">
        <v>9034</v>
      </c>
    </row>
    <row r="376" spans="1:1" ht="14.25">
      <c r="A376" s="47" t="s">
        <v>9035</v>
      </c>
    </row>
    <row r="377" spans="1:1" ht="14.25">
      <c r="A377" s="47" t="s">
        <v>9036</v>
      </c>
    </row>
    <row r="378" spans="1:1" ht="14.25">
      <c r="A378" s="47" t="s">
        <v>9037</v>
      </c>
    </row>
    <row r="379" spans="1:1" ht="14.25">
      <c r="A379" s="47" t="s">
        <v>9038</v>
      </c>
    </row>
    <row r="380" spans="1:1" ht="14.25">
      <c r="A380" s="47" t="s">
        <v>9039</v>
      </c>
    </row>
    <row r="381" spans="1:1" ht="14.25">
      <c r="A381" s="47" t="s">
        <v>9040</v>
      </c>
    </row>
    <row r="382" spans="1:1" ht="14.25">
      <c r="A382" s="47" t="s">
        <v>9041</v>
      </c>
    </row>
    <row r="383" spans="1:1" ht="14.25">
      <c r="A383" s="47" t="s">
        <v>9042</v>
      </c>
    </row>
    <row r="384" spans="1:1" ht="14.25">
      <c r="A384" s="47" t="s">
        <v>9043</v>
      </c>
    </row>
    <row r="385" spans="1:1" ht="14.25">
      <c r="A385" s="47" t="s">
        <v>9044</v>
      </c>
    </row>
    <row r="386" spans="1:1" ht="14.25">
      <c r="A386" s="47" t="s">
        <v>9045</v>
      </c>
    </row>
    <row r="387" spans="1:1" ht="14.25">
      <c r="A387" s="47" t="s">
        <v>9046</v>
      </c>
    </row>
    <row r="388" spans="1:1" ht="14.25">
      <c r="A388" s="47" t="s">
        <v>9047</v>
      </c>
    </row>
    <row r="389" spans="1:1" ht="14.25">
      <c r="A389" s="47" t="s">
        <v>9048</v>
      </c>
    </row>
    <row r="390" spans="1:1" ht="14.25">
      <c r="A390" s="47" t="s">
        <v>9049</v>
      </c>
    </row>
    <row r="391" spans="1:1" ht="14.25">
      <c r="A391" s="47" t="s">
        <v>9050</v>
      </c>
    </row>
    <row r="392" spans="1:1" ht="14.25">
      <c r="A392" s="47" t="s">
        <v>9051</v>
      </c>
    </row>
    <row r="393" spans="1:1" ht="14.25">
      <c r="A393" s="47" t="s">
        <v>9052</v>
      </c>
    </row>
    <row r="394" spans="1:1" ht="14.25">
      <c r="A394" s="47" t="s">
        <v>9053</v>
      </c>
    </row>
    <row r="395" spans="1:1" ht="14.25">
      <c r="A395" s="47" t="s">
        <v>9054</v>
      </c>
    </row>
    <row r="396" spans="1:1" ht="14.25">
      <c r="A396" s="47" t="s">
        <v>9055</v>
      </c>
    </row>
    <row r="397" spans="1:1" ht="14.25">
      <c r="A397" s="47" t="s">
        <v>9056</v>
      </c>
    </row>
    <row r="398" spans="1:1" ht="14.25">
      <c r="A398" s="47" t="s">
        <v>9057</v>
      </c>
    </row>
    <row r="399" spans="1:1" ht="14.25">
      <c r="A399" s="47" t="s">
        <v>9058</v>
      </c>
    </row>
    <row r="400" spans="1:1" ht="14.25">
      <c r="A400" s="47" t="s">
        <v>9059</v>
      </c>
    </row>
    <row r="401" spans="1:1" ht="14.25">
      <c r="A401" s="47" t="s">
        <v>9060</v>
      </c>
    </row>
    <row r="402" spans="1:1" ht="14.25">
      <c r="A402" s="47" t="s">
        <v>9061</v>
      </c>
    </row>
    <row r="403" spans="1:1" ht="14.25">
      <c r="A403" s="47" t="s">
        <v>9062</v>
      </c>
    </row>
    <row r="404" spans="1:1" ht="14.25">
      <c r="A404" s="47" t="s">
        <v>9063</v>
      </c>
    </row>
    <row r="405" spans="1:1" ht="14.25">
      <c r="A405" s="47" t="s">
        <v>9064</v>
      </c>
    </row>
    <row r="406" spans="1:1" ht="14.25">
      <c r="A406" s="47" t="s">
        <v>9065</v>
      </c>
    </row>
    <row r="407" spans="1:1" ht="14.25">
      <c r="A407" s="47" t="s">
        <v>9066</v>
      </c>
    </row>
    <row r="408" spans="1:1" ht="14.25">
      <c r="A408" s="47" t="s">
        <v>9067</v>
      </c>
    </row>
    <row r="409" spans="1:1" ht="14.25">
      <c r="A409" s="47" t="s">
        <v>9068</v>
      </c>
    </row>
    <row r="410" spans="1:1" ht="14.25">
      <c r="A410" s="47" t="s">
        <v>9069</v>
      </c>
    </row>
    <row r="411" spans="1:1" ht="14.25">
      <c r="A411" s="47" t="s">
        <v>9070</v>
      </c>
    </row>
    <row r="412" spans="1:1" ht="14.25">
      <c r="A412" s="47" t="s">
        <v>9071</v>
      </c>
    </row>
    <row r="413" spans="1:1" ht="14.25">
      <c r="A413" s="47" t="s">
        <v>9072</v>
      </c>
    </row>
    <row r="414" spans="1:1" ht="14.25">
      <c r="A414" s="47" t="s">
        <v>9073</v>
      </c>
    </row>
    <row r="415" spans="1:1" ht="14.25">
      <c r="A415" s="47" t="s">
        <v>9074</v>
      </c>
    </row>
    <row r="416" spans="1:1" ht="14.25">
      <c r="A416" s="47" t="s">
        <v>9075</v>
      </c>
    </row>
    <row r="417" spans="1:1" ht="14.25">
      <c r="A417" s="47" t="s">
        <v>9076</v>
      </c>
    </row>
    <row r="418" spans="1:1" ht="14.25">
      <c r="A418" s="47" t="s">
        <v>9077</v>
      </c>
    </row>
    <row r="419" spans="1:1" ht="14.25">
      <c r="A419" s="47" t="s">
        <v>9078</v>
      </c>
    </row>
    <row r="420" spans="1:1" ht="14.25">
      <c r="A420" s="47" t="s">
        <v>9079</v>
      </c>
    </row>
    <row r="421" spans="1:1" ht="14.25">
      <c r="A421" s="47" t="s">
        <v>9080</v>
      </c>
    </row>
    <row r="422" spans="1:1" ht="14.25">
      <c r="A422" s="47" t="s">
        <v>9081</v>
      </c>
    </row>
    <row r="423" spans="1:1" ht="14.25">
      <c r="A423" s="47" t="s">
        <v>9082</v>
      </c>
    </row>
    <row r="424" spans="1:1" ht="14.25">
      <c r="A424" s="47" t="s">
        <v>9083</v>
      </c>
    </row>
    <row r="425" spans="1:1" ht="14.25">
      <c r="A425" s="47" t="s">
        <v>9084</v>
      </c>
    </row>
    <row r="426" spans="1:1" ht="14.25">
      <c r="A426" s="47" t="s">
        <v>9085</v>
      </c>
    </row>
    <row r="427" spans="1:1" ht="14.25">
      <c r="A427" s="47" t="s">
        <v>9086</v>
      </c>
    </row>
    <row r="428" spans="1:1" ht="14.25">
      <c r="A428" s="47" t="s">
        <v>9087</v>
      </c>
    </row>
    <row r="429" spans="1:1" ht="14.25">
      <c r="A429" s="47" t="s">
        <v>9088</v>
      </c>
    </row>
    <row r="430" spans="1:1" ht="14.25">
      <c r="A430" s="47" t="s">
        <v>9089</v>
      </c>
    </row>
    <row r="431" spans="1:1" ht="14.25">
      <c r="A431" s="47" t="s">
        <v>9090</v>
      </c>
    </row>
    <row r="432" spans="1:1" ht="14.25">
      <c r="A432" s="47" t="s">
        <v>9091</v>
      </c>
    </row>
    <row r="433" spans="1:1" ht="14.25">
      <c r="A433" s="47" t="s">
        <v>9092</v>
      </c>
    </row>
    <row r="434" spans="1:1" ht="14.25">
      <c r="A434" s="47" t="s">
        <v>9093</v>
      </c>
    </row>
    <row r="435" spans="1:1" ht="14.25">
      <c r="A435" s="47" t="s">
        <v>9094</v>
      </c>
    </row>
    <row r="436" spans="1:1" ht="14.25">
      <c r="A436" s="47" t="s">
        <v>9095</v>
      </c>
    </row>
    <row r="437" spans="1:1" ht="14.25">
      <c r="A437" s="47" t="s">
        <v>9096</v>
      </c>
    </row>
    <row r="438" spans="1:1" ht="14.25">
      <c r="A438" s="47" t="s">
        <v>9097</v>
      </c>
    </row>
    <row r="439" spans="1:1" ht="14.25">
      <c r="A439" s="47" t="s">
        <v>9098</v>
      </c>
    </row>
    <row r="440" spans="1:1" ht="14.25">
      <c r="A440" s="47" t="s">
        <v>9099</v>
      </c>
    </row>
    <row r="441" spans="1:1" ht="14.25">
      <c r="A441" s="47" t="s">
        <v>9100</v>
      </c>
    </row>
    <row r="442" spans="1:1" ht="14.25">
      <c r="A442" s="47" t="s">
        <v>9101</v>
      </c>
    </row>
    <row r="443" spans="1:1" ht="14.25">
      <c r="A443" s="47" t="s">
        <v>9102</v>
      </c>
    </row>
    <row r="444" spans="1:1" ht="14.25">
      <c r="A444" s="47" t="s">
        <v>9103</v>
      </c>
    </row>
    <row r="445" spans="1:1" ht="14.25">
      <c r="A445" s="47" t="s">
        <v>9104</v>
      </c>
    </row>
    <row r="446" spans="1:1" ht="14.25">
      <c r="A446" s="47" t="s">
        <v>9105</v>
      </c>
    </row>
    <row r="447" spans="1:1" ht="14.25">
      <c r="A447" s="47" t="s">
        <v>9106</v>
      </c>
    </row>
    <row r="448" spans="1:1" ht="14.25">
      <c r="A448" s="47" t="s">
        <v>9107</v>
      </c>
    </row>
    <row r="449" spans="1:1" ht="14.25">
      <c r="A449" s="47" t="s">
        <v>9108</v>
      </c>
    </row>
    <row r="450" spans="1:1" ht="14.25">
      <c r="A450" s="47" t="s">
        <v>9109</v>
      </c>
    </row>
    <row r="451" spans="1:1" ht="14.25">
      <c r="A451" s="47" t="s">
        <v>9110</v>
      </c>
    </row>
    <row r="452" spans="1:1" ht="14.25">
      <c r="A452" s="47" t="s">
        <v>9111</v>
      </c>
    </row>
    <row r="453" spans="1:1" ht="14.25">
      <c r="A453" s="47" t="s">
        <v>9112</v>
      </c>
    </row>
    <row r="454" spans="1:1" ht="14.25">
      <c r="A454" s="47" t="s">
        <v>9113</v>
      </c>
    </row>
    <row r="455" spans="1:1" ht="14.25">
      <c r="A455" s="47" t="s">
        <v>9114</v>
      </c>
    </row>
    <row r="456" spans="1:1" ht="14.25">
      <c r="A456" s="47" t="s">
        <v>9115</v>
      </c>
    </row>
    <row r="457" spans="1:1" ht="14.25">
      <c r="A457" s="47" t="s">
        <v>9116</v>
      </c>
    </row>
    <row r="458" spans="1:1" ht="14.25">
      <c r="A458" s="47" t="s">
        <v>9117</v>
      </c>
    </row>
    <row r="459" spans="1:1" ht="14.25">
      <c r="A459" s="47" t="s">
        <v>9118</v>
      </c>
    </row>
    <row r="460" spans="1:1" ht="14.25">
      <c r="A460" s="47" t="s">
        <v>9119</v>
      </c>
    </row>
    <row r="461" spans="1:1" ht="14.25">
      <c r="A461" s="47" t="s">
        <v>9120</v>
      </c>
    </row>
    <row r="462" spans="1:1" ht="14.25">
      <c r="A462" s="47" t="s">
        <v>9121</v>
      </c>
    </row>
    <row r="463" spans="1:1" ht="14.25">
      <c r="A463" s="47" t="s">
        <v>9122</v>
      </c>
    </row>
    <row r="464" spans="1:1" ht="14.25">
      <c r="A464" s="47" t="s">
        <v>9123</v>
      </c>
    </row>
    <row r="465" spans="1:1" ht="14.25">
      <c r="A465" s="47" t="s">
        <v>9124</v>
      </c>
    </row>
    <row r="466" spans="1:1" ht="14.25">
      <c r="A466" s="47" t="s">
        <v>9125</v>
      </c>
    </row>
    <row r="467" spans="1:1" ht="14.25">
      <c r="A467" s="47" t="s">
        <v>9126</v>
      </c>
    </row>
    <row r="468" spans="1:1" ht="14.25">
      <c r="A468" s="47" t="s">
        <v>9127</v>
      </c>
    </row>
    <row r="469" spans="1:1" ht="14.25">
      <c r="A469" s="47" t="s">
        <v>9128</v>
      </c>
    </row>
    <row r="470" spans="1:1" ht="14.25">
      <c r="A470" s="47" t="s">
        <v>9129</v>
      </c>
    </row>
    <row r="471" spans="1:1" ht="14.25">
      <c r="A471" s="47" t="s">
        <v>9130</v>
      </c>
    </row>
    <row r="472" spans="1:1" ht="14.25">
      <c r="A472" s="47" t="s">
        <v>9131</v>
      </c>
    </row>
    <row r="473" spans="1:1" ht="14.25">
      <c r="A473" s="47" t="s">
        <v>9132</v>
      </c>
    </row>
    <row r="474" spans="1:1" ht="14.25">
      <c r="A474" s="47" t="s">
        <v>9133</v>
      </c>
    </row>
    <row r="475" spans="1:1" ht="14.25">
      <c r="A475" s="47" t="s">
        <v>9134</v>
      </c>
    </row>
    <row r="476" spans="1:1" ht="14.25">
      <c r="A476" s="47" t="s">
        <v>9135</v>
      </c>
    </row>
    <row r="477" spans="1:1" ht="14.25">
      <c r="A477" s="47" t="s">
        <v>9136</v>
      </c>
    </row>
    <row r="478" spans="1:1" ht="14.25">
      <c r="A478" s="47" t="s">
        <v>9137</v>
      </c>
    </row>
    <row r="479" spans="1:1" ht="14.25">
      <c r="A479" s="47" t="s">
        <v>9138</v>
      </c>
    </row>
    <row r="480" spans="1:1" ht="14.25">
      <c r="A480" s="47" t="s">
        <v>9139</v>
      </c>
    </row>
    <row r="481" spans="1:1" ht="14.25">
      <c r="A481" s="47" t="s">
        <v>9140</v>
      </c>
    </row>
    <row r="482" spans="1:1" ht="14.25">
      <c r="A482" s="47" t="s">
        <v>9141</v>
      </c>
    </row>
    <row r="483" spans="1:1" ht="14.25">
      <c r="A483" s="47" t="s">
        <v>9142</v>
      </c>
    </row>
    <row r="484" spans="1:1" ht="14.25">
      <c r="A484" s="47" t="s">
        <v>9143</v>
      </c>
    </row>
    <row r="485" spans="1:1" ht="14.25">
      <c r="A485" s="47" t="s">
        <v>9144</v>
      </c>
    </row>
    <row r="486" spans="1:1" ht="14.25">
      <c r="A486" s="47" t="s">
        <v>9145</v>
      </c>
    </row>
    <row r="487" spans="1:1" ht="14.25">
      <c r="A487" s="47" t="s">
        <v>9146</v>
      </c>
    </row>
    <row r="488" spans="1:1" ht="14.25">
      <c r="A488" s="47" t="s">
        <v>9147</v>
      </c>
    </row>
    <row r="489" spans="1:1" ht="14.25">
      <c r="A489" s="47" t="s">
        <v>9148</v>
      </c>
    </row>
    <row r="490" spans="1:1" ht="14.25">
      <c r="A490" s="47" t="s">
        <v>9149</v>
      </c>
    </row>
    <row r="491" spans="1:1" ht="14.25">
      <c r="A491" s="47" t="s">
        <v>9150</v>
      </c>
    </row>
    <row r="492" spans="1:1" ht="14.25">
      <c r="A492" s="47" t="s">
        <v>9151</v>
      </c>
    </row>
    <row r="493" spans="1:1" ht="14.25">
      <c r="A493" s="47" t="s">
        <v>9152</v>
      </c>
    </row>
    <row r="494" spans="1:1" ht="14.25">
      <c r="A494" s="47" t="s">
        <v>9153</v>
      </c>
    </row>
    <row r="495" spans="1:1" ht="14.25">
      <c r="A495" s="47" t="s">
        <v>9154</v>
      </c>
    </row>
    <row r="496" spans="1:1" ht="14.25">
      <c r="A496" s="47" t="s">
        <v>9155</v>
      </c>
    </row>
    <row r="497" spans="1:1" ht="14.25">
      <c r="A497" s="47" t="s">
        <v>9156</v>
      </c>
    </row>
    <row r="498" spans="1:1" ht="14.25">
      <c r="A498" s="47" t="s">
        <v>9157</v>
      </c>
    </row>
    <row r="499" spans="1:1" ht="14.25">
      <c r="A499" s="47" t="s">
        <v>9158</v>
      </c>
    </row>
    <row r="500" spans="1:1" ht="14.25">
      <c r="A500" s="47" t="s">
        <v>9159</v>
      </c>
    </row>
    <row r="501" spans="1:1" ht="14.25">
      <c r="A501" s="47" t="s">
        <v>9160</v>
      </c>
    </row>
    <row r="502" spans="1:1" ht="14.25">
      <c r="A502" s="47" t="s">
        <v>9161</v>
      </c>
    </row>
    <row r="503" spans="1:1" ht="14.25">
      <c r="A503" s="47" t="s">
        <v>9162</v>
      </c>
    </row>
    <row r="504" spans="1:1" ht="14.25">
      <c r="A504" s="47" t="s">
        <v>9163</v>
      </c>
    </row>
    <row r="505" spans="1:1" ht="14.25">
      <c r="A505" s="47" t="s">
        <v>9164</v>
      </c>
    </row>
    <row r="506" spans="1:1" ht="14.25">
      <c r="A506" s="47" t="s">
        <v>9165</v>
      </c>
    </row>
    <row r="507" spans="1:1" ht="14.25">
      <c r="A507" s="47" t="s">
        <v>9166</v>
      </c>
    </row>
    <row r="508" spans="1:1" ht="14.25">
      <c r="A508" s="47" t="s">
        <v>9167</v>
      </c>
    </row>
    <row r="509" spans="1:1" ht="14.25">
      <c r="A509" s="47" t="s">
        <v>9168</v>
      </c>
    </row>
    <row r="510" spans="1:1" ht="14.25">
      <c r="A510" s="47" t="s">
        <v>9169</v>
      </c>
    </row>
    <row r="511" spans="1:1" ht="14.25">
      <c r="A511" s="47" t="s">
        <v>9170</v>
      </c>
    </row>
    <row r="512" spans="1:1" ht="14.25">
      <c r="A512" s="47" t="s">
        <v>9171</v>
      </c>
    </row>
    <row r="513" spans="1:1" ht="14.25">
      <c r="A513" s="47" t="s">
        <v>9172</v>
      </c>
    </row>
    <row r="514" spans="1:1" ht="14.25">
      <c r="A514" s="47" t="s">
        <v>9173</v>
      </c>
    </row>
    <row r="515" spans="1:1" ht="14.25">
      <c r="A515" s="47" t="s">
        <v>9174</v>
      </c>
    </row>
    <row r="516" spans="1:1" ht="14.25">
      <c r="A516" s="47" t="s">
        <v>9175</v>
      </c>
    </row>
    <row r="517" spans="1:1" ht="14.25">
      <c r="A517" s="47" t="s">
        <v>9176</v>
      </c>
    </row>
    <row r="518" spans="1:1" ht="14.25">
      <c r="A518" s="47" t="s">
        <v>9177</v>
      </c>
    </row>
    <row r="519" spans="1:1" ht="14.25">
      <c r="A519" s="47" t="s">
        <v>9178</v>
      </c>
    </row>
    <row r="520" spans="1:1" ht="14.25">
      <c r="A520" s="47" t="s">
        <v>9179</v>
      </c>
    </row>
    <row r="521" spans="1:1" ht="14.25">
      <c r="A521" s="47" t="s">
        <v>9180</v>
      </c>
    </row>
    <row r="522" spans="1:1" ht="14.25">
      <c r="A522" s="47" t="s">
        <v>9181</v>
      </c>
    </row>
    <row r="523" spans="1:1" ht="14.25">
      <c r="A523" s="47" t="s">
        <v>9182</v>
      </c>
    </row>
    <row r="524" spans="1:1" ht="14.25">
      <c r="A524" s="47" t="s">
        <v>9183</v>
      </c>
    </row>
    <row r="525" spans="1:1" ht="14.25">
      <c r="A525" s="47" t="s">
        <v>9184</v>
      </c>
    </row>
    <row r="526" spans="1:1" ht="14.25">
      <c r="A526" s="47" t="s">
        <v>9185</v>
      </c>
    </row>
    <row r="527" spans="1:1" ht="14.25">
      <c r="A527" s="47" t="s">
        <v>9186</v>
      </c>
    </row>
    <row r="528" spans="1:1" ht="14.25">
      <c r="A528" s="47" t="s">
        <v>9187</v>
      </c>
    </row>
    <row r="529" spans="1:1" ht="14.25">
      <c r="A529" s="47" t="s">
        <v>9188</v>
      </c>
    </row>
    <row r="530" spans="1:1" ht="14.25">
      <c r="A530" s="47" t="s">
        <v>9189</v>
      </c>
    </row>
    <row r="531" spans="1:1" ht="14.25">
      <c r="A531" s="47" t="s">
        <v>9190</v>
      </c>
    </row>
    <row r="532" spans="1:1" ht="14.25">
      <c r="A532" s="47" t="s">
        <v>9191</v>
      </c>
    </row>
    <row r="533" spans="1:1" ht="14.25">
      <c r="A533" s="47" t="s">
        <v>9192</v>
      </c>
    </row>
    <row r="534" spans="1:1" ht="14.25">
      <c r="A534" s="47" t="s">
        <v>9193</v>
      </c>
    </row>
    <row r="535" spans="1:1" ht="14.25">
      <c r="A535" s="47" t="s">
        <v>9194</v>
      </c>
    </row>
    <row r="536" spans="1:1" ht="14.25">
      <c r="A536" s="47" t="s">
        <v>9195</v>
      </c>
    </row>
    <row r="537" spans="1:1" ht="14.25">
      <c r="A537" s="47" t="s">
        <v>9196</v>
      </c>
    </row>
    <row r="538" spans="1:1" ht="14.25">
      <c r="A538" s="47" t="s">
        <v>9197</v>
      </c>
    </row>
    <row r="539" spans="1:1" ht="14.25">
      <c r="A539" s="47" t="s">
        <v>9198</v>
      </c>
    </row>
    <row r="540" spans="1:1" ht="14.25">
      <c r="A540" s="47" t="s">
        <v>9199</v>
      </c>
    </row>
    <row r="541" spans="1:1" ht="14.25">
      <c r="A541" s="47" t="s">
        <v>9200</v>
      </c>
    </row>
    <row r="542" spans="1:1" ht="14.25">
      <c r="A542" s="47" t="s">
        <v>9201</v>
      </c>
    </row>
    <row r="543" spans="1:1" ht="14.25">
      <c r="A543" s="47" t="s">
        <v>9202</v>
      </c>
    </row>
    <row r="544" spans="1:1" ht="14.25">
      <c r="A544" s="47" t="s">
        <v>9203</v>
      </c>
    </row>
    <row r="545" spans="1:1" ht="14.25">
      <c r="A545" s="47" t="s">
        <v>9204</v>
      </c>
    </row>
    <row r="546" spans="1:1" ht="14.25">
      <c r="A546" s="47" t="s">
        <v>9205</v>
      </c>
    </row>
    <row r="547" spans="1:1" ht="14.25">
      <c r="A547" s="47" t="s">
        <v>9206</v>
      </c>
    </row>
    <row r="548" spans="1:1" ht="14.25">
      <c r="A548" s="47" t="s">
        <v>9207</v>
      </c>
    </row>
    <row r="549" spans="1:1" ht="14.25">
      <c r="A549" s="47" t="s">
        <v>9208</v>
      </c>
    </row>
    <row r="550" spans="1:1" ht="14.25">
      <c r="A550" s="47" t="s">
        <v>9209</v>
      </c>
    </row>
    <row r="551" spans="1:1" ht="14.25">
      <c r="A551" s="47" t="s">
        <v>9210</v>
      </c>
    </row>
    <row r="552" spans="1:1" ht="14.25">
      <c r="A552" s="47" t="s">
        <v>9211</v>
      </c>
    </row>
    <row r="553" spans="1:1" ht="14.25">
      <c r="A553" s="47" t="s">
        <v>9212</v>
      </c>
    </row>
    <row r="554" spans="1:1" ht="14.25">
      <c r="A554" s="47" t="s">
        <v>9213</v>
      </c>
    </row>
    <row r="555" spans="1:1" ht="14.25">
      <c r="A555" s="47" t="s">
        <v>9214</v>
      </c>
    </row>
    <row r="556" spans="1:1" ht="14.25">
      <c r="A556" s="47" t="s">
        <v>9215</v>
      </c>
    </row>
    <row r="557" spans="1:1" ht="14.25">
      <c r="A557" s="47" t="s">
        <v>9216</v>
      </c>
    </row>
    <row r="558" spans="1:1" ht="14.25">
      <c r="A558" s="47" t="s">
        <v>9217</v>
      </c>
    </row>
    <row r="559" spans="1:1" ht="14.25">
      <c r="A559" s="47" t="s">
        <v>9218</v>
      </c>
    </row>
    <row r="560" spans="1:1" ht="14.25">
      <c r="A560" s="47" t="s">
        <v>9219</v>
      </c>
    </row>
    <row r="561" spans="1:1" ht="14.25">
      <c r="A561" s="47" t="s">
        <v>9220</v>
      </c>
    </row>
    <row r="562" spans="1:1" ht="14.25">
      <c r="A562" s="47" t="s">
        <v>9221</v>
      </c>
    </row>
    <row r="563" spans="1:1" ht="14.25">
      <c r="A563" s="47" t="s">
        <v>9222</v>
      </c>
    </row>
    <row r="564" spans="1:1" ht="14.25">
      <c r="A564" s="47" t="s">
        <v>9223</v>
      </c>
    </row>
    <row r="565" spans="1:1" ht="14.25">
      <c r="A565" s="47" t="s">
        <v>9224</v>
      </c>
    </row>
    <row r="566" spans="1:1" ht="14.25">
      <c r="A566" s="47" t="s">
        <v>9225</v>
      </c>
    </row>
    <row r="567" spans="1:1" ht="14.25">
      <c r="A567" s="47" t="s">
        <v>9226</v>
      </c>
    </row>
    <row r="568" spans="1:1" ht="14.25">
      <c r="A568" s="47" t="s">
        <v>9227</v>
      </c>
    </row>
    <row r="569" spans="1:1" ht="14.25">
      <c r="A569" s="47" t="s">
        <v>9228</v>
      </c>
    </row>
    <row r="570" spans="1:1" ht="14.25">
      <c r="A570" s="47" t="s">
        <v>9229</v>
      </c>
    </row>
    <row r="571" spans="1:1" ht="14.25">
      <c r="A571" s="47" t="s">
        <v>9230</v>
      </c>
    </row>
    <row r="572" spans="1:1" ht="14.25">
      <c r="A572" s="47" t="s">
        <v>9231</v>
      </c>
    </row>
    <row r="573" spans="1:1" ht="14.25">
      <c r="A573" s="47" t="s">
        <v>9232</v>
      </c>
    </row>
    <row r="574" spans="1:1" ht="14.25">
      <c r="A574" s="47" t="s">
        <v>9233</v>
      </c>
    </row>
    <row r="575" spans="1:1" ht="14.25">
      <c r="A575" s="47" t="s">
        <v>9234</v>
      </c>
    </row>
    <row r="576" spans="1:1" ht="14.25">
      <c r="A576" s="47" t="s">
        <v>9235</v>
      </c>
    </row>
    <row r="577" spans="1:1" ht="14.25">
      <c r="A577" s="47" t="s">
        <v>9236</v>
      </c>
    </row>
    <row r="578" spans="1:1" ht="14.25">
      <c r="A578" s="47" t="s">
        <v>9237</v>
      </c>
    </row>
    <row r="579" spans="1:1" ht="14.25">
      <c r="A579" s="47" t="s">
        <v>9238</v>
      </c>
    </row>
    <row r="580" spans="1:1" ht="14.25">
      <c r="A580" s="47" t="s">
        <v>9239</v>
      </c>
    </row>
    <row r="581" spans="1:1" ht="14.25">
      <c r="A581" s="47" t="s">
        <v>9240</v>
      </c>
    </row>
    <row r="582" spans="1:1" ht="14.25">
      <c r="A582" s="47" t="s">
        <v>9241</v>
      </c>
    </row>
    <row r="583" spans="1:1" ht="14.25">
      <c r="A583" s="47" t="s">
        <v>9242</v>
      </c>
    </row>
    <row r="584" spans="1:1" ht="14.25">
      <c r="A584" s="47" t="s">
        <v>9243</v>
      </c>
    </row>
    <row r="585" spans="1:1" ht="14.25">
      <c r="A585" s="47" t="s">
        <v>9244</v>
      </c>
    </row>
    <row r="586" spans="1:1" ht="14.25">
      <c r="A586" s="47" t="s">
        <v>9245</v>
      </c>
    </row>
    <row r="587" spans="1:1" ht="14.25">
      <c r="A587" s="47" t="s">
        <v>9246</v>
      </c>
    </row>
    <row r="588" spans="1:1" ht="14.25">
      <c r="A588" s="47" t="s">
        <v>9247</v>
      </c>
    </row>
    <row r="589" spans="1:1" ht="14.25">
      <c r="A589" s="47" t="s">
        <v>9248</v>
      </c>
    </row>
    <row r="590" spans="1:1" ht="14.25">
      <c r="A590" s="47" t="s">
        <v>9249</v>
      </c>
    </row>
    <row r="591" spans="1:1" ht="14.25">
      <c r="A591" s="47" t="s">
        <v>9250</v>
      </c>
    </row>
    <row r="592" spans="1:1" ht="14.25">
      <c r="A592" s="47" t="s">
        <v>9251</v>
      </c>
    </row>
    <row r="593" spans="1:1" ht="14.25">
      <c r="A593" s="47" t="s">
        <v>9252</v>
      </c>
    </row>
    <row r="594" spans="1:1" ht="14.25">
      <c r="A594" s="47" t="s">
        <v>9253</v>
      </c>
    </row>
    <row r="595" spans="1:1" ht="14.25">
      <c r="A595" s="47" t="s">
        <v>9254</v>
      </c>
    </row>
    <row r="596" spans="1:1" ht="14.25">
      <c r="A596" s="47" t="s">
        <v>9255</v>
      </c>
    </row>
    <row r="597" spans="1:1" ht="14.25">
      <c r="A597" s="47" t="s">
        <v>9256</v>
      </c>
    </row>
    <row r="598" spans="1:1" ht="14.25">
      <c r="A598" s="47" t="s">
        <v>9257</v>
      </c>
    </row>
    <row r="599" spans="1:1" ht="14.25">
      <c r="A599" s="47" t="s">
        <v>9258</v>
      </c>
    </row>
    <row r="600" spans="1:1" ht="14.25">
      <c r="A600" s="47" t="s">
        <v>9259</v>
      </c>
    </row>
    <row r="601" spans="1:1" ht="14.25">
      <c r="A601" s="47" t="s">
        <v>9260</v>
      </c>
    </row>
    <row r="602" spans="1:1" ht="14.25">
      <c r="A602" s="47" t="s">
        <v>9261</v>
      </c>
    </row>
    <row r="603" spans="1:1" ht="14.25">
      <c r="A603" s="47" t="s">
        <v>9262</v>
      </c>
    </row>
    <row r="604" spans="1:1" ht="14.25">
      <c r="A604" s="47" t="s">
        <v>9263</v>
      </c>
    </row>
    <row r="605" spans="1:1" ht="14.25">
      <c r="A605" s="47" t="s">
        <v>9264</v>
      </c>
    </row>
    <row r="606" spans="1:1" ht="14.25">
      <c r="A606" s="47" t="s">
        <v>9265</v>
      </c>
    </row>
    <row r="607" spans="1:1" ht="14.25">
      <c r="A607" s="47" t="s">
        <v>9266</v>
      </c>
    </row>
    <row r="608" spans="1:1" ht="14.25">
      <c r="A608" s="47" t="s">
        <v>9267</v>
      </c>
    </row>
    <row r="609" spans="1:1" ht="14.25">
      <c r="A609" s="47" t="s">
        <v>9268</v>
      </c>
    </row>
    <row r="610" spans="1:1" ht="14.25">
      <c r="A610" s="47" t="s">
        <v>9269</v>
      </c>
    </row>
    <row r="611" spans="1:1" ht="14.25">
      <c r="A611" s="47" t="s">
        <v>9270</v>
      </c>
    </row>
    <row r="612" spans="1:1" ht="14.25">
      <c r="A612" s="47" t="s">
        <v>9271</v>
      </c>
    </row>
    <row r="613" spans="1:1" ht="14.25">
      <c r="A613" s="47" t="s">
        <v>9272</v>
      </c>
    </row>
    <row r="614" spans="1:1" ht="14.25">
      <c r="A614" s="47" t="s">
        <v>9273</v>
      </c>
    </row>
    <row r="615" spans="1:1" ht="14.25">
      <c r="A615" s="47" t="s">
        <v>9274</v>
      </c>
    </row>
    <row r="616" spans="1:1" ht="14.25">
      <c r="A616" s="47" t="s">
        <v>9275</v>
      </c>
    </row>
    <row r="617" spans="1:1" ht="14.25">
      <c r="A617" s="47" t="s">
        <v>9276</v>
      </c>
    </row>
    <row r="618" spans="1:1" ht="14.25">
      <c r="A618" s="47" t="s">
        <v>9277</v>
      </c>
    </row>
    <row r="619" spans="1:1" ht="14.25">
      <c r="A619" s="47" t="s">
        <v>9278</v>
      </c>
    </row>
    <row r="620" spans="1:1" ht="14.25">
      <c r="A620" s="47" t="s">
        <v>9279</v>
      </c>
    </row>
    <row r="621" spans="1:1" ht="14.25">
      <c r="A621" s="47" t="s">
        <v>9280</v>
      </c>
    </row>
    <row r="622" spans="1:1" ht="14.25">
      <c r="A622" s="47" t="s">
        <v>9281</v>
      </c>
    </row>
    <row r="623" spans="1:1" ht="14.25">
      <c r="A623" s="47" t="s">
        <v>9282</v>
      </c>
    </row>
    <row r="624" spans="1:1" ht="14.25">
      <c r="A624" s="47" t="s">
        <v>9283</v>
      </c>
    </row>
    <row r="625" spans="1:1" ht="14.25">
      <c r="A625" s="47" t="s">
        <v>9284</v>
      </c>
    </row>
    <row r="626" spans="1:1" ht="14.25">
      <c r="A626" s="47" t="s">
        <v>9285</v>
      </c>
    </row>
    <row r="627" spans="1:1" ht="14.25">
      <c r="A627" s="47" t="s">
        <v>9286</v>
      </c>
    </row>
    <row r="628" spans="1:1" ht="14.25">
      <c r="A628" s="47" t="s">
        <v>9287</v>
      </c>
    </row>
    <row r="629" spans="1:1" ht="14.25">
      <c r="A629" s="47" t="s">
        <v>9288</v>
      </c>
    </row>
    <row r="630" spans="1:1" ht="14.25">
      <c r="A630" s="47" t="s">
        <v>9289</v>
      </c>
    </row>
    <row r="631" spans="1:1" ht="14.25">
      <c r="A631" s="47" t="s">
        <v>9290</v>
      </c>
    </row>
    <row r="632" spans="1:1" ht="14.25">
      <c r="A632" s="47" t="s">
        <v>9291</v>
      </c>
    </row>
    <row r="633" spans="1:1" ht="14.25">
      <c r="A633" s="47" t="s">
        <v>9292</v>
      </c>
    </row>
    <row r="634" spans="1:1" ht="14.25">
      <c r="A634" s="47" t="s">
        <v>9293</v>
      </c>
    </row>
    <row r="635" spans="1:1" ht="14.25">
      <c r="A635" s="47" t="s">
        <v>9294</v>
      </c>
    </row>
    <row r="636" spans="1:1" ht="14.25">
      <c r="A636" s="47" t="s">
        <v>9295</v>
      </c>
    </row>
    <row r="637" spans="1:1" ht="14.25">
      <c r="A637" s="47" t="s">
        <v>9296</v>
      </c>
    </row>
    <row r="638" spans="1:1" ht="14.25">
      <c r="A638" s="47" t="s">
        <v>9297</v>
      </c>
    </row>
    <row r="639" spans="1:1" ht="14.25">
      <c r="A639" s="47" t="s">
        <v>9298</v>
      </c>
    </row>
    <row r="640" spans="1:1" ht="14.25">
      <c r="A640" s="47" t="s">
        <v>9299</v>
      </c>
    </row>
    <row r="641" spans="1:1" ht="14.25">
      <c r="A641" s="47" t="s">
        <v>9300</v>
      </c>
    </row>
    <row r="642" spans="1:1" ht="14.25">
      <c r="A642" s="47" t="s">
        <v>9301</v>
      </c>
    </row>
    <row r="643" spans="1:1" ht="14.25">
      <c r="A643" s="47" t="s">
        <v>9302</v>
      </c>
    </row>
    <row r="644" spans="1:1" ht="14.25">
      <c r="A644" s="47" t="s">
        <v>9303</v>
      </c>
    </row>
    <row r="645" spans="1:1" ht="14.25">
      <c r="A645" s="47" t="s">
        <v>9304</v>
      </c>
    </row>
    <row r="646" spans="1:1" ht="14.25">
      <c r="A646" s="47" t="s">
        <v>9305</v>
      </c>
    </row>
    <row r="647" spans="1:1" ht="14.25">
      <c r="A647" s="47" t="s">
        <v>9306</v>
      </c>
    </row>
    <row r="648" spans="1:1" ht="14.25">
      <c r="A648" s="47" t="s">
        <v>9307</v>
      </c>
    </row>
    <row r="649" spans="1:1" ht="14.25">
      <c r="A649" s="47" t="s">
        <v>9308</v>
      </c>
    </row>
    <row r="650" spans="1:1" ht="14.25">
      <c r="A650" s="47" t="s">
        <v>9309</v>
      </c>
    </row>
    <row r="651" spans="1:1" ht="14.25">
      <c r="A651" s="47" t="s">
        <v>9310</v>
      </c>
    </row>
    <row r="652" spans="1:1" ht="14.25">
      <c r="A652" s="47" t="s">
        <v>9311</v>
      </c>
    </row>
    <row r="653" spans="1:1" ht="14.25">
      <c r="A653" s="47" t="s">
        <v>9312</v>
      </c>
    </row>
    <row r="654" spans="1:1" ht="14.25">
      <c r="A654" s="47" t="s">
        <v>9313</v>
      </c>
    </row>
    <row r="655" spans="1:1" ht="14.25">
      <c r="A655" s="47" t="s">
        <v>9314</v>
      </c>
    </row>
    <row r="656" spans="1:1" ht="14.25">
      <c r="A656" s="47" t="s">
        <v>9315</v>
      </c>
    </row>
    <row r="657" spans="1:1" ht="14.25">
      <c r="A657" s="47" t="s">
        <v>9316</v>
      </c>
    </row>
    <row r="658" spans="1:1" ht="14.25">
      <c r="A658" s="47" t="s">
        <v>9317</v>
      </c>
    </row>
    <row r="659" spans="1:1" ht="14.25">
      <c r="A659" s="47" t="s">
        <v>9318</v>
      </c>
    </row>
    <row r="660" spans="1:1" ht="14.25">
      <c r="A660" s="47" t="s">
        <v>9319</v>
      </c>
    </row>
    <row r="661" spans="1:1" ht="14.25">
      <c r="A661" s="47" t="s">
        <v>9320</v>
      </c>
    </row>
    <row r="662" spans="1:1" ht="14.25">
      <c r="A662" s="47" t="s">
        <v>9321</v>
      </c>
    </row>
    <row r="663" spans="1:1" ht="14.25">
      <c r="A663" s="47" t="s">
        <v>9322</v>
      </c>
    </row>
    <row r="664" spans="1:1" ht="14.25">
      <c r="A664" s="47" t="s">
        <v>9323</v>
      </c>
    </row>
    <row r="665" spans="1:1" ht="14.25">
      <c r="A665" s="47" t="s">
        <v>9324</v>
      </c>
    </row>
    <row r="666" spans="1:1" ht="14.25">
      <c r="A666" s="47" t="s">
        <v>9325</v>
      </c>
    </row>
    <row r="667" spans="1:1" ht="14.25">
      <c r="A667" s="47" t="s">
        <v>9326</v>
      </c>
    </row>
    <row r="668" spans="1:1" ht="14.25">
      <c r="A668" s="47" t="s">
        <v>9327</v>
      </c>
    </row>
    <row r="669" spans="1:1" ht="14.25">
      <c r="A669" s="47" t="s">
        <v>9328</v>
      </c>
    </row>
    <row r="670" spans="1:1" ht="14.25">
      <c r="A670" s="47" t="s">
        <v>9329</v>
      </c>
    </row>
    <row r="671" spans="1:1" ht="14.25">
      <c r="A671" s="47" t="s">
        <v>9330</v>
      </c>
    </row>
    <row r="672" spans="1:1" ht="14.25">
      <c r="A672" s="47" t="s">
        <v>9331</v>
      </c>
    </row>
    <row r="673" spans="1:1" ht="14.25">
      <c r="A673" s="47" t="s">
        <v>9332</v>
      </c>
    </row>
    <row r="674" spans="1:1" ht="14.25">
      <c r="A674" s="47" t="s">
        <v>9333</v>
      </c>
    </row>
    <row r="675" spans="1:1" ht="14.25">
      <c r="A675" s="47" t="s">
        <v>9334</v>
      </c>
    </row>
    <row r="676" spans="1:1" ht="14.25">
      <c r="A676" s="47" t="s">
        <v>9335</v>
      </c>
    </row>
    <row r="677" spans="1:1" ht="14.25">
      <c r="A677" s="47" t="s">
        <v>9336</v>
      </c>
    </row>
    <row r="678" spans="1:1" ht="14.25">
      <c r="A678" s="47" t="s">
        <v>9337</v>
      </c>
    </row>
    <row r="679" spans="1:1" ht="14.25">
      <c r="A679" s="47" t="s">
        <v>9338</v>
      </c>
    </row>
    <row r="680" spans="1:1" ht="14.25">
      <c r="A680" s="47" t="s">
        <v>9339</v>
      </c>
    </row>
    <row r="681" spans="1:1" ht="14.25">
      <c r="A681" s="47" t="s">
        <v>9340</v>
      </c>
    </row>
    <row r="682" spans="1:1" ht="14.25">
      <c r="A682" s="47" t="s">
        <v>9341</v>
      </c>
    </row>
    <row r="683" spans="1:1" ht="14.25">
      <c r="A683" s="47" t="s">
        <v>9342</v>
      </c>
    </row>
    <row r="684" spans="1:1" ht="14.25">
      <c r="A684" s="47" t="s">
        <v>9343</v>
      </c>
    </row>
    <row r="685" spans="1:1" ht="14.25">
      <c r="A685" s="47" t="s">
        <v>9344</v>
      </c>
    </row>
    <row r="686" spans="1:1" ht="14.25">
      <c r="A686" s="47" t="s">
        <v>9345</v>
      </c>
    </row>
    <row r="687" spans="1:1" ht="14.25">
      <c r="A687" s="47" t="s">
        <v>9346</v>
      </c>
    </row>
    <row r="688" spans="1:1" ht="14.25">
      <c r="A688" s="47" t="s">
        <v>9347</v>
      </c>
    </row>
    <row r="689" spans="1:1" ht="14.25">
      <c r="A689" s="47" t="s">
        <v>9348</v>
      </c>
    </row>
    <row r="690" spans="1:1" ht="14.25">
      <c r="A690" s="47" t="s">
        <v>9349</v>
      </c>
    </row>
    <row r="691" spans="1:1" ht="14.25">
      <c r="A691" s="47" t="s">
        <v>9350</v>
      </c>
    </row>
    <row r="692" spans="1:1" ht="14.25">
      <c r="A692" s="47" t="s">
        <v>9351</v>
      </c>
    </row>
    <row r="693" spans="1:1" ht="14.25">
      <c r="A693" s="47" t="s">
        <v>9352</v>
      </c>
    </row>
    <row r="694" spans="1:1" ht="14.25">
      <c r="A694" s="47" t="s">
        <v>9353</v>
      </c>
    </row>
    <row r="695" spans="1:1" ht="14.25">
      <c r="A695" s="47" t="s">
        <v>9354</v>
      </c>
    </row>
    <row r="696" spans="1:1" ht="14.25">
      <c r="A696" s="47" t="s">
        <v>9355</v>
      </c>
    </row>
    <row r="697" spans="1:1" ht="14.25">
      <c r="A697" s="47" t="s">
        <v>9356</v>
      </c>
    </row>
    <row r="698" spans="1:1" ht="14.25">
      <c r="A698" s="47" t="s">
        <v>9357</v>
      </c>
    </row>
    <row r="699" spans="1:1" ht="14.25">
      <c r="A699" s="47" t="s">
        <v>9358</v>
      </c>
    </row>
    <row r="700" spans="1:1" ht="14.25">
      <c r="A700" s="47" t="s">
        <v>9359</v>
      </c>
    </row>
    <row r="701" spans="1:1" ht="14.25">
      <c r="A701" s="47" t="s">
        <v>9360</v>
      </c>
    </row>
    <row r="702" spans="1:1" ht="14.25">
      <c r="A702" s="47" t="s">
        <v>9361</v>
      </c>
    </row>
    <row r="703" spans="1:1" ht="14.25">
      <c r="A703" s="47" t="s">
        <v>9362</v>
      </c>
    </row>
    <row r="704" spans="1:1" ht="14.25">
      <c r="A704" s="47" t="s">
        <v>9363</v>
      </c>
    </row>
    <row r="705" spans="1:1" ht="14.25">
      <c r="A705" s="47" t="s">
        <v>9364</v>
      </c>
    </row>
    <row r="706" spans="1:1" ht="14.25">
      <c r="A706" s="47" t="s">
        <v>9365</v>
      </c>
    </row>
    <row r="707" spans="1:1" ht="14.25">
      <c r="A707" s="47" t="s">
        <v>9366</v>
      </c>
    </row>
    <row r="708" spans="1:1" ht="14.25">
      <c r="A708" s="47" t="s">
        <v>9367</v>
      </c>
    </row>
    <row r="709" spans="1:1" ht="14.25">
      <c r="A709" s="47" t="s">
        <v>9368</v>
      </c>
    </row>
    <row r="710" spans="1:1" ht="14.25">
      <c r="A710" s="47" t="s">
        <v>9369</v>
      </c>
    </row>
    <row r="711" spans="1:1" ht="14.25">
      <c r="A711" s="47" t="s">
        <v>9370</v>
      </c>
    </row>
    <row r="712" spans="1:1" ht="14.25">
      <c r="A712" s="47" t="s">
        <v>9371</v>
      </c>
    </row>
    <row r="713" spans="1:1" ht="14.25">
      <c r="A713" s="47" t="s">
        <v>9372</v>
      </c>
    </row>
    <row r="714" spans="1:1" ht="14.25">
      <c r="A714" s="47" t="s">
        <v>9373</v>
      </c>
    </row>
    <row r="715" spans="1:1" ht="14.25">
      <c r="A715" s="47" t="s">
        <v>9374</v>
      </c>
    </row>
    <row r="716" spans="1:1" ht="14.25">
      <c r="A716" s="47" t="s">
        <v>9375</v>
      </c>
    </row>
    <row r="717" spans="1:1" ht="14.25">
      <c r="A717" s="47" t="s">
        <v>9376</v>
      </c>
    </row>
    <row r="718" spans="1:1" ht="14.25">
      <c r="A718" s="47" t="s">
        <v>9377</v>
      </c>
    </row>
    <row r="719" spans="1:1" ht="14.25">
      <c r="A719" s="47" t="s">
        <v>9378</v>
      </c>
    </row>
    <row r="720" spans="1:1" ht="14.25">
      <c r="A720" s="47" t="s">
        <v>9379</v>
      </c>
    </row>
    <row r="721" spans="1:1" ht="14.25">
      <c r="A721" s="47" t="s">
        <v>9380</v>
      </c>
    </row>
    <row r="722" spans="1:1" ht="14.25">
      <c r="A722" s="47" t="s">
        <v>9381</v>
      </c>
    </row>
    <row r="723" spans="1:1" ht="14.25">
      <c r="A723" s="47" t="s">
        <v>9382</v>
      </c>
    </row>
    <row r="724" spans="1:1" ht="14.25">
      <c r="A724" s="47" t="s">
        <v>9383</v>
      </c>
    </row>
    <row r="725" spans="1:1" ht="14.25">
      <c r="A725" s="47" t="s">
        <v>9384</v>
      </c>
    </row>
    <row r="726" spans="1:1" ht="14.25">
      <c r="A726" s="47" t="s">
        <v>9385</v>
      </c>
    </row>
    <row r="727" spans="1:1" ht="14.25">
      <c r="A727" s="47" t="s">
        <v>9386</v>
      </c>
    </row>
    <row r="728" spans="1:1" ht="14.25">
      <c r="A728" s="47" t="s">
        <v>9387</v>
      </c>
    </row>
    <row r="729" spans="1:1" ht="14.25">
      <c r="A729" s="47" t="s">
        <v>9388</v>
      </c>
    </row>
    <row r="730" spans="1:1" ht="14.25">
      <c r="A730" s="47" t="s">
        <v>9389</v>
      </c>
    </row>
    <row r="731" spans="1:1" ht="14.25">
      <c r="A731" s="47" t="s">
        <v>9390</v>
      </c>
    </row>
    <row r="732" spans="1:1" ht="14.25">
      <c r="A732" s="47" t="s">
        <v>9391</v>
      </c>
    </row>
    <row r="733" spans="1:1" ht="14.25">
      <c r="A733" s="47" t="s">
        <v>9392</v>
      </c>
    </row>
    <row r="734" spans="1:1" ht="14.25">
      <c r="A734" s="47" t="s">
        <v>9393</v>
      </c>
    </row>
    <row r="735" spans="1:1" ht="14.25">
      <c r="A735" s="47" t="s">
        <v>9394</v>
      </c>
    </row>
    <row r="736" spans="1:1" ht="14.25">
      <c r="A736" s="47" t="s">
        <v>9395</v>
      </c>
    </row>
    <row r="737" spans="1:1" ht="14.25">
      <c r="A737" s="47" t="s">
        <v>9396</v>
      </c>
    </row>
    <row r="738" spans="1:1" ht="14.25">
      <c r="A738" s="47" t="s">
        <v>9397</v>
      </c>
    </row>
    <row r="739" spans="1:1" ht="14.25">
      <c r="A739" s="47" t="s">
        <v>9398</v>
      </c>
    </row>
    <row r="740" spans="1:1" ht="14.25">
      <c r="A740" s="47" t="s">
        <v>9399</v>
      </c>
    </row>
    <row r="741" spans="1:1" ht="14.25">
      <c r="A741" s="47" t="s">
        <v>9400</v>
      </c>
    </row>
    <row r="742" spans="1:1" ht="14.25">
      <c r="A742" s="47" t="s">
        <v>9401</v>
      </c>
    </row>
    <row r="743" spans="1:1" ht="14.25">
      <c r="A743" s="47" t="s">
        <v>9402</v>
      </c>
    </row>
    <row r="744" spans="1:1" ht="14.25">
      <c r="A744" s="47" t="s">
        <v>9403</v>
      </c>
    </row>
    <row r="745" spans="1:1" ht="14.25">
      <c r="A745" s="47" t="s">
        <v>9404</v>
      </c>
    </row>
    <row r="746" spans="1:1" ht="14.25">
      <c r="A746" s="47" t="s">
        <v>9405</v>
      </c>
    </row>
    <row r="747" spans="1:1" ht="14.25">
      <c r="A747" s="47" t="s">
        <v>9406</v>
      </c>
    </row>
    <row r="748" spans="1:1" ht="14.25">
      <c r="A748" s="47" t="s">
        <v>9407</v>
      </c>
    </row>
    <row r="749" spans="1:1" ht="14.25">
      <c r="A749" s="47" t="s">
        <v>9408</v>
      </c>
    </row>
    <row r="750" spans="1:1" ht="14.25">
      <c r="A750" s="47" t="s">
        <v>9409</v>
      </c>
    </row>
    <row r="751" spans="1:1" ht="14.25">
      <c r="A751" s="47" t="s">
        <v>9410</v>
      </c>
    </row>
    <row r="752" spans="1:1" ht="14.25">
      <c r="A752" s="47" t="s">
        <v>9411</v>
      </c>
    </row>
    <row r="753" spans="1:1" ht="14.25">
      <c r="A753" s="47" t="s">
        <v>9412</v>
      </c>
    </row>
    <row r="754" spans="1:1" ht="14.25">
      <c r="A754" s="47" t="s">
        <v>9413</v>
      </c>
    </row>
    <row r="755" spans="1:1" ht="14.25">
      <c r="A755" s="47" t="s">
        <v>9414</v>
      </c>
    </row>
    <row r="756" spans="1:1" ht="14.25">
      <c r="A756" s="47" t="s">
        <v>9415</v>
      </c>
    </row>
    <row r="757" spans="1:1" ht="14.25">
      <c r="A757" s="47" t="s">
        <v>9416</v>
      </c>
    </row>
    <row r="758" spans="1:1" ht="14.25">
      <c r="A758" s="47" t="s">
        <v>9417</v>
      </c>
    </row>
    <row r="759" spans="1:1" ht="14.25">
      <c r="A759" s="47" t="s">
        <v>9418</v>
      </c>
    </row>
    <row r="760" spans="1:1" ht="14.25">
      <c r="A760" s="47" t="s">
        <v>9419</v>
      </c>
    </row>
    <row r="761" spans="1:1" ht="14.25">
      <c r="A761" s="47" t="s">
        <v>9420</v>
      </c>
    </row>
    <row r="762" spans="1:1" ht="14.25">
      <c r="A762" s="47" t="s">
        <v>9421</v>
      </c>
    </row>
    <row r="763" spans="1:1" ht="14.25">
      <c r="A763" s="47" t="s">
        <v>9422</v>
      </c>
    </row>
    <row r="764" spans="1:1" ht="14.25">
      <c r="A764" s="47" t="s">
        <v>9423</v>
      </c>
    </row>
    <row r="765" spans="1:1" ht="14.25">
      <c r="A765" s="47" t="s">
        <v>9424</v>
      </c>
    </row>
    <row r="766" spans="1:1" ht="14.25">
      <c r="A766" s="47" t="s">
        <v>9425</v>
      </c>
    </row>
    <row r="767" spans="1:1" ht="14.25">
      <c r="A767" s="47" t="s">
        <v>9426</v>
      </c>
    </row>
    <row r="768" spans="1:1" ht="14.25">
      <c r="A768" s="47" t="s">
        <v>9427</v>
      </c>
    </row>
    <row r="769" spans="1:1" ht="14.25">
      <c r="A769" s="47" t="s">
        <v>9428</v>
      </c>
    </row>
    <row r="770" spans="1:1" ht="14.25">
      <c r="A770" s="47" t="s">
        <v>9429</v>
      </c>
    </row>
    <row r="771" spans="1:1" ht="14.25">
      <c r="A771" s="47" t="s">
        <v>9430</v>
      </c>
    </row>
    <row r="772" spans="1:1" ht="14.25">
      <c r="A772" s="47" t="s">
        <v>9431</v>
      </c>
    </row>
    <row r="773" spans="1:1" ht="14.25">
      <c r="A773" s="47" t="s">
        <v>9432</v>
      </c>
    </row>
    <row r="774" spans="1:1" ht="14.25">
      <c r="A774" s="47" t="s">
        <v>9433</v>
      </c>
    </row>
    <row r="775" spans="1:1" ht="14.25">
      <c r="A775" s="47" t="s">
        <v>9434</v>
      </c>
    </row>
    <row r="776" spans="1:1" ht="14.25">
      <c r="A776" s="47" t="s">
        <v>9435</v>
      </c>
    </row>
    <row r="777" spans="1:1" ht="14.25">
      <c r="A777" s="47" t="s">
        <v>9436</v>
      </c>
    </row>
    <row r="778" spans="1:1" ht="14.25">
      <c r="A778" s="47" t="s">
        <v>9437</v>
      </c>
    </row>
    <row r="779" spans="1:1" ht="14.25">
      <c r="A779" s="47" t="s">
        <v>9438</v>
      </c>
    </row>
    <row r="780" spans="1:1" ht="14.25">
      <c r="A780" s="47" t="s">
        <v>9439</v>
      </c>
    </row>
    <row r="781" spans="1:1" ht="14.25">
      <c r="A781" s="47" t="s">
        <v>9440</v>
      </c>
    </row>
    <row r="782" spans="1:1" ht="14.25">
      <c r="A782" s="47" t="s">
        <v>9441</v>
      </c>
    </row>
    <row r="783" spans="1:1" ht="14.25">
      <c r="A783" s="47" t="s">
        <v>9442</v>
      </c>
    </row>
    <row r="784" spans="1:1" ht="14.25">
      <c r="A784" s="47" t="s">
        <v>9443</v>
      </c>
    </row>
    <row r="785" spans="1:1" ht="14.25">
      <c r="A785" s="47" t="s">
        <v>9444</v>
      </c>
    </row>
    <row r="786" spans="1:1" ht="14.25">
      <c r="A786" s="47" t="s">
        <v>9445</v>
      </c>
    </row>
    <row r="787" spans="1:1" ht="14.25">
      <c r="A787" s="47" t="s">
        <v>9446</v>
      </c>
    </row>
    <row r="788" spans="1:1" ht="14.25">
      <c r="A788" s="47" t="s">
        <v>9447</v>
      </c>
    </row>
    <row r="789" spans="1:1" ht="14.25">
      <c r="A789" s="47" t="s">
        <v>9448</v>
      </c>
    </row>
    <row r="790" spans="1:1" ht="14.25">
      <c r="A790" s="47" t="s">
        <v>9449</v>
      </c>
    </row>
    <row r="791" spans="1:1" ht="14.25">
      <c r="A791" s="47" t="s">
        <v>9450</v>
      </c>
    </row>
    <row r="792" spans="1:1" ht="14.25">
      <c r="A792" s="47" t="s">
        <v>9451</v>
      </c>
    </row>
    <row r="793" spans="1:1" ht="14.25">
      <c r="A793" s="47" t="s">
        <v>9452</v>
      </c>
    </row>
    <row r="794" spans="1:1" ht="14.25">
      <c r="A794" s="47" t="s">
        <v>9453</v>
      </c>
    </row>
    <row r="795" spans="1:1" ht="14.25">
      <c r="A795" s="47" t="s">
        <v>9454</v>
      </c>
    </row>
    <row r="796" spans="1:1" ht="14.25">
      <c r="A796" s="47" t="s">
        <v>9455</v>
      </c>
    </row>
    <row r="797" spans="1:1" ht="14.25">
      <c r="A797" s="47" t="s">
        <v>9456</v>
      </c>
    </row>
    <row r="798" spans="1:1" ht="14.25">
      <c r="A798" s="47" t="s">
        <v>9457</v>
      </c>
    </row>
    <row r="799" spans="1:1" ht="14.25">
      <c r="A799" s="47" t="s">
        <v>9458</v>
      </c>
    </row>
    <row r="800" spans="1:1" ht="14.25">
      <c r="A800" s="47" t="s">
        <v>9459</v>
      </c>
    </row>
    <row r="801" spans="1:1" ht="14.25">
      <c r="A801" s="47" t="s">
        <v>9460</v>
      </c>
    </row>
    <row r="802" spans="1:1" ht="14.25">
      <c r="A802" s="47" t="s">
        <v>9461</v>
      </c>
    </row>
    <row r="803" spans="1:1" ht="14.25">
      <c r="A803" s="47" t="s">
        <v>9462</v>
      </c>
    </row>
    <row r="804" spans="1:1" ht="14.25">
      <c r="A804" s="47" t="s">
        <v>9463</v>
      </c>
    </row>
    <row r="805" spans="1:1" ht="14.25">
      <c r="A805" s="47" t="s">
        <v>9464</v>
      </c>
    </row>
    <row r="806" spans="1:1" ht="14.25">
      <c r="A806" s="47" t="s">
        <v>9465</v>
      </c>
    </row>
    <row r="807" spans="1:1" ht="14.25">
      <c r="A807" s="47" t="s">
        <v>9466</v>
      </c>
    </row>
    <row r="808" spans="1:1" ht="14.25">
      <c r="A808" s="47" t="s">
        <v>9467</v>
      </c>
    </row>
    <row r="809" spans="1:1" ht="14.25">
      <c r="A809" s="47" t="s">
        <v>9468</v>
      </c>
    </row>
    <row r="810" spans="1:1" ht="14.25">
      <c r="A810" s="47" t="s">
        <v>9469</v>
      </c>
    </row>
    <row r="811" spans="1:1" ht="14.25">
      <c r="A811" s="47" t="s">
        <v>9470</v>
      </c>
    </row>
    <row r="812" spans="1:1" ht="14.25">
      <c r="A812" s="47" t="s">
        <v>9471</v>
      </c>
    </row>
    <row r="813" spans="1:1" ht="14.25">
      <c r="A813" s="47" t="s">
        <v>9472</v>
      </c>
    </row>
    <row r="814" spans="1:1" ht="14.25">
      <c r="A814" s="47" t="s">
        <v>9473</v>
      </c>
    </row>
    <row r="815" spans="1:1" ht="14.25">
      <c r="A815" s="47" t="s">
        <v>9474</v>
      </c>
    </row>
    <row r="816" spans="1:1" ht="14.25">
      <c r="A816" s="47" t="s">
        <v>9475</v>
      </c>
    </row>
    <row r="817" spans="1:1" ht="14.25">
      <c r="A817" s="47" t="s">
        <v>9476</v>
      </c>
    </row>
    <row r="818" spans="1:1" ht="14.25">
      <c r="A818" s="47" t="s">
        <v>9477</v>
      </c>
    </row>
    <row r="819" spans="1:1" ht="14.25">
      <c r="A819" s="47" t="s">
        <v>9478</v>
      </c>
    </row>
    <row r="820" spans="1:1" ht="14.25">
      <c r="A820" s="47" t="s">
        <v>9479</v>
      </c>
    </row>
    <row r="821" spans="1:1" ht="14.25">
      <c r="A821" s="47" t="s">
        <v>9480</v>
      </c>
    </row>
    <row r="822" spans="1:1" ht="14.25">
      <c r="A822" s="47" t="s">
        <v>9481</v>
      </c>
    </row>
    <row r="823" spans="1:1" ht="14.25">
      <c r="A823" s="47" t="s">
        <v>9482</v>
      </c>
    </row>
    <row r="824" spans="1:1" ht="14.25">
      <c r="A824" s="47" t="s">
        <v>9483</v>
      </c>
    </row>
    <row r="825" spans="1:1" ht="14.25">
      <c r="A825" s="47" t="s">
        <v>9484</v>
      </c>
    </row>
    <row r="826" spans="1:1" ht="14.25">
      <c r="A826" s="47" t="s">
        <v>9485</v>
      </c>
    </row>
    <row r="827" spans="1:1" ht="14.25">
      <c r="A827" s="47" t="s">
        <v>9486</v>
      </c>
    </row>
    <row r="828" spans="1:1" ht="14.25">
      <c r="A828" s="47" t="s">
        <v>9487</v>
      </c>
    </row>
    <row r="829" spans="1:1" ht="14.25">
      <c r="A829" s="47" t="s">
        <v>9488</v>
      </c>
    </row>
    <row r="830" spans="1:1" ht="14.25">
      <c r="A830" s="47" t="s">
        <v>9489</v>
      </c>
    </row>
    <row r="831" spans="1:1" ht="14.25">
      <c r="A831" s="47" t="s">
        <v>9490</v>
      </c>
    </row>
    <row r="832" spans="1:1" ht="14.25">
      <c r="A832" s="47" t="s">
        <v>9491</v>
      </c>
    </row>
    <row r="833" spans="1:1" ht="14.25">
      <c r="A833" s="47" t="s">
        <v>9492</v>
      </c>
    </row>
    <row r="834" spans="1:1" ht="14.25">
      <c r="A834" s="47" t="s">
        <v>9493</v>
      </c>
    </row>
    <row r="835" spans="1:1" ht="14.25">
      <c r="A835" s="47" t="s">
        <v>9494</v>
      </c>
    </row>
    <row r="836" spans="1:1" ht="14.25">
      <c r="A836" s="47" t="s">
        <v>9495</v>
      </c>
    </row>
    <row r="837" spans="1:1" ht="14.25">
      <c r="A837" s="47" t="s">
        <v>9496</v>
      </c>
    </row>
    <row r="838" spans="1:1" ht="14.25">
      <c r="A838" s="47" t="s">
        <v>9497</v>
      </c>
    </row>
    <row r="839" spans="1:1" ht="14.25">
      <c r="A839" s="47" t="s">
        <v>9498</v>
      </c>
    </row>
    <row r="840" spans="1:1" ht="14.25">
      <c r="A840" s="47" t="s">
        <v>9499</v>
      </c>
    </row>
    <row r="841" spans="1:1" ht="14.25">
      <c r="A841" s="47" t="s">
        <v>9500</v>
      </c>
    </row>
    <row r="842" spans="1:1" ht="14.25">
      <c r="A842" s="47" t="s">
        <v>9501</v>
      </c>
    </row>
    <row r="843" spans="1:1" ht="14.25">
      <c r="A843" s="47" t="s">
        <v>9502</v>
      </c>
    </row>
    <row r="844" spans="1:1" ht="14.25">
      <c r="A844" s="47" t="s">
        <v>9503</v>
      </c>
    </row>
    <row r="845" spans="1:1" ht="14.25">
      <c r="A845" s="47" t="s">
        <v>9504</v>
      </c>
    </row>
    <row r="846" spans="1:1" ht="14.25">
      <c r="A846" s="47" t="s">
        <v>9505</v>
      </c>
    </row>
    <row r="847" spans="1:1" ht="14.25">
      <c r="A847" s="47" t="s">
        <v>9506</v>
      </c>
    </row>
    <row r="848" spans="1:1" ht="14.25">
      <c r="A848" s="47" t="s">
        <v>9507</v>
      </c>
    </row>
    <row r="849" spans="1:1" ht="14.25">
      <c r="A849" s="47" t="s">
        <v>9508</v>
      </c>
    </row>
    <row r="850" spans="1:1" ht="14.25">
      <c r="A850" s="47" t="s">
        <v>9509</v>
      </c>
    </row>
    <row r="851" spans="1:1" ht="14.25">
      <c r="A851" s="47" t="s">
        <v>9510</v>
      </c>
    </row>
    <row r="852" spans="1:1" ht="14.25">
      <c r="A852" s="47" t="s">
        <v>9511</v>
      </c>
    </row>
    <row r="853" spans="1:1" ht="14.25">
      <c r="A853" s="47" t="s">
        <v>9512</v>
      </c>
    </row>
    <row r="854" spans="1:1" ht="14.25">
      <c r="A854" s="47" t="s">
        <v>9513</v>
      </c>
    </row>
    <row r="855" spans="1:1" ht="14.25">
      <c r="A855" s="47" t="s">
        <v>9514</v>
      </c>
    </row>
    <row r="856" spans="1:1" ht="14.25">
      <c r="A856" s="47" t="s">
        <v>9515</v>
      </c>
    </row>
    <row r="857" spans="1:1" ht="14.25">
      <c r="A857" s="47" t="s">
        <v>9516</v>
      </c>
    </row>
    <row r="858" spans="1:1" ht="14.25">
      <c r="A858" s="47" t="s">
        <v>9517</v>
      </c>
    </row>
    <row r="859" spans="1:1" ht="14.25">
      <c r="A859" s="47" t="s">
        <v>9518</v>
      </c>
    </row>
    <row r="860" spans="1:1" ht="14.25">
      <c r="A860" s="47" t="s">
        <v>9519</v>
      </c>
    </row>
    <row r="861" spans="1:1" ht="14.25">
      <c r="A861" s="47" t="s">
        <v>9520</v>
      </c>
    </row>
    <row r="862" spans="1:1" ht="14.25">
      <c r="A862" s="47" t="s">
        <v>9521</v>
      </c>
    </row>
    <row r="863" spans="1:1" ht="14.25">
      <c r="A863" s="47" t="s">
        <v>9522</v>
      </c>
    </row>
    <row r="864" spans="1:1" ht="14.25">
      <c r="A864" s="47" t="s">
        <v>9523</v>
      </c>
    </row>
    <row r="865" spans="1:1" ht="14.25">
      <c r="A865" s="47" t="s">
        <v>9524</v>
      </c>
    </row>
    <row r="866" spans="1:1" ht="14.25">
      <c r="A866" s="47" t="s">
        <v>9525</v>
      </c>
    </row>
    <row r="867" spans="1:1" ht="14.25">
      <c r="A867" s="47" t="s">
        <v>9526</v>
      </c>
    </row>
    <row r="868" spans="1:1" ht="14.25">
      <c r="A868" s="47" t="s">
        <v>9527</v>
      </c>
    </row>
    <row r="869" spans="1:1" ht="14.25">
      <c r="A869" s="47" t="s">
        <v>9528</v>
      </c>
    </row>
    <row r="870" spans="1:1" ht="14.25">
      <c r="A870" s="47" t="s">
        <v>9529</v>
      </c>
    </row>
    <row r="871" spans="1:1" ht="14.25">
      <c r="A871" s="47" t="s">
        <v>9530</v>
      </c>
    </row>
    <row r="872" spans="1:1" ht="14.25">
      <c r="A872" s="47" t="s">
        <v>9531</v>
      </c>
    </row>
    <row r="873" spans="1:1" ht="14.25">
      <c r="A873" s="47" t="s">
        <v>9532</v>
      </c>
    </row>
    <row r="874" spans="1:1" ht="14.25">
      <c r="A874" s="47" t="s">
        <v>9533</v>
      </c>
    </row>
    <row r="875" spans="1:1" ht="14.25">
      <c r="A875" s="47" t="s">
        <v>9534</v>
      </c>
    </row>
    <row r="876" spans="1:1" ht="14.25">
      <c r="A876" s="47" t="s">
        <v>9535</v>
      </c>
    </row>
    <row r="877" spans="1:1" ht="14.25">
      <c r="A877" s="47" t="s">
        <v>9536</v>
      </c>
    </row>
    <row r="878" spans="1:1" ht="14.25">
      <c r="A878" s="47" t="s">
        <v>9537</v>
      </c>
    </row>
    <row r="879" spans="1:1" ht="14.25">
      <c r="A879" s="47" t="s">
        <v>9538</v>
      </c>
    </row>
    <row r="880" spans="1:1" ht="14.25">
      <c r="A880" s="47" t="s">
        <v>9539</v>
      </c>
    </row>
    <row r="881" spans="1:1" ht="14.25">
      <c r="A881" s="47" t="s">
        <v>9540</v>
      </c>
    </row>
    <row r="882" spans="1:1" ht="14.25">
      <c r="A882" s="47" t="s">
        <v>9541</v>
      </c>
    </row>
    <row r="883" spans="1:1" ht="14.25">
      <c r="A883" s="47" t="s">
        <v>9542</v>
      </c>
    </row>
    <row r="884" spans="1:1" ht="14.25">
      <c r="A884" s="47" t="s">
        <v>9543</v>
      </c>
    </row>
    <row r="885" spans="1:1" ht="14.25">
      <c r="A885" s="47" t="s">
        <v>9544</v>
      </c>
    </row>
    <row r="886" spans="1:1" ht="14.25">
      <c r="A886" s="47" t="s">
        <v>9545</v>
      </c>
    </row>
    <row r="887" spans="1:1" ht="14.25">
      <c r="A887" s="47" t="s">
        <v>9546</v>
      </c>
    </row>
    <row r="888" spans="1:1" ht="14.25">
      <c r="A888" s="47" t="s">
        <v>9547</v>
      </c>
    </row>
    <row r="889" spans="1:1" ht="14.25">
      <c r="A889" s="47" t="s">
        <v>9548</v>
      </c>
    </row>
    <row r="890" spans="1:1" ht="14.25">
      <c r="A890" s="47" t="s">
        <v>9549</v>
      </c>
    </row>
    <row r="891" spans="1:1" ht="14.25">
      <c r="A891" s="47" t="s">
        <v>9550</v>
      </c>
    </row>
    <row r="892" spans="1:1" ht="14.25">
      <c r="A892" s="47" t="s">
        <v>9551</v>
      </c>
    </row>
    <row r="893" spans="1:1" ht="14.25">
      <c r="A893" s="47" t="s">
        <v>9552</v>
      </c>
    </row>
    <row r="894" spans="1:1" ht="14.25">
      <c r="A894" s="47" t="s">
        <v>9553</v>
      </c>
    </row>
    <row r="895" spans="1:1" ht="14.25">
      <c r="A895" s="47" t="s">
        <v>9554</v>
      </c>
    </row>
    <row r="896" spans="1:1" ht="14.25">
      <c r="A896" s="47" t="s">
        <v>9555</v>
      </c>
    </row>
    <row r="897" spans="1:1" ht="14.25">
      <c r="A897" s="47" t="s">
        <v>9556</v>
      </c>
    </row>
    <row r="898" spans="1:1" ht="14.25">
      <c r="A898" s="47" t="s">
        <v>9557</v>
      </c>
    </row>
    <row r="899" spans="1:1" ht="14.25">
      <c r="A899" s="47" t="s">
        <v>9558</v>
      </c>
    </row>
    <row r="900" spans="1:1" ht="14.25">
      <c r="A900" s="47" t="s">
        <v>9559</v>
      </c>
    </row>
    <row r="901" spans="1:1" ht="14.25">
      <c r="A901" s="47" t="s">
        <v>9560</v>
      </c>
    </row>
    <row r="902" spans="1:1" ht="14.25">
      <c r="A902" s="47" t="s">
        <v>9561</v>
      </c>
    </row>
    <row r="903" spans="1:1" ht="14.25">
      <c r="A903" s="47" t="s">
        <v>9562</v>
      </c>
    </row>
    <row r="904" spans="1:1" ht="14.25">
      <c r="A904" s="47" t="s">
        <v>9563</v>
      </c>
    </row>
    <row r="905" spans="1:1" ht="14.25">
      <c r="A905" s="47" t="s">
        <v>9564</v>
      </c>
    </row>
    <row r="906" spans="1:1" ht="14.25">
      <c r="A906" s="47" t="s">
        <v>9565</v>
      </c>
    </row>
    <row r="907" spans="1:1" ht="14.25">
      <c r="A907" s="47" t="s">
        <v>9566</v>
      </c>
    </row>
    <row r="908" spans="1:1" ht="14.25">
      <c r="A908" s="47" t="s">
        <v>9567</v>
      </c>
    </row>
    <row r="909" spans="1:1" ht="14.25">
      <c r="A909" s="47" t="s">
        <v>9568</v>
      </c>
    </row>
    <row r="910" spans="1:1" ht="14.25">
      <c r="A910" s="47" t="s">
        <v>9569</v>
      </c>
    </row>
    <row r="911" spans="1:1" ht="14.25">
      <c r="A911" s="47" t="s">
        <v>9570</v>
      </c>
    </row>
    <row r="912" spans="1:1" ht="14.25">
      <c r="A912" s="47" t="s">
        <v>9571</v>
      </c>
    </row>
    <row r="913" spans="1:1" ht="14.25">
      <c r="A913" s="47" t="s">
        <v>9572</v>
      </c>
    </row>
    <row r="914" spans="1:1" ht="14.25">
      <c r="A914" s="47" t="s">
        <v>9573</v>
      </c>
    </row>
    <row r="915" spans="1:1" ht="14.25">
      <c r="A915" s="47" t="s">
        <v>9574</v>
      </c>
    </row>
    <row r="916" spans="1:1" ht="14.25">
      <c r="A916" s="47" t="s">
        <v>9575</v>
      </c>
    </row>
    <row r="917" spans="1:1" ht="14.25">
      <c r="A917" s="47" t="s">
        <v>9576</v>
      </c>
    </row>
    <row r="918" spans="1:1" ht="14.25">
      <c r="A918" s="47" t="s">
        <v>9577</v>
      </c>
    </row>
    <row r="919" spans="1:1" ht="14.25">
      <c r="A919" s="47" t="s">
        <v>9578</v>
      </c>
    </row>
    <row r="920" spans="1:1" ht="14.25">
      <c r="A920" s="47" t="s">
        <v>9579</v>
      </c>
    </row>
    <row r="921" spans="1:1" ht="14.25">
      <c r="A921" s="47" t="s">
        <v>9580</v>
      </c>
    </row>
    <row r="922" spans="1:1" ht="14.25">
      <c r="A922" s="47" t="s">
        <v>9581</v>
      </c>
    </row>
    <row r="923" spans="1:1" ht="14.25">
      <c r="A923" s="47" t="s">
        <v>9582</v>
      </c>
    </row>
    <row r="924" spans="1:1" ht="14.25">
      <c r="A924" s="47" t="s">
        <v>9583</v>
      </c>
    </row>
    <row r="925" spans="1:1" ht="14.25">
      <c r="A925" s="47" t="s">
        <v>9584</v>
      </c>
    </row>
    <row r="926" spans="1:1" ht="14.25">
      <c r="A926" s="47" t="s">
        <v>9585</v>
      </c>
    </row>
    <row r="927" spans="1:1" ht="14.25">
      <c r="A927" s="47" t="s">
        <v>9586</v>
      </c>
    </row>
    <row r="928" spans="1:1" ht="14.25">
      <c r="A928" s="47" t="s">
        <v>9587</v>
      </c>
    </row>
    <row r="929" spans="1:1" ht="14.25">
      <c r="A929" s="47" t="s">
        <v>9588</v>
      </c>
    </row>
    <row r="930" spans="1:1" ht="14.25">
      <c r="A930" s="47" t="s">
        <v>9589</v>
      </c>
    </row>
    <row r="931" spans="1:1" ht="14.25">
      <c r="A931" s="47" t="s">
        <v>9590</v>
      </c>
    </row>
    <row r="932" spans="1:1" ht="14.25">
      <c r="A932" s="47" t="s">
        <v>9591</v>
      </c>
    </row>
    <row r="933" spans="1:1" ht="14.25">
      <c r="A933" s="47" t="s">
        <v>9592</v>
      </c>
    </row>
    <row r="934" spans="1:1" ht="14.25">
      <c r="A934" s="47" t="s">
        <v>9593</v>
      </c>
    </row>
    <row r="935" spans="1:1" ht="14.25">
      <c r="A935" s="47" t="s">
        <v>9594</v>
      </c>
    </row>
    <row r="936" spans="1:1" ht="14.25">
      <c r="A936" s="47" t="s">
        <v>9595</v>
      </c>
    </row>
    <row r="937" spans="1:1" ht="14.25">
      <c r="A937" s="47" t="s">
        <v>9596</v>
      </c>
    </row>
    <row r="938" spans="1:1" ht="14.25">
      <c r="A938" s="47" t="s">
        <v>9597</v>
      </c>
    </row>
    <row r="939" spans="1:1" ht="14.25">
      <c r="A939" s="47" t="s">
        <v>9598</v>
      </c>
    </row>
    <row r="940" spans="1:1" ht="14.25">
      <c r="A940" s="47" t="s">
        <v>9599</v>
      </c>
    </row>
    <row r="941" spans="1:1" ht="14.25">
      <c r="A941" s="47" t="s">
        <v>9600</v>
      </c>
    </row>
    <row r="942" spans="1:1" ht="14.25">
      <c r="A942" s="47" t="s">
        <v>9601</v>
      </c>
    </row>
    <row r="943" spans="1:1" ht="14.25">
      <c r="A943" s="47" t="s">
        <v>9602</v>
      </c>
    </row>
    <row r="944" spans="1:1" ht="14.25">
      <c r="A944" s="47" t="s">
        <v>9603</v>
      </c>
    </row>
    <row r="945" spans="1:1" ht="14.25">
      <c r="A945" s="47" t="s">
        <v>9604</v>
      </c>
    </row>
    <row r="946" spans="1:1" ht="14.25">
      <c r="A946" s="47" t="s">
        <v>9605</v>
      </c>
    </row>
    <row r="947" spans="1:1" ht="14.25">
      <c r="A947" s="47" t="s">
        <v>9606</v>
      </c>
    </row>
    <row r="948" spans="1:1" ht="14.25">
      <c r="A948" s="47" t="s">
        <v>9607</v>
      </c>
    </row>
    <row r="949" spans="1:1" ht="14.25">
      <c r="A949" s="47" t="s">
        <v>9608</v>
      </c>
    </row>
    <row r="950" spans="1:1" ht="14.25">
      <c r="A950" s="47" t="s">
        <v>9609</v>
      </c>
    </row>
    <row r="951" spans="1:1" ht="14.25">
      <c r="A951" s="47" t="s">
        <v>9610</v>
      </c>
    </row>
    <row r="952" spans="1:1" ht="14.25">
      <c r="A952" s="47" t="s">
        <v>9611</v>
      </c>
    </row>
    <row r="953" spans="1:1" ht="14.25">
      <c r="A953" s="47" t="s">
        <v>9612</v>
      </c>
    </row>
    <row r="954" spans="1:1" ht="14.25">
      <c r="A954" s="47" t="s">
        <v>9613</v>
      </c>
    </row>
    <row r="955" spans="1:1" ht="14.25">
      <c r="A955" s="47" t="s">
        <v>9614</v>
      </c>
    </row>
    <row r="956" spans="1:1" ht="14.25">
      <c r="A956" s="47" t="s">
        <v>9615</v>
      </c>
    </row>
    <row r="957" spans="1:1" ht="14.25">
      <c r="A957" s="47" t="s">
        <v>9616</v>
      </c>
    </row>
    <row r="958" spans="1:1" ht="14.25">
      <c r="A958" s="47" t="s">
        <v>9617</v>
      </c>
    </row>
    <row r="959" spans="1:1" ht="14.25">
      <c r="A959" s="47" t="s">
        <v>9618</v>
      </c>
    </row>
    <row r="960" spans="1:1" ht="14.25">
      <c r="A960" s="47" t="s">
        <v>9619</v>
      </c>
    </row>
    <row r="961" spans="1:1" ht="14.25">
      <c r="A961" s="47" t="s">
        <v>9620</v>
      </c>
    </row>
    <row r="962" spans="1:1" ht="14.25">
      <c r="A962" s="47" t="s">
        <v>9621</v>
      </c>
    </row>
    <row r="963" spans="1:1" ht="14.25">
      <c r="A963" s="47" t="s">
        <v>9622</v>
      </c>
    </row>
    <row r="964" spans="1:1" ht="14.25">
      <c r="A964" s="47" t="s">
        <v>9623</v>
      </c>
    </row>
    <row r="965" spans="1:1" ht="14.25">
      <c r="A965" s="47" t="s">
        <v>9624</v>
      </c>
    </row>
    <row r="966" spans="1:1" ht="14.25">
      <c r="A966" s="47" t="s">
        <v>9625</v>
      </c>
    </row>
    <row r="967" spans="1:1" ht="14.25">
      <c r="A967" s="47" t="s">
        <v>9626</v>
      </c>
    </row>
    <row r="968" spans="1:1" ht="14.25">
      <c r="A968" s="47" t="s">
        <v>9627</v>
      </c>
    </row>
    <row r="969" spans="1:1" ht="14.25">
      <c r="A969" s="47" t="s">
        <v>9628</v>
      </c>
    </row>
    <row r="970" spans="1:1" ht="14.25">
      <c r="A970" s="47" t="s">
        <v>9629</v>
      </c>
    </row>
    <row r="971" spans="1:1" ht="14.25">
      <c r="A971" s="47" t="s">
        <v>9630</v>
      </c>
    </row>
    <row r="972" spans="1:1" ht="14.25">
      <c r="A972" s="47" t="s">
        <v>9631</v>
      </c>
    </row>
    <row r="973" spans="1:1" ht="14.25">
      <c r="A973" s="47" t="s">
        <v>9632</v>
      </c>
    </row>
    <row r="974" spans="1:1" ht="14.25">
      <c r="A974" s="47" t="s">
        <v>9633</v>
      </c>
    </row>
    <row r="975" spans="1:1" ht="14.25">
      <c r="A975" s="47" t="s">
        <v>9634</v>
      </c>
    </row>
    <row r="976" spans="1:1" ht="14.25">
      <c r="A976" s="47" t="s">
        <v>9635</v>
      </c>
    </row>
    <row r="977" spans="1:1" ht="14.25">
      <c r="A977" s="47" t="s">
        <v>9636</v>
      </c>
    </row>
    <row r="978" spans="1:1" ht="14.25">
      <c r="A978" s="47" t="s">
        <v>9637</v>
      </c>
    </row>
    <row r="979" spans="1:1" ht="14.25">
      <c r="A979" s="47" t="s">
        <v>9638</v>
      </c>
    </row>
    <row r="980" spans="1:1" ht="14.25">
      <c r="A980" s="47" t="s">
        <v>9639</v>
      </c>
    </row>
    <row r="981" spans="1:1" ht="14.25">
      <c r="A981" s="47" t="s">
        <v>9640</v>
      </c>
    </row>
    <row r="982" spans="1:1" ht="14.25">
      <c r="A982" s="47" t="s">
        <v>9641</v>
      </c>
    </row>
    <row r="983" spans="1:1" ht="14.25">
      <c r="A983" s="47" t="s">
        <v>9642</v>
      </c>
    </row>
    <row r="984" spans="1:1" ht="14.25">
      <c r="A984" s="47" t="s">
        <v>9643</v>
      </c>
    </row>
    <row r="985" spans="1:1" ht="14.25">
      <c r="A985" s="47" t="s">
        <v>9644</v>
      </c>
    </row>
    <row r="986" spans="1:1" ht="14.25">
      <c r="A986" s="47" t="s">
        <v>9645</v>
      </c>
    </row>
    <row r="987" spans="1:1" ht="14.25">
      <c r="A987" s="47" t="s">
        <v>9646</v>
      </c>
    </row>
    <row r="988" spans="1:1" ht="14.25">
      <c r="A988" s="47" t="s">
        <v>9647</v>
      </c>
    </row>
    <row r="989" spans="1:1" ht="14.25">
      <c r="A989" s="47" t="s">
        <v>9648</v>
      </c>
    </row>
    <row r="990" spans="1:1" ht="14.25">
      <c r="A990" s="47" t="s">
        <v>9649</v>
      </c>
    </row>
    <row r="991" spans="1:1" ht="14.25">
      <c r="A991" s="47" t="s">
        <v>9650</v>
      </c>
    </row>
    <row r="992" spans="1:1" ht="14.25">
      <c r="A992" s="47" t="s">
        <v>9651</v>
      </c>
    </row>
    <row r="993" spans="1:1" ht="14.25">
      <c r="A993" s="47" t="s">
        <v>9652</v>
      </c>
    </row>
    <row r="994" spans="1:1" ht="14.25">
      <c r="A994" s="47" t="s">
        <v>9653</v>
      </c>
    </row>
    <row r="995" spans="1:1" ht="14.25">
      <c r="A995" s="47" t="s">
        <v>9654</v>
      </c>
    </row>
    <row r="996" spans="1:1" ht="14.25">
      <c r="A996" s="47" t="s">
        <v>9655</v>
      </c>
    </row>
    <row r="997" spans="1:1" ht="14.25">
      <c r="A997" s="47" t="s">
        <v>9656</v>
      </c>
    </row>
    <row r="998" spans="1:1" ht="14.25">
      <c r="A998" s="47" t="s">
        <v>9657</v>
      </c>
    </row>
    <row r="999" spans="1:1" ht="14.25">
      <c r="A999" s="47" t="s">
        <v>9658</v>
      </c>
    </row>
    <row r="1000" spans="1:1" ht="14.25">
      <c r="A1000" s="47" t="s">
        <v>9659</v>
      </c>
    </row>
    <row r="1001" spans="1:1" ht="14.25">
      <c r="A1001" s="47" t="s">
        <v>9660</v>
      </c>
    </row>
    <row r="1002" spans="1:1" ht="14.25">
      <c r="A1002" s="47" t="s">
        <v>9661</v>
      </c>
    </row>
    <row r="1003" spans="1:1" ht="14.25">
      <c r="A1003" s="47" t="s">
        <v>9662</v>
      </c>
    </row>
    <row r="1004" spans="1:1" ht="14.25">
      <c r="A1004" s="47" t="s">
        <v>9663</v>
      </c>
    </row>
    <row r="1005" spans="1:1" ht="14.25">
      <c r="A1005" s="47" t="s">
        <v>9664</v>
      </c>
    </row>
    <row r="1006" spans="1:1" ht="14.25">
      <c r="A1006" s="47" t="s">
        <v>9665</v>
      </c>
    </row>
    <row r="1007" spans="1:1" ht="14.25">
      <c r="A1007" s="47" t="s">
        <v>9666</v>
      </c>
    </row>
    <row r="1008" spans="1:1" ht="14.25">
      <c r="A1008" s="47" t="s">
        <v>9667</v>
      </c>
    </row>
    <row r="1009" spans="1:1" ht="14.25">
      <c r="A1009" s="47" t="s">
        <v>9668</v>
      </c>
    </row>
    <row r="1010" spans="1:1" ht="14.25">
      <c r="A1010" s="47" t="s">
        <v>9669</v>
      </c>
    </row>
    <row r="1011" spans="1:1" ht="14.25">
      <c r="A1011" s="47" t="s">
        <v>9670</v>
      </c>
    </row>
    <row r="1012" spans="1:1" ht="14.25">
      <c r="A1012" s="47" t="s">
        <v>9671</v>
      </c>
    </row>
    <row r="1013" spans="1:1" ht="14.25">
      <c r="A1013" s="47" t="s">
        <v>9672</v>
      </c>
    </row>
    <row r="1014" spans="1:1" ht="14.25">
      <c r="A1014" s="47" t="s">
        <v>9673</v>
      </c>
    </row>
    <row r="1015" spans="1:1" ht="14.25">
      <c r="A1015" s="47" t="s">
        <v>9674</v>
      </c>
    </row>
    <row r="1016" spans="1:1" ht="14.25">
      <c r="A1016" s="47" t="s">
        <v>9675</v>
      </c>
    </row>
    <row r="1017" spans="1:1" ht="14.25">
      <c r="A1017" s="47" t="s">
        <v>9676</v>
      </c>
    </row>
    <row r="1018" spans="1:1" ht="14.25">
      <c r="A1018" s="47" t="s">
        <v>9677</v>
      </c>
    </row>
    <row r="1019" spans="1:1" ht="14.25">
      <c r="A1019" s="47" t="s">
        <v>9678</v>
      </c>
    </row>
    <row r="1020" spans="1:1" ht="14.25">
      <c r="A1020" s="47" t="s">
        <v>9679</v>
      </c>
    </row>
    <row r="1021" spans="1:1" ht="14.25">
      <c r="A1021" s="47" t="s">
        <v>9680</v>
      </c>
    </row>
    <row r="1022" spans="1:1" ht="14.25">
      <c r="A1022" s="47" t="s">
        <v>9681</v>
      </c>
    </row>
    <row r="1023" spans="1:1" ht="14.25">
      <c r="A1023" s="47" t="s">
        <v>9682</v>
      </c>
    </row>
    <row r="1024" spans="1:1" ht="14.25">
      <c r="A1024" s="47" t="s">
        <v>9683</v>
      </c>
    </row>
    <row r="1025" spans="1:1" ht="14.25">
      <c r="A1025" s="47" t="s">
        <v>9684</v>
      </c>
    </row>
    <row r="1026" spans="1:1" ht="14.25">
      <c r="A1026" s="47" t="s">
        <v>9685</v>
      </c>
    </row>
    <row r="1027" spans="1:1" ht="14.25">
      <c r="A1027" s="47" t="s">
        <v>9686</v>
      </c>
    </row>
    <row r="1028" spans="1:1" ht="14.25">
      <c r="A1028" s="47" t="s">
        <v>9687</v>
      </c>
    </row>
    <row r="1029" spans="1:1" ht="14.25">
      <c r="A1029" s="47" t="s">
        <v>9688</v>
      </c>
    </row>
    <row r="1030" spans="1:1" ht="14.25">
      <c r="A1030" s="47" t="s">
        <v>9689</v>
      </c>
    </row>
    <row r="1031" spans="1:1" ht="14.25">
      <c r="A1031" s="47" t="s">
        <v>9690</v>
      </c>
    </row>
    <row r="1032" spans="1:1" ht="14.25">
      <c r="A1032" s="47" t="s">
        <v>9691</v>
      </c>
    </row>
    <row r="1033" spans="1:1" ht="14.25">
      <c r="A1033" s="47" t="s">
        <v>9692</v>
      </c>
    </row>
    <row r="1034" spans="1:1" ht="14.25">
      <c r="A1034" s="47" t="s">
        <v>9693</v>
      </c>
    </row>
    <row r="1035" spans="1:1" ht="14.25">
      <c r="A1035" s="47" t="s">
        <v>9694</v>
      </c>
    </row>
    <row r="1036" spans="1:1" ht="14.25">
      <c r="A1036" s="47" t="s">
        <v>9695</v>
      </c>
    </row>
    <row r="1037" spans="1:1" ht="14.25">
      <c r="A1037" s="47" t="s">
        <v>9696</v>
      </c>
    </row>
    <row r="1038" spans="1:1" ht="14.25">
      <c r="A1038" s="47" t="s">
        <v>9697</v>
      </c>
    </row>
    <row r="1039" spans="1:1" ht="14.25">
      <c r="A1039" s="47" t="s">
        <v>9698</v>
      </c>
    </row>
    <row r="1040" spans="1:1" ht="14.25">
      <c r="A1040" s="47" t="s">
        <v>9699</v>
      </c>
    </row>
    <row r="1041" spans="1:1" ht="14.25">
      <c r="A1041" s="47" t="s">
        <v>9700</v>
      </c>
    </row>
    <row r="1042" spans="1:1" ht="14.25">
      <c r="A1042" s="47" t="s">
        <v>9701</v>
      </c>
    </row>
    <row r="1043" spans="1:1" ht="14.25">
      <c r="A1043" s="47" t="s">
        <v>9702</v>
      </c>
    </row>
    <row r="1044" spans="1:1" ht="14.25">
      <c r="A1044" s="47" t="s">
        <v>9703</v>
      </c>
    </row>
    <row r="1045" spans="1:1" ht="14.25">
      <c r="A1045" s="47" t="s">
        <v>9704</v>
      </c>
    </row>
    <row r="1046" spans="1:1" ht="14.25">
      <c r="A1046" s="47" t="s">
        <v>9705</v>
      </c>
    </row>
    <row r="1047" spans="1:1" ht="14.25">
      <c r="A1047" s="47" t="s">
        <v>9706</v>
      </c>
    </row>
    <row r="1048" spans="1:1" ht="14.25">
      <c r="A1048" s="47" t="s">
        <v>9707</v>
      </c>
    </row>
    <row r="1049" spans="1:1" ht="14.25">
      <c r="A1049" s="47" t="s">
        <v>9708</v>
      </c>
    </row>
    <row r="1050" spans="1:1" ht="14.25">
      <c r="A1050" s="47" t="s">
        <v>9709</v>
      </c>
    </row>
    <row r="1051" spans="1:1" ht="14.25">
      <c r="A1051" s="47" t="s">
        <v>9710</v>
      </c>
    </row>
    <row r="1052" spans="1:1" ht="14.25">
      <c r="A1052" s="47" t="s">
        <v>9711</v>
      </c>
    </row>
    <row r="1053" spans="1:1" ht="14.25">
      <c r="A1053" s="47" t="s">
        <v>9712</v>
      </c>
    </row>
    <row r="1054" spans="1:1" ht="14.25">
      <c r="A1054" s="47" t="s">
        <v>9713</v>
      </c>
    </row>
    <row r="1055" spans="1:1" ht="14.25">
      <c r="A1055" s="47" t="s">
        <v>9714</v>
      </c>
    </row>
    <row r="1056" spans="1:1" ht="14.25">
      <c r="A1056" s="47" t="s">
        <v>9715</v>
      </c>
    </row>
    <row r="1057" spans="1:1" ht="14.25">
      <c r="A1057" s="47" t="s">
        <v>9716</v>
      </c>
    </row>
    <row r="1058" spans="1:1" ht="14.25">
      <c r="A1058" s="47" t="s">
        <v>9717</v>
      </c>
    </row>
    <row r="1059" spans="1:1" ht="14.25">
      <c r="A1059" s="47" t="s">
        <v>9718</v>
      </c>
    </row>
    <row r="1060" spans="1:1" ht="14.25">
      <c r="A1060" s="47" t="s">
        <v>9719</v>
      </c>
    </row>
    <row r="1061" spans="1:1" ht="14.25">
      <c r="A1061" s="47" t="s">
        <v>9720</v>
      </c>
    </row>
    <row r="1062" spans="1:1" ht="14.25">
      <c r="A1062" s="47" t="s">
        <v>9721</v>
      </c>
    </row>
    <row r="1063" spans="1:1" ht="14.25">
      <c r="A1063" s="47" t="s">
        <v>9722</v>
      </c>
    </row>
    <row r="1064" spans="1:1" ht="14.25">
      <c r="A1064" s="47" t="s">
        <v>9723</v>
      </c>
    </row>
    <row r="1065" spans="1:1" ht="14.25">
      <c r="A1065" s="47" t="s">
        <v>9724</v>
      </c>
    </row>
    <row r="1066" spans="1:1" ht="14.25">
      <c r="A1066" s="47" t="s">
        <v>9725</v>
      </c>
    </row>
    <row r="1067" spans="1:1" ht="14.25">
      <c r="A1067" s="47" t="s">
        <v>9726</v>
      </c>
    </row>
    <row r="1068" spans="1:1" ht="14.25">
      <c r="A1068" s="47" t="s">
        <v>9727</v>
      </c>
    </row>
    <row r="1069" spans="1:1" ht="14.25">
      <c r="A1069" s="47" t="s">
        <v>9728</v>
      </c>
    </row>
    <row r="1070" spans="1:1" ht="14.25">
      <c r="A1070" s="47" t="s">
        <v>9729</v>
      </c>
    </row>
    <row r="1071" spans="1:1" ht="14.25">
      <c r="A1071" s="47" t="s">
        <v>9730</v>
      </c>
    </row>
    <row r="1072" spans="1:1" ht="14.25">
      <c r="A1072" s="47" t="s">
        <v>9731</v>
      </c>
    </row>
    <row r="1073" spans="1:1" ht="14.25">
      <c r="A1073" s="47" t="s">
        <v>9732</v>
      </c>
    </row>
    <row r="1074" spans="1:1" ht="14.25">
      <c r="A1074" s="47" t="s">
        <v>9733</v>
      </c>
    </row>
    <row r="1075" spans="1:1" ht="14.25">
      <c r="A1075" s="47" t="s">
        <v>9734</v>
      </c>
    </row>
    <row r="1076" spans="1:1" ht="14.25">
      <c r="A1076" s="47" t="s">
        <v>9735</v>
      </c>
    </row>
    <row r="1077" spans="1:1" ht="14.25">
      <c r="A1077" s="47" t="s">
        <v>9736</v>
      </c>
    </row>
    <row r="1078" spans="1:1" ht="14.25">
      <c r="A1078" s="47" t="s">
        <v>9737</v>
      </c>
    </row>
    <row r="1079" spans="1:1" ht="14.25">
      <c r="A1079" s="47" t="s">
        <v>9738</v>
      </c>
    </row>
    <row r="1080" spans="1:1" ht="14.25">
      <c r="A1080" s="47" t="s">
        <v>9739</v>
      </c>
    </row>
    <row r="1081" spans="1:1" ht="14.25">
      <c r="A1081" s="47" t="s">
        <v>9740</v>
      </c>
    </row>
    <row r="1082" spans="1:1" ht="14.25">
      <c r="A1082" s="47" t="s">
        <v>9741</v>
      </c>
    </row>
    <row r="1083" spans="1:1" ht="14.25">
      <c r="A1083" s="47" t="s">
        <v>9742</v>
      </c>
    </row>
    <row r="1084" spans="1:1" ht="14.25">
      <c r="A1084" s="47" t="s">
        <v>9743</v>
      </c>
    </row>
    <row r="1085" spans="1:1" ht="14.25">
      <c r="A1085" s="47" t="s">
        <v>9744</v>
      </c>
    </row>
    <row r="1086" spans="1:1" ht="14.25">
      <c r="A1086" s="47" t="s">
        <v>9745</v>
      </c>
    </row>
    <row r="1087" spans="1:1" ht="14.25">
      <c r="A1087" s="47" t="s">
        <v>9746</v>
      </c>
    </row>
    <row r="1088" spans="1:1" ht="14.25">
      <c r="A1088" s="47" t="s">
        <v>9747</v>
      </c>
    </row>
    <row r="1089" spans="1:1" ht="14.25">
      <c r="A1089" s="47" t="s">
        <v>9748</v>
      </c>
    </row>
    <row r="1090" spans="1:1" ht="14.25">
      <c r="A1090" s="47" t="s">
        <v>9749</v>
      </c>
    </row>
    <row r="1091" spans="1:1" ht="14.25">
      <c r="A1091" s="47" t="s">
        <v>9750</v>
      </c>
    </row>
    <row r="1092" spans="1:1" ht="14.25">
      <c r="A1092" s="47" t="s">
        <v>9751</v>
      </c>
    </row>
    <row r="1093" spans="1:1" ht="14.25">
      <c r="A1093" s="47" t="s">
        <v>9752</v>
      </c>
    </row>
    <row r="1094" spans="1:1" ht="14.25">
      <c r="A1094" s="47" t="s">
        <v>9753</v>
      </c>
    </row>
    <row r="1095" spans="1:1" ht="14.25">
      <c r="A1095" s="47" t="s">
        <v>9754</v>
      </c>
    </row>
    <row r="1096" spans="1:1" ht="14.25">
      <c r="A1096" s="47" t="s">
        <v>9755</v>
      </c>
    </row>
    <row r="1097" spans="1:1" ht="14.25">
      <c r="A1097" s="47" t="s">
        <v>9756</v>
      </c>
    </row>
    <row r="1098" spans="1:1" ht="14.25">
      <c r="A1098" s="47" t="s">
        <v>9757</v>
      </c>
    </row>
    <row r="1099" spans="1:1" ht="14.25">
      <c r="A1099" s="47" t="s">
        <v>9758</v>
      </c>
    </row>
    <row r="1100" spans="1:1" ht="14.25">
      <c r="A1100" s="47" t="s">
        <v>9759</v>
      </c>
    </row>
    <row r="1101" spans="1:1" ht="14.25">
      <c r="A1101" s="47" t="s">
        <v>9760</v>
      </c>
    </row>
    <row r="1102" spans="1:1" ht="14.25">
      <c r="A1102" s="47" t="s">
        <v>9761</v>
      </c>
    </row>
    <row r="1103" spans="1:1" ht="14.25">
      <c r="A1103" s="47" t="s">
        <v>9762</v>
      </c>
    </row>
    <row r="1104" spans="1:1" ht="14.25">
      <c r="A1104" s="47" t="s">
        <v>9763</v>
      </c>
    </row>
    <row r="1105" spans="1:1" ht="14.25">
      <c r="A1105" s="47" t="s">
        <v>9764</v>
      </c>
    </row>
    <row r="1106" spans="1:1" ht="14.25">
      <c r="A1106" s="47" t="s">
        <v>9765</v>
      </c>
    </row>
    <row r="1107" spans="1:1" ht="14.25">
      <c r="A1107" s="47" t="s">
        <v>9766</v>
      </c>
    </row>
    <row r="1108" spans="1:1" ht="14.25">
      <c r="A1108" s="47" t="s">
        <v>9767</v>
      </c>
    </row>
    <row r="1109" spans="1:1" ht="14.25">
      <c r="A1109" s="47" t="s">
        <v>9768</v>
      </c>
    </row>
    <row r="1110" spans="1:1" ht="14.25">
      <c r="A1110" s="47" t="s">
        <v>9769</v>
      </c>
    </row>
    <row r="1111" spans="1:1" ht="14.25">
      <c r="A1111" s="47" t="s">
        <v>9770</v>
      </c>
    </row>
    <row r="1112" spans="1:1" ht="14.25">
      <c r="A1112" s="47" t="s">
        <v>9771</v>
      </c>
    </row>
    <row r="1113" spans="1:1" ht="14.25">
      <c r="A1113" s="47" t="s">
        <v>9772</v>
      </c>
    </row>
    <row r="1114" spans="1:1" ht="14.25">
      <c r="A1114" s="47" t="s">
        <v>9773</v>
      </c>
    </row>
    <row r="1115" spans="1:1" ht="14.25">
      <c r="A1115" s="47" t="s">
        <v>9774</v>
      </c>
    </row>
    <row r="1116" spans="1:1" ht="14.25">
      <c r="A1116" s="47" t="s">
        <v>9775</v>
      </c>
    </row>
    <row r="1117" spans="1:1" ht="14.25">
      <c r="A1117" s="47" t="s">
        <v>9776</v>
      </c>
    </row>
    <row r="1118" spans="1:1" ht="14.25">
      <c r="A1118" s="47" t="s">
        <v>9777</v>
      </c>
    </row>
    <row r="1119" spans="1:1" ht="14.25">
      <c r="A1119" s="47" t="s">
        <v>9778</v>
      </c>
    </row>
    <row r="1120" spans="1:1" ht="14.25">
      <c r="A1120" s="47" t="s">
        <v>9779</v>
      </c>
    </row>
    <row r="1121" spans="1:1" ht="14.25">
      <c r="A1121" s="47" t="s">
        <v>9780</v>
      </c>
    </row>
    <row r="1122" spans="1:1" ht="14.25">
      <c r="A1122" s="47" t="s">
        <v>9781</v>
      </c>
    </row>
    <row r="1123" spans="1:1" ht="14.25">
      <c r="A1123" s="47" t="s">
        <v>9782</v>
      </c>
    </row>
    <row r="1124" spans="1:1" ht="14.25">
      <c r="A1124" s="47" t="s">
        <v>9783</v>
      </c>
    </row>
    <row r="1125" spans="1:1" ht="14.25">
      <c r="A1125" s="47" t="s">
        <v>9784</v>
      </c>
    </row>
    <row r="1126" spans="1:1" ht="14.25">
      <c r="A1126" s="47" t="s">
        <v>9785</v>
      </c>
    </row>
    <row r="1127" spans="1:1" ht="14.25">
      <c r="A1127" s="47" t="s">
        <v>9786</v>
      </c>
    </row>
    <row r="1128" spans="1:1" ht="14.25">
      <c r="A1128" s="47" t="s">
        <v>9787</v>
      </c>
    </row>
    <row r="1129" spans="1:1" ht="14.25">
      <c r="A1129" s="47" t="s">
        <v>9788</v>
      </c>
    </row>
    <row r="1130" spans="1:1" ht="14.25">
      <c r="A1130" s="47" t="s">
        <v>9789</v>
      </c>
    </row>
    <row r="1131" spans="1:1" ht="14.25">
      <c r="A1131" s="47" t="s">
        <v>9790</v>
      </c>
    </row>
    <row r="1132" spans="1:1" ht="14.25">
      <c r="A1132" s="47" t="s">
        <v>9791</v>
      </c>
    </row>
    <row r="1133" spans="1:1" ht="14.25">
      <c r="A1133" s="47" t="s">
        <v>9792</v>
      </c>
    </row>
    <row r="1134" spans="1:1" ht="14.25">
      <c r="A1134" s="47" t="s">
        <v>9793</v>
      </c>
    </row>
    <row r="1135" spans="1:1" ht="14.25">
      <c r="A1135" s="47" t="s">
        <v>9794</v>
      </c>
    </row>
    <row r="1136" spans="1:1" ht="14.25">
      <c r="A1136" s="47" t="s">
        <v>9795</v>
      </c>
    </row>
    <row r="1137" spans="1:1" ht="14.25">
      <c r="A1137" s="47" t="s">
        <v>9796</v>
      </c>
    </row>
    <row r="1138" spans="1:1" ht="14.25">
      <c r="A1138" s="47" t="s">
        <v>9797</v>
      </c>
    </row>
    <row r="1139" spans="1:1" ht="14.25">
      <c r="A1139" s="47" t="s">
        <v>9798</v>
      </c>
    </row>
    <row r="1140" spans="1:1" ht="14.25">
      <c r="A1140" s="47" t="s">
        <v>9799</v>
      </c>
    </row>
    <row r="1141" spans="1:1" ht="14.25">
      <c r="A1141" s="47" t="s">
        <v>9800</v>
      </c>
    </row>
    <row r="1142" spans="1:1" ht="14.25">
      <c r="A1142" s="47" t="s">
        <v>9801</v>
      </c>
    </row>
    <row r="1143" spans="1:1" ht="14.25">
      <c r="A1143" s="47" t="s">
        <v>9802</v>
      </c>
    </row>
    <row r="1144" spans="1:1" ht="14.25">
      <c r="A1144" s="47" t="s">
        <v>9803</v>
      </c>
    </row>
    <row r="1145" spans="1:1" ht="14.25">
      <c r="A1145" s="47" t="s">
        <v>9804</v>
      </c>
    </row>
    <row r="1146" spans="1:1" ht="14.25">
      <c r="A1146" s="47" t="s">
        <v>9805</v>
      </c>
    </row>
    <row r="1147" spans="1:1" ht="14.25">
      <c r="A1147" s="47" t="s">
        <v>9806</v>
      </c>
    </row>
    <row r="1148" spans="1:1" ht="14.25">
      <c r="A1148" s="47" t="s">
        <v>9807</v>
      </c>
    </row>
    <row r="1149" spans="1:1" ht="14.25">
      <c r="A1149" s="47" t="s">
        <v>9808</v>
      </c>
    </row>
    <row r="1150" spans="1:1" ht="14.25">
      <c r="A1150" s="47" t="s">
        <v>9809</v>
      </c>
    </row>
    <row r="1151" spans="1:1" ht="14.25">
      <c r="A1151" s="47" t="s">
        <v>9810</v>
      </c>
    </row>
    <row r="1152" spans="1:1" ht="14.25">
      <c r="A1152" s="47" t="s">
        <v>9811</v>
      </c>
    </row>
    <row r="1153" spans="1:1" ht="14.25">
      <c r="A1153" s="47" t="s">
        <v>9812</v>
      </c>
    </row>
    <row r="1154" spans="1:1" ht="14.25">
      <c r="A1154" s="47" t="s">
        <v>9813</v>
      </c>
    </row>
    <row r="1155" spans="1:1" ht="14.25">
      <c r="A1155" s="47" t="s">
        <v>9814</v>
      </c>
    </row>
    <row r="1156" spans="1:1" ht="14.25">
      <c r="A1156" s="47" t="s">
        <v>9815</v>
      </c>
    </row>
    <row r="1157" spans="1:1" ht="14.25">
      <c r="A1157" s="47" t="s">
        <v>9816</v>
      </c>
    </row>
    <row r="1158" spans="1:1" ht="14.25">
      <c r="A1158" s="47" t="s">
        <v>9817</v>
      </c>
    </row>
    <row r="1159" spans="1:1" ht="14.25">
      <c r="A1159" s="47" t="s">
        <v>9818</v>
      </c>
    </row>
    <row r="1160" spans="1:1" ht="14.25">
      <c r="A1160" s="47" t="s">
        <v>9819</v>
      </c>
    </row>
    <row r="1161" spans="1:1" ht="14.25">
      <c r="A1161" s="47" t="s">
        <v>9820</v>
      </c>
    </row>
    <row r="1162" spans="1:1" ht="14.25">
      <c r="A1162" s="47" t="s">
        <v>9821</v>
      </c>
    </row>
    <row r="1163" spans="1:1" ht="14.25">
      <c r="A1163" s="47" t="s">
        <v>9822</v>
      </c>
    </row>
    <row r="1164" spans="1:1" ht="14.25">
      <c r="A1164" s="47" t="s">
        <v>9823</v>
      </c>
    </row>
    <row r="1165" spans="1:1" ht="14.25">
      <c r="A1165" s="47" t="s">
        <v>9824</v>
      </c>
    </row>
    <row r="1166" spans="1:1" ht="14.25">
      <c r="A1166" s="47" t="s">
        <v>9825</v>
      </c>
    </row>
    <row r="1167" spans="1:1" ht="14.25">
      <c r="A1167" s="47" t="s">
        <v>9826</v>
      </c>
    </row>
    <row r="1168" spans="1:1" ht="14.25">
      <c r="A1168" s="47" t="s">
        <v>9827</v>
      </c>
    </row>
    <row r="1169" spans="1:1" ht="14.25">
      <c r="A1169" s="47" t="s">
        <v>9828</v>
      </c>
    </row>
    <row r="1170" spans="1:1" ht="14.25">
      <c r="A1170" s="47" t="s">
        <v>9829</v>
      </c>
    </row>
    <row r="1171" spans="1:1" ht="14.25">
      <c r="A1171" s="47" t="s">
        <v>9830</v>
      </c>
    </row>
    <row r="1172" spans="1:1" ht="14.25">
      <c r="A1172" s="47" t="s">
        <v>9831</v>
      </c>
    </row>
    <row r="1173" spans="1:1" ht="14.25">
      <c r="A1173" s="47" t="s">
        <v>9832</v>
      </c>
    </row>
    <row r="1174" spans="1:1" ht="14.25">
      <c r="A1174" s="47" t="s">
        <v>9833</v>
      </c>
    </row>
    <row r="1175" spans="1:1" ht="14.25">
      <c r="A1175" s="47" t="s">
        <v>9834</v>
      </c>
    </row>
    <row r="1176" spans="1:1" ht="14.25">
      <c r="A1176" s="47" t="s">
        <v>9835</v>
      </c>
    </row>
    <row r="1177" spans="1:1" ht="14.25">
      <c r="A1177" s="47" t="s">
        <v>9836</v>
      </c>
    </row>
    <row r="1178" spans="1:1" ht="14.25">
      <c r="A1178" s="47" t="s">
        <v>9837</v>
      </c>
    </row>
    <row r="1179" spans="1:1" ht="14.25">
      <c r="A1179" s="47" t="s">
        <v>9838</v>
      </c>
    </row>
    <row r="1180" spans="1:1" ht="14.25">
      <c r="A1180" s="47" t="s">
        <v>9839</v>
      </c>
    </row>
    <row r="1181" spans="1:1" ht="14.25">
      <c r="A1181" s="47" t="s">
        <v>9840</v>
      </c>
    </row>
    <row r="1182" spans="1:1" ht="14.25">
      <c r="A1182" s="47" t="s">
        <v>9841</v>
      </c>
    </row>
    <row r="1183" spans="1:1" ht="14.25">
      <c r="A1183" s="47" t="s">
        <v>9842</v>
      </c>
    </row>
    <row r="1184" spans="1:1" ht="14.25">
      <c r="A1184" s="47" t="s">
        <v>9843</v>
      </c>
    </row>
    <row r="1185" spans="1:1" ht="14.25">
      <c r="A1185" s="47" t="s">
        <v>9844</v>
      </c>
    </row>
    <row r="1186" spans="1:1" ht="14.25">
      <c r="A1186" s="47" t="s">
        <v>9845</v>
      </c>
    </row>
    <row r="1187" spans="1:1" ht="14.25">
      <c r="A1187" s="47" t="s">
        <v>9846</v>
      </c>
    </row>
    <row r="1188" spans="1:1" ht="14.25">
      <c r="A1188" s="47" t="s">
        <v>9847</v>
      </c>
    </row>
    <row r="1189" spans="1:1" ht="14.25">
      <c r="A1189" s="47" t="s">
        <v>9848</v>
      </c>
    </row>
    <row r="1190" spans="1:1" ht="14.25">
      <c r="A1190" s="47" t="s">
        <v>9849</v>
      </c>
    </row>
    <row r="1191" spans="1:1" ht="14.25">
      <c r="A1191" s="47" t="s">
        <v>9850</v>
      </c>
    </row>
    <row r="1192" spans="1:1" ht="14.25">
      <c r="A1192" s="47" t="s">
        <v>9851</v>
      </c>
    </row>
    <row r="1193" spans="1:1" ht="14.25">
      <c r="A1193" s="47" t="s">
        <v>9852</v>
      </c>
    </row>
    <row r="1194" spans="1:1" ht="14.25">
      <c r="A1194" s="47" t="s">
        <v>9853</v>
      </c>
    </row>
    <row r="1195" spans="1:1" ht="14.25">
      <c r="A1195" s="47" t="s">
        <v>9854</v>
      </c>
    </row>
    <row r="1196" spans="1:1" ht="14.25">
      <c r="A1196" s="47" t="s">
        <v>9855</v>
      </c>
    </row>
    <row r="1197" spans="1:1" ht="14.25">
      <c r="A1197" s="47" t="s">
        <v>9856</v>
      </c>
    </row>
    <row r="1198" spans="1:1" ht="14.25">
      <c r="A1198" s="47" t="s">
        <v>9857</v>
      </c>
    </row>
    <row r="1199" spans="1:1" ht="14.25">
      <c r="A1199" s="47" t="s">
        <v>9858</v>
      </c>
    </row>
    <row r="1200" spans="1:1" ht="14.25">
      <c r="A1200" s="47" t="s">
        <v>9859</v>
      </c>
    </row>
    <row r="1201" spans="1:1" ht="14.25">
      <c r="A1201" s="47" t="s">
        <v>9860</v>
      </c>
    </row>
    <row r="1202" spans="1:1" ht="14.25">
      <c r="A1202" s="47" t="s">
        <v>9861</v>
      </c>
    </row>
    <row r="1203" spans="1:1" ht="14.25">
      <c r="A1203" s="47" t="s">
        <v>9862</v>
      </c>
    </row>
    <row r="1204" spans="1:1" ht="14.25">
      <c r="A1204" s="47" t="s">
        <v>9863</v>
      </c>
    </row>
    <row r="1205" spans="1:1" ht="14.25">
      <c r="A1205" s="47" t="s">
        <v>9864</v>
      </c>
    </row>
    <row r="1206" spans="1:1" ht="14.25">
      <c r="A1206" s="47" t="s">
        <v>9865</v>
      </c>
    </row>
    <row r="1207" spans="1:1" ht="14.25">
      <c r="A1207" s="47" t="s">
        <v>9866</v>
      </c>
    </row>
    <row r="1208" spans="1:1" ht="14.25">
      <c r="A1208" s="47" t="s">
        <v>9867</v>
      </c>
    </row>
    <row r="1209" spans="1:1" ht="14.25">
      <c r="A1209" s="47" t="s">
        <v>9868</v>
      </c>
    </row>
    <row r="1210" spans="1:1" ht="14.25">
      <c r="A1210" s="47" t="s">
        <v>9869</v>
      </c>
    </row>
    <row r="1211" spans="1:1" ht="14.25">
      <c r="A1211" s="47" t="s">
        <v>9870</v>
      </c>
    </row>
    <row r="1212" spans="1:1" ht="14.25">
      <c r="A1212" s="47" t="s">
        <v>9871</v>
      </c>
    </row>
    <row r="1213" spans="1:1" ht="14.25">
      <c r="A1213" s="47" t="s">
        <v>9872</v>
      </c>
    </row>
    <row r="1214" spans="1:1" ht="14.25">
      <c r="A1214" s="47" t="s">
        <v>9873</v>
      </c>
    </row>
    <row r="1215" spans="1:1" ht="14.25">
      <c r="A1215" s="47" t="s">
        <v>9874</v>
      </c>
    </row>
    <row r="1216" spans="1:1" ht="14.25">
      <c r="A1216" s="47" t="s">
        <v>9875</v>
      </c>
    </row>
    <row r="1217" spans="1:1" ht="14.25">
      <c r="A1217" s="47" t="s">
        <v>9876</v>
      </c>
    </row>
    <row r="1218" spans="1:1" ht="14.25">
      <c r="A1218" s="47" t="s">
        <v>9877</v>
      </c>
    </row>
    <row r="1219" spans="1:1" ht="14.25">
      <c r="A1219" s="47" t="s">
        <v>9878</v>
      </c>
    </row>
    <row r="1220" spans="1:1" ht="14.25">
      <c r="A1220" s="47" t="s">
        <v>9879</v>
      </c>
    </row>
    <row r="1221" spans="1:1" ht="14.25">
      <c r="A1221" s="47" t="s">
        <v>9880</v>
      </c>
    </row>
    <row r="1222" spans="1:1" ht="14.25">
      <c r="A1222" s="47" t="s">
        <v>9881</v>
      </c>
    </row>
    <row r="1223" spans="1:1" ht="14.25">
      <c r="A1223" s="47" t="s">
        <v>9882</v>
      </c>
    </row>
    <row r="1224" spans="1:1" ht="14.25">
      <c r="A1224" s="47" t="s">
        <v>9883</v>
      </c>
    </row>
    <row r="1225" spans="1:1" ht="14.25">
      <c r="A1225" s="47" t="s">
        <v>9884</v>
      </c>
    </row>
    <row r="1226" spans="1:1" ht="14.25">
      <c r="A1226" s="47" t="s">
        <v>9885</v>
      </c>
    </row>
    <row r="1227" spans="1:1" ht="14.25">
      <c r="A1227" s="47" t="s">
        <v>9886</v>
      </c>
    </row>
    <row r="1228" spans="1:1" ht="14.25">
      <c r="A1228" s="47" t="s">
        <v>9887</v>
      </c>
    </row>
    <row r="1229" spans="1:1" ht="14.25">
      <c r="A1229" s="47" t="s">
        <v>9888</v>
      </c>
    </row>
    <row r="1230" spans="1:1" ht="14.25">
      <c r="A1230" s="47" t="s">
        <v>9889</v>
      </c>
    </row>
    <row r="1231" spans="1:1" ht="14.25">
      <c r="A1231" s="47" t="s">
        <v>9890</v>
      </c>
    </row>
    <row r="1232" spans="1:1" ht="14.25">
      <c r="A1232" s="47" t="s">
        <v>9891</v>
      </c>
    </row>
    <row r="1233" spans="1:1" ht="14.25">
      <c r="A1233" s="47" t="s">
        <v>9892</v>
      </c>
    </row>
    <row r="1234" spans="1:1" ht="14.25">
      <c r="A1234" s="47" t="s">
        <v>9893</v>
      </c>
    </row>
    <row r="1235" spans="1:1" ht="14.25">
      <c r="A1235" s="47" t="s">
        <v>9894</v>
      </c>
    </row>
    <row r="1236" spans="1:1" ht="14.25">
      <c r="A1236" s="47" t="s">
        <v>9895</v>
      </c>
    </row>
    <row r="1237" spans="1:1" ht="14.25">
      <c r="A1237" s="47" t="s">
        <v>9896</v>
      </c>
    </row>
    <row r="1238" spans="1:1" ht="14.25">
      <c r="A1238" s="47" t="s">
        <v>9897</v>
      </c>
    </row>
    <row r="1239" spans="1:1" ht="14.25">
      <c r="A1239" s="47" t="s">
        <v>9898</v>
      </c>
    </row>
    <row r="1240" spans="1:1" ht="14.25">
      <c r="A1240" s="47" t="s">
        <v>9899</v>
      </c>
    </row>
    <row r="1241" spans="1:1" ht="14.25">
      <c r="A1241" s="47" t="s">
        <v>9900</v>
      </c>
    </row>
    <row r="1242" spans="1:1" ht="14.25">
      <c r="A1242" s="47" t="s">
        <v>9901</v>
      </c>
    </row>
    <row r="1243" spans="1:1" ht="14.25">
      <c r="A1243" s="47" t="s">
        <v>9902</v>
      </c>
    </row>
    <row r="1244" spans="1:1" ht="14.25">
      <c r="A1244" s="47" t="s">
        <v>9903</v>
      </c>
    </row>
    <row r="1245" spans="1:1" ht="14.25">
      <c r="A1245" s="47" t="s">
        <v>9904</v>
      </c>
    </row>
    <row r="1246" spans="1:1" ht="14.25">
      <c r="A1246" s="47" t="s">
        <v>9905</v>
      </c>
    </row>
    <row r="1247" spans="1:1" ht="14.25">
      <c r="A1247" s="47" t="s">
        <v>9906</v>
      </c>
    </row>
    <row r="1248" spans="1:1" ht="14.25">
      <c r="A1248" s="47" t="s">
        <v>9907</v>
      </c>
    </row>
    <row r="1249" spans="1:1" ht="14.25">
      <c r="A1249" s="47" t="s">
        <v>9908</v>
      </c>
    </row>
    <row r="1250" spans="1:1" ht="14.25">
      <c r="A1250" s="47" t="s">
        <v>9909</v>
      </c>
    </row>
    <row r="1251" spans="1:1" ht="14.25">
      <c r="A1251" s="47" t="s">
        <v>9910</v>
      </c>
    </row>
    <row r="1252" spans="1:1" ht="14.25">
      <c r="A1252" s="47" t="s">
        <v>9911</v>
      </c>
    </row>
    <row r="1253" spans="1:1" ht="14.25">
      <c r="A1253" s="47" t="s">
        <v>9912</v>
      </c>
    </row>
    <row r="1254" spans="1:1" ht="14.25">
      <c r="A1254" s="47" t="s">
        <v>9913</v>
      </c>
    </row>
    <row r="1255" spans="1:1" ht="14.25">
      <c r="A1255" s="47" t="s">
        <v>9914</v>
      </c>
    </row>
    <row r="1256" spans="1:1" ht="14.25">
      <c r="A1256" s="47" t="s">
        <v>9915</v>
      </c>
    </row>
    <row r="1257" spans="1:1" ht="14.25">
      <c r="A1257" s="47" t="s">
        <v>9916</v>
      </c>
    </row>
    <row r="1258" spans="1:1" ht="14.25">
      <c r="A1258" s="47" t="s">
        <v>9917</v>
      </c>
    </row>
    <row r="1259" spans="1:1" ht="14.25">
      <c r="A1259" s="47" t="s">
        <v>9918</v>
      </c>
    </row>
    <row r="1260" spans="1:1" ht="14.25">
      <c r="A1260" s="47" t="s">
        <v>9919</v>
      </c>
    </row>
    <row r="1261" spans="1:1" ht="14.25">
      <c r="A1261" s="47" t="s">
        <v>9920</v>
      </c>
    </row>
    <row r="1262" spans="1:1" ht="14.25">
      <c r="A1262" s="47" t="s">
        <v>9921</v>
      </c>
    </row>
    <row r="1263" spans="1:1" ht="14.25">
      <c r="A1263" s="47" t="s">
        <v>9922</v>
      </c>
    </row>
    <row r="1264" spans="1:1" ht="14.25">
      <c r="A1264" s="47" t="s">
        <v>9923</v>
      </c>
    </row>
    <row r="1265" spans="1:1" ht="14.25">
      <c r="A1265" s="47" t="s">
        <v>9924</v>
      </c>
    </row>
    <row r="1266" spans="1:1" ht="14.25">
      <c r="A1266" s="47" t="s">
        <v>9925</v>
      </c>
    </row>
    <row r="1267" spans="1:1" ht="14.25">
      <c r="A1267" s="47" t="s">
        <v>9926</v>
      </c>
    </row>
    <row r="1268" spans="1:1" ht="14.25">
      <c r="A1268" s="47" t="s">
        <v>9927</v>
      </c>
    </row>
    <row r="1269" spans="1:1" ht="14.25">
      <c r="A1269" s="47" t="s">
        <v>9928</v>
      </c>
    </row>
    <row r="1270" spans="1:1" ht="14.25">
      <c r="A1270" s="47" t="s">
        <v>9929</v>
      </c>
    </row>
    <row r="1271" spans="1:1" ht="14.25">
      <c r="A1271" s="47" t="s">
        <v>9930</v>
      </c>
    </row>
    <row r="1272" spans="1:1" ht="14.25">
      <c r="A1272" s="47" t="s">
        <v>9931</v>
      </c>
    </row>
    <row r="1273" spans="1:1" ht="14.25">
      <c r="A1273" s="47" t="s">
        <v>9932</v>
      </c>
    </row>
    <row r="1274" spans="1:1" ht="14.25">
      <c r="A1274" s="47" t="s">
        <v>9933</v>
      </c>
    </row>
    <row r="1275" spans="1:1" ht="14.25">
      <c r="A1275" s="47" t="s">
        <v>9934</v>
      </c>
    </row>
    <row r="1276" spans="1:1" ht="14.25">
      <c r="A1276" s="47" t="s">
        <v>9935</v>
      </c>
    </row>
    <row r="1277" spans="1:1" ht="14.25">
      <c r="A1277" s="47" t="s">
        <v>9936</v>
      </c>
    </row>
    <row r="1278" spans="1:1" ht="14.25">
      <c r="A1278" s="47" t="s">
        <v>9937</v>
      </c>
    </row>
    <row r="1279" spans="1:1" ht="14.25">
      <c r="A1279" s="47" t="s">
        <v>9938</v>
      </c>
    </row>
    <row r="1280" spans="1:1" ht="14.25">
      <c r="A1280" s="47" t="s">
        <v>9939</v>
      </c>
    </row>
    <row r="1281" spans="1:1" ht="14.25">
      <c r="A1281" s="47" t="s">
        <v>9940</v>
      </c>
    </row>
    <row r="1282" spans="1:1" ht="14.25">
      <c r="A1282" s="47" t="s">
        <v>9941</v>
      </c>
    </row>
    <row r="1283" spans="1:1" ht="14.25">
      <c r="A1283" s="47" t="s">
        <v>9942</v>
      </c>
    </row>
    <row r="1284" spans="1:1" ht="14.25">
      <c r="A1284" s="47" t="s">
        <v>9943</v>
      </c>
    </row>
    <row r="1285" spans="1:1" ht="14.25">
      <c r="A1285" s="47" t="s">
        <v>9944</v>
      </c>
    </row>
    <row r="1286" spans="1:1" ht="14.25">
      <c r="A1286" s="47" t="s">
        <v>9945</v>
      </c>
    </row>
    <row r="1287" spans="1:1" ht="14.25">
      <c r="A1287" s="47" t="s">
        <v>9946</v>
      </c>
    </row>
    <row r="1288" spans="1:1" ht="14.25">
      <c r="A1288" s="47" t="s">
        <v>9947</v>
      </c>
    </row>
    <row r="1289" spans="1:1" ht="14.25">
      <c r="A1289" s="47" t="s">
        <v>9948</v>
      </c>
    </row>
    <row r="1290" spans="1:1" ht="14.25">
      <c r="A1290" s="47" t="s">
        <v>9949</v>
      </c>
    </row>
    <row r="1291" spans="1:1" ht="14.25">
      <c r="A1291" s="47" t="s">
        <v>9950</v>
      </c>
    </row>
    <row r="1292" spans="1:1" ht="14.25">
      <c r="A1292" s="47" t="s">
        <v>9951</v>
      </c>
    </row>
    <row r="1293" spans="1:1" ht="14.25">
      <c r="A1293" s="47" t="s">
        <v>9952</v>
      </c>
    </row>
    <row r="1294" spans="1:1" ht="14.25">
      <c r="A1294" s="47" t="s">
        <v>9953</v>
      </c>
    </row>
    <row r="1295" spans="1:1" ht="14.25">
      <c r="A1295" s="47" t="s">
        <v>9954</v>
      </c>
    </row>
    <row r="1296" spans="1:1" ht="14.25">
      <c r="A1296" s="47" t="s">
        <v>9955</v>
      </c>
    </row>
    <row r="1297" spans="1:1" ht="14.25">
      <c r="A1297" s="47" t="s">
        <v>9956</v>
      </c>
    </row>
    <row r="1298" spans="1:1" ht="14.25">
      <c r="A1298" s="47" t="s">
        <v>9957</v>
      </c>
    </row>
    <row r="1299" spans="1:1" ht="14.25">
      <c r="A1299" s="47" t="s">
        <v>9958</v>
      </c>
    </row>
    <row r="1300" spans="1:1" ht="14.25">
      <c r="A1300" s="47" t="s">
        <v>9959</v>
      </c>
    </row>
    <row r="1301" spans="1:1" ht="14.25">
      <c r="A1301" s="47" t="s">
        <v>9960</v>
      </c>
    </row>
    <row r="1302" spans="1:1" ht="14.25">
      <c r="A1302" s="47" t="s">
        <v>9961</v>
      </c>
    </row>
    <row r="1303" spans="1:1" ht="14.25">
      <c r="A1303" s="47" t="s">
        <v>9962</v>
      </c>
    </row>
    <row r="1304" spans="1:1" ht="14.25">
      <c r="A1304" s="47" t="s">
        <v>9963</v>
      </c>
    </row>
    <row r="1305" spans="1:1" ht="14.25">
      <c r="A1305" s="47" t="s">
        <v>9964</v>
      </c>
    </row>
    <row r="1306" spans="1:1" ht="14.25">
      <c r="A1306" s="47" t="s">
        <v>9965</v>
      </c>
    </row>
    <row r="1307" spans="1:1" ht="14.25">
      <c r="A1307" s="47" t="s">
        <v>9966</v>
      </c>
    </row>
    <row r="1308" spans="1:1" ht="14.25">
      <c r="A1308" s="47" t="s">
        <v>9967</v>
      </c>
    </row>
    <row r="1309" spans="1:1" ht="14.25">
      <c r="A1309" s="47" t="s">
        <v>9968</v>
      </c>
    </row>
    <row r="1310" spans="1:1" ht="14.25">
      <c r="A1310" s="47" t="s">
        <v>9969</v>
      </c>
    </row>
    <row r="1311" spans="1:1" ht="14.25">
      <c r="A1311" s="47" t="s">
        <v>9970</v>
      </c>
    </row>
    <row r="1312" spans="1:1" ht="14.25">
      <c r="A1312" s="47" t="s">
        <v>9971</v>
      </c>
    </row>
    <row r="1313" spans="1:1" ht="14.25">
      <c r="A1313" s="47" t="s">
        <v>9972</v>
      </c>
    </row>
    <row r="1314" spans="1:1" ht="14.25">
      <c r="A1314" s="47" t="s">
        <v>9973</v>
      </c>
    </row>
    <row r="1315" spans="1:1" ht="14.25">
      <c r="A1315" s="47" t="s">
        <v>9974</v>
      </c>
    </row>
    <row r="1316" spans="1:1" ht="14.25">
      <c r="A1316" s="47" t="s">
        <v>9975</v>
      </c>
    </row>
    <row r="1317" spans="1:1" ht="14.25">
      <c r="A1317" s="47" t="s">
        <v>9976</v>
      </c>
    </row>
    <row r="1318" spans="1:1" ht="14.25">
      <c r="A1318" s="47" t="s">
        <v>9977</v>
      </c>
    </row>
    <row r="1319" spans="1:1" ht="14.25">
      <c r="A1319" s="47" t="s">
        <v>9978</v>
      </c>
    </row>
    <row r="1320" spans="1:1" ht="14.25">
      <c r="A1320" s="47" t="s">
        <v>9979</v>
      </c>
    </row>
    <row r="1321" spans="1:1" ht="14.25">
      <c r="A1321" s="47" t="s">
        <v>9980</v>
      </c>
    </row>
    <row r="1322" spans="1:1" ht="14.25">
      <c r="A1322" s="47" t="s">
        <v>9981</v>
      </c>
    </row>
    <row r="1323" spans="1:1" ht="14.25">
      <c r="A1323" s="47" t="s">
        <v>9982</v>
      </c>
    </row>
    <row r="1324" spans="1:1" ht="14.25">
      <c r="A1324" s="47" t="s">
        <v>9983</v>
      </c>
    </row>
    <row r="1325" spans="1:1" ht="14.25">
      <c r="A1325" s="47" t="s">
        <v>9984</v>
      </c>
    </row>
    <row r="1326" spans="1:1" ht="14.25">
      <c r="A1326" s="47" t="s">
        <v>9985</v>
      </c>
    </row>
    <row r="1327" spans="1:1" ht="14.25">
      <c r="A1327" s="47" t="s">
        <v>9986</v>
      </c>
    </row>
    <row r="1328" spans="1:1" ht="14.25">
      <c r="A1328" s="47" t="s">
        <v>9987</v>
      </c>
    </row>
    <row r="1329" spans="1:1" ht="14.25">
      <c r="A1329" s="47" t="s">
        <v>9988</v>
      </c>
    </row>
    <row r="1330" spans="1:1" ht="14.25">
      <c r="A1330" s="47" t="s">
        <v>9989</v>
      </c>
    </row>
    <row r="1331" spans="1:1" ht="14.25">
      <c r="A1331" s="47" t="s">
        <v>9990</v>
      </c>
    </row>
    <row r="1332" spans="1:1" ht="14.25">
      <c r="A1332" s="47" t="s">
        <v>9991</v>
      </c>
    </row>
    <row r="1333" spans="1:1" ht="14.25">
      <c r="A1333" s="47" t="s">
        <v>9992</v>
      </c>
    </row>
    <row r="1334" spans="1:1" ht="14.25">
      <c r="A1334" s="47" t="s">
        <v>9993</v>
      </c>
    </row>
    <row r="1335" spans="1:1" ht="14.25">
      <c r="A1335" s="47" t="s">
        <v>9994</v>
      </c>
    </row>
    <row r="1336" spans="1:1" ht="14.25">
      <c r="A1336" s="47" t="s">
        <v>9995</v>
      </c>
    </row>
    <row r="1337" spans="1:1" ht="14.25">
      <c r="A1337" s="47" t="s">
        <v>9996</v>
      </c>
    </row>
    <row r="1338" spans="1:1" ht="14.25">
      <c r="A1338" s="47" t="s">
        <v>9997</v>
      </c>
    </row>
    <row r="1339" spans="1:1" ht="14.25">
      <c r="A1339" s="47" t="s">
        <v>9998</v>
      </c>
    </row>
    <row r="1340" spans="1:1" ht="14.25">
      <c r="A1340" s="47" t="s">
        <v>9999</v>
      </c>
    </row>
    <row r="1341" spans="1:1" ht="14.25">
      <c r="A1341" s="47" t="s">
        <v>10000</v>
      </c>
    </row>
    <row r="1342" spans="1:1" ht="14.25">
      <c r="A1342" s="47" t="s">
        <v>10001</v>
      </c>
    </row>
    <row r="1343" spans="1:1" ht="14.25">
      <c r="A1343" s="47" t="s">
        <v>10002</v>
      </c>
    </row>
    <row r="1344" spans="1:1" ht="14.25">
      <c r="A1344" s="47" t="s">
        <v>10003</v>
      </c>
    </row>
    <row r="1345" spans="1:1" ht="14.25">
      <c r="A1345" s="47" t="s">
        <v>10004</v>
      </c>
    </row>
    <row r="1346" spans="1:1" ht="14.25">
      <c r="A1346" s="47" t="s">
        <v>10005</v>
      </c>
    </row>
    <row r="1347" spans="1:1" ht="14.25">
      <c r="A1347" s="47" t="s">
        <v>10006</v>
      </c>
    </row>
    <row r="1348" spans="1:1" ht="14.25">
      <c r="A1348" s="47" t="s">
        <v>10007</v>
      </c>
    </row>
    <row r="1349" spans="1:1" ht="14.25">
      <c r="A1349" s="47" t="s">
        <v>10008</v>
      </c>
    </row>
    <row r="1350" spans="1:1" ht="14.25">
      <c r="A1350" s="47" t="s">
        <v>10009</v>
      </c>
    </row>
    <row r="1351" spans="1:1" ht="14.25">
      <c r="A1351" s="47" t="s">
        <v>10010</v>
      </c>
    </row>
    <row r="1352" spans="1:1" ht="14.25">
      <c r="A1352" s="47" t="s">
        <v>10011</v>
      </c>
    </row>
    <row r="1353" spans="1:1" ht="14.25">
      <c r="A1353" s="47" t="s">
        <v>10012</v>
      </c>
    </row>
    <row r="1354" spans="1:1" ht="14.25">
      <c r="A1354" s="47" t="s">
        <v>10013</v>
      </c>
    </row>
    <row r="1355" spans="1:1" ht="14.25">
      <c r="A1355" s="47" t="s">
        <v>10014</v>
      </c>
    </row>
    <row r="1356" spans="1:1" ht="14.25">
      <c r="A1356" s="47" t="s">
        <v>10015</v>
      </c>
    </row>
    <row r="1357" spans="1:1" ht="14.25">
      <c r="A1357" s="47" t="s">
        <v>10016</v>
      </c>
    </row>
    <row r="1358" spans="1:1" ht="14.25">
      <c r="A1358" s="47" t="s">
        <v>10017</v>
      </c>
    </row>
    <row r="1359" spans="1:1" ht="14.25">
      <c r="A1359" s="47" t="s">
        <v>10018</v>
      </c>
    </row>
    <row r="1360" spans="1:1" ht="14.25">
      <c r="A1360" s="47" t="s">
        <v>10019</v>
      </c>
    </row>
    <row r="1361" spans="1:1" ht="14.25">
      <c r="A1361" s="47" t="s">
        <v>10020</v>
      </c>
    </row>
    <row r="1362" spans="1:1" ht="14.25">
      <c r="A1362" s="47" t="s">
        <v>10021</v>
      </c>
    </row>
    <row r="1363" spans="1:1" ht="14.25">
      <c r="A1363" s="47" t="s">
        <v>10022</v>
      </c>
    </row>
    <row r="1364" spans="1:1" ht="14.25">
      <c r="A1364" s="47" t="s">
        <v>10023</v>
      </c>
    </row>
    <row r="1365" spans="1:1" ht="14.25">
      <c r="A1365" s="47" t="s">
        <v>10024</v>
      </c>
    </row>
    <row r="1366" spans="1:1" ht="14.25">
      <c r="A1366" s="47" t="s">
        <v>10025</v>
      </c>
    </row>
    <row r="1367" spans="1:1" ht="14.25">
      <c r="A1367" s="47" t="s">
        <v>10026</v>
      </c>
    </row>
    <row r="1368" spans="1:1" ht="14.25">
      <c r="A1368" s="47" t="s">
        <v>10027</v>
      </c>
    </row>
    <row r="1369" spans="1:1" ht="14.25">
      <c r="A1369" s="47" t="s">
        <v>10028</v>
      </c>
    </row>
    <row r="1370" spans="1:1" ht="14.25">
      <c r="A1370" s="47" t="s">
        <v>10029</v>
      </c>
    </row>
    <row r="1371" spans="1:1" ht="14.25">
      <c r="A1371" s="47" t="s">
        <v>10030</v>
      </c>
    </row>
    <row r="1372" spans="1:1" ht="14.25">
      <c r="A1372" s="47" t="s">
        <v>10031</v>
      </c>
    </row>
    <row r="1373" spans="1:1" ht="14.25">
      <c r="A1373" s="47" t="s">
        <v>10032</v>
      </c>
    </row>
    <row r="1374" spans="1:1" ht="14.25">
      <c r="A1374" s="47" t="s">
        <v>10033</v>
      </c>
    </row>
    <row r="1375" spans="1:1" ht="14.25">
      <c r="A1375" s="47" t="s">
        <v>10034</v>
      </c>
    </row>
    <row r="1376" spans="1:1" ht="14.25">
      <c r="A1376" s="47" t="s">
        <v>10035</v>
      </c>
    </row>
    <row r="1377" spans="1:1" ht="14.25">
      <c r="A1377" s="47" t="s">
        <v>10036</v>
      </c>
    </row>
    <row r="1378" spans="1:1" ht="14.25">
      <c r="A1378" s="47" t="s">
        <v>10037</v>
      </c>
    </row>
    <row r="1379" spans="1:1" ht="14.25">
      <c r="A1379" s="47" t="s">
        <v>10038</v>
      </c>
    </row>
    <row r="1380" spans="1:1" ht="14.25">
      <c r="A1380" s="47" t="s">
        <v>10039</v>
      </c>
    </row>
    <row r="1381" spans="1:1" ht="14.25">
      <c r="A1381" s="47" t="s">
        <v>10040</v>
      </c>
    </row>
    <row r="1382" spans="1:1" ht="14.25">
      <c r="A1382" s="47" t="s">
        <v>10041</v>
      </c>
    </row>
    <row r="1383" spans="1:1" ht="14.25">
      <c r="A1383" s="47" t="s">
        <v>10042</v>
      </c>
    </row>
    <row r="1384" spans="1:1" ht="14.25">
      <c r="A1384" s="47" t="s">
        <v>10043</v>
      </c>
    </row>
    <row r="1385" spans="1:1" ht="14.25">
      <c r="A1385" s="47" t="s">
        <v>10044</v>
      </c>
    </row>
    <row r="1386" spans="1:1" ht="14.25">
      <c r="A1386" s="47" t="s">
        <v>10045</v>
      </c>
    </row>
    <row r="1387" spans="1:1" ht="14.25">
      <c r="A1387" s="47" t="s">
        <v>10046</v>
      </c>
    </row>
    <row r="1388" spans="1:1" ht="14.25">
      <c r="A1388" s="47" t="s">
        <v>10047</v>
      </c>
    </row>
    <row r="1389" spans="1:1" ht="14.25">
      <c r="A1389" s="47" t="s">
        <v>10048</v>
      </c>
    </row>
    <row r="1390" spans="1:1" ht="14.25">
      <c r="A1390" s="47" t="s">
        <v>10049</v>
      </c>
    </row>
    <row r="1391" spans="1:1" ht="14.25">
      <c r="A1391" s="47" t="s">
        <v>10050</v>
      </c>
    </row>
    <row r="1392" spans="1:1" ht="14.25">
      <c r="A1392" s="47" t="s">
        <v>10051</v>
      </c>
    </row>
    <row r="1393" spans="1:1" ht="14.25">
      <c r="A1393" s="47" t="s">
        <v>10052</v>
      </c>
    </row>
    <row r="1394" spans="1:1" ht="14.25">
      <c r="A1394" s="47" t="s">
        <v>10053</v>
      </c>
    </row>
    <row r="1395" spans="1:1" ht="14.25">
      <c r="A1395" s="47" t="s">
        <v>10054</v>
      </c>
    </row>
    <row r="1396" spans="1:1" ht="14.25">
      <c r="A1396" s="47" t="s">
        <v>10055</v>
      </c>
    </row>
    <row r="1397" spans="1:1" ht="14.25">
      <c r="A1397" s="47" t="s">
        <v>10056</v>
      </c>
    </row>
    <row r="1398" spans="1:1" ht="14.25">
      <c r="A1398" s="47" t="s">
        <v>10057</v>
      </c>
    </row>
    <row r="1399" spans="1:1" ht="14.25">
      <c r="A1399" s="47" t="s">
        <v>10058</v>
      </c>
    </row>
    <row r="1400" spans="1:1" ht="14.25">
      <c r="A1400" s="47" t="s">
        <v>10059</v>
      </c>
    </row>
    <row r="1401" spans="1:1" ht="14.25">
      <c r="A1401" s="47" t="s">
        <v>10060</v>
      </c>
    </row>
    <row r="1402" spans="1:1" ht="14.25">
      <c r="A1402" s="47" t="s">
        <v>10061</v>
      </c>
    </row>
    <row r="1403" spans="1:1" ht="14.25">
      <c r="A1403" s="47" t="s">
        <v>10062</v>
      </c>
    </row>
    <row r="1404" spans="1:1" ht="14.25">
      <c r="A1404" s="47" t="s">
        <v>10063</v>
      </c>
    </row>
    <row r="1405" spans="1:1" ht="14.25">
      <c r="A1405" s="47" t="s">
        <v>10064</v>
      </c>
    </row>
    <row r="1406" spans="1:1" ht="14.25">
      <c r="A1406" s="47" t="s">
        <v>10065</v>
      </c>
    </row>
    <row r="1407" spans="1:1" ht="14.25">
      <c r="A1407" s="47" t="s">
        <v>10066</v>
      </c>
    </row>
    <row r="1408" spans="1:1" ht="14.25">
      <c r="A1408" s="47" t="s">
        <v>10067</v>
      </c>
    </row>
    <row r="1409" spans="1:1" ht="14.25">
      <c r="A1409" s="47" t="s">
        <v>10068</v>
      </c>
    </row>
    <row r="1410" spans="1:1" ht="14.25">
      <c r="A1410" s="47" t="s">
        <v>10069</v>
      </c>
    </row>
    <row r="1411" spans="1:1" ht="14.25">
      <c r="A1411" s="47" t="s">
        <v>10070</v>
      </c>
    </row>
    <row r="1412" spans="1:1" ht="14.25">
      <c r="A1412" s="47" t="s">
        <v>10071</v>
      </c>
    </row>
    <row r="1413" spans="1:1" ht="14.25">
      <c r="A1413" s="47" t="s">
        <v>10072</v>
      </c>
    </row>
    <row r="1414" spans="1:1" ht="14.25">
      <c r="A1414" s="47" t="s">
        <v>10073</v>
      </c>
    </row>
    <row r="1415" spans="1:1" ht="14.25">
      <c r="A1415" s="47" t="s">
        <v>10074</v>
      </c>
    </row>
    <row r="1416" spans="1:1" ht="14.25">
      <c r="A1416" s="47" t="s">
        <v>10075</v>
      </c>
    </row>
    <row r="1417" spans="1:1" ht="14.25">
      <c r="A1417" s="47" t="s">
        <v>10076</v>
      </c>
    </row>
    <row r="1418" spans="1:1" ht="14.25">
      <c r="A1418" s="47" t="s">
        <v>10077</v>
      </c>
    </row>
    <row r="1419" spans="1:1" ht="14.25">
      <c r="A1419" s="47" t="s">
        <v>10078</v>
      </c>
    </row>
    <row r="1420" spans="1:1" ht="14.25">
      <c r="A1420" s="47" t="s">
        <v>10079</v>
      </c>
    </row>
    <row r="1421" spans="1:1" ht="14.25">
      <c r="A1421" s="47" t="s">
        <v>10080</v>
      </c>
    </row>
    <row r="1422" spans="1:1" ht="14.25">
      <c r="A1422" s="47" t="s">
        <v>10081</v>
      </c>
    </row>
    <row r="1423" spans="1:1" ht="14.25">
      <c r="A1423" s="47" t="s">
        <v>10082</v>
      </c>
    </row>
    <row r="1424" spans="1:1" ht="14.25">
      <c r="A1424" s="47" t="s">
        <v>10083</v>
      </c>
    </row>
    <row r="1425" spans="1:1" ht="14.25">
      <c r="A1425" s="47" t="s">
        <v>10084</v>
      </c>
    </row>
    <row r="1426" spans="1:1" ht="14.25">
      <c r="A1426" s="47" t="s">
        <v>10085</v>
      </c>
    </row>
    <row r="1427" spans="1:1" ht="14.25">
      <c r="A1427" s="47" t="s">
        <v>10086</v>
      </c>
    </row>
    <row r="1428" spans="1:1" ht="14.25">
      <c r="A1428" s="47" t="s">
        <v>10087</v>
      </c>
    </row>
    <row r="1429" spans="1:1" ht="14.25">
      <c r="A1429" s="47" t="s">
        <v>10088</v>
      </c>
    </row>
    <row r="1430" spans="1:1" ht="14.25">
      <c r="A1430" s="47" t="s">
        <v>10089</v>
      </c>
    </row>
    <row r="1431" spans="1:1" ht="14.25">
      <c r="A1431" s="47" t="s">
        <v>10090</v>
      </c>
    </row>
    <row r="1432" spans="1:1" ht="14.25">
      <c r="A1432" s="47" t="s">
        <v>10091</v>
      </c>
    </row>
    <row r="1433" spans="1:1" ht="14.25">
      <c r="A1433" s="47" t="s">
        <v>10092</v>
      </c>
    </row>
    <row r="1434" spans="1:1" ht="14.25">
      <c r="A1434" s="47" t="s">
        <v>10093</v>
      </c>
    </row>
    <row r="1435" spans="1:1" ht="14.25">
      <c r="A1435" s="47" t="s">
        <v>10094</v>
      </c>
    </row>
    <row r="1436" spans="1:1" ht="14.25">
      <c r="A1436" s="47" t="s">
        <v>10095</v>
      </c>
    </row>
    <row r="1437" spans="1:1" ht="14.25">
      <c r="A1437" s="47" t="s">
        <v>10096</v>
      </c>
    </row>
    <row r="1438" spans="1:1" ht="14.25">
      <c r="A1438" s="47" t="s">
        <v>10097</v>
      </c>
    </row>
    <row r="1439" spans="1:1" ht="14.25">
      <c r="A1439" s="47" t="s">
        <v>10098</v>
      </c>
    </row>
    <row r="1440" spans="1:1" ht="14.25">
      <c r="A1440" s="47" t="s">
        <v>10099</v>
      </c>
    </row>
    <row r="1441" spans="1:1" ht="14.25">
      <c r="A1441" s="47" t="s">
        <v>10100</v>
      </c>
    </row>
    <row r="1442" spans="1:1" ht="14.25">
      <c r="A1442" s="47" t="s">
        <v>10101</v>
      </c>
    </row>
    <row r="1443" spans="1:1" ht="14.25">
      <c r="A1443" s="47" t="s">
        <v>10102</v>
      </c>
    </row>
    <row r="1444" spans="1:1" ht="14.25">
      <c r="A1444" s="47" t="s">
        <v>10103</v>
      </c>
    </row>
    <row r="1445" spans="1:1" ht="14.25">
      <c r="A1445" s="47" t="s">
        <v>10104</v>
      </c>
    </row>
    <row r="1446" spans="1:1" ht="14.25">
      <c r="A1446" s="47" t="s">
        <v>10105</v>
      </c>
    </row>
    <row r="1447" spans="1:1" ht="14.25">
      <c r="A1447" s="47" t="s">
        <v>10106</v>
      </c>
    </row>
    <row r="1448" spans="1:1" ht="14.25">
      <c r="A1448" s="47" t="s">
        <v>10107</v>
      </c>
    </row>
    <row r="1449" spans="1:1" ht="14.25">
      <c r="A1449" s="47" t="s">
        <v>10108</v>
      </c>
    </row>
    <row r="1450" spans="1:1" ht="14.25">
      <c r="A1450" s="47" t="s">
        <v>10109</v>
      </c>
    </row>
    <row r="1451" spans="1:1" ht="14.25">
      <c r="A1451" s="47" t="s">
        <v>10110</v>
      </c>
    </row>
    <row r="1452" spans="1:1" ht="14.25">
      <c r="A1452" s="47" t="s">
        <v>10111</v>
      </c>
    </row>
    <row r="1453" spans="1:1" ht="14.25">
      <c r="A1453" s="47" t="s">
        <v>10112</v>
      </c>
    </row>
    <row r="1454" spans="1:1" ht="14.25">
      <c r="A1454" s="47" t="s">
        <v>10113</v>
      </c>
    </row>
    <row r="1455" spans="1:1" ht="14.25">
      <c r="A1455" s="47" t="s">
        <v>10114</v>
      </c>
    </row>
    <row r="1456" spans="1:1" ht="14.25">
      <c r="A1456" s="47" t="s">
        <v>10115</v>
      </c>
    </row>
    <row r="1457" spans="1:1" ht="14.25">
      <c r="A1457" s="47" t="s">
        <v>10116</v>
      </c>
    </row>
    <row r="1458" spans="1:1" ht="14.25">
      <c r="A1458" s="47" t="s">
        <v>10117</v>
      </c>
    </row>
    <row r="1459" spans="1:1" ht="14.25">
      <c r="A1459" s="47" t="s">
        <v>10118</v>
      </c>
    </row>
    <row r="1460" spans="1:1" ht="14.25">
      <c r="A1460" s="47" t="s">
        <v>10119</v>
      </c>
    </row>
    <row r="1461" spans="1:1" ht="14.25">
      <c r="A1461" s="47" t="s">
        <v>10120</v>
      </c>
    </row>
    <row r="1462" spans="1:1" ht="14.25">
      <c r="A1462" s="47" t="s">
        <v>10121</v>
      </c>
    </row>
    <row r="1463" spans="1:1" ht="14.25">
      <c r="A1463" s="47" t="s">
        <v>10122</v>
      </c>
    </row>
    <row r="1464" spans="1:1" ht="14.25">
      <c r="A1464" s="47" t="s">
        <v>10123</v>
      </c>
    </row>
    <row r="1465" spans="1:1" ht="14.25">
      <c r="A1465" s="47" t="s">
        <v>10124</v>
      </c>
    </row>
    <row r="1466" spans="1:1" ht="14.25">
      <c r="A1466" s="47" t="s">
        <v>10125</v>
      </c>
    </row>
    <row r="1467" spans="1:1" ht="14.25">
      <c r="A1467" s="47" t="s">
        <v>10126</v>
      </c>
    </row>
    <row r="1468" spans="1:1" ht="14.25">
      <c r="A1468" s="47" t="s">
        <v>10127</v>
      </c>
    </row>
    <row r="1469" spans="1:1" ht="14.25">
      <c r="A1469" s="47" t="s">
        <v>10128</v>
      </c>
    </row>
    <row r="1470" spans="1:1" ht="14.25">
      <c r="A1470" s="47" t="s">
        <v>10129</v>
      </c>
    </row>
    <row r="1471" spans="1:1" ht="14.25">
      <c r="A1471" s="47" t="s">
        <v>10130</v>
      </c>
    </row>
    <row r="1472" spans="1:1" ht="14.25">
      <c r="A1472" s="47" t="s">
        <v>10131</v>
      </c>
    </row>
    <row r="1473" spans="1:1" ht="14.25">
      <c r="A1473" s="47" t="s">
        <v>10132</v>
      </c>
    </row>
    <row r="1474" spans="1:1" ht="14.25">
      <c r="A1474" s="47" t="s">
        <v>10133</v>
      </c>
    </row>
    <row r="1475" spans="1:1" ht="14.25">
      <c r="A1475" s="47" t="s">
        <v>10134</v>
      </c>
    </row>
    <row r="1476" spans="1:1" ht="14.25">
      <c r="A1476" s="47" t="s">
        <v>10135</v>
      </c>
    </row>
    <row r="1477" spans="1:1" ht="14.25">
      <c r="A1477" s="47" t="s">
        <v>10136</v>
      </c>
    </row>
    <row r="1478" spans="1:1" ht="14.25">
      <c r="A1478" s="47" t="s">
        <v>10137</v>
      </c>
    </row>
    <row r="1479" spans="1:1" ht="14.25">
      <c r="A1479" s="47" t="s">
        <v>10138</v>
      </c>
    </row>
    <row r="1480" spans="1:1" ht="14.25">
      <c r="A1480" s="47" t="s">
        <v>10139</v>
      </c>
    </row>
    <row r="1481" spans="1:1" ht="14.25">
      <c r="A1481" s="47" t="s">
        <v>10140</v>
      </c>
    </row>
    <row r="1482" spans="1:1" ht="14.25">
      <c r="A1482" s="47" t="s">
        <v>10141</v>
      </c>
    </row>
    <row r="1483" spans="1:1" ht="14.25">
      <c r="A1483" s="47" t="s">
        <v>10142</v>
      </c>
    </row>
    <row r="1484" spans="1:1" ht="14.25">
      <c r="A1484" s="47" t="s">
        <v>10143</v>
      </c>
    </row>
    <row r="1485" spans="1:1" ht="14.25">
      <c r="A1485" s="47" t="s">
        <v>10144</v>
      </c>
    </row>
    <row r="1486" spans="1:1" ht="14.25">
      <c r="A1486" s="47" t="s">
        <v>10145</v>
      </c>
    </row>
    <row r="1487" spans="1:1" ht="14.25">
      <c r="A1487" s="47" t="s">
        <v>10146</v>
      </c>
    </row>
    <row r="1488" spans="1:1" ht="14.25">
      <c r="A1488" s="47" t="s">
        <v>10147</v>
      </c>
    </row>
    <row r="1489" spans="1:1" ht="14.25">
      <c r="A1489" s="47" t="s">
        <v>10148</v>
      </c>
    </row>
    <row r="1490" spans="1:1" ht="14.25">
      <c r="A1490" s="47" t="s">
        <v>10149</v>
      </c>
    </row>
    <row r="1491" spans="1:1" ht="14.25">
      <c r="A1491" s="47" t="s">
        <v>10150</v>
      </c>
    </row>
    <row r="1492" spans="1:1" ht="14.25">
      <c r="A1492" s="47" t="s">
        <v>10151</v>
      </c>
    </row>
    <row r="1493" spans="1:1" ht="14.25">
      <c r="A1493" s="47" t="s">
        <v>10152</v>
      </c>
    </row>
    <row r="1494" spans="1:1" ht="14.25">
      <c r="A1494" s="47" t="s">
        <v>10153</v>
      </c>
    </row>
    <row r="1495" spans="1:1" ht="14.25">
      <c r="A1495" s="47" t="s">
        <v>10154</v>
      </c>
    </row>
    <row r="1496" spans="1:1" ht="14.25">
      <c r="A1496" s="47" t="s">
        <v>10155</v>
      </c>
    </row>
    <row r="1497" spans="1:1" ht="14.25">
      <c r="A1497" s="47" t="s">
        <v>10156</v>
      </c>
    </row>
    <row r="1498" spans="1:1" ht="14.25">
      <c r="A1498" s="47" t="s">
        <v>10157</v>
      </c>
    </row>
    <row r="1499" spans="1:1" ht="14.25">
      <c r="A1499" s="47" t="s">
        <v>10158</v>
      </c>
    </row>
    <row r="1500" spans="1:1" ht="14.25">
      <c r="A1500" s="47" t="s">
        <v>10159</v>
      </c>
    </row>
    <row r="1501" spans="1:1" ht="14.25">
      <c r="A1501" s="47" t="s">
        <v>10160</v>
      </c>
    </row>
    <row r="1502" spans="1:1" ht="14.25">
      <c r="A1502" s="47" t="s">
        <v>10161</v>
      </c>
    </row>
    <row r="1503" spans="1:1" ht="14.25">
      <c r="A1503" s="47" t="s">
        <v>10162</v>
      </c>
    </row>
    <row r="1504" spans="1:1" ht="14.25">
      <c r="A1504" s="47" t="s">
        <v>10163</v>
      </c>
    </row>
    <row r="1505" spans="1:1" ht="14.25">
      <c r="A1505" s="47" t="s">
        <v>10164</v>
      </c>
    </row>
    <row r="1506" spans="1:1" ht="14.25">
      <c r="A1506" s="47" t="s">
        <v>10165</v>
      </c>
    </row>
    <row r="1507" spans="1:1" ht="14.25">
      <c r="A1507" s="47" t="s">
        <v>10166</v>
      </c>
    </row>
    <row r="1508" spans="1:1" ht="14.25">
      <c r="A1508" s="47" t="s">
        <v>10167</v>
      </c>
    </row>
    <row r="1509" spans="1:1" ht="14.25">
      <c r="A1509" s="47" t="s">
        <v>10168</v>
      </c>
    </row>
    <row r="1510" spans="1:1" ht="14.25">
      <c r="A1510" s="47" t="s">
        <v>10169</v>
      </c>
    </row>
    <row r="1511" spans="1:1" ht="14.25">
      <c r="A1511" s="47" t="s">
        <v>10170</v>
      </c>
    </row>
    <row r="1512" spans="1:1" ht="14.25">
      <c r="A1512" s="47" t="s">
        <v>10171</v>
      </c>
    </row>
    <row r="1513" spans="1:1" ht="14.25">
      <c r="A1513" s="47" t="s">
        <v>10172</v>
      </c>
    </row>
    <row r="1514" spans="1:1" ht="14.25">
      <c r="A1514" s="47" t="s">
        <v>10173</v>
      </c>
    </row>
    <row r="1515" spans="1:1" ht="14.25">
      <c r="A1515" s="47" t="s">
        <v>10174</v>
      </c>
    </row>
    <row r="1516" spans="1:1" ht="14.25">
      <c r="A1516" s="47" t="s">
        <v>10175</v>
      </c>
    </row>
    <row r="1517" spans="1:1" ht="14.25">
      <c r="A1517" s="47" t="s">
        <v>10176</v>
      </c>
    </row>
    <row r="1518" spans="1:1" ht="14.25">
      <c r="A1518" s="47" t="s">
        <v>10177</v>
      </c>
    </row>
    <row r="1519" spans="1:1" ht="14.25">
      <c r="A1519" s="47" t="s">
        <v>10178</v>
      </c>
    </row>
    <row r="1520" spans="1:1" ht="14.25">
      <c r="A1520" s="47" t="s">
        <v>10179</v>
      </c>
    </row>
    <row r="1521" spans="1:1" ht="14.25">
      <c r="A1521" s="47" t="s">
        <v>10180</v>
      </c>
    </row>
    <row r="1522" spans="1:1" ht="14.25">
      <c r="A1522" s="47" t="s">
        <v>10181</v>
      </c>
    </row>
    <row r="1523" spans="1:1" ht="14.25">
      <c r="A1523" s="47" t="s">
        <v>10182</v>
      </c>
    </row>
    <row r="1524" spans="1:1" ht="14.25">
      <c r="A1524" s="47" t="s">
        <v>10183</v>
      </c>
    </row>
    <row r="1525" spans="1:1" ht="14.25">
      <c r="A1525" s="47" t="s">
        <v>10184</v>
      </c>
    </row>
    <row r="1526" spans="1:1" ht="14.25">
      <c r="A1526" s="47" t="s">
        <v>10185</v>
      </c>
    </row>
    <row r="1527" spans="1:1" ht="14.25">
      <c r="A1527" s="47" t="s">
        <v>10186</v>
      </c>
    </row>
    <row r="1528" spans="1:1" ht="14.25">
      <c r="A1528" s="47" t="s">
        <v>10187</v>
      </c>
    </row>
    <row r="1529" spans="1:1" ht="14.25">
      <c r="A1529" s="47" t="s">
        <v>10188</v>
      </c>
    </row>
    <row r="1530" spans="1:1" ht="14.25">
      <c r="A1530" s="47" t="s">
        <v>10189</v>
      </c>
    </row>
    <row r="1531" spans="1:1" ht="14.25">
      <c r="A1531" s="47" t="s">
        <v>10190</v>
      </c>
    </row>
    <row r="1532" spans="1:1" ht="14.25">
      <c r="A1532" s="47" t="s">
        <v>10191</v>
      </c>
    </row>
    <row r="1533" spans="1:1" ht="14.25">
      <c r="A1533" s="47" t="s">
        <v>10192</v>
      </c>
    </row>
    <row r="1534" spans="1:1" ht="14.25">
      <c r="A1534" s="47" t="s">
        <v>10193</v>
      </c>
    </row>
    <row r="1535" spans="1:1" ht="14.25">
      <c r="A1535" s="47" t="s">
        <v>10194</v>
      </c>
    </row>
    <row r="1536" spans="1:1" ht="14.25">
      <c r="A1536" s="47" t="s">
        <v>10195</v>
      </c>
    </row>
    <row r="1537" spans="1:1" ht="14.25">
      <c r="A1537" s="47" t="s">
        <v>10196</v>
      </c>
    </row>
    <row r="1538" spans="1:1" ht="14.25">
      <c r="A1538" s="47" t="s">
        <v>10197</v>
      </c>
    </row>
    <row r="1539" spans="1:1" ht="14.25">
      <c r="A1539" s="47" t="s">
        <v>10198</v>
      </c>
    </row>
    <row r="1540" spans="1:1" ht="14.25">
      <c r="A1540" s="47" t="s">
        <v>10199</v>
      </c>
    </row>
    <row r="1541" spans="1:1" ht="14.25">
      <c r="A1541" s="47" t="s">
        <v>10200</v>
      </c>
    </row>
    <row r="1542" spans="1:1" ht="14.25">
      <c r="A1542" s="47" t="s">
        <v>10201</v>
      </c>
    </row>
    <row r="1543" spans="1:1" ht="14.25">
      <c r="A1543" s="47" t="s">
        <v>10202</v>
      </c>
    </row>
    <row r="1544" spans="1:1" ht="14.25">
      <c r="A1544" s="47" t="s">
        <v>10203</v>
      </c>
    </row>
    <row r="1545" spans="1:1" ht="14.25">
      <c r="A1545" s="47" t="s">
        <v>10204</v>
      </c>
    </row>
    <row r="1546" spans="1:1" ht="14.25">
      <c r="A1546" s="47" t="s">
        <v>10205</v>
      </c>
    </row>
    <row r="1547" spans="1:1" ht="14.25">
      <c r="A1547" s="47" t="s">
        <v>10206</v>
      </c>
    </row>
    <row r="1548" spans="1:1" ht="14.25">
      <c r="A1548" s="47" t="s">
        <v>10207</v>
      </c>
    </row>
    <row r="1549" spans="1:1" ht="14.25">
      <c r="A1549" s="47" t="s">
        <v>10208</v>
      </c>
    </row>
    <row r="1550" spans="1:1" ht="14.25">
      <c r="A1550" s="47" t="s">
        <v>10209</v>
      </c>
    </row>
    <row r="1551" spans="1:1" ht="14.25">
      <c r="A1551" s="47" t="s">
        <v>10210</v>
      </c>
    </row>
    <row r="1552" spans="1:1" ht="14.25">
      <c r="A1552" s="47" t="s">
        <v>10211</v>
      </c>
    </row>
    <row r="1553" spans="1:1" ht="14.25">
      <c r="A1553" s="47" t="s">
        <v>10212</v>
      </c>
    </row>
    <row r="1554" spans="1:1" ht="14.25">
      <c r="A1554" s="47" t="s">
        <v>10213</v>
      </c>
    </row>
    <row r="1555" spans="1:1" ht="14.25">
      <c r="A1555" s="47" t="s">
        <v>10214</v>
      </c>
    </row>
    <row r="1556" spans="1:1" ht="14.25">
      <c r="A1556" s="47" t="s">
        <v>10215</v>
      </c>
    </row>
    <row r="1557" spans="1:1" ht="14.25">
      <c r="A1557" s="47" t="s">
        <v>10216</v>
      </c>
    </row>
    <row r="1558" spans="1:1" ht="14.25">
      <c r="A1558" s="47" t="s">
        <v>10217</v>
      </c>
    </row>
    <row r="1559" spans="1:1" ht="14.25">
      <c r="A1559" s="47" t="s">
        <v>10218</v>
      </c>
    </row>
    <row r="1560" spans="1:1" ht="14.25">
      <c r="A1560" s="47" t="s">
        <v>10219</v>
      </c>
    </row>
    <row r="1561" spans="1:1" ht="14.25">
      <c r="A1561" s="47" t="s">
        <v>10220</v>
      </c>
    </row>
    <row r="1562" spans="1:1" ht="14.25">
      <c r="A1562" s="47" t="s">
        <v>10221</v>
      </c>
    </row>
    <row r="1563" spans="1:1" ht="14.25">
      <c r="A1563" s="47" t="s">
        <v>10222</v>
      </c>
    </row>
    <row r="1564" spans="1:1" ht="14.25">
      <c r="A1564" s="47" t="s">
        <v>10223</v>
      </c>
    </row>
    <row r="1565" spans="1:1" ht="14.25">
      <c r="A1565" s="47" t="s">
        <v>10224</v>
      </c>
    </row>
    <row r="1566" spans="1:1" ht="14.25">
      <c r="A1566" s="47" t="s">
        <v>10225</v>
      </c>
    </row>
    <row r="1567" spans="1:1" ht="14.25">
      <c r="A1567" s="47" t="s">
        <v>10226</v>
      </c>
    </row>
    <row r="1568" spans="1:1" ht="14.25">
      <c r="A1568" s="47" t="s">
        <v>10227</v>
      </c>
    </row>
    <row r="1569" spans="1:1" ht="14.25">
      <c r="A1569" s="47" t="s">
        <v>10228</v>
      </c>
    </row>
    <row r="1570" spans="1:1" ht="14.25">
      <c r="A1570" s="47" t="s">
        <v>10229</v>
      </c>
    </row>
    <row r="1571" spans="1:1" ht="14.25">
      <c r="A1571" s="47" t="s">
        <v>10230</v>
      </c>
    </row>
    <row r="1572" spans="1:1" ht="14.25">
      <c r="A1572" s="47" t="s">
        <v>10231</v>
      </c>
    </row>
    <row r="1573" spans="1:1" ht="14.25">
      <c r="A1573" s="47" t="s">
        <v>10232</v>
      </c>
    </row>
    <row r="1574" spans="1:1" ht="14.25">
      <c r="A1574" s="47" t="s">
        <v>10233</v>
      </c>
    </row>
    <row r="1575" spans="1:1" ht="14.25">
      <c r="A1575" s="47" t="s">
        <v>10234</v>
      </c>
    </row>
    <row r="1576" spans="1:1" ht="14.25">
      <c r="A1576" s="47" t="s">
        <v>10235</v>
      </c>
    </row>
    <row r="1577" spans="1:1" ht="14.25">
      <c r="A1577" s="47" t="s">
        <v>10236</v>
      </c>
    </row>
    <row r="1578" spans="1:1" ht="14.25">
      <c r="A1578" s="47" t="s">
        <v>10237</v>
      </c>
    </row>
    <row r="1579" spans="1:1" ht="14.25">
      <c r="A1579" s="47" t="s">
        <v>10238</v>
      </c>
    </row>
    <row r="1580" spans="1:1" ht="14.25">
      <c r="A1580" s="47" t="s">
        <v>10239</v>
      </c>
    </row>
    <row r="1581" spans="1:1" ht="14.25">
      <c r="A1581" s="47" t="s">
        <v>10240</v>
      </c>
    </row>
    <row r="1582" spans="1:1" ht="14.25">
      <c r="A1582" s="47" t="s">
        <v>10241</v>
      </c>
    </row>
    <row r="1583" spans="1:1" ht="14.25">
      <c r="A1583" s="47" t="s">
        <v>10242</v>
      </c>
    </row>
    <row r="1584" spans="1:1" ht="14.25">
      <c r="A1584" s="47" t="s">
        <v>10243</v>
      </c>
    </row>
    <row r="1585" spans="1:1" ht="14.25">
      <c r="A1585" s="47" t="s">
        <v>10244</v>
      </c>
    </row>
    <row r="1586" spans="1:1" ht="14.25">
      <c r="A1586" s="47" t="s">
        <v>10245</v>
      </c>
    </row>
    <row r="1587" spans="1:1" ht="14.25">
      <c r="A1587" s="47" t="s">
        <v>10246</v>
      </c>
    </row>
    <row r="1588" spans="1:1" ht="14.25">
      <c r="A1588" s="47" t="s">
        <v>10247</v>
      </c>
    </row>
    <row r="1589" spans="1:1" ht="14.25">
      <c r="A1589" s="47" t="s">
        <v>10248</v>
      </c>
    </row>
    <row r="1590" spans="1:1" ht="14.25">
      <c r="A1590" s="47" t="s">
        <v>10249</v>
      </c>
    </row>
    <row r="1591" spans="1:1" ht="14.25">
      <c r="A1591" s="47" t="s">
        <v>10250</v>
      </c>
    </row>
    <row r="1592" spans="1:1" ht="14.25">
      <c r="A1592" s="47" t="s">
        <v>10251</v>
      </c>
    </row>
    <row r="1593" spans="1:1" ht="14.25">
      <c r="A1593" s="47" t="s">
        <v>10252</v>
      </c>
    </row>
    <row r="1594" spans="1:1" ht="14.25">
      <c r="A1594" s="47" t="s">
        <v>10253</v>
      </c>
    </row>
    <row r="1595" spans="1:1" ht="14.25">
      <c r="A1595" s="47" t="s">
        <v>10254</v>
      </c>
    </row>
    <row r="1596" spans="1:1" ht="14.25">
      <c r="A1596" s="47" t="s">
        <v>10255</v>
      </c>
    </row>
    <row r="1597" spans="1:1" ht="14.25">
      <c r="A1597" s="47" t="s">
        <v>10256</v>
      </c>
    </row>
    <row r="1598" spans="1:1" ht="14.25">
      <c r="A1598" s="47" t="s">
        <v>10257</v>
      </c>
    </row>
    <row r="1599" spans="1:1" ht="14.25">
      <c r="A1599" s="47" t="s">
        <v>10258</v>
      </c>
    </row>
    <row r="1600" spans="1:1" ht="14.25">
      <c r="A1600" s="47" t="s">
        <v>10259</v>
      </c>
    </row>
    <row r="1601" spans="1:1" ht="14.25">
      <c r="A1601" s="47" t="s">
        <v>10260</v>
      </c>
    </row>
    <row r="1602" spans="1:1" ht="14.25">
      <c r="A1602" s="47" t="s">
        <v>10261</v>
      </c>
    </row>
    <row r="1603" spans="1:1" ht="14.25">
      <c r="A1603" s="47" t="s">
        <v>10262</v>
      </c>
    </row>
    <row r="1604" spans="1:1" ht="14.25">
      <c r="A1604" s="47" t="s">
        <v>10263</v>
      </c>
    </row>
    <row r="1605" spans="1:1" ht="14.25">
      <c r="A1605" s="47" t="s">
        <v>10264</v>
      </c>
    </row>
    <row r="1606" spans="1:1" ht="14.25">
      <c r="A1606" s="47" t="s">
        <v>10265</v>
      </c>
    </row>
    <row r="1607" spans="1:1" ht="14.25">
      <c r="A1607" s="47" t="s">
        <v>10266</v>
      </c>
    </row>
    <row r="1608" spans="1:1" ht="14.25">
      <c r="A1608" s="47" t="s">
        <v>10267</v>
      </c>
    </row>
    <row r="1609" spans="1:1" ht="14.25">
      <c r="A1609" s="47" t="s">
        <v>10268</v>
      </c>
    </row>
    <row r="1610" spans="1:1" ht="14.25">
      <c r="A1610" s="47" t="s">
        <v>10269</v>
      </c>
    </row>
    <row r="1611" spans="1:1" ht="14.25">
      <c r="A1611" s="47" t="s">
        <v>10270</v>
      </c>
    </row>
    <row r="1612" spans="1:1" ht="14.25">
      <c r="A1612" s="47" t="s">
        <v>10271</v>
      </c>
    </row>
    <row r="1613" spans="1:1" ht="14.25">
      <c r="A1613" s="47" t="s">
        <v>10272</v>
      </c>
    </row>
    <row r="1614" spans="1:1" ht="14.25">
      <c r="A1614" s="47" t="s">
        <v>10273</v>
      </c>
    </row>
    <row r="1615" spans="1:1" ht="14.25">
      <c r="A1615" s="47" t="s">
        <v>10274</v>
      </c>
    </row>
    <row r="1616" spans="1:1" ht="14.25">
      <c r="A1616" s="47" t="s">
        <v>10275</v>
      </c>
    </row>
    <row r="1617" spans="1:1" ht="14.25">
      <c r="A1617" s="47" t="s">
        <v>10276</v>
      </c>
    </row>
    <row r="1618" spans="1:1" ht="14.25">
      <c r="A1618" s="47" t="s">
        <v>10277</v>
      </c>
    </row>
    <row r="1619" spans="1:1" ht="14.25">
      <c r="A1619" s="47" t="s">
        <v>10278</v>
      </c>
    </row>
    <row r="1620" spans="1:1" ht="14.25">
      <c r="A1620" s="47" t="s">
        <v>10279</v>
      </c>
    </row>
    <row r="1621" spans="1:1" ht="14.25">
      <c r="A1621" s="47" t="s">
        <v>10280</v>
      </c>
    </row>
    <row r="1622" spans="1:1" ht="14.25">
      <c r="A1622" s="47" t="s">
        <v>10281</v>
      </c>
    </row>
    <row r="1623" spans="1:1" ht="14.25">
      <c r="A1623" s="47" t="s">
        <v>10282</v>
      </c>
    </row>
    <row r="1624" spans="1:1" ht="14.25">
      <c r="A1624" s="47" t="s">
        <v>10283</v>
      </c>
    </row>
    <row r="1625" spans="1:1" ht="14.25">
      <c r="A1625" s="47" t="s">
        <v>10284</v>
      </c>
    </row>
    <row r="1626" spans="1:1" ht="14.25">
      <c r="A1626" s="47" t="s">
        <v>10285</v>
      </c>
    </row>
    <row r="1627" spans="1:1" ht="14.25">
      <c r="A1627" s="47" t="s">
        <v>10286</v>
      </c>
    </row>
    <row r="1628" spans="1:1" ht="14.25">
      <c r="A1628" s="47" t="s">
        <v>10287</v>
      </c>
    </row>
    <row r="1629" spans="1:1" ht="14.25">
      <c r="A1629" s="47" t="s">
        <v>10288</v>
      </c>
    </row>
    <row r="1630" spans="1:1" ht="14.25">
      <c r="A1630" s="47" t="s">
        <v>10289</v>
      </c>
    </row>
    <row r="1631" spans="1:1" ht="14.25">
      <c r="A1631" s="47" t="s">
        <v>10290</v>
      </c>
    </row>
    <row r="1632" spans="1:1" ht="14.25">
      <c r="A1632" s="47" t="s">
        <v>10291</v>
      </c>
    </row>
    <row r="1633" spans="1:1" ht="14.25">
      <c r="A1633" s="47" t="s">
        <v>10292</v>
      </c>
    </row>
    <row r="1634" spans="1:1" ht="14.25">
      <c r="A1634" s="47" t="s">
        <v>10293</v>
      </c>
    </row>
    <row r="1635" spans="1:1" ht="14.25">
      <c r="A1635" s="47" t="s">
        <v>10294</v>
      </c>
    </row>
    <row r="1636" spans="1:1" ht="14.25">
      <c r="A1636" s="47" t="s">
        <v>10295</v>
      </c>
    </row>
    <row r="1637" spans="1:1" ht="14.25">
      <c r="A1637" s="47" t="s">
        <v>10296</v>
      </c>
    </row>
    <row r="1638" spans="1:1" ht="14.25">
      <c r="A1638" s="47" t="s">
        <v>10297</v>
      </c>
    </row>
    <row r="1639" spans="1:1" ht="14.25">
      <c r="A1639" s="47" t="s">
        <v>10298</v>
      </c>
    </row>
    <row r="1640" spans="1:1" ht="14.25">
      <c r="A1640" s="47" t="s">
        <v>10299</v>
      </c>
    </row>
    <row r="1641" spans="1:1" ht="14.25">
      <c r="A1641" s="47" t="s">
        <v>10300</v>
      </c>
    </row>
    <row r="1642" spans="1:1" ht="14.25">
      <c r="A1642" s="47" t="s">
        <v>10301</v>
      </c>
    </row>
    <row r="1643" spans="1:1" ht="14.25">
      <c r="A1643" s="47" t="s">
        <v>10302</v>
      </c>
    </row>
    <row r="1644" spans="1:1" ht="14.25">
      <c r="A1644" s="47" t="s">
        <v>10303</v>
      </c>
    </row>
    <row r="1645" spans="1:1" ht="14.25">
      <c r="A1645" s="47" t="s">
        <v>10304</v>
      </c>
    </row>
    <row r="1646" spans="1:1" ht="14.25">
      <c r="A1646" s="47" t="s">
        <v>10305</v>
      </c>
    </row>
    <row r="1647" spans="1:1" ht="14.25">
      <c r="A1647" s="47" t="s">
        <v>10306</v>
      </c>
    </row>
    <row r="1648" spans="1:1" ht="14.25">
      <c r="A1648" s="47" t="s">
        <v>10307</v>
      </c>
    </row>
    <row r="1649" spans="1:1" ht="14.25">
      <c r="A1649" s="47" t="s">
        <v>10308</v>
      </c>
    </row>
    <row r="1650" spans="1:1" ht="14.25">
      <c r="A1650" s="47" t="s">
        <v>10309</v>
      </c>
    </row>
    <row r="1651" spans="1:1" ht="14.25">
      <c r="A1651" s="47" t="s">
        <v>10310</v>
      </c>
    </row>
    <row r="1652" spans="1:1" ht="14.25">
      <c r="A1652" s="47" t="s">
        <v>10311</v>
      </c>
    </row>
    <row r="1653" spans="1:1" ht="14.25">
      <c r="A1653" s="47" t="s">
        <v>10312</v>
      </c>
    </row>
    <row r="1654" spans="1:1" ht="14.25">
      <c r="A1654" s="47" t="s">
        <v>10313</v>
      </c>
    </row>
    <row r="1655" spans="1:1" ht="14.25">
      <c r="A1655" s="47" t="s">
        <v>10314</v>
      </c>
    </row>
    <row r="1656" spans="1:1" ht="14.25">
      <c r="A1656" s="47" t="s">
        <v>10315</v>
      </c>
    </row>
    <row r="1657" spans="1:1" ht="14.25">
      <c r="A1657" s="47" t="s">
        <v>10316</v>
      </c>
    </row>
    <row r="1658" spans="1:1" ht="14.25">
      <c r="A1658" s="47" t="s">
        <v>10317</v>
      </c>
    </row>
    <row r="1659" spans="1:1" ht="14.25">
      <c r="A1659" s="47" t="s">
        <v>10318</v>
      </c>
    </row>
    <row r="1660" spans="1:1" ht="14.25">
      <c r="A1660" s="47" t="s">
        <v>10319</v>
      </c>
    </row>
    <row r="1661" spans="1:1" ht="14.25">
      <c r="A1661" s="47" t="s">
        <v>10320</v>
      </c>
    </row>
    <row r="1662" spans="1:1" ht="14.25">
      <c r="A1662" s="47" t="s">
        <v>10321</v>
      </c>
    </row>
    <row r="1663" spans="1:1" ht="14.25">
      <c r="A1663" s="47" t="s">
        <v>10322</v>
      </c>
    </row>
    <row r="1664" spans="1:1" ht="14.25">
      <c r="A1664" s="47" t="s">
        <v>10323</v>
      </c>
    </row>
    <row r="1665" spans="1:1" ht="14.25">
      <c r="A1665" s="47" t="s">
        <v>10324</v>
      </c>
    </row>
    <row r="1666" spans="1:1" ht="14.25">
      <c r="A1666" s="47" t="s">
        <v>10325</v>
      </c>
    </row>
    <row r="1667" spans="1:1" ht="14.25">
      <c r="A1667" s="47" t="s">
        <v>10326</v>
      </c>
    </row>
    <row r="1668" spans="1:1" ht="14.25">
      <c r="A1668" s="47" t="s">
        <v>10327</v>
      </c>
    </row>
    <row r="1669" spans="1:1" ht="14.25">
      <c r="A1669" s="47" t="s">
        <v>10328</v>
      </c>
    </row>
    <row r="1670" spans="1:1" ht="14.25">
      <c r="A1670" s="47" t="s">
        <v>10329</v>
      </c>
    </row>
    <row r="1671" spans="1:1" ht="14.25">
      <c r="A1671" s="47" t="s">
        <v>10330</v>
      </c>
    </row>
    <row r="1672" spans="1:1" ht="14.25">
      <c r="A1672" s="47" t="s">
        <v>10331</v>
      </c>
    </row>
    <row r="1673" spans="1:1" ht="14.25">
      <c r="A1673" s="47" t="s">
        <v>10332</v>
      </c>
    </row>
    <row r="1674" spans="1:1" ht="14.25">
      <c r="A1674" s="47" t="s">
        <v>10333</v>
      </c>
    </row>
    <row r="1675" spans="1:1" ht="14.25">
      <c r="A1675" s="47" t="s">
        <v>10334</v>
      </c>
    </row>
    <row r="1676" spans="1:1" ht="14.25">
      <c r="A1676" s="47" t="s">
        <v>10335</v>
      </c>
    </row>
    <row r="1677" spans="1:1" ht="14.25">
      <c r="A1677" s="47" t="s">
        <v>10336</v>
      </c>
    </row>
    <row r="1678" spans="1:1" ht="14.25">
      <c r="A1678" s="47" t="s">
        <v>10337</v>
      </c>
    </row>
    <row r="1679" spans="1:1" ht="14.25">
      <c r="A1679" s="47" t="s">
        <v>10338</v>
      </c>
    </row>
    <row r="1680" spans="1:1" ht="14.25">
      <c r="A1680" s="47" t="s">
        <v>10339</v>
      </c>
    </row>
    <row r="1681" spans="1:1" ht="14.25">
      <c r="A1681" s="47" t="s">
        <v>10340</v>
      </c>
    </row>
    <row r="1682" spans="1:1" ht="14.25">
      <c r="A1682" s="47" t="s">
        <v>10341</v>
      </c>
    </row>
    <row r="1683" spans="1:1" ht="14.25">
      <c r="A1683" s="47" t="s">
        <v>10342</v>
      </c>
    </row>
    <row r="1684" spans="1:1" ht="14.25">
      <c r="A1684" s="47" t="s">
        <v>10343</v>
      </c>
    </row>
    <row r="1685" spans="1:1" ht="14.25">
      <c r="A1685" s="47" t="s">
        <v>10344</v>
      </c>
    </row>
    <row r="1686" spans="1:1" ht="14.25">
      <c r="A1686" s="47" t="s">
        <v>10345</v>
      </c>
    </row>
    <row r="1687" spans="1:1" ht="14.25">
      <c r="A1687" s="47" t="s">
        <v>10346</v>
      </c>
    </row>
    <row r="1688" spans="1:1" ht="14.25">
      <c r="A1688" s="47" t="s">
        <v>10347</v>
      </c>
    </row>
    <row r="1689" spans="1:1" ht="14.25">
      <c r="A1689" s="47" t="s">
        <v>10348</v>
      </c>
    </row>
    <row r="1690" spans="1:1" ht="14.25">
      <c r="A1690" s="47" t="s">
        <v>10349</v>
      </c>
    </row>
    <row r="1691" spans="1:1" ht="14.25">
      <c r="A1691" s="47" t="s">
        <v>10350</v>
      </c>
    </row>
    <row r="1692" spans="1:1" ht="14.25">
      <c r="A1692" s="47" t="s">
        <v>10351</v>
      </c>
    </row>
    <row r="1693" spans="1:1" ht="14.25">
      <c r="A1693" s="47" t="s">
        <v>10352</v>
      </c>
    </row>
    <row r="1694" spans="1:1" ht="14.25">
      <c r="A1694" s="47" t="s">
        <v>10353</v>
      </c>
    </row>
    <row r="1695" spans="1:1" ht="14.25">
      <c r="A1695" s="47" t="s">
        <v>10354</v>
      </c>
    </row>
    <row r="1696" spans="1:1" ht="14.25">
      <c r="A1696" s="47" t="s">
        <v>10355</v>
      </c>
    </row>
    <row r="1697" spans="1:1" ht="14.25">
      <c r="A1697" s="47" t="s">
        <v>10356</v>
      </c>
    </row>
    <row r="1698" spans="1:1" ht="14.25">
      <c r="A1698" s="47" t="s">
        <v>10357</v>
      </c>
    </row>
    <row r="1699" spans="1:1" ht="14.25">
      <c r="A1699" s="47" t="s">
        <v>10358</v>
      </c>
    </row>
    <row r="1700" spans="1:1" ht="14.25">
      <c r="A1700" s="47" t="s">
        <v>10359</v>
      </c>
    </row>
    <row r="1701" spans="1:1" ht="14.25">
      <c r="A1701" s="47" t="s">
        <v>10360</v>
      </c>
    </row>
    <row r="1702" spans="1:1" ht="14.25">
      <c r="A1702" s="47" t="s">
        <v>10361</v>
      </c>
    </row>
    <row r="1703" spans="1:1" ht="14.25">
      <c r="A1703" s="47" t="s">
        <v>10362</v>
      </c>
    </row>
    <row r="1704" spans="1:1" ht="14.25">
      <c r="A1704" s="47" t="s">
        <v>10363</v>
      </c>
    </row>
    <row r="1705" spans="1:1" ht="14.25">
      <c r="A1705" s="47" t="s">
        <v>10364</v>
      </c>
    </row>
    <row r="1706" spans="1:1" ht="14.25">
      <c r="A1706" s="47" t="s">
        <v>10365</v>
      </c>
    </row>
    <row r="1707" spans="1:1" ht="14.25">
      <c r="A1707" s="47" t="s">
        <v>10366</v>
      </c>
    </row>
    <row r="1708" spans="1:1" ht="14.25">
      <c r="A1708" s="47" t="s">
        <v>10367</v>
      </c>
    </row>
    <row r="1709" spans="1:1" ht="14.25">
      <c r="A1709" s="47" t="s">
        <v>10368</v>
      </c>
    </row>
    <row r="1710" spans="1:1" ht="14.25">
      <c r="A1710" s="47" t="s">
        <v>10369</v>
      </c>
    </row>
    <row r="1711" spans="1:1" ht="14.25">
      <c r="A1711" s="47" t="s">
        <v>10370</v>
      </c>
    </row>
    <row r="1712" spans="1:1" ht="14.25">
      <c r="A1712" s="47" t="s">
        <v>10371</v>
      </c>
    </row>
    <row r="1713" spans="1:1" ht="14.25">
      <c r="A1713" s="47" t="s">
        <v>10372</v>
      </c>
    </row>
    <row r="1714" spans="1:1" ht="14.25">
      <c r="A1714" s="47" t="s">
        <v>10373</v>
      </c>
    </row>
    <row r="1715" spans="1:1" ht="14.25">
      <c r="A1715" s="47" t="s">
        <v>10374</v>
      </c>
    </row>
    <row r="1716" spans="1:1" ht="14.25">
      <c r="A1716" s="47" t="s">
        <v>10375</v>
      </c>
    </row>
    <row r="1717" spans="1:1" ht="14.25">
      <c r="A1717" s="47" t="s">
        <v>10376</v>
      </c>
    </row>
    <row r="1718" spans="1:1" ht="14.25">
      <c r="A1718" s="47" t="s">
        <v>10377</v>
      </c>
    </row>
    <row r="1719" spans="1:1" ht="14.25">
      <c r="A1719" s="47" t="s">
        <v>10378</v>
      </c>
    </row>
    <row r="1720" spans="1:1" ht="14.25">
      <c r="A1720" s="47" t="s">
        <v>10379</v>
      </c>
    </row>
    <row r="1721" spans="1:1" ht="14.25">
      <c r="A1721" s="47" t="s">
        <v>10380</v>
      </c>
    </row>
    <row r="1722" spans="1:1" ht="14.25">
      <c r="A1722" s="47" t="s">
        <v>10381</v>
      </c>
    </row>
    <row r="1723" spans="1:1" ht="14.25">
      <c r="A1723" s="47" t="s">
        <v>10382</v>
      </c>
    </row>
    <row r="1724" spans="1:1" ht="14.25">
      <c r="A1724" s="47" t="s">
        <v>10383</v>
      </c>
    </row>
    <row r="1725" spans="1:1" ht="14.25">
      <c r="A1725" s="47" t="s">
        <v>10384</v>
      </c>
    </row>
    <row r="1726" spans="1:1" ht="14.25">
      <c r="A1726" s="47" t="s">
        <v>10385</v>
      </c>
    </row>
    <row r="1727" spans="1:1" ht="14.25">
      <c r="A1727" s="47" t="s">
        <v>10386</v>
      </c>
    </row>
    <row r="1728" spans="1:1" ht="14.25">
      <c r="A1728" s="47" t="s">
        <v>10387</v>
      </c>
    </row>
    <row r="1729" spans="1:1" ht="14.25">
      <c r="A1729" s="47" t="s">
        <v>10388</v>
      </c>
    </row>
    <row r="1730" spans="1:1" ht="14.25">
      <c r="A1730" s="47" t="s">
        <v>10389</v>
      </c>
    </row>
    <row r="1731" spans="1:1" ht="14.25">
      <c r="A1731" s="47" t="s">
        <v>10390</v>
      </c>
    </row>
    <row r="1732" spans="1:1" ht="14.25">
      <c r="A1732" s="47" t="s">
        <v>10391</v>
      </c>
    </row>
    <row r="1733" spans="1:1" ht="14.25">
      <c r="A1733" s="47" t="s">
        <v>10392</v>
      </c>
    </row>
    <row r="1734" spans="1:1" ht="14.25">
      <c r="A1734" s="47" t="s">
        <v>10393</v>
      </c>
    </row>
    <row r="1735" spans="1:1" ht="14.25">
      <c r="A1735" s="47" t="s">
        <v>10394</v>
      </c>
    </row>
    <row r="1736" spans="1:1" ht="14.25">
      <c r="A1736" s="47" t="s">
        <v>10395</v>
      </c>
    </row>
    <row r="1737" spans="1:1" ht="14.25">
      <c r="A1737" s="47" t="s">
        <v>10396</v>
      </c>
    </row>
    <row r="1738" spans="1:1" ht="14.25">
      <c r="A1738" s="47" t="s">
        <v>10397</v>
      </c>
    </row>
    <row r="1739" spans="1:1" ht="14.25">
      <c r="A1739" s="47" t="s">
        <v>10398</v>
      </c>
    </row>
    <row r="1740" spans="1:1" ht="14.25">
      <c r="A1740" s="47" t="s">
        <v>10399</v>
      </c>
    </row>
    <row r="1741" spans="1:1" ht="14.25">
      <c r="A1741" s="47" t="s">
        <v>10400</v>
      </c>
    </row>
    <row r="1742" spans="1:1" ht="14.25">
      <c r="A1742" s="47" t="s">
        <v>10401</v>
      </c>
    </row>
    <row r="1743" spans="1:1" ht="14.25">
      <c r="A1743" s="47" t="s">
        <v>10402</v>
      </c>
    </row>
    <row r="1744" spans="1:1" ht="14.25">
      <c r="A1744" s="47" t="s">
        <v>10403</v>
      </c>
    </row>
    <row r="1745" spans="1:1" ht="14.25">
      <c r="A1745" s="47" t="s">
        <v>10404</v>
      </c>
    </row>
    <row r="1746" spans="1:1" ht="14.25">
      <c r="A1746" s="47" t="s">
        <v>10405</v>
      </c>
    </row>
    <row r="1747" spans="1:1" ht="14.25">
      <c r="A1747" s="47" t="s">
        <v>10406</v>
      </c>
    </row>
    <row r="1748" spans="1:1" ht="14.25">
      <c r="A1748" s="47" t="s">
        <v>10407</v>
      </c>
    </row>
    <row r="1749" spans="1:1" ht="14.25">
      <c r="A1749" s="47" t="s">
        <v>10408</v>
      </c>
    </row>
    <row r="1750" spans="1:1" ht="14.25">
      <c r="A1750" s="47" t="s">
        <v>10409</v>
      </c>
    </row>
    <row r="1751" spans="1:1" ht="14.25">
      <c r="A1751" s="47" t="s">
        <v>10410</v>
      </c>
    </row>
    <row r="1752" spans="1:1" ht="14.25">
      <c r="A1752" s="47" t="s">
        <v>10411</v>
      </c>
    </row>
    <row r="1753" spans="1:1" ht="14.25">
      <c r="A1753" s="47" t="s">
        <v>10412</v>
      </c>
    </row>
    <row r="1754" spans="1:1" ht="14.25">
      <c r="A1754" s="47" t="s">
        <v>10413</v>
      </c>
    </row>
    <row r="1755" spans="1:1" ht="14.25">
      <c r="A1755" s="47" t="s">
        <v>10414</v>
      </c>
    </row>
    <row r="1756" spans="1:1" ht="14.25">
      <c r="A1756" s="47" t="s">
        <v>10415</v>
      </c>
    </row>
    <row r="1757" spans="1:1" ht="14.25">
      <c r="A1757" s="47" t="s">
        <v>10416</v>
      </c>
    </row>
    <row r="1758" spans="1:1" ht="14.25">
      <c r="A1758" s="47" t="s">
        <v>10417</v>
      </c>
    </row>
    <row r="1759" spans="1:1" ht="14.25">
      <c r="A1759" s="47" t="s">
        <v>10418</v>
      </c>
    </row>
    <row r="1760" spans="1:1" ht="14.25">
      <c r="A1760" s="47" t="s">
        <v>10419</v>
      </c>
    </row>
    <row r="1761" spans="1:1" ht="14.25">
      <c r="A1761" s="47" t="s">
        <v>10420</v>
      </c>
    </row>
    <row r="1762" spans="1:1" ht="14.25">
      <c r="A1762" s="47" t="s">
        <v>10421</v>
      </c>
    </row>
    <row r="1763" spans="1:1" ht="14.25">
      <c r="A1763" s="47" t="s">
        <v>10422</v>
      </c>
    </row>
    <row r="1764" spans="1:1" ht="14.25">
      <c r="A1764" s="47" t="s">
        <v>10423</v>
      </c>
    </row>
    <row r="1765" spans="1:1" ht="14.25">
      <c r="A1765" s="47" t="s">
        <v>10424</v>
      </c>
    </row>
    <row r="1766" spans="1:1" ht="14.25">
      <c r="A1766" s="47" t="s">
        <v>10425</v>
      </c>
    </row>
    <row r="1767" spans="1:1" ht="14.25">
      <c r="A1767" s="47" t="s">
        <v>10426</v>
      </c>
    </row>
    <row r="1768" spans="1:1" ht="14.25">
      <c r="A1768" s="47" t="s">
        <v>10427</v>
      </c>
    </row>
    <row r="1769" spans="1:1" ht="14.25">
      <c r="A1769" s="47" t="s">
        <v>10428</v>
      </c>
    </row>
    <row r="1770" spans="1:1" ht="14.25">
      <c r="A1770" s="47" t="s">
        <v>10429</v>
      </c>
    </row>
    <row r="1771" spans="1:1" ht="14.25">
      <c r="A1771" s="47" t="s">
        <v>10430</v>
      </c>
    </row>
    <row r="1772" spans="1:1" ht="14.25">
      <c r="A1772" s="47" t="s">
        <v>10431</v>
      </c>
    </row>
    <row r="1773" spans="1:1" ht="14.25">
      <c r="A1773" s="47" t="s">
        <v>10432</v>
      </c>
    </row>
    <row r="1774" spans="1:1" ht="14.25">
      <c r="A1774" s="47" t="s">
        <v>10433</v>
      </c>
    </row>
    <row r="1775" spans="1:1" ht="14.25">
      <c r="A1775" s="47" t="s">
        <v>10434</v>
      </c>
    </row>
    <row r="1776" spans="1:1" ht="14.25">
      <c r="A1776" s="47" t="s">
        <v>10435</v>
      </c>
    </row>
    <row r="1777" spans="1:1" ht="14.25">
      <c r="A1777" s="47" t="s">
        <v>10436</v>
      </c>
    </row>
    <row r="1778" spans="1:1" ht="14.25">
      <c r="A1778" s="47" t="s">
        <v>10437</v>
      </c>
    </row>
    <row r="1779" spans="1:1" ht="14.25">
      <c r="A1779" s="47" t="s">
        <v>10438</v>
      </c>
    </row>
    <row r="1780" spans="1:1" ht="14.25">
      <c r="A1780" s="47" t="s">
        <v>10439</v>
      </c>
    </row>
    <row r="1781" spans="1:1" ht="14.25">
      <c r="A1781" s="47" t="s">
        <v>10440</v>
      </c>
    </row>
    <row r="1782" spans="1:1" ht="14.25">
      <c r="A1782" s="47" t="s">
        <v>10441</v>
      </c>
    </row>
    <row r="1783" spans="1:1" ht="14.25">
      <c r="A1783" s="47" t="s">
        <v>10442</v>
      </c>
    </row>
    <row r="1784" spans="1:1" ht="14.25">
      <c r="A1784" s="47" t="s">
        <v>10443</v>
      </c>
    </row>
    <row r="1785" spans="1:1" ht="14.25">
      <c r="A1785" s="47" t="s">
        <v>10444</v>
      </c>
    </row>
    <row r="1786" spans="1:1" ht="14.25">
      <c r="A1786" s="47" t="s">
        <v>10445</v>
      </c>
    </row>
    <row r="1787" spans="1:1" ht="14.25">
      <c r="A1787" s="47" t="s">
        <v>10446</v>
      </c>
    </row>
    <row r="1788" spans="1:1" ht="14.25">
      <c r="A1788" s="47" t="s">
        <v>10447</v>
      </c>
    </row>
    <row r="1789" spans="1:1" ht="14.25">
      <c r="A1789" s="47" t="s">
        <v>10448</v>
      </c>
    </row>
    <row r="1790" spans="1:1" ht="14.25">
      <c r="A1790" s="47" t="s">
        <v>10449</v>
      </c>
    </row>
    <row r="1791" spans="1:1" ht="14.25">
      <c r="A1791" s="47" t="s">
        <v>10450</v>
      </c>
    </row>
    <row r="1792" spans="1:1" ht="14.25">
      <c r="A1792" s="47" t="s">
        <v>10451</v>
      </c>
    </row>
    <row r="1793" spans="1:1" ht="14.25">
      <c r="A1793" s="47" t="s">
        <v>10452</v>
      </c>
    </row>
    <row r="1794" spans="1:1" ht="14.25">
      <c r="A1794" s="47" t="s">
        <v>10453</v>
      </c>
    </row>
    <row r="1795" spans="1:1" ht="14.25">
      <c r="A1795" s="47" t="s">
        <v>10454</v>
      </c>
    </row>
    <row r="1796" spans="1:1" ht="14.25">
      <c r="A1796" s="47" t="s">
        <v>10455</v>
      </c>
    </row>
    <row r="1797" spans="1:1" ht="14.25">
      <c r="A1797" s="47" t="s">
        <v>10456</v>
      </c>
    </row>
    <row r="1798" spans="1:1" ht="14.25">
      <c r="A1798" s="47" t="s">
        <v>10457</v>
      </c>
    </row>
    <row r="1799" spans="1:1" ht="14.25">
      <c r="A1799" s="47" t="s">
        <v>10458</v>
      </c>
    </row>
    <row r="1800" spans="1:1" ht="14.25">
      <c r="A1800" s="47" t="s">
        <v>10459</v>
      </c>
    </row>
    <row r="1801" spans="1:1" ht="14.25">
      <c r="A1801" s="47" t="s">
        <v>10460</v>
      </c>
    </row>
    <row r="1802" spans="1:1" ht="14.25">
      <c r="A1802" s="47" t="s">
        <v>10461</v>
      </c>
    </row>
    <row r="1803" spans="1:1" ht="14.25">
      <c r="A1803" s="47" t="s">
        <v>10462</v>
      </c>
    </row>
    <row r="1804" spans="1:1" ht="14.25">
      <c r="A1804" s="47" t="s">
        <v>10463</v>
      </c>
    </row>
    <row r="1805" spans="1:1" ht="14.25">
      <c r="A1805" s="47" t="s">
        <v>10464</v>
      </c>
    </row>
    <row r="1806" spans="1:1" ht="14.25">
      <c r="A1806" s="47" t="s">
        <v>10465</v>
      </c>
    </row>
    <row r="1807" spans="1:1" ht="14.25">
      <c r="A1807" s="47" t="s">
        <v>10466</v>
      </c>
    </row>
    <row r="1808" spans="1:1" ht="14.25">
      <c r="A1808" s="47" t="s">
        <v>10467</v>
      </c>
    </row>
    <row r="1809" spans="1:1" ht="14.25">
      <c r="A1809" s="47" t="s">
        <v>10468</v>
      </c>
    </row>
    <row r="1810" spans="1:1" ht="14.25">
      <c r="A1810" s="47" t="s">
        <v>10469</v>
      </c>
    </row>
    <row r="1811" spans="1:1" ht="14.25">
      <c r="A1811" s="47" t="s">
        <v>10470</v>
      </c>
    </row>
    <row r="1812" spans="1:1" ht="14.25">
      <c r="A1812" s="47" t="s">
        <v>10471</v>
      </c>
    </row>
    <row r="1813" spans="1:1" ht="14.25">
      <c r="A1813" s="47" t="s">
        <v>10472</v>
      </c>
    </row>
    <row r="1814" spans="1:1" ht="14.25">
      <c r="A1814" s="47" t="s">
        <v>10473</v>
      </c>
    </row>
    <row r="1815" spans="1:1" ht="14.25">
      <c r="A1815" s="47" t="s">
        <v>10474</v>
      </c>
    </row>
    <row r="1816" spans="1:1" ht="14.25">
      <c r="A1816" s="47" t="s">
        <v>10475</v>
      </c>
    </row>
    <row r="1817" spans="1:1" ht="14.25">
      <c r="A1817" s="47" t="s">
        <v>10476</v>
      </c>
    </row>
    <row r="1818" spans="1:1" ht="14.25">
      <c r="A1818" s="47" t="s">
        <v>10477</v>
      </c>
    </row>
    <row r="1819" spans="1:1" ht="14.25">
      <c r="A1819" s="47" t="s">
        <v>10478</v>
      </c>
    </row>
    <row r="1820" spans="1:1" ht="14.25">
      <c r="A1820" s="47" t="s">
        <v>10479</v>
      </c>
    </row>
    <row r="1821" spans="1:1" ht="14.25">
      <c r="A1821" s="47" t="s">
        <v>10480</v>
      </c>
    </row>
    <row r="1822" spans="1:1" ht="14.25">
      <c r="A1822" s="47" t="s">
        <v>10481</v>
      </c>
    </row>
    <row r="1823" spans="1:1" ht="14.25">
      <c r="A1823" s="47" t="s">
        <v>10482</v>
      </c>
    </row>
    <row r="1824" spans="1:1" ht="14.25">
      <c r="A1824" s="47" t="s">
        <v>10483</v>
      </c>
    </row>
    <row r="1825" spans="1:1" ht="14.25">
      <c r="A1825" s="47" t="s">
        <v>10484</v>
      </c>
    </row>
    <row r="1826" spans="1:1" ht="14.25">
      <c r="A1826" s="47" t="s">
        <v>10485</v>
      </c>
    </row>
    <row r="1827" spans="1:1" ht="14.25">
      <c r="A1827" s="47" t="s">
        <v>10486</v>
      </c>
    </row>
    <row r="1828" spans="1:1" ht="14.25">
      <c r="A1828" s="47" t="s">
        <v>10487</v>
      </c>
    </row>
    <row r="1829" spans="1:1" ht="14.25">
      <c r="A1829" s="47" t="s">
        <v>10488</v>
      </c>
    </row>
    <row r="1830" spans="1:1" ht="14.25">
      <c r="A1830" s="47" t="s">
        <v>10489</v>
      </c>
    </row>
    <row r="1831" spans="1:1" ht="14.25">
      <c r="A1831" s="47" t="s">
        <v>10490</v>
      </c>
    </row>
    <row r="1832" spans="1:1" ht="14.25">
      <c r="A1832" s="47" t="s">
        <v>10491</v>
      </c>
    </row>
    <row r="1833" spans="1:1" ht="14.25">
      <c r="A1833" s="47" t="s">
        <v>10492</v>
      </c>
    </row>
    <row r="1834" spans="1:1" ht="14.25">
      <c r="A1834" s="47" t="s">
        <v>10493</v>
      </c>
    </row>
    <row r="1835" spans="1:1" ht="14.25">
      <c r="A1835" s="47" t="s">
        <v>10494</v>
      </c>
    </row>
    <row r="1836" spans="1:1" ht="14.25">
      <c r="A1836" s="47" t="s">
        <v>10495</v>
      </c>
    </row>
    <row r="1837" spans="1:1" ht="14.25">
      <c r="A1837" s="47" t="s">
        <v>10496</v>
      </c>
    </row>
    <row r="1838" spans="1:1" ht="14.25">
      <c r="A1838" s="47" t="s">
        <v>10497</v>
      </c>
    </row>
    <row r="1839" spans="1:1" ht="14.25">
      <c r="A1839" s="47" t="s">
        <v>10498</v>
      </c>
    </row>
    <row r="1840" spans="1:1" ht="14.25">
      <c r="A1840" s="47" t="s">
        <v>10499</v>
      </c>
    </row>
    <row r="1841" spans="1:1" ht="14.25">
      <c r="A1841" s="47" t="s">
        <v>10500</v>
      </c>
    </row>
    <row r="1842" spans="1:1" ht="14.25">
      <c r="A1842" s="47" t="s">
        <v>10501</v>
      </c>
    </row>
    <row r="1843" spans="1:1" ht="14.25">
      <c r="A1843" s="47" t="s">
        <v>10502</v>
      </c>
    </row>
    <row r="1844" spans="1:1" ht="14.25">
      <c r="A1844" s="47" t="s">
        <v>10503</v>
      </c>
    </row>
    <row r="1845" spans="1:1" ht="14.25">
      <c r="A1845" s="47" t="s">
        <v>10504</v>
      </c>
    </row>
    <row r="1846" spans="1:1" ht="14.25">
      <c r="A1846" s="47" t="s">
        <v>10505</v>
      </c>
    </row>
    <row r="1847" spans="1:1" ht="14.25">
      <c r="A1847" s="47" t="s">
        <v>10506</v>
      </c>
    </row>
    <row r="1848" spans="1:1" ht="14.25">
      <c r="A1848" s="47" t="s">
        <v>10507</v>
      </c>
    </row>
    <row r="1849" spans="1:1" ht="14.25">
      <c r="A1849" s="47" t="s">
        <v>10508</v>
      </c>
    </row>
    <row r="1850" spans="1:1" ht="14.25">
      <c r="A1850" s="47" t="s">
        <v>10509</v>
      </c>
    </row>
    <row r="1851" spans="1:1" ht="14.25">
      <c r="A1851" s="47" t="s">
        <v>10510</v>
      </c>
    </row>
    <row r="1852" spans="1:1" ht="14.25">
      <c r="A1852" s="47" t="s">
        <v>10511</v>
      </c>
    </row>
    <row r="1853" spans="1:1" ht="14.25">
      <c r="A1853" s="47" t="s">
        <v>10512</v>
      </c>
    </row>
    <row r="1854" spans="1:1" ht="14.25">
      <c r="A1854" s="47" t="s">
        <v>10513</v>
      </c>
    </row>
    <row r="1855" spans="1:1" ht="14.25">
      <c r="A1855" s="47"/>
    </row>
    <row r="1856" spans="1:1" ht="14.25">
      <c r="A1856" s="48" t="s">
        <v>10514</v>
      </c>
    </row>
    <row r="1857" spans="1:1" ht="25.5">
      <c r="A1857" s="49" t="s">
        <v>10515</v>
      </c>
    </row>
    <row r="1858" spans="1:1" ht="14.25">
      <c r="A1858" s="47" t="s">
        <v>10516</v>
      </c>
    </row>
    <row r="1859" spans="1:1" ht="14.25">
      <c r="A1859" s="47" t="s">
        <v>10517</v>
      </c>
    </row>
    <row r="1860" spans="1:1" ht="14.25">
      <c r="A1860" s="47" t="s">
        <v>10518</v>
      </c>
    </row>
    <row r="1861" spans="1:1" ht="14.25">
      <c r="A1861" s="47" t="s">
        <v>10519</v>
      </c>
    </row>
    <row r="1862" spans="1:1" ht="14.25">
      <c r="A1862" s="47" t="s">
        <v>10520</v>
      </c>
    </row>
    <row r="1863" spans="1:1" ht="14.25">
      <c r="A1863" s="47" t="s">
        <v>10521</v>
      </c>
    </row>
    <row r="1864" spans="1:1" ht="14.25">
      <c r="A1864" s="47" t="s">
        <v>10522</v>
      </c>
    </row>
    <row r="1865" spans="1:1" ht="14.25">
      <c r="A1865" s="47" t="s">
        <v>10523</v>
      </c>
    </row>
    <row r="1866" spans="1:1" ht="14.25">
      <c r="A1866" s="47" t="s">
        <v>10524</v>
      </c>
    </row>
    <row r="1867" spans="1:1" ht="14.25">
      <c r="A1867" s="47" t="s">
        <v>10525</v>
      </c>
    </row>
    <row r="1868" spans="1:1" ht="14.25">
      <c r="A1868" s="47" t="s">
        <v>10526</v>
      </c>
    </row>
    <row r="1869" spans="1:1" ht="14.25">
      <c r="A1869" s="47" t="s">
        <v>10527</v>
      </c>
    </row>
    <row r="1870" spans="1:1" ht="14.25">
      <c r="A1870" s="47" t="s">
        <v>10528</v>
      </c>
    </row>
    <row r="1871" spans="1:1" ht="14.25">
      <c r="A1871" s="47" t="s">
        <v>10529</v>
      </c>
    </row>
    <row r="1872" spans="1:1" ht="14.25">
      <c r="A1872" s="47" t="s">
        <v>10530</v>
      </c>
    </row>
    <row r="1873" spans="1:1" ht="14.25">
      <c r="A1873" s="47" t="s">
        <v>10531</v>
      </c>
    </row>
    <row r="1874" spans="1:1" ht="14.25">
      <c r="A1874" s="47" t="s">
        <v>10532</v>
      </c>
    </row>
    <row r="1875" spans="1:1" ht="14.25">
      <c r="A1875" s="47" t="s">
        <v>10533</v>
      </c>
    </row>
    <row r="1876" spans="1:1" ht="14.25">
      <c r="A1876" s="47" t="s">
        <v>10534</v>
      </c>
    </row>
    <row r="1877" spans="1:1" ht="14.25">
      <c r="A1877" s="47" t="s">
        <v>10535</v>
      </c>
    </row>
    <row r="1878" spans="1:1" ht="14.25">
      <c r="A1878" s="47" t="s">
        <v>10536</v>
      </c>
    </row>
    <row r="1879" spans="1:1" ht="14.25">
      <c r="A1879" s="47" t="s">
        <v>10537</v>
      </c>
    </row>
    <row r="1880" spans="1:1" ht="14.25">
      <c r="A1880" s="47" t="s">
        <v>10538</v>
      </c>
    </row>
    <row r="1881" spans="1:1" ht="14.25">
      <c r="A1881" s="47" t="s">
        <v>10539</v>
      </c>
    </row>
    <row r="1882" spans="1:1" ht="14.25">
      <c r="A1882" s="47" t="s">
        <v>10540</v>
      </c>
    </row>
    <row r="1883" spans="1:1" ht="14.25">
      <c r="A1883" s="47" t="s">
        <v>10541</v>
      </c>
    </row>
    <row r="1884" spans="1:1" ht="14.25">
      <c r="A1884" s="47" t="s">
        <v>10542</v>
      </c>
    </row>
    <row r="1885" spans="1:1" ht="14.25">
      <c r="A1885" s="47" t="s">
        <v>10543</v>
      </c>
    </row>
    <row r="1886" spans="1:1" ht="14.25">
      <c r="A1886" s="47" t="s">
        <v>10544</v>
      </c>
    </row>
    <row r="1887" spans="1:1" ht="14.25">
      <c r="A1887" s="47" t="s">
        <v>10545</v>
      </c>
    </row>
    <row r="1888" spans="1:1" ht="14.25">
      <c r="A1888" s="47" t="s">
        <v>10546</v>
      </c>
    </row>
    <row r="1889" spans="1:1" ht="14.25">
      <c r="A1889" s="47" t="s">
        <v>10547</v>
      </c>
    </row>
    <row r="1890" spans="1:1" ht="14.25">
      <c r="A1890" s="47" t="s">
        <v>10548</v>
      </c>
    </row>
    <row r="1891" spans="1:1" ht="14.25">
      <c r="A1891" s="47" t="s">
        <v>10549</v>
      </c>
    </row>
    <row r="1892" spans="1:1" ht="14.25">
      <c r="A1892" s="47" t="s">
        <v>10550</v>
      </c>
    </row>
    <row r="1893" spans="1:1" ht="14.25">
      <c r="A1893" s="47" t="s">
        <v>10551</v>
      </c>
    </row>
    <row r="1894" spans="1:1" ht="14.25">
      <c r="A1894" s="47" t="s">
        <v>10552</v>
      </c>
    </row>
    <row r="1895" spans="1:1" ht="14.25">
      <c r="A1895" s="47" t="s">
        <v>10553</v>
      </c>
    </row>
    <row r="1896" spans="1:1" ht="14.25">
      <c r="A1896" s="47" t="s">
        <v>10554</v>
      </c>
    </row>
    <row r="1897" spans="1:1" ht="14.25">
      <c r="A1897" s="47" t="s">
        <v>10555</v>
      </c>
    </row>
    <row r="1898" spans="1:1" ht="14.25">
      <c r="A1898" s="47" t="s">
        <v>10556</v>
      </c>
    </row>
    <row r="1899" spans="1:1" ht="14.25">
      <c r="A1899" s="47" t="s">
        <v>10557</v>
      </c>
    </row>
    <row r="1900" spans="1:1" ht="14.25">
      <c r="A1900" s="47" t="s">
        <v>10558</v>
      </c>
    </row>
    <row r="1901" spans="1:1" ht="14.25">
      <c r="A1901" s="47" t="s">
        <v>10559</v>
      </c>
    </row>
    <row r="1902" spans="1:1" ht="14.25">
      <c r="A1902" s="47" t="s">
        <v>10560</v>
      </c>
    </row>
    <row r="1903" spans="1:1" ht="14.25">
      <c r="A1903" s="47" t="s">
        <v>10561</v>
      </c>
    </row>
    <row r="1904" spans="1:1" ht="14.25">
      <c r="A1904" s="47" t="s">
        <v>10562</v>
      </c>
    </row>
    <row r="1905" spans="1:1" ht="14.25">
      <c r="A1905" s="47" t="s">
        <v>10563</v>
      </c>
    </row>
    <row r="1906" spans="1:1" ht="14.25">
      <c r="A1906" s="47" t="s">
        <v>10564</v>
      </c>
    </row>
    <row r="1907" spans="1:1" ht="14.25">
      <c r="A1907" s="47" t="s">
        <v>10565</v>
      </c>
    </row>
    <row r="1908" spans="1:1" ht="14.25">
      <c r="A1908" s="47" t="s">
        <v>10566</v>
      </c>
    </row>
    <row r="1909" spans="1:1" ht="14.25">
      <c r="A1909" s="47" t="s">
        <v>10567</v>
      </c>
    </row>
    <row r="1910" spans="1:1" ht="14.25">
      <c r="A1910" s="47" t="s">
        <v>10568</v>
      </c>
    </row>
    <row r="1911" spans="1:1" ht="14.25">
      <c r="A1911" s="47" t="s">
        <v>10569</v>
      </c>
    </row>
    <row r="1912" spans="1:1" ht="14.25">
      <c r="A1912" s="47" t="s">
        <v>10570</v>
      </c>
    </row>
    <row r="1913" spans="1:1" ht="14.25">
      <c r="A1913" s="47" t="s">
        <v>10571</v>
      </c>
    </row>
    <row r="1914" spans="1:1" ht="14.25">
      <c r="A1914" s="47" t="s">
        <v>10572</v>
      </c>
    </row>
    <row r="1915" spans="1:1" ht="14.25">
      <c r="A1915" s="47" t="s">
        <v>10573</v>
      </c>
    </row>
    <row r="1916" spans="1:1" ht="14.25">
      <c r="A1916" s="47" t="s">
        <v>10574</v>
      </c>
    </row>
    <row r="1917" spans="1:1" ht="14.25">
      <c r="A1917" s="47" t="s">
        <v>10575</v>
      </c>
    </row>
    <row r="1918" spans="1:1" ht="14.25">
      <c r="A1918" s="47" t="s">
        <v>10576</v>
      </c>
    </row>
    <row r="1919" spans="1:1" ht="14.25">
      <c r="A1919" s="47" t="s">
        <v>10577</v>
      </c>
    </row>
    <row r="1920" spans="1:1" ht="14.25">
      <c r="A1920" s="47" t="s">
        <v>10578</v>
      </c>
    </row>
    <row r="1921" spans="1:1" ht="14.25">
      <c r="A1921" s="47" t="s">
        <v>10579</v>
      </c>
    </row>
    <row r="1922" spans="1:1" ht="14.25">
      <c r="A1922" s="47" t="s">
        <v>10580</v>
      </c>
    </row>
    <row r="1923" spans="1:1" ht="14.25">
      <c r="A1923" s="47" t="s">
        <v>10581</v>
      </c>
    </row>
    <row r="1924" spans="1:1" ht="14.25">
      <c r="A1924" s="47" t="s">
        <v>10582</v>
      </c>
    </row>
    <row r="1925" spans="1:1" ht="14.25">
      <c r="A1925" s="47" t="s">
        <v>10583</v>
      </c>
    </row>
    <row r="1926" spans="1:1" ht="14.25">
      <c r="A1926" s="47" t="s">
        <v>10584</v>
      </c>
    </row>
    <row r="1927" spans="1:1" ht="14.25">
      <c r="A1927" s="47" t="s">
        <v>10585</v>
      </c>
    </row>
    <row r="1928" spans="1:1" ht="14.25">
      <c r="A1928" s="47" t="s">
        <v>10586</v>
      </c>
    </row>
    <row r="1929" spans="1:1" ht="14.25">
      <c r="A1929" s="47" t="s">
        <v>10587</v>
      </c>
    </row>
    <row r="1930" spans="1:1" ht="14.25">
      <c r="A1930" s="47" t="s">
        <v>10588</v>
      </c>
    </row>
    <row r="1931" spans="1:1" ht="14.25">
      <c r="A1931" s="47" t="s">
        <v>10589</v>
      </c>
    </row>
    <row r="1932" spans="1:1" ht="14.25">
      <c r="A1932" s="47" t="s">
        <v>10590</v>
      </c>
    </row>
    <row r="1933" spans="1:1" ht="14.25">
      <c r="A1933" s="47" t="s">
        <v>10591</v>
      </c>
    </row>
    <row r="1934" spans="1:1" ht="14.25">
      <c r="A1934" s="47" t="s">
        <v>10592</v>
      </c>
    </row>
    <row r="1935" spans="1:1" ht="14.25">
      <c r="A1935" s="47" t="s">
        <v>10593</v>
      </c>
    </row>
    <row r="1936" spans="1:1" ht="14.25">
      <c r="A1936" s="47" t="s">
        <v>10594</v>
      </c>
    </row>
    <row r="1937" spans="1:1" ht="14.25">
      <c r="A1937" s="47" t="s">
        <v>10595</v>
      </c>
    </row>
    <row r="1938" spans="1:1" ht="14.25">
      <c r="A1938" s="47" t="s">
        <v>10596</v>
      </c>
    </row>
    <row r="1939" spans="1:1" ht="14.25">
      <c r="A1939" s="47" t="s">
        <v>10597</v>
      </c>
    </row>
    <row r="1940" spans="1:1" ht="14.25">
      <c r="A1940" s="47" t="s">
        <v>10598</v>
      </c>
    </row>
    <row r="1941" spans="1:1" ht="14.25">
      <c r="A1941" s="47" t="s">
        <v>10599</v>
      </c>
    </row>
    <row r="1942" spans="1:1" ht="14.25">
      <c r="A1942" s="47" t="s">
        <v>10600</v>
      </c>
    </row>
    <row r="1943" spans="1:1" ht="14.25">
      <c r="A1943" s="47" t="s">
        <v>10601</v>
      </c>
    </row>
    <row r="1944" spans="1:1" ht="14.25">
      <c r="A1944" s="47" t="s">
        <v>10602</v>
      </c>
    </row>
    <row r="1945" spans="1:1" ht="14.25">
      <c r="A1945" s="47" t="s">
        <v>10603</v>
      </c>
    </row>
    <row r="1946" spans="1:1" ht="14.25">
      <c r="A1946" s="47" t="s">
        <v>10604</v>
      </c>
    </row>
    <row r="1947" spans="1:1" ht="14.25">
      <c r="A1947" s="47" t="s">
        <v>10605</v>
      </c>
    </row>
    <row r="1948" spans="1:1" ht="14.25">
      <c r="A1948" s="47" t="s">
        <v>10606</v>
      </c>
    </row>
    <row r="1949" spans="1:1" ht="14.25">
      <c r="A1949" s="47" t="s">
        <v>10607</v>
      </c>
    </row>
    <row r="1950" spans="1:1" ht="14.25">
      <c r="A1950" s="47" t="s">
        <v>10608</v>
      </c>
    </row>
    <row r="1951" spans="1:1" ht="14.25">
      <c r="A1951" s="47" t="s">
        <v>10609</v>
      </c>
    </row>
    <row r="1952" spans="1:1" ht="14.25">
      <c r="A1952" s="47" t="s">
        <v>10610</v>
      </c>
    </row>
    <row r="1953" spans="1:1" ht="14.25">
      <c r="A1953" s="47" t="s">
        <v>10611</v>
      </c>
    </row>
    <row r="1954" spans="1:1" ht="14.25">
      <c r="A1954" s="47" t="s">
        <v>10612</v>
      </c>
    </row>
    <row r="1955" spans="1:1" ht="14.25">
      <c r="A1955" s="47" t="s">
        <v>10613</v>
      </c>
    </row>
    <row r="1956" spans="1:1" ht="14.25">
      <c r="A1956" s="47" t="s">
        <v>10614</v>
      </c>
    </row>
    <row r="1957" spans="1:1" ht="14.25">
      <c r="A1957" s="47" t="s">
        <v>10615</v>
      </c>
    </row>
    <row r="1958" spans="1:1" ht="14.25">
      <c r="A1958" s="47" t="s">
        <v>10616</v>
      </c>
    </row>
    <row r="1959" spans="1:1" ht="14.25">
      <c r="A1959" s="47" t="s">
        <v>10617</v>
      </c>
    </row>
    <row r="1960" spans="1:1" ht="14.25">
      <c r="A1960" s="47" t="s">
        <v>10618</v>
      </c>
    </row>
    <row r="1961" spans="1:1" ht="14.25">
      <c r="A1961" s="47" t="s">
        <v>10619</v>
      </c>
    </row>
    <row r="1962" spans="1:1" ht="14.25">
      <c r="A1962" s="47" t="s">
        <v>10620</v>
      </c>
    </row>
    <row r="1963" spans="1:1" ht="14.25">
      <c r="A1963" s="47" t="s">
        <v>10621</v>
      </c>
    </row>
    <row r="1964" spans="1:1" ht="14.25">
      <c r="A1964" s="47" t="s">
        <v>10622</v>
      </c>
    </row>
    <row r="1965" spans="1:1" ht="14.25">
      <c r="A1965" s="47" t="s">
        <v>10623</v>
      </c>
    </row>
    <row r="1966" spans="1:1" ht="14.25">
      <c r="A1966" s="47" t="s">
        <v>10624</v>
      </c>
    </row>
    <row r="1967" spans="1:1" ht="14.25">
      <c r="A1967" s="47" t="s">
        <v>10625</v>
      </c>
    </row>
    <row r="1968" spans="1:1" ht="14.25">
      <c r="A1968" s="47" t="s">
        <v>10626</v>
      </c>
    </row>
    <row r="1969" spans="1:1" ht="14.25">
      <c r="A1969" s="47" t="s">
        <v>10627</v>
      </c>
    </row>
    <row r="1970" spans="1:1" ht="14.25">
      <c r="A1970" s="47" t="s">
        <v>10628</v>
      </c>
    </row>
    <row r="1971" spans="1:1" ht="14.25">
      <c r="A1971" s="47" t="s">
        <v>10629</v>
      </c>
    </row>
    <row r="1972" spans="1:1" ht="14.25">
      <c r="A1972" s="47" t="s">
        <v>10630</v>
      </c>
    </row>
    <row r="1973" spans="1:1" ht="14.25">
      <c r="A1973" s="47" t="s">
        <v>10631</v>
      </c>
    </row>
    <row r="1974" spans="1:1" ht="14.25">
      <c r="A1974" s="47" t="s">
        <v>10632</v>
      </c>
    </row>
    <row r="1975" spans="1:1" ht="14.25">
      <c r="A1975" s="47" t="s">
        <v>10633</v>
      </c>
    </row>
    <row r="1976" spans="1:1" ht="14.25">
      <c r="A1976" s="47" t="s">
        <v>10634</v>
      </c>
    </row>
    <row r="1977" spans="1:1" ht="14.25">
      <c r="A1977" s="47" t="s">
        <v>10635</v>
      </c>
    </row>
    <row r="1978" spans="1:1" ht="14.25">
      <c r="A1978" s="47" t="s">
        <v>10636</v>
      </c>
    </row>
    <row r="1979" spans="1:1" ht="14.25">
      <c r="A1979" s="47" t="s">
        <v>10637</v>
      </c>
    </row>
    <row r="1980" spans="1:1" ht="14.25">
      <c r="A1980" s="47" t="s">
        <v>10638</v>
      </c>
    </row>
    <row r="1981" spans="1:1" ht="14.25">
      <c r="A1981" s="47" t="s">
        <v>10639</v>
      </c>
    </row>
    <row r="1982" spans="1:1" ht="14.25">
      <c r="A1982" s="47" t="s">
        <v>10640</v>
      </c>
    </row>
    <row r="1983" spans="1:1" ht="14.25">
      <c r="A1983" s="47" t="s">
        <v>10641</v>
      </c>
    </row>
    <row r="1984" spans="1:1" ht="14.25">
      <c r="A1984" s="47" t="s">
        <v>10642</v>
      </c>
    </row>
    <row r="1985" spans="1:1" ht="14.25">
      <c r="A1985" s="47" t="s">
        <v>10643</v>
      </c>
    </row>
    <row r="1986" spans="1:1" ht="14.25">
      <c r="A1986" s="47" t="s">
        <v>10644</v>
      </c>
    </row>
    <row r="1987" spans="1:1" ht="14.25">
      <c r="A1987" s="47" t="s">
        <v>10645</v>
      </c>
    </row>
    <row r="1988" spans="1:1" ht="14.25">
      <c r="A1988" s="47" t="s">
        <v>10646</v>
      </c>
    </row>
    <row r="1989" spans="1:1" ht="14.25">
      <c r="A1989" s="47" t="s">
        <v>10647</v>
      </c>
    </row>
    <row r="1990" spans="1:1" ht="14.25">
      <c r="A1990" s="47" t="s">
        <v>10648</v>
      </c>
    </row>
    <row r="1991" spans="1:1" ht="14.25">
      <c r="A1991" s="47" t="s">
        <v>10649</v>
      </c>
    </row>
    <row r="1992" spans="1:1" ht="14.25">
      <c r="A1992" s="47" t="s">
        <v>10650</v>
      </c>
    </row>
    <row r="1993" spans="1:1" ht="14.25">
      <c r="A1993" s="47" t="s">
        <v>10651</v>
      </c>
    </row>
    <row r="1994" spans="1:1" ht="14.25">
      <c r="A1994" s="47" t="s">
        <v>10652</v>
      </c>
    </row>
    <row r="1995" spans="1:1" ht="14.25">
      <c r="A1995" s="47" t="s">
        <v>10653</v>
      </c>
    </row>
    <row r="1996" spans="1:1" ht="14.25">
      <c r="A1996" s="47" t="s">
        <v>10654</v>
      </c>
    </row>
    <row r="1997" spans="1:1" ht="14.25">
      <c r="A1997" s="47" t="s">
        <v>10655</v>
      </c>
    </row>
    <row r="1998" spans="1:1" ht="14.25">
      <c r="A1998" s="47" t="s">
        <v>10656</v>
      </c>
    </row>
    <row r="1999" spans="1:1" ht="14.25">
      <c r="A1999" s="47" t="s">
        <v>10657</v>
      </c>
    </row>
    <row r="2000" spans="1:1" ht="14.25">
      <c r="A2000" s="47" t="s">
        <v>10658</v>
      </c>
    </row>
    <row r="2001" spans="1:1" ht="14.25">
      <c r="A2001" s="47" t="s">
        <v>10659</v>
      </c>
    </row>
    <row r="2002" spans="1:1" ht="14.25">
      <c r="A2002" s="47" t="s">
        <v>10660</v>
      </c>
    </row>
    <row r="2003" spans="1:1" ht="14.25">
      <c r="A2003" s="47" t="s">
        <v>10661</v>
      </c>
    </row>
    <row r="2004" spans="1:1" ht="14.25">
      <c r="A2004" s="47" t="s">
        <v>10662</v>
      </c>
    </row>
    <row r="2005" spans="1:1" ht="14.25">
      <c r="A2005" s="47" t="s">
        <v>10663</v>
      </c>
    </row>
    <row r="2006" spans="1:1" ht="14.25">
      <c r="A2006" s="47" t="s">
        <v>10664</v>
      </c>
    </row>
    <row r="2007" spans="1:1" ht="14.25">
      <c r="A2007" s="47" t="s">
        <v>10665</v>
      </c>
    </row>
    <row r="2008" spans="1:1" ht="14.25">
      <c r="A2008" s="47" t="s">
        <v>10666</v>
      </c>
    </row>
    <row r="2009" spans="1:1" ht="14.25">
      <c r="A2009" s="47" t="s">
        <v>10667</v>
      </c>
    </row>
    <row r="2010" spans="1:1" ht="14.25">
      <c r="A2010" s="47" t="s">
        <v>10668</v>
      </c>
    </row>
    <row r="2011" spans="1:1" ht="25.5">
      <c r="A2011" s="49" t="s">
        <v>10669</v>
      </c>
    </row>
    <row r="2012" spans="1:1" ht="14.25">
      <c r="A2012" s="47" t="s">
        <v>10670</v>
      </c>
    </row>
    <row r="2013" spans="1:1" ht="14.25">
      <c r="A2013" s="47" t="s">
        <v>10671</v>
      </c>
    </row>
    <row r="2014" spans="1:1" ht="14.25">
      <c r="A2014" s="47" t="s">
        <v>10672</v>
      </c>
    </row>
    <row r="2015" spans="1:1" ht="14.25">
      <c r="A2015" s="47" t="s">
        <v>10673</v>
      </c>
    </row>
    <row r="2016" spans="1:1" ht="14.25">
      <c r="A2016" s="47" t="s">
        <v>10674</v>
      </c>
    </row>
    <row r="2017" spans="1:1" ht="14.25">
      <c r="A2017" s="47" t="s">
        <v>10675</v>
      </c>
    </row>
    <row r="2018" spans="1:1" ht="14.25">
      <c r="A2018" s="47" t="s">
        <v>10676</v>
      </c>
    </row>
    <row r="2019" spans="1:1" ht="14.25">
      <c r="A2019" s="47" t="s">
        <v>10677</v>
      </c>
    </row>
    <row r="2020" spans="1:1" ht="14.25">
      <c r="A2020" s="47" t="s">
        <v>10678</v>
      </c>
    </row>
    <row r="2021" spans="1:1" ht="14.25">
      <c r="A2021" s="47" t="s">
        <v>10679</v>
      </c>
    </row>
    <row r="2022" spans="1:1" ht="14.25">
      <c r="A2022" s="47" t="s">
        <v>10680</v>
      </c>
    </row>
    <row r="2023" spans="1:1" ht="14.25">
      <c r="A2023" s="47" t="s">
        <v>10681</v>
      </c>
    </row>
    <row r="2024" spans="1:1" ht="14.25">
      <c r="A2024" s="47" t="s">
        <v>10682</v>
      </c>
    </row>
    <row r="2025" spans="1:1" ht="14.25">
      <c r="A2025" s="47" t="s">
        <v>10683</v>
      </c>
    </row>
    <row r="2026" spans="1:1" ht="14.25">
      <c r="A2026" s="47" t="s">
        <v>10684</v>
      </c>
    </row>
    <row r="2027" spans="1:1" ht="14.25">
      <c r="A2027" s="47" t="s">
        <v>10685</v>
      </c>
    </row>
    <row r="2028" spans="1:1" ht="14.25">
      <c r="A2028" s="47" t="s">
        <v>10686</v>
      </c>
    </row>
    <row r="2029" spans="1:1" ht="14.25">
      <c r="A2029" s="47" t="s">
        <v>10687</v>
      </c>
    </row>
    <row r="2030" spans="1:1" ht="14.25">
      <c r="A2030" s="47" t="s">
        <v>10688</v>
      </c>
    </row>
    <row r="2031" spans="1:1" ht="14.25">
      <c r="A2031" s="47" t="s">
        <v>10689</v>
      </c>
    </row>
    <row r="2032" spans="1:1" ht="14.25">
      <c r="A2032" s="47" t="s">
        <v>10690</v>
      </c>
    </row>
    <row r="2033" spans="1:1" ht="14.25">
      <c r="A2033" s="47" t="s">
        <v>10691</v>
      </c>
    </row>
    <row r="2034" spans="1:1" ht="14.25">
      <c r="A2034" s="47" t="s">
        <v>10692</v>
      </c>
    </row>
    <row r="2035" spans="1:1" ht="14.25">
      <c r="A2035" s="47" t="s">
        <v>10693</v>
      </c>
    </row>
    <row r="2036" spans="1:1" ht="14.25">
      <c r="A2036" s="47" t="s">
        <v>10694</v>
      </c>
    </row>
    <row r="2037" spans="1:1" ht="14.25">
      <c r="A2037" s="47" t="s">
        <v>10695</v>
      </c>
    </row>
    <row r="2038" spans="1:1" ht="14.25">
      <c r="A2038" s="47" t="s">
        <v>10696</v>
      </c>
    </row>
    <row r="2039" spans="1:1" ht="14.25">
      <c r="A2039" s="47" t="s">
        <v>10697</v>
      </c>
    </row>
    <row r="2040" spans="1:1" ht="14.25">
      <c r="A2040" s="47" t="s">
        <v>10698</v>
      </c>
    </row>
    <row r="2041" spans="1:1" ht="14.25">
      <c r="A2041" s="47" t="s">
        <v>10699</v>
      </c>
    </row>
    <row r="2042" spans="1:1" ht="14.25">
      <c r="A2042" s="47" t="s">
        <v>10700</v>
      </c>
    </row>
    <row r="2043" spans="1:1" ht="14.25">
      <c r="A2043" s="47" t="s">
        <v>10701</v>
      </c>
    </row>
    <row r="2044" spans="1:1" ht="14.25">
      <c r="A2044" s="47" t="s">
        <v>10702</v>
      </c>
    </row>
    <row r="2045" spans="1:1" ht="14.25">
      <c r="A2045" s="47" t="s">
        <v>10703</v>
      </c>
    </row>
    <row r="2046" spans="1:1" ht="14.25">
      <c r="A2046" s="47" t="s">
        <v>10704</v>
      </c>
    </row>
    <row r="2047" spans="1:1" ht="14.25">
      <c r="A2047" s="47" t="s">
        <v>10705</v>
      </c>
    </row>
    <row r="2048" spans="1:1" ht="14.25">
      <c r="A2048" s="47" t="s">
        <v>10706</v>
      </c>
    </row>
    <row r="2049" spans="1:1" ht="14.25">
      <c r="A2049" s="47" t="s">
        <v>10707</v>
      </c>
    </row>
    <row r="2050" spans="1:1" ht="14.25">
      <c r="A2050" s="47" t="s">
        <v>10708</v>
      </c>
    </row>
    <row r="2051" spans="1:1" ht="14.25">
      <c r="A2051" s="47" t="s">
        <v>10709</v>
      </c>
    </row>
    <row r="2052" spans="1:1" ht="14.25">
      <c r="A2052" s="47" t="s">
        <v>10710</v>
      </c>
    </row>
    <row r="2053" spans="1:1" ht="14.25">
      <c r="A2053" s="47" t="s">
        <v>10711</v>
      </c>
    </row>
    <row r="2054" spans="1:1" ht="14.25">
      <c r="A2054" s="47" t="s">
        <v>10712</v>
      </c>
    </row>
    <row r="2055" spans="1:1" ht="14.25">
      <c r="A2055" s="47" t="s">
        <v>10713</v>
      </c>
    </row>
    <row r="2056" spans="1:1" ht="14.25">
      <c r="A2056" s="47" t="s">
        <v>10714</v>
      </c>
    </row>
    <row r="2057" spans="1:1" ht="14.25">
      <c r="A2057" s="47" t="s">
        <v>10715</v>
      </c>
    </row>
    <row r="2058" spans="1:1" ht="14.25">
      <c r="A2058" s="47" t="s">
        <v>10716</v>
      </c>
    </row>
    <row r="2059" spans="1:1" ht="14.25">
      <c r="A2059" s="47" t="s">
        <v>10717</v>
      </c>
    </row>
    <row r="2060" spans="1:1" ht="14.25">
      <c r="A2060" s="47" t="s">
        <v>10718</v>
      </c>
    </row>
    <row r="2061" spans="1:1" ht="14.25">
      <c r="A2061" s="47" t="s">
        <v>10719</v>
      </c>
    </row>
    <row r="2062" spans="1:1" ht="14.25">
      <c r="A2062" s="47" t="s">
        <v>10720</v>
      </c>
    </row>
    <row r="2063" spans="1:1" ht="14.25">
      <c r="A2063" s="47" t="s">
        <v>10721</v>
      </c>
    </row>
    <row r="2064" spans="1:1" ht="14.25">
      <c r="A2064" s="47" t="s">
        <v>10722</v>
      </c>
    </row>
    <row r="2065" spans="1:1" ht="14.25">
      <c r="A2065" s="47" t="s">
        <v>10723</v>
      </c>
    </row>
    <row r="2066" spans="1:1" ht="14.25">
      <c r="A2066" s="47" t="s">
        <v>10724</v>
      </c>
    </row>
    <row r="2067" spans="1:1" ht="14.25">
      <c r="A2067" s="47" t="s">
        <v>10725</v>
      </c>
    </row>
    <row r="2068" spans="1:1" ht="14.25">
      <c r="A2068" s="47" t="s">
        <v>10726</v>
      </c>
    </row>
    <row r="2069" spans="1:1" ht="14.25">
      <c r="A2069" s="47" t="s">
        <v>10727</v>
      </c>
    </row>
    <row r="2070" spans="1:1" ht="14.25">
      <c r="A2070" s="47" t="s">
        <v>10728</v>
      </c>
    </row>
    <row r="2071" spans="1:1" ht="14.25">
      <c r="A2071" s="47" t="s">
        <v>10729</v>
      </c>
    </row>
    <row r="2072" spans="1:1" ht="14.25">
      <c r="A2072" s="47" t="s">
        <v>10730</v>
      </c>
    </row>
    <row r="2073" spans="1:1" ht="14.25">
      <c r="A2073" s="47" t="s">
        <v>10731</v>
      </c>
    </row>
    <row r="2074" spans="1:1" ht="14.25">
      <c r="A2074" s="47" t="s">
        <v>10732</v>
      </c>
    </row>
    <row r="2075" spans="1:1" ht="14.25">
      <c r="A2075" s="47" t="s">
        <v>10733</v>
      </c>
    </row>
    <row r="2076" spans="1:1" ht="14.25">
      <c r="A2076" s="47" t="s">
        <v>10734</v>
      </c>
    </row>
    <row r="2077" spans="1:1" ht="14.25">
      <c r="A2077" s="47" t="s">
        <v>10735</v>
      </c>
    </row>
    <row r="2078" spans="1:1" ht="14.25">
      <c r="A2078" s="47" t="s">
        <v>10736</v>
      </c>
    </row>
    <row r="2079" spans="1:1" ht="14.25">
      <c r="A2079" s="47" t="s">
        <v>10737</v>
      </c>
    </row>
    <row r="2080" spans="1:1" ht="14.25">
      <c r="A2080" s="47" t="s">
        <v>10738</v>
      </c>
    </row>
    <row r="2081" spans="1:1" ht="14.25">
      <c r="A2081" s="47" t="s">
        <v>10739</v>
      </c>
    </row>
    <row r="2082" spans="1:1" ht="14.25">
      <c r="A2082" s="47" t="s">
        <v>10740</v>
      </c>
    </row>
    <row r="2083" spans="1:1" ht="14.25">
      <c r="A2083" s="47" t="s">
        <v>10741</v>
      </c>
    </row>
    <row r="2084" spans="1:1" ht="14.25">
      <c r="A2084" s="47" t="s">
        <v>10742</v>
      </c>
    </row>
    <row r="2085" spans="1:1" ht="14.25">
      <c r="A2085" s="47" t="s">
        <v>10743</v>
      </c>
    </row>
    <row r="2086" spans="1:1" ht="14.25">
      <c r="A2086" s="47" t="s">
        <v>10744</v>
      </c>
    </row>
    <row r="2087" spans="1:1" ht="14.25">
      <c r="A2087" s="47" t="s">
        <v>10745</v>
      </c>
    </row>
    <row r="2088" spans="1:1" ht="14.25">
      <c r="A2088" s="47" t="s">
        <v>10746</v>
      </c>
    </row>
    <row r="2089" spans="1:1" ht="14.25">
      <c r="A2089" s="47" t="s">
        <v>10747</v>
      </c>
    </row>
    <row r="2090" spans="1:1" ht="14.25">
      <c r="A2090" s="47" t="s">
        <v>10748</v>
      </c>
    </row>
    <row r="2091" spans="1:1" ht="14.25">
      <c r="A2091" s="47" t="s">
        <v>10749</v>
      </c>
    </row>
    <row r="2092" spans="1:1" ht="14.25">
      <c r="A2092" s="47" t="s">
        <v>10750</v>
      </c>
    </row>
    <row r="2093" spans="1:1" ht="14.25">
      <c r="A2093" s="47" t="s">
        <v>10751</v>
      </c>
    </row>
    <row r="2094" spans="1:1" ht="14.25">
      <c r="A2094" s="47" t="s">
        <v>10752</v>
      </c>
    </row>
    <row r="2095" spans="1:1" ht="14.25">
      <c r="A2095" s="47" t="s">
        <v>10753</v>
      </c>
    </row>
    <row r="2096" spans="1:1" ht="14.25">
      <c r="A2096" s="47" t="s">
        <v>10754</v>
      </c>
    </row>
    <row r="2097" spans="1:1" ht="14.25">
      <c r="A2097" s="47" t="s">
        <v>10755</v>
      </c>
    </row>
    <row r="2098" spans="1:1" ht="14.25">
      <c r="A2098" s="47" t="s">
        <v>10756</v>
      </c>
    </row>
    <row r="2099" spans="1:1" ht="14.25">
      <c r="A2099" s="47" t="s">
        <v>10757</v>
      </c>
    </row>
    <row r="2100" spans="1:1" ht="14.25">
      <c r="A2100" s="47" t="s">
        <v>10758</v>
      </c>
    </row>
    <row r="2101" spans="1:1" ht="14.25">
      <c r="A2101" s="47" t="s">
        <v>10759</v>
      </c>
    </row>
    <row r="2102" spans="1:1" ht="14.25">
      <c r="A2102" s="47" t="s">
        <v>10760</v>
      </c>
    </row>
    <row r="2103" spans="1:1" ht="25.5">
      <c r="A2103" s="49" t="s">
        <v>10761</v>
      </c>
    </row>
    <row r="2104" spans="1:1" ht="14.25">
      <c r="A2104" s="47" t="s">
        <v>10762</v>
      </c>
    </row>
    <row r="2105" spans="1:1" ht="14.25">
      <c r="A2105" s="47" t="s">
        <v>10763</v>
      </c>
    </row>
    <row r="2106" spans="1:1" ht="14.25">
      <c r="A2106" s="47" t="s">
        <v>10764</v>
      </c>
    </row>
    <row r="2107" spans="1:1" ht="14.25">
      <c r="A2107" s="47" t="s">
        <v>10765</v>
      </c>
    </row>
    <row r="2108" spans="1:1" ht="14.25">
      <c r="A2108" s="47" t="s">
        <v>10766</v>
      </c>
    </row>
    <row r="2109" spans="1:1" ht="14.25">
      <c r="A2109" s="47" t="s">
        <v>10767</v>
      </c>
    </row>
    <row r="2110" spans="1:1" ht="14.25">
      <c r="A2110" s="47" t="s">
        <v>10768</v>
      </c>
    </row>
    <row r="2111" spans="1:1" ht="14.25">
      <c r="A2111" s="47" t="s">
        <v>10769</v>
      </c>
    </row>
    <row r="2112" spans="1:1" ht="14.25">
      <c r="A2112" s="47" t="s">
        <v>10770</v>
      </c>
    </row>
    <row r="2113" spans="1:1" ht="14.25">
      <c r="A2113" s="47" t="s">
        <v>10771</v>
      </c>
    </row>
    <row r="2114" spans="1:1" ht="14.25">
      <c r="A2114" s="47" t="s">
        <v>10772</v>
      </c>
    </row>
    <row r="2115" spans="1:1" ht="14.25">
      <c r="A2115" s="47" t="s">
        <v>10773</v>
      </c>
    </row>
    <row r="2116" spans="1:1" ht="14.25">
      <c r="A2116" s="47" t="s">
        <v>10774</v>
      </c>
    </row>
    <row r="2117" spans="1:1" ht="14.25">
      <c r="A2117" s="47" t="s">
        <v>10775</v>
      </c>
    </row>
    <row r="2118" spans="1:1" ht="14.25">
      <c r="A2118" s="47" t="s">
        <v>10776</v>
      </c>
    </row>
    <row r="2119" spans="1:1" ht="14.25">
      <c r="A2119" s="47" t="s">
        <v>10777</v>
      </c>
    </row>
    <row r="2120" spans="1:1" ht="14.25">
      <c r="A2120" s="47" t="s">
        <v>10778</v>
      </c>
    </row>
    <row r="2121" spans="1:1" ht="14.25">
      <c r="A2121" s="47" t="s">
        <v>10779</v>
      </c>
    </row>
    <row r="2122" spans="1:1" ht="14.25">
      <c r="A2122" s="47" t="s">
        <v>10780</v>
      </c>
    </row>
    <row r="2123" spans="1:1" ht="14.25">
      <c r="A2123" s="47" t="s">
        <v>10781</v>
      </c>
    </row>
    <row r="2124" spans="1:1" ht="14.25">
      <c r="A2124" s="47" t="s">
        <v>10782</v>
      </c>
    </row>
    <row r="2125" spans="1:1" ht="14.25">
      <c r="A2125" s="47" t="s">
        <v>10783</v>
      </c>
    </row>
    <row r="2126" spans="1:1" ht="14.25">
      <c r="A2126" s="47" t="s">
        <v>10784</v>
      </c>
    </row>
    <row r="2127" spans="1:1" ht="14.25">
      <c r="A2127" s="47" t="s">
        <v>10785</v>
      </c>
    </row>
    <row r="2128" spans="1:1" ht="14.25">
      <c r="A2128" s="47" t="s">
        <v>10786</v>
      </c>
    </row>
    <row r="2129" spans="1:1" ht="14.25">
      <c r="A2129" s="47" t="s">
        <v>10787</v>
      </c>
    </row>
    <row r="2130" spans="1:1" ht="14.25">
      <c r="A2130" s="47" t="s">
        <v>10788</v>
      </c>
    </row>
    <row r="2131" spans="1:1" ht="14.25">
      <c r="A2131" s="47" t="s">
        <v>10789</v>
      </c>
    </row>
    <row r="2132" spans="1:1" ht="14.25">
      <c r="A2132" s="47" t="s">
        <v>10790</v>
      </c>
    </row>
    <row r="2133" spans="1:1" ht="14.25">
      <c r="A2133" s="47" t="s">
        <v>10791</v>
      </c>
    </row>
    <row r="2134" spans="1:1" ht="14.25">
      <c r="A2134" s="47" t="s">
        <v>10792</v>
      </c>
    </row>
    <row r="2135" spans="1:1" ht="14.25">
      <c r="A2135" s="47" t="s">
        <v>10793</v>
      </c>
    </row>
    <row r="2136" spans="1:1" ht="14.25">
      <c r="A2136" s="47" t="s">
        <v>10794</v>
      </c>
    </row>
    <row r="2137" spans="1:1" ht="14.25">
      <c r="A2137" s="47" t="s">
        <v>10795</v>
      </c>
    </row>
    <row r="2138" spans="1:1" ht="14.25">
      <c r="A2138" s="47" t="s">
        <v>10796</v>
      </c>
    </row>
    <row r="2139" spans="1:1" ht="14.25">
      <c r="A2139" s="47" t="s">
        <v>10797</v>
      </c>
    </row>
    <row r="2140" spans="1:1" ht="14.25">
      <c r="A2140" s="47" t="s">
        <v>10798</v>
      </c>
    </row>
    <row r="2141" spans="1:1" ht="14.25">
      <c r="A2141" s="47" t="s">
        <v>10799</v>
      </c>
    </row>
    <row r="2142" spans="1:1" ht="14.25">
      <c r="A2142" s="47" t="s">
        <v>10800</v>
      </c>
    </row>
    <row r="2143" spans="1:1" ht="14.25">
      <c r="A2143" s="47" t="s">
        <v>10801</v>
      </c>
    </row>
    <row r="2144" spans="1:1" ht="14.25">
      <c r="A2144" s="47" t="s">
        <v>10802</v>
      </c>
    </row>
    <row r="2145" spans="1:1" ht="14.25">
      <c r="A2145" s="47" t="s">
        <v>10803</v>
      </c>
    </row>
    <row r="2146" spans="1:1" ht="14.25">
      <c r="A2146" s="47" t="s">
        <v>10804</v>
      </c>
    </row>
    <row r="2147" spans="1:1" ht="14.25">
      <c r="A2147" s="47" t="s">
        <v>10805</v>
      </c>
    </row>
    <row r="2148" spans="1:1" ht="14.25">
      <c r="A2148" s="47" t="s">
        <v>10806</v>
      </c>
    </row>
    <row r="2149" spans="1:1" ht="14.25">
      <c r="A2149" s="47" t="s">
        <v>10807</v>
      </c>
    </row>
    <row r="2150" spans="1:1" ht="14.25">
      <c r="A2150" s="47" t="s">
        <v>10808</v>
      </c>
    </row>
    <row r="2151" spans="1:1" ht="14.25">
      <c r="A2151" s="47" t="s">
        <v>10809</v>
      </c>
    </row>
    <row r="2152" spans="1:1" ht="14.25">
      <c r="A2152" s="47" t="s">
        <v>10810</v>
      </c>
    </row>
    <row r="2153" spans="1:1" ht="14.25">
      <c r="A2153" s="47" t="s">
        <v>10811</v>
      </c>
    </row>
    <row r="2154" spans="1:1" ht="14.25">
      <c r="A2154" s="47" t="s">
        <v>10812</v>
      </c>
    </row>
    <row r="2155" spans="1:1" ht="14.25">
      <c r="A2155" s="47" t="s">
        <v>10813</v>
      </c>
    </row>
    <row r="2156" spans="1:1" ht="14.25">
      <c r="A2156" s="47" t="s">
        <v>10814</v>
      </c>
    </row>
    <row r="2157" spans="1:1" ht="14.25">
      <c r="A2157" s="47" t="s">
        <v>10815</v>
      </c>
    </row>
    <row r="2158" spans="1:1" ht="14.25">
      <c r="A2158" s="47" t="s">
        <v>10816</v>
      </c>
    </row>
    <row r="2159" spans="1:1" ht="14.25">
      <c r="A2159" s="47" t="s">
        <v>10817</v>
      </c>
    </row>
    <row r="2160" spans="1:1" ht="14.25">
      <c r="A2160" s="47" t="s">
        <v>10818</v>
      </c>
    </row>
    <row r="2161" spans="1:1" ht="14.25">
      <c r="A2161" s="47" t="s">
        <v>10819</v>
      </c>
    </row>
    <row r="2162" spans="1:1" ht="14.25">
      <c r="A2162" s="47" t="s">
        <v>10820</v>
      </c>
    </row>
    <row r="2163" spans="1:1" ht="14.25">
      <c r="A2163" s="47" t="s">
        <v>10821</v>
      </c>
    </row>
    <row r="2164" spans="1:1" ht="14.25">
      <c r="A2164" s="47" t="s">
        <v>10822</v>
      </c>
    </row>
    <row r="2165" spans="1:1" ht="14.25">
      <c r="A2165" s="47" t="s">
        <v>10823</v>
      </c>
    </row>
    <row r="2166" spans="1:1" ht="14.25">
      <c r="A2166" s="47" t="s">
        <v>10824</v>
      </c>
    </row>
    <row r="2167" spans="1:1" ht="14.25">
      <c r="A2167" s="47" t="s">
        <v>10825</v>
      </c>
    </row>
    <row r="2168" spans="1:1" ht="14.25">
      <c r="A2168" s="47" t="s">
        <v>10826</v>
      </c>
    </row>
    <row r="2169" spans="1:1" ht="25.5">
      <c r="A2169" s="49" t="s">
        <v>10827</v>
      </c>
    </row>
    <row r="2170" spans="1:1" ht="14.25">
      <c r="A2170" s="47" t="s">
        <v>10828</v>
      </c>
    </row>
    <row r="2171" spans="1:1" ht="14.25">
      <c r="A2171" s="47" t="s">
        <v>10829</v>
      </c>
    </row>
    <row r="2172" spans="1:1" ht="14.25">
      <c r="A2172" s="47" t="s">
        <v>10830</v>
      </c>
    </row>
    <row r="2173" spans="1:1" ht="14.25">
      <c r="A2173" s="47" t="s">
        <v>10831</v>
      </c>
    </row>
    <row r="2174" spans="1:1" ht="14.25">
      <c r="A2174" s="47" t="s">
        <v>10832</v>
      </c>
    </row>
    <row r="2175" spans="1:1" ht="14.25">
      <c r="A2175" s="47" t="s">
        <v>10833</v>
      </c>
    </row>
    <row r="2176" spans="1:1" ht="14.25">
      <c r="A2176" s="47" t="s">
        <v>10834</v>
      </c>
    </row>
    <row r="2177" spans="1:1" ht="14.25">
      <c r="A2177" s="47" t="s">
        <v>10835</v>
      </c>
    </row>
    <row r="2178" spans="1:1" ht="14.25">
      <c r="A2178" s="47" t="s">
        <v>10836</v>
      </c>
    </row>
    <row r="2179" spans="1:1" ht="14.25">
      <c r="A2179" s="47" t="s">
        <v>10837</v>
      </c>
    </row>
    <row r="2180" spans="1:1" ht="14.25">
      <c r="A2180" s="47" t="s">
        <v>10838</v>
      </c>
    </row>
    <row r="2181" spans="1:1" ht="14.25">
      <c r="A2181" s="47" t="s">
        <v>10839</v>
      </c>
    </row>
    <row r="2182" spans="1:1" ht="14.25">
      <c r="A2182" s="47" t="s">
        <v>10840</v>
      </c>
    </row>
    <row r="2183" spans="1:1" ht="14.25">
      <c r="A2183" s="47" t="s">
        <v>10841</v>
      </c>
    </row>
    <row r="2184" spans="1:1" ht="14.25">
      <c r="A2184" s="47" t="s">
        <v>10842</v>
      </c>
    </row>
    <row r="2185" spans="1:1" ht="14.25">
      <c r="A2185" s="47" t="s">
        <v>10843</v>
      </c>
    </row>
    <row r="2186" spans="1:1" ht="14.25">
      <c r="A2186" s="47" t="s">
        <v>10844</v>
      </c>
    </row>
    <row r="2187" spans="1:1" ht="14.25">
      <c r="A2187" s="47" t="s">
        <v>10845</v>
      </c>
    </row>
    <row r="2188" spans="1:1" ht="14.25">
      <c r="A2188" s="47" t="s">
        <v>10846</v>
      </c>
    </row>
    <row r="2189" spans="1:1" ht="14.25">
      <c r="A2189" s="47" t="s">
        <v>10847</v>
      </c>
    </row>
    <row r="2190" spans="1:1" ht="14.25">
      <c r="A2190" s="47" t="s">
        <v>10848</v>
      </c>
    </row>
    <row r="2191" spans="1:1" ht="14.25">
      <c r="A2191" s="47" t="s">
        <v>10849</v>
      </c>
    </row>
    <row r="2192" spans="1:1" ht="14.25">
      <c r="A2192" s="47" t="s">
        <v>10850</v>
      </c>
    </row>
    <row r="2193" spans="1:1" ht="14.25">
      <c r="A2193" s="47" t="s">
        <v>10851</v>
      </c>
    </row>
    <row r="2194" spans="1:1" ht="14.25">
      <c r="A2194" s="47" t="s">
        <v>10852</v>
      </c>
    </row>
    <row r="2195" spans="1:1" ht="14.25">
      <c r="A2195" s="47" t="s">
        <v>10853</v>
      </c>
    </row>
    <row r="2196" spans="1:1" ht="14.25">
      <c r="A2196" s="47" t="s">
        <v>10854</v>
      </c>
    </row>
    <row r="2197" spans="1:1" ht="14.25">
      <c r="A2197" s="47" t="s">
        <v>10855</v>
      </c>
    </row>
    <row r="2198" spans="1:1" ht="14.25">
      <c r="A2198" s="47" t="s">
        <v>10856</v>
      </c>
    </row>
    <row r="2199" spans="1:1" ht="14.25">
      <c r="A2199" s="47" t="s">
        <v>10857</v>
      </c>
    </row>
    <row r="2200" spans="1:1" ht="14.25">
      <c r="A2200" s="47" t="s">
        <v>10858</v>
      </c>
    </row>
    <row r="2201" spans="1:1" ht="14.25">
      <c r="A2201" s="47" t="s">
        <v>10859</v>
      </c>
    </row>
    <row r="2202" spans="1:1" ht="14.25">
      <c r="A2202" s="47" t="s">
        <v>10860</v>
      </c>
    </row>
    <row r="2203" spans="1:1" ht="14.25">
      <c r="A2203" s="47" t="s">
        <v>10861</v>
      </c>
    </row>
    <row r="2204" spans="1:1" ht="14.25">
      <c r="A2204" s="47" t="s">
        <v>10862</v>
      </c>
    </row>
    <row r="2205" spans="1:1" ht="14.25">
      <c r="A2205" s="47" t="s">
        <v>10863</v>
      </c>
    </row>
    <row r="2206" spans="1:1" ht="14.25">
      <c r="A2206" s="47" t="s">
        <v>10864</v>
      </c>
    </row>
    <row r="2207" spans="1:1" ht="14.25">
      <c r="A2207" s="47" t="s">
        <v>10865</v>
      </c>
    </row>
    <row r="2208" spans="1:1" ht="14.25">
      <c r="A2208" s="47" t="s">
        <v>10866</v>
      </c>
    </row>
    <row r="2209" spans="1:1" ht="14.25">
      <c r="A2209" s="47" t="s">
        <v>10867</v>
      </c>
    </row>
    <row r="2210" spans="1:1" ht="25.5">
      <c r="A2210" s="49" t="s">
        <v>10868</v>
      </c>
    </row>
    <row r="2211" spans="1:1" ht="14.25">
      <c r="A2211" s="47" t="s">
        <v>10869</v>
      </c>
    </row>
    <row r="2212" spans="1:1" ht="14.25">
      <c r="A2212" s="47" t="s">
        <v>10870</v>
      </c>
    </row>
    <row r="2213" spans="1:1" ht="14.25">
      <c r="A2213" s="47" t="s">
        <v>10871</v>
      </c>
    </row>
    <row r="2214" spans="1:1" ht="14.25">
      <c r="A2214" s="47" t="s">
        <v>10872</v>
      </c>
    </row>
    <row r="2215" spans="1:1" ht="14.25">
      <c r="A2215" s="47" t="s">
        <v>10873</v>
      </c>
    </row>
    <row r="2216" spans="1:1" ht="14.25">
      <c r="A2216" s="47" t="s">
        <v>10874</v>
      </c>
    </row>
    <row r="2217" spans="1:1" ht="14.25">
      <c r="A2217" s="47" t="s">
        <v>10875</v>
      </c>
    </row>
    <row r="2218" spans="1:1" ht="14.25">
      <c r="A2218" s="47" t="s">
        <v>10876</v>
      </c>
    </row>
    <row r="2219" spans="1:1" ht="14.25">
      <c r="A2219" s="47" t="s">
        <v>10877</v>
      </c>
    </row>
    <row r="2220" spans="1:1" ht="14.25">
      <c r="A2220" s="47" t="s">
        <v>10878</v>
      </c>
    </row>
    <row r="2221" spans="1:1" ht="14.25">
      <c r="A2221" s="47" t="s">
        <v>10879</v>
      </c>
    </row>
    <row r="2222" spans="1:1" ht="14.25">
      <c r="A2222" s="47" t="s">
        <v>10880</v>
      </c>
    </row>
    <row r="2223" spans="1:1" ht="14.25">
      <c r="A2223" s="47" t="s">
        <v>10881</v>
      </c>
    </row>
    <row r="2224" spans="1:1" ht="14.25">
      <c r="A2224" s="47" t="s">
        <v>10882</v>
      </c>
    </row>
    <row r="2225" spans="1:1" ht="14.25">
      <c r="A2225" s="47" t="s">
        <v>10883</v>
      </c>
    </row>
    <row r="2226" spans="1:1" ht="14.25">
      <c r="A2226" s="47" t="s">
        <v>10884</v>
      </c>
    </row>
    <row r="2227" spans="1:1" ht="14.25">
      <c r="A2227" s="47" t="s">
        <v>10885</v>
      </c>
    </row>
    <row r="2228" spans="1:1" ht="14.25">
      <c r="A2228" s="47" t="s">
        <v>10886</v>
      </c>
    </row>
    <row r="2229" spans="1:1" ht="14.25">
      <c r="A2229" s="47" t="s">
        <v>10887</v>
      </c>
    </row>
    <row r="2230" spans="1:1" ht="14.25">
      <c r="A2230" s="47" t="s">
        <v>10888</v>
      </c>
    </row>
    <row r="2231" spans="1:1" ht="14.25">
      <c r="A2231" s="47" t="s">
        <v>10889</v>
      </c>
    </row>
    <row r="2232" spans="1:1" ht="14.25">
      <c r="A2232" s="47" t="s">
        <v>10890</v>
      </c>
    </row>
    <row r="2233" spans="1:1" ht="14.25">
      <c r="A2233" s="47" t="s">
        <v>10891</v>
      </c>
    </row>
    <row r="2234" spans="1:1" ht="14.25">
      <c r="A2234" s="47" t="s">
        <v>10892</v>
      </c>
    </row>
    <row r="2235" spans="1:1" ht="14.25">
      <c r="A2235" s="47" t="s">
        <v>10893</v>
      </c>
    </row>
    <row r="2236" spans="1:1" ht="14.25">
      <c r="A2236" s="47" t="s">
        <v>10894</v>
      </c>
    </row>
    <row r="2237" spans="1:1" ht="14.25">
      <c r="A2237" s="47" t="s">
        <v>10895</v>
      </c>
    </row>
    <row r="2238" spans="1:1" ht="14.25">
      <c r="A2238" s="47" t="s">
        <v>10896</v>
      </c>
    </row>
    <row r="2239" spans="1:1" ht="14.25">
      <c r="A2239" s="47" t="s">
        <v>10897</v>
      </c>
    </row>
    <row r="2240" spans="1:1" ht="14.25">
      <c r="A2240" s="47" t="s">
        <v>10898</v>
      </c>
    </row>
    <row r="2241" spans="1:1" ht="14.25">
      <c r="A2241" s="47" t="s">
        <v>10899</v>
      </c>
    </row>
    <row r="2242" spans="1:1" ht="14.25">
      <c r="A2242" s="47" t="s">
        <v>10900</v>
      </c>
    </row>
    <row r="2243" spans="1:1" ht="14.25">
      <c r="A2243" s="47" t="s">
        <v>10901</v>
      </c>
    </row>
    <row r="2244" spans="1:1" ht="14.25">
      <c r="A2244" s="47" t="s">
        <v>10902</v>
      </c>
    </row>
    <row r="2245" spans="1:1" ht="14.25">
      <c r="A2245" s="47" t="s">
        <v>10903</v>
      </c>
    </row>
    <row r="2246" spans="1:1" ht="14.25">
      <c r="A2246" s="47" t="s">
        <v>10904</v>
      </c>
    </row>
    <row r="2247" spans="1:1" ht="14.25">
      <c r="A2247" s="47" t="s">
        <v>10905</v>
      </c>
    </row>
    <row r="2248" spans="1:1" ht="14.25">
      <c r="A2248" s="47" t="s">
        <v>10906</v>
      </c>
    </row>
    <row r="2249" spans="1:1" ht="14.25">
      <c r="A2249" s="47" t="s">
        <v>10907</v>
      </c>
    </row>
    <row r="2250" spans="1:1" ht="14.25">
      <c r="A2250" s="47" t="s">
        <v>10908</v>
      </c>
    </row>
    <row r="2251" spans="1:1" ht="14.25">
      <c r="A2251" s="47" t="s">
        <v>10909</v>
      </c>
    </row>
    <row r="2252" spans="1:1" ht="14.25">
      <c r="A2252" s="47" t="s">
        <v>10910</v>
      </c>
    </row>
    <row r="2253" spans="1:1" ht="14.25">
      <c r="A2253" s="47" t="s">
        <v>10911</v>
      </c>
    </row>
    <row r="2254" spans="1:1" ht="14.25">
      <c r="A2254" s="47" t="s">
        <v>10912</v>
      </c>
    </row>
    <row r="2255" spans="1:1" ht="14.25">
      <c r="A2255" s="47" t="s">
        <v>10913</v>
      </c>
    </row>
    <row r="2256" spans="1:1" ht="14.25">
      <c r="A2256" s="47" t="s">
        <v>10914</v>
      </c>
    </row>
    <row r="2257" spans="1:1" ht="14.25">
      <c r="A2257" s="47" t="s">
        <v>10915</v>
      </c>
    </row>
    <row r="2258" spans="1:1" ht="14.25">
      <c r="A2258" s="47" t="s">
        <v>10916</v>
      </c>
    </row>
    <row r="2259" spans="1:1" ht="14.25">
      <c r="A2259" s="47" t="s">
        <v>10917</v>
      </c>
    </row>
    <row r="2260" spans="1:1" ht="14.25">
      <c r="A2260" s="47" t="s">
        <v>10918</v>
      </c>
    </row>
    <row r="2261" spans="1:1" ht="14.25">
      <c r="A2261" s="47" t="s">
        <v>10919</v>
      </c>
    </row>
    <row r="2262" spans="1:1" ht="14.25">
      <c r="A2262" s="47" t="s">
        <v>10920</v>
      </c>
    </row>
    <row r="2263" spans="1:1" ht="14.25">
      <c r="A2263" s="47" t="s">
        <v>10921</v>
      </c>
    </row>
    <row r="2264" spans="1:1" ht="14.25">
      <c r="A2264" s="47" t="s">
        <v>10922</v>
      </c>
    </row>
    <row r="2265" spans="1:1" ht="14.25">
      <c r="A2265" s="47" t="s">
        <v>10923</v>
      </c>
    </row>
    <row r="2266" spans="1:1" ht="14.25">
      <c r="A2266" s="47" t="s">
        <v>10924</v>
      </c>
    </row>
    <row r="2267" spans="1:1" ht="14.25">
      <c r="A2267" s="47" t="s">
        <v>10925</v>
      </c>
    </row>
    <row r="2268" spans="1:1" ht="14.25">
      <c r="A2268" s="47" t="s">
        <v>10926</v>
      </c>
    </row>
    <row r="2269" spans="1:1" ht="14.25">
      <c r="A2269" s="47" t="s">
        <v>10927</v>
      </c>
    </row>
    <row r="2270" spans="1:1" ht="14.25">
      <c r="A2270" s="47" t="s">
        <v>10928</v>
      </c>
    </row>
    <row r="2271" spans="1:1" ht="14.25">
      <c r="A2271" s="47" t="s">
        <v>10929</v>
      </c>
    </row>
    <row r="2272" spans="1:1" ht="14.25">
      <c r="A2272" s="47" t="s">
        <v>10930</v>
      </c>
    </row>
    <row r="2273" spans="1:1" ht="14.25">
      <c r="A2273" s="47" t="s">
        <v>10931</v>
      </c>
    </row>
    <row r="2274" spans="1:1" ht="14.25">
      <c r="A2274" s="47" t="s">
        <v>10932</v>
      </c>
    </row>
    <row r="2275" spans="1:1" ht="14.25">
      <c r="A2275" s="47" t="s">
        <v>10933</v>
      </c>
    </row>
    <row r="2276" spans="1:1" ht="14.25">
      <c r="A2276" s="47" t="s">
        <v>10934</v>
      </c>
    </row>
    <row r="2277" spans="1:1" ht="14.25">
      <c r="A2277" s="47" t="s">
        <v>10935</v>
      </c>
    </row>
    <row r="2278" spans="1:1" ht="14.25">
      <c r="A2278" s="47" t="s">
        <v>10936</v>
      </c>
    </row>
    <row r="2279" spans="1:1" ht="14.25">
      <c r="A2279" s="47" t="s">
        <v>10937</v>
      </c>
    </row>
    <row r="2280" spans="1:1" ht="14.25">
      <c r="A2280" s="47" t="s">
        <v>10938</v>
      </c>
    </row>
    <row r="2281" spans="1:1" ht="14.25">
      <c r="A2281" s="47" t="s">
        <v>10939</v>
      </c>
    </row>
    <row r="2282" spans="1:1" ht="14.25">
      <c r="A2282" s="47" t="s">
        <v>10940</v>
      </c>
    </row>
    <row r="2283" spans="1:1" ht="14.25">
      <c r="A2283" s="47" t="s">
        <v>10941</v>
      </c>
    </row>
    <row r="2284" spans="1:1" ht="14.25">
      <c r="A2284" s="47" t="s">
        <v>10942</v>
      </c>
    </row>
    <row r="2285" spans="1:1" ht="14.25">
      <c r="A2285" s="47" t="s">
        <v>10943</v>
      </c>
    </row>
    <row r="2286" spans="1:1" ht="14.25">
      <c r="A2286" s="47" t="s">
        <v>10944</v>
      </c>
    </row>
    <row r="2287" spans="1:1" ht="14.25">
      <c r="A2287" s="47" t="s">
        <v>10945</v>
      </c>
    </row>
    <row r="2288" spans="1:1" ht="14.25">
      <c r="A2288" s="47" t="s">
        <v>10946</v>
      </c>
    </row>
    <row r="2289" spans="1:1" ht="14.25">
      <c r="A2289" s="47" t="s">
        <v>10947</v>
      </c>
    </row>
    <row r="2290" spans="1:1" ht="14.25">
      <c r="A2290" s="47" t="s">
        <v>10948</v>
      </c>
    </row>
    <row r="2291" spans="1:1" ht="14.25">
      <c r="A2291" s="47" t="s">
        <v>10949</v>
      </c>
    </row>
    <row r="2292" spans="1:1" ht="14.25">
      <c r="A2292" s="47" t="s">
        <v>10950</v>
      </c>
    </row>
    <row r="2293" spans="1:1" ht="14.25">
      <c r="A2293" s="47" t="s">
        <v>10951</v>
      </c>
    </row>
    <row r="2294" spans="1:1" ht="14.25">
      <c r="A2294" s="47" t="s">
        <v>10952</v>
      </c>
    </row>
    <row r="2295" spans="1:1" ht="14.25">
      <c r="A2295" s="47" t="s">
        <v>10953</v>
      </c>
    </row>
    <row r="2296" spans="1:1" ht="14.25">
      <c r="A2296" s="47" t="s">
        <v>10954</v>
      </c>
    </row>
    <row r="2297" spans="1:1" ht="14.25">
      <c r="A2297" s="47" t="s">
        <v>10955</v>
      </c>
    </row>
    <row r="2298" spans="1:1" ht="14.25">
      <c r="A2298" s="47" t="s">
        <v>10956</v>
      </c>
    </row>
    <row r="2299" spans="1:1" ht="14.25">
      <c r="A2299" s="47" t="s">
        <v>10957</v>
      </c>
    </row>
    <row r="2300" spans="1:1" ht="14.25">
      <c r="A2300" s="47" t="s">
        <v>10958</v>
      </c>
    </row>
    <row r="2301" spans="1:1" ht="14.25">
      <c r="A2301" s="47" t="s">
        <v>10959</v>
      </c>
    </row>
    <row r="2302" spans="1:1" ht="14.25">
      <c r="A2302" s="47" t="s">
        <v>10960</v>
      </c>
    </row>
    <row r="2303" spans="1:1" ht="25.5">
      <c r="A2303" s="49" t="s">
        <v>10961</v>
      </c>
    </row>
    <row r="2304" spans="1:1" ht="14.25">
      <c r="A2304" s="47" t="s">
        <v>10962</v>
      </c>
    </row>
    <row r="2305" spans="1:1" ht="14.25">
      <c r="A2305" s="47" t="s">
        <v>10963</v>
      </c>
    </row>
    <row r="2306" spans="1:1" ht="14.25">
      <c r="A2306" s="47" t="s">
        <v>10964</v>
      </c>
    </row>
    <row r="2307" spans="1:1" ht="14.25">
      <c r="A2307" s="47" t="s">
        <v>10965</v>
      </c>
    </row>
    <row r="2308" spans="1:1" ht="14.25">
      <c r="A2308" s="47" t="s">
        <v>10966</v>
      </c>
    </row>
    <row r="2309" spans="1:1" ht="14.25">
      <c r="A2309" s="47" t="s">
        <v>10967</v>
      </c>
    </row>
    <row r="2310" spans="1:1" ht="14.25">
      <c r="A2310" s="47" t="s">
        <v>10968</v>
      </c>
    </row>
    <row r="2311" spans="1:1" ht="14.25">
      <c r="A2311" s="47" t="s">
        <v>10969</v>
      </c>
    </row>
    <row r="2312" spans="1:1" ht="14.25">
      <c r="A2312" s="47" t="s">
        <v>10970</v>
      </c>
    </row>
    <row r="2313" spans="1:1" ht="14.25">
      <c r="A2313" s="47" t="s">
        <v>10971</v>
      </c>
    </row>
    <row r="2314" spans="1:1" ht="14.25">
      <c r="A2314" s="47" t="s">
        <v>10972</v>
      </c>
    </row>
    <row r="2315" spans="1:1" ht="14.25">
      <c r="A2315" s="47" t="s">
        <v>10973</v>
      </c>
    </row>
    <row r="2316" spans="1:1" ht="14.25">
      <c r="A2316" s="47" t="s">
        <v>10974</v>
      </c>
    </row>
    <row r="2317" spans="1:1" ht="14.25">
      <c r="A2317" s="47" t="s">
        <v>10975</v>
      </c>
    </row>
    <row r="2318" spans="1:1" ht="14.25">
      <c r="A2318" s="47" t="s">
        <v>10976</v>
      </c>
    </row>
    <row r="2319" spans="1:1" ht="14.25">
      <c r="A2319" s="47" t="s">
        <v>10977</v>
      </c>
    </row>
    <row r="2320" spans="1:1" ht="14.25">
      <c r="A2320" s="47" t="s">
        <v>10978</v>
      </c>
    </row>
    <row r="2321" spans="1:1" ht="14.25">
      <c r="A2321" s="47" t="s">
        <v>10979</v>
      </c>
    </row>
    <row r="2322" spans="1:1" ht="14.25">
      <c r="A2322" s="47" t="s">
        <v>10980</v>
      </c>
    </row>
    <row r="2323" spans="1:1" ht="14.25">
      <c r="A2323" s="47" t="s">
        <v>10981</v>
      </c>
    </row>
    <row r="2324" spans="1:1" ht="14.25">
      <c r="A2324" s="47" t="s">
        <v>10982</v>
      </c>
    </row>
    <row r="2325" spans="1:1" ht="14.25">
      <c r="A2325" s="47" t="s">
        <v>10983</v>
      </c>
    </row>
    <row r="2326" spans="1:1" ht="14.25">
      <c r="A2326" s="47" t="s">
        <v>10984</v>
      </c>
    </row>
    <row r="2327" spans="1:1" ht="14.25">
      <c r="A2327" s="47" t="s">
        <v>10985</v>
      </c>
    </row>
    <row r="2328" spans="1:1" ht="14.25">
      <c r="A2328" s="47" t="s">
        <v>10986</v>
      </c>
    </row>
    <row r="2329" spans="1:1" ht="14.25">
      <c r="A2329" s="47" t="s">
        <v>10987</v>
      </c>
    </row>
    <row r="2330" spans="1:1" ht="14.25">
      <c r="A2330" s="47" t="s">
        <v>10988</v>
      </c>
    </row>
    <row r="2331" spans="1:1" ht="14.25">
      <c r="A2331" s="47" t="s">
        <v>10989</v>
      </c>
    </row>
    <row r="2332" spans="1:1" ht="14.25">
      <c r="A2332" s="47" t="s">
        <v>10990</v>
      </c>
    </row>
    <row r="2333" spans="1:1" ht="14.25">
      <c r="A2333" s="47" t="s">
        <v>10991</v>
      </c>
    </row>
    <row r="2334" spans="1:1" ht="14.25">
      <c r="A2334" s="47" t="s">
        <v>10992</v>
      </c>
    </row>
    <row r="2335" spans="1:1" ht="14.25">
      <c r="A2335" s="47" t="s">
        <v>10993</v>
      </c>
    </row>
    <row r="2336" spans="1:1" ht="14.25">
      <c r="A2336" s="47" t="s">
        <v>10994</v>
      </c>
    </row>
    <row r="2337" spans="1:1" ht="14.25">
      <c r="A2337" s="47" t="s">
        <v>10995</v>
      </c>
    </row>
    <row r="2338" spans="1:1" ht="14.25">
      <c r="A2338" s="47" t="s">
        <v>10996</v>
      </c>
    </row>
    <row r="2339" spans="1:1" ht="14.25">
      <c r="A2339" s="47" t="s">
        <v>10997</v>
      </c>
    </row>
    <row r="2340" spans="1:1" ht="14.25">
      <c r="A2340" s="47" t="s">
        <v>10998</v>
      </c>
    </row>
    <row r="2341" spans="1:1" ht="14.25">
      <c r="A2341" s="47" t="s">
        <v>10999</v>
      </c>
    </row>
    <row r="2342" spans="1:1" ht="14.25">
      <c r="A2342" s="47" t="s">
        <v>11000</v>
      </c>
    </row>
    <row r="2343" spans="1:1" ht="14.25">
      <c r="A2343" s="47" t="s">
        <v>11001</v>
      </c>
    </row>
    <row r="2344" spans="1:1" ht="14.25">
      <c r="A2344" s="47" t="s">
        <v>11002</v>
      </c>
    </row>
    <row r="2345" spans="1:1" ht="14.25">
      <c r="A2345" s="47" t="s">
        <v>11003</v>
      </c>
    </row>
    <row r="2346" spans="1:1" ht="14.25">
      <c r="A2346" s="47" t="s">
        <v>11004</v>
      </c>
    </row>
    <row r="2347" spans="1:1" ht="14.25">
      <c r="A2347" s="47" t="s">
        <v>11005</v>
      </c>
    </row>
    <row r="2348" spans="1:1" ht="14.25">
      <c r="A2348" s="47" t="s">
        <v>11006</v>
      </c>
    </row>
    <row r="2349" spans="1:1" ht="14.25">
      <c r="A2349" s="47" t="s">
        <v>11007</v>
      </c>
    </row>
    <row r="2350" spans="1:1" ht="14.25">
      <c r="A2350" s="47" t="s">
        <v>11008</v>
      </c>
    </row>
    <row r="2351" spans="1:1" ht="14.25">
      <c r="A2351" s="47" t="s">
        <v>11009</v>
      </c>
    </row>
    <row r="2352" spans="1:1" ht="14.25">
      <c r="A2352" s="47" t="s">
        <v>11010</v>
      </c>
    </row>
    <row r="2353" spans="1:1" ht="14.25">
      <c r="A2353" s="47" t="s">
        <v>11011</v>
      </c>
    </row>
    <row r="2354" spans="1:1" ht="14.25">
      <c r="A2354" s="47" t="s">
        <v>11012</v>
      </c>
    </row>
    <row r="2355" spans="1:1" ht="14.25">
      <c r="A2355" s="47" t="s">
        <v>11013</v>
      </c>
    </row>
    <row r="2356" spans="1:1" ht="14.25">
      <c r="A2356" s="47" t="s">
        <v>11014</v>
      </c>
    </row>
    <row r="2357" spans="1:1" ht="14.25">
      <c r="A2357" s="47" t="s">
        <v>11015</v>
      </c>
    </row>
    <row r="2358" spans="1:1" ht="14.25">
      <c r="A2358" s="47" t="s">
        <v>11016</v>
      </c>
    </row>
    <row r="2359" spans="1:1" ht="14.25">
      <c r="A2359" s="47" t="s">
        <v>11017</v>
      </c>
    </row>
    <row r="2360" spans="1:1" ht="14.25">
      <c r="A2360" s="47" t="s">
        <v>11018</v>
      </c>
    </row>
    <row r="2361" spans="1:1" ht="14.25">
      <c r="A2361" s="47" t="s">
        <v>11019</v>
      </c>
    </row>
    <row r="2362" spans="1:1" ht="14.25">
      <c r="A2362" s="47" t="s">
        <v>11020</v>
      </c>
    </row>
    <row r="2363" spans="1:1" ht="14.25">
      <c r="A2363" s="47" t="s">
        <v>11021</v>
      </c>
    </row>
    <row r="2364" spans="1:1" ht="14.25">
      <c r="A2364" s="47" t="s">
        <v>11022</v>
      </c>
    </row>
    <row r="2365" spans="1:1" ht="14.25">
      <c r="A2365" s="47" t="s">
        <v>11023</v>
      </c>
    </row>
    <row r="2366" spans="1:1" ht="14.25">
      <c r="A2366" s="47" t="s">
        <v>11024</v>
      </c>
    </row>
    <row r="2367" spans="1:1" ht="14.25">
      <c r="A2367" s="47" t="s">
        <v>11025</v>
      </c>
    </row>
    <row r="2368" spans="1:1" ht="14.25">
      <c r="A2368" s="47" t="s">
        <v>11026</v>
      </c>
    </row>
    <row r="2369" spans="1:1" ht="14.25">
      <c r="A2369" s="47" t="s">
        <v>11027</v>
      </c>
    </row>
    <row r="2370" spans="1:1" ht="14.25">
      <c r="A2370" s="47" t="s">
        <v>11028</v>
      </c>
    </row>
    <row r="2371" spans="1:1" ht="14.25">
      <c r="A2371" s="47" t="s">
        <v>11029</v>
      </c>
    </row>
    <row r="2372" spans="1:1" ht="14.25">
      <c r="A2372" s="47" t="s">
        <v>11030</v>
      </c>
    </row>
    <row r="2373" spans="1:1" ht="14.25">
      <c r="A2373" s="47" t="s">
        <v>11031</v>
      </c>
    </row>
    <row r="2374" spans="1:1" ht="14.25">
      <c r="A2374" s="47" t="s">
        <v>11032</v>
      </c>
    </row>
    <row r="2375" spans="1:1" ht="14.25">
      <c r="A2375" s="47" t="s">
        <v>11033</v>
      </c>
    </row>
    <row r="2376" spans="1:1" ht="14.25">
      <c r="A2376" s="47" t="s">
        <v>11034</v>
      </c>
    </row>
    <row r="2377" spans="1:1" ht="14.25">
      <c r="A2377" s="47" t="s">
        <v>11035</v>
      </c>
    </row>
    <row r="2378" spans="1:1" ht="14.25">
      <c r="A2378" s="47" t="s">
        <v>11036</v>
      </c>
    </row>
    <row r="2379" spans="1:1" ht="14.25">
      <c r="A2379" s="47" t="s">
        <v>11037</v>
      </c>
    </row>
    <row r="2380" spans="1:1" ht="14.25">
      <c r="A2380" s="47" t="s">
        <v>11038</v>
      </c>
    </row>
    <row r="2381" spans="1:1" ht="14.25">
      <c r="A2381" s="47" t="s">
        <v>11039</v>
      </c>
    </row>
    <row r="2382" spans="1:1" ht="14.25">
      <c r="A2382" s="47" t="s">
        <v>11040</v>
      </c>
    </row>
    <row r="2383" spans="1:1" ht="14.25">
      <c r="A2383" s="47" t="s">
        <v>11041</v>
      </c>
    </row>
    <row r="2384" spans="1:1" ht="14.25">
      <c r="A2384" s="47" t="s">
        <v>11042</v>
      </c>
    </row>
    <row r="2385" spans="1:1" ht="14.25">
      <c r="A2385" s="47" t="s">
        <v>11043</v>
      </c>
    </row>
    <row r="2386" spans="1:1" ht="14.25">
      <c r="A2386" s="47" t="s">
        <v>11044</v>
      </c>
    </row>
    <row r="2387" spans="1:1" ht="14.25">
      <c r="A2387" s="47" t="s">
        <v>11045</v>
      </c>
    </row>
    <row r="2388" spans="1:1" ht="14.25">
      <c r="A2388" s="47" t="s">
        <v>11046</v>
      </c>
    </row>
    <row r="2389" spans="1:1" ht="14.25">
      <c r="A2389" s="47" t="s">
        <v>11047</v>
      </c>
    </row>
    <row r="2390" spans="1:1" ht="14.25">
      <c r="A2390" s="47" t="s">
        <v>11048</v>
      </c>
    </row>
    <row r="2391" spans="1:1" ht="14.25">
      <c r="A2391" s="47" t="s">
        <v>11049</v>
      </c>
    </row>
    <row r="2392" spans="1:1" ht="14.25">
      <c r="A2392" s="47" t="s">
        <v>11050</v>
      </c>
    </row>
    <row r="2393" spans="1:1" ht="14.25">
      <c r="A2393" s="47" t="s">
        <v>11051</v>
      </c>
    </row>
    <row r="2394" spans="1:1" ht="14.25">
      <c r="A2394" s="47" t="s">
        <v>11052</v>
      </c>
    </row>
    <row r="2395" spans="1:1" ht="14.25">
      <c r="A2395" s="47" t="s">
        <v>11053</v>
      </c>
    </row>
    <row r="2396" spans="1:1" ht="14.25">
      <c r="A2396" s="47" t="s">
        <v>11054</v>
      </c>
    </row>
    <row r="2397" spans="1:1" ht="14.25">
      <c r="A2397" s="47" t="s">
        <v>11055</v>
      </c>
    </row>
    <row r="2398" spans="1:1" ht="14.25">
      <c r="A2398" s="47" t="s">
        <v>11056</v>
      </c>
    </row>
    <row r="2399" spans="1:1" ht="14.25">
      <c r="A2399" s="47" t="s">
        <v>11057</v>
      </c>
    </row>
    <row r="2400" spans="1:1" ht="14.25">
      <c r="A2400" s="47" t="s">
        <v>11058</v>
      </c>
    </row>
    <row r="2401" spans="1:1" ht="14.25">
      <c r="A2401" s="47" t="s">
        <v>11059</v>
      </c>
    </row>
    <row r="2402" spans="1:1" ht="14.25">
      <c r="A2402" s="47" t="s">
        <v>11060</v>
      </c>
    </row>
    <row r="2403" spans="1:1" ht="14.25">
      <c r="A2403" s="47" t="s">
        <v>11061</v>
      </c>
    </row>
    <row r="2404" spans="1:1" ht="14.25">
      <c r="A2404" s="47" t="s">
        <v>11062</v>
      </c>
    </row>
    <row r="2405" spans="1:1" ht="14.25">
      <c r="A2405" s="47" t="s">
        <v>11063</v>
      </c>
    </row>
    <row r="2406" spans="1:1" ht="14.25">
      <c r="A2406" s="47" t="s">
        <v>11064</v>
      </c>
    </row>
    <row r="2407" spans="1:1" ht="14.25">
      <c r="A2407" s="47" t="s">
        <v>11065</v>
      </c>
    </row>
    <row r="2408" spans="1:1" ht="14.25">
      <c r="A2408" s="47" t="s">
        <v>11066</v>
      </c>
    </row>
    <row r="2409" spans="1:1" ht="14.25">
      <c r="A2409" s="47" t="s">
        <v>11067</v>
      </c>
    </row>
    <row r="2410" spans="1:1" ht="14.25">
      <c r="A2410" s="47" t="s">
        <v>11068</v>
      </c>
    </row>
    <row r="2411" spans="1:1" ht="14.25">
      <c r="A2411" s="47" t="s">
        <v>11069</v>
      </c>
    </row>
    <row r="2412" spans="1:1" ht="14.25">
      <c r="A2412" s="47" t="s">
        <v>11070</v>
      </c>
    </row>
    <row r="2413" spans="1:1" ht="14.25">
      <c r="A2413" s="47" t="s">
        <v>11071</v>
      </c>
    </row>
    <row r="2414" spans="1:1" ht="14.25">
      <c r="A2414" s="47" t="s">
        <v>11072</v>
      </c>
    </row>
    <row r="2415" spans="1:1" ht="14.25">
      <c r="A2415" s="47" t="s">
        <v>11073</v>
      </c>
    </row>
    <row r="2416" spans="1:1" ht="14.25">
      <c r="A2416" s="47" t="s">
        <v>11074</v>
      </c>
    </row>
    <row r="2417" spans="1:1" ht="14.25">
      <c r="A2417" s="47" t="s">
        <v>11075</v>
      </c>
    </row>
    <row r="2418" spans="1:1" ht="14.25">
      <c r="A2418" s="47" t="s">
        <v>11076</v>
      </c>
    </row>
    <row r="2419" spans="1:1" ht="14.25">
      <c r="A2419" s="47" t="s">
        <v>11077</v>
      </c>
    </row>
    <row r="2420" spans="1:1" ht="14.25">
      <c r="A2420" s="47" t="s">
        <v>11078</v>
      </c>
    </row>
    <row r="2421" spans="1:1" ht="14.25">
      <c r="A2421" s="47" t="s">
        <v>11079</v>
      </c>
    </row>
    <row r="2422" spans="1:1" ht="25.5">
      <c r="A2422" s="49" t="s">
        <v>11080</v>
      </c>
    </row>
    <row r="2423" spans="1:1" ht="14.25">
      <c r="A2423" s="47" t="s">
        <v>11081</v>
      </c>
    </row>
    <row r="2424" spans="1:1" ht="14.25">
      <c r="A2424" s="47" t="s">
        <v>11082</v>
      </c>
    </row>
    <row r="2425" spans="1:1" ht="14.25">
      <c r="A2425" s="47" t="s">
        <v>11083</v>
      </c>
    </row>
    <row r="2426" spans="1:1" ht="14.25">
      <c r="A2426" s="47" t="s">
        <v>11084</v>
      </c>
    </row>
    <row r="2427" spans="1:1" ht="14.25">
      <c r="A2427" s="47" t="s">
        <v>11085</v>
      </c>
    </row>
    <row r="2428" spans="1:1" ht="14.25">
      <c r="A2428" s="47" t="s">
        <v>11086</v>
      </c>
    </row>
    <row r="2429" spans="1:1" ht="14.25">
      <c r="A2429" s="47" t="s">
        <v>11087</v>
      </c>
    </row>
    <row r="2430" spans="1:1" ht="14.25">
      <c r="A2430" s="47" t="s">
        <v>11088</v>
      </c>
    </row>
    <row r="2431" spans="1:1" ht="14.25">
      <c r="A2431" s="47" t="s">
        <v>11089</v>
      </c>
    </row>
    <row r="2432" spans="1:1" ht="14.25">
      <c r="A2432" s="47" t="s">
        <v>11090</v>
      </c>
    </row>
    <row r="2433" spans="1:1" ht="14.25">
      <c r="A2433" s="47" t="s">
        <v>11091</v>
      </c>
    </row>
    <row r="2434" spans="1:1" ht="14.25">
      <c r="A2434" s="47" t="s">
        <v>11092</v>
      </c>
    </row>
    <row r="2435" spans="1:1" ht="14.25">
      <c r="A2435" s="47" t="s">
        <v>11093</v>
      </c>
    </row>
    <row r="2436" spans="1:1" ht="14.25">
      <c r="A2436" s="47" t="s">
        <v>11094</v>
      </c>
    </row>
    <row r="2437" spans="1:1" ht="14.25">
      <c r="A2437" s="47" t="s">
        <v>11095</v>
      </c>
    </row>
    <row r="2438" spans="1:1" ht="14.25">
      <c r="A2438" s="47" t="s">
        <v>11096</v>
      </c>
    </row>
    <row r="2439" spans="1:1" ht="14.25">
      <c r="A2439" s="47" t="s">
        <v>11097</v>
      </c>
    </row>
    <row r="2440" spans="1:1" ht="14.25">
      <c r="A2440" s="47" t="s">
        <v>11098</v>
      </c>
    </row>
    <row r="2441" spans="1:1" ht="14.25">
      <c r="A2441" s="47" t="s">
        <v>11099</v>
      </c>
    </row>
    <row r="2442" spans="1:1" ht="14.25">
      <c r="A2442" s="47" t="s">
        <v>11100</v>
      </c>
    </row>
    <row r="2443" spans="1:1" ht="14.25">
      <c r="A2443" s="47" t="s">
        <v>11101</v>
      </c>
    </row>
    <row r="2444" spans="1:1" ht="14.25">
      <c r="A2444" s="47" t="s">
        <v>11102</v>
      </c>
    </row>
    <row r="2445" spans="1:1" ht="14.25">
      <c r="A2445" s="47" t="s">
        <v>11103</v>
      </c>
    </row>
    <row r="2446" spans="1:1" ht="14.25">
      <c r="A2446" s="47" t="s">
        <v>11104</v>
      </c>
    </row>
    <row r="2447" spans="1:1" ht="14.25">
      <c r="A2447" s="47" t="s">
        <v>11105</v>
      </c>
    </row>
    <row r="2448" spans="1:1" ht="14.25">
      <c r="A2448" s="47" t="s">
        <v>11106</v>
      </c>
    </row>
    <row r="2449" spans="1:1" ht="14.25">
      <c r="A2449" s="47" t="s">
        <v>11107</v>
      </c>
    </row>
    <row r="2450" spans="1:1" ht="14.25">
      <c r="A2450" s="47" t="s">
        <v>11108</v>
      </c>
    </row>
    <row r="2451" spans="1:1" ht="14.25">
      <c r="A2451" s="47" t="s">
        <v>11109</v>
      </c>
    </row>
    <row r="2452" spans="1:1" ht="14.25">
      <c r="A2452" s="47" t="s">
        <v>11110</v>
      </c>
    </row>
    <row r="2453" spans="1:1" ht="14.25">
      <c r="A2453" s="47" t="s">
        <v>11111</v>
      </c>
    </row>
    <row r="2454" spans="1:1" ht="14.25">
      <c r="A2454" s="47" t="s">
        <v>11112</v>
      </c>
    </row>
    <row r="2455" spans="1:1" ht="14.25">
      <c r="A2455" s="47" t="s">
        <v>11113</v>
      </c>
    </row>
    <row r="2456" spans="1:1" ht="14.25">
      <c r="A2456" s="47" t="s">
        <v>11114</v>
      </c>
    </row>
    <row r="2457" spans="1:1" ht="14.25">
      <c r="A2457" s="47" t="s">
        <v>11115</v>
      </c>
    </row>
    <row r="2458" spans="1:1" ht="14.25">
      <c r="A2458" s="47" t="s">
        <v>11116</v>
      </c>
    </row>
    <row r="2459" spans="1:1" ht="14.25">
      <c r="A2459" s="47" t="s">
        <v>11117</v>
      </c>
    </row>
    <row r="2460" spans="1:1" ht="14.25">
      <c r="A2460" s="47" t="s">
        <v>11118</v>
      </c>
    </row>
    <row r="2461" spans="1:1" ht="14.25">
      <c r="A2461" s="47" t="s">
        <v>11119</v>
      </c>
    </row>
    <row r="2462" spans="1:1" ht="14.25">
      <c r="A2462" s="47" t="s">
        <v>11120</v>
      </c>
    </row>
    <row r="2463" spans="1:1" ht="14.25">
      <c r="A2463" s="47" t="s">
        <v>11121</v>
      </c>
    </row>
    <row r="2464" spans="1:1" ht="14.25">
      <c r="A2464" s="47" t="s">
        <v>11122</v>
      </c>
    </row>
    <row r="2465" spans="1:1" ht="14.25">
      <c r="A2465" s="47" t="s">
        <v>11123</v>
      </c>
    </row>
    <row r="2466" spans="1:1" ht="14.25">
      <c r="A2466" s="47" t="s">
        <v>11124</v>
      </c>
    </row>
    <row r="2467" spans="1:1" ht="14.25">
      <c r="A2467" s="47" t="s">
        <v>11125</v>
      </c>
    </row>
    <row r="2468" spans="1:1" ht="14.25">
      <c r="A2468" s="47" t="s">
        <v>11126</v>
      </c>
    </row>
    <row r="2469" spans="1:1" ht="14.25">
      <c r="A2469" s="47" t="s">
        <v>11127</v>
      </c>
    </row>
    <row r="2470" spans="1:1" ht="14.25">
      <c r="A2470" s="47" t="s">
        <v>11128</v>
      </c>
    </row>
    <row r="2471" spans="1:1" ht="14.25">
      <c r="A2471" s="47" t="s">
        <v>11129</v>
      </c>
    </row>
    <row r="2472" spans="1:1" ht="14.25">
      <c r="A2472" s="47" t="s">
        <v>11130</v>
      </c>
    </row>
    <row r="2473" spans="1:1" ht="14.25">
      <c r="A2473" s="47" t="s">
        <v>11131</v>
      </c>
    </row>
    <row r="2474" spans="1:1" ht="14.25">
      <c r="A2474" s="47" t="s">
        <v>11132</v>
      </c>
    </row>
    <row r="2475" spans="1:1" ht="14.25">
      <c r="A2475" s="47" t="s">
        <v>11133</v>
      </c>
    </row>
    <row r="2476" spans="1:1" ht="14.25">
      <c r="A2476" s="47" t="s">
        <v>11134</v>
      </c>
    </row>
    <row r="2477" spans="1:1" ht="14.25">
      <c r="A2477" s="47" t="s">
        <v>11135</v>
      </c>
    </row>
    <row r="2478" spans="1:1" ht="14.25">
      <c r="A2478" s="47" t="s">
        <v>11136</v>
      </c>
    </row>
    <row r="2479" spans="1:1" ht="14.25">
      <c r="A2479" s="47" t="s">
        <v>11137</v>
      </c>
    </row>
    <row r="2480" spans="1:1" ht="14.25">
      <c r="A2480" s="47" t="s">
        <v>11138</v>
      </c>
    </row>
    <row r="2481" spans="1:1" ht="14.25">
      <c r="A2481" s="47" t="s">
        <v>11139</v>
      </c>
    </row>
    <row r="2482" spans="1:1" ht="14.25">
      <c r="A2482" s="47" t="s">
        <v>11140</v>
      </c>
    </row>
    <row r="2483" spans="1:1" ht="14.25">
      <c r="A2483" s="47" t="s">
        <v>11141</v>
      </c>
    </row>
    <row r="2484" spans="1:1" ht="14.25">
      <c r="A2484" s="47" t="s">
        <v>11142</v>
      </c>
    </row>
    <row r="2485" spans="1:1" ht="14.25">
      <c r="A2485" s="47" t="s">
        <v>11143</v>
      </c>
    </row>
    <row r="2486" spans="1:1" ht="14.25">
      <c r="A2486" s="47" t="s">
        <v>11144</v>
      </c>
    </row>
    <row r="2487" spans="1:1" ht="14.25">
      <c r="A2487" s="47" t="s">
        <v>11145</v>
      </c>
    </row>
    <row r="2488" spans="1:1" ht="14.25">
      <c r="A2488" s="47" t="s">
        <v>11146</v>
      </c>
    </row>
    <row r="2489" spans="1:1" ht="14.25">
      <c r="A2489" s="47" t="s">
        <v>11147</v>
      </c>
    </row>
    <row r="2490" spans="1:1" ht="14.25">
      <c r="A2490" s="47" t="s">
        <v>11148</v>
      </c>
    </row>
    <row r="2491" spans="1:1" ht="14.25">
      <c r="A2491" s="47" t="s">
        <v>11149</v>
      </c>
    </row>
    <row r="2492" spans="1:1" ht="14.25">
      <c r="A2492" s="47" t="s">
        <v>11150</v>
      </c>
    </row>
    <row r="2493" spans="1:1" ht="14.25">
      <c r="A2493" s="47" t="s">
        <v>11151</v>
      </c>
    </row>
    <row r="2494" spans="1:1" ht="14.25">
      <c r="A2494" s="47" t="s">
        <v>11152</v>
      </c>
    </row>
    <row r="2495" spans="1:1" ht="14.25">
      <c r="A2495" s="47" t="s">
        <v>11153</v>
      </c>
    </row>
    <row r="2496" spans="1:1" ht="14.25">
      <c r="A2496" s="47" t="s">
        <v>11154</v>
      </c>
    </row>
    <row r="2497" spans="1:1" ht="14.25">
      <c r="A2497" s="47" t="s">
        <v>11155</v>
      </c>
    </row>
    <row r="2498" spans="1:1" ht="14.25">
      <c r="A2498" s="47" t="s">
        <v>11156</v>
      </c>
    </row>
    <row r="2499" spans="1:1" ht="14.25">
      <c r="A2499" s="47" t="s">
        <v>11157</v>
      </c>
    </row>
    <row r="2500" spans="1:1" ht="14.25">
      <c r="A2500" s="47" t="s">
        <v>11158</v>
      </c>
    </row>
    <row r="2501" spans="1:1" ht="14.25">
      <c r="A2501" s="47" t="s">
        <v>11159</v>
      </c>
    </row>
    <row r="2502" spans="1:1" ht="14.25">
      <c r="A2502" s="47" t="s">
        <v>11160</v>
      </c>
    </row>
    <row r="2503" spans="1:1" ht="14.25">
      <c r="A2503" s="47" t="s">
        <v>11161</v>
      </c>
    </row>
    <row r="2504" spans="1:1" ht="14.25">
      <c r="A2504" s="47" t="s">
        <v>11162</v>
      </c>
    </row>
    <row r="2505" spans="1:1" ht="14.25">
      <c r="A2505" s="47" t="s">
        <v>11163</v>
      </c>
    </row>
    <row r="2506" spans="1:1" ht="14.25">
      <c r="A2506" s="47" t="s">
        <v>11164</v>
      </c>
    </row>
    <row r="2507" spans="1:1" ht="14.25">
      <c r="A2507" s="47" t="s">
        <v>11165</v>
      </c>
    </row>
    <row r="2508" spans="1:1" ht="14.25">
      <c r="A2508" s="47" t="s">
        <v>11166</v>
      </c>
    </row>
    <row r="2509" spans="1:1" ht="14.25">
      <c r="A2509" s="47" t="s">
        <v>11167</v>
      </c>
    </row>
    <row r="2510" spans="1:1" ht="14.25">
      <c r="A2510" s="47" t="s">
        <v>11168</v>
      </c>
    </row>
    <row r="2511" spans="1:1" ht="14.25">
      <c r="A2511" s="47" t="s">
        <v>11169</v>
      </c>
    </row>
    <row r="2512" spans="1:1" ht="14.25">
      <c r="A2512" s="47" t="s">
        <v>11170</v>
      </c>
    </row>
    <row r="2513" spans="1:1" ht="14.25">
      <c r="A2513" s="47" t="s">
        <v>11171</v>
      </c>
    </row>
    <row r="2514" spans="1:1" ht="14.25">
      <c r="A2514" s="47" t="s">
        <v>11172</v>
      </c>
    </row>
    <row r="2515" spans="1:1" ht="14.25">
      <c r="A2515" s="47" t="s">
        <v>11173</v>
      </c>
    </row>
    <row r="2516" spans="1:1" ht="14.25">
      <c r="A2516" s="47" t="s">
        <v>11174</v>
      </c>
    </row>
    <row r="2517" spans="1:1" ht="14.25">
      <c r="A2517" s="47" t="s">
        <v>11175</v>
      </c>
    </row>
    <row r="2518" spans="1:1" ht="14.25">
      <c r="A2518" s="47" t="s">
        <v>11176</v>
      </c>
    </row>
    <row r="2519" spans="1:1" ht="14.25">
      <c r="A2519" s="47" t="s">
        <v>11177</v>
      </c>
    </row>
    <row r="2520" spans="1:1" ht="14.25">
      <c r="A2520" s="47" t="s">
        <v>11178</v>
      </c>
    </row>
    <row r="2521" spans="1:1" ht="14.25">
      <c r="A2521" s="47" t="s">
        <v>11179</v>
      </c>
    </row>
    <row r="2522" spans="1:1" ht="14.25">
      <c r="A2522" s="47" t="s">
        <v>11180</v>
      </c>
    </row>
    <row r="2523" spans="1:1" ht="14.25">
      <c r="A2523" s="47" t="s">
        <v>11181</v>
      </c>
    </row>
    <row r="2524" spans="1:1" ht="14.25">
      <c r="A2524" s="47" t="s">
        <v>11182</v>
      </c>
    </row>
    <row r="2525" spans="1:1" ht="14.25">
      <c r="A2525" s="47" t="s">
        <v>11183</v>
      </c>
    </row>
    <row r="2526" spans="1:1" ht="14.25">
      <c r="A2526" s="47" t="s">
        <v>11184</v>
      </c>
    </row>
    <row r="2527" spans="1:1" ht="14.25">
      <c r="A2527" s="47" t="s">
        <v>11185</v>
      </c>
    </row>
    <row r="2528" spans="1:1" ht="14.25">
      <c r="A2528" s="47" t="s">
        <v>11186</v>
      </c>
    </row>
    <row r="2529" spans="1:1" ht="14.25">
      <c r="A2529" s="47" t="s">
        <v>11187</v>
      </c>
    </row>
    <row r="2530" spans="1:1" ht="14.25">
      <c r="A2530" s="47" t="s">
        <v>11188</v>
      </c>
    </row>
    <row r="2531" spans="1:1" ht="14.25">
      <c r="A2531" s="47" t="s">
        <v>11189</v>
      </c>
    </row>
    <row r="2532" spans="1:1" ht="14.25">
      <c r="A2532" s="47" t="s">
        <v>11190</v>
      </c>
    </row>
    <row r="2533" spans="1:1" ht="14.25">
      <c r="A2533" s="47" t="s">
        <v>11191</v>
      </c>
    </row>
    <row r="2534" spans="1:1" ht="14.25">
      <c r="A2534" s="47" t="s">
        <v>11192</v>
      </c>
    </row>
    <row r="2535" spans="1:1" ht="14.25">
      <c r="A2535" s="47" t="s">
        <v>11193</v>
      </c>
    </row>
    <row r="2536" spans="1:1" ht="14.25">
      <c r="A2536" s="47" t="s">
        <v>11194</v>
      </c>
    </row>
    <row r="2537" spans="1:1" ht="14.25">
      <c r="A2537" s="47" t="s">
        <v>11195</v>
      </c>
    </row>
    <row r="2538" spans="1:1" ht="14.25">
      <c r="A2538" s="47" t="s">
        <v>11196</v>
      </c>
    </row>
    <row r="2539" spans="1:1" ht="14.25">
      <c r="A2539" s="47" t="s">
        <v>11197</v>
      </c>
    </row>
    <row r="2540" spans="1:1" ht="14.25">
      <c r="A2540" s="47" t="s">
        <v>11198</v>
      </c>
    </row>
    <row r="2541" spans="1:1" ht="14.25">
      <c r="A2541" s="47" t="s">
        <v>11199</v>
      </c>
    </row>
    <row r="2542" spans="1:1" ht="14.25">
      <c r="A2542" s="47" t="s">
        <v>11200</v>
      </c>
    </row>
    <row r="2543" spans="1:1" ht="14.25">
      <c r="A2543" s="47" t="s">
        <v>11201</v>
      </c>
    </row>
    <row r="2544" spans="1:1" ht="14.25">
      <c r="A2544" s="47" t="s">
        <v>11202</v>
      </c>
    </row>
    <row r="2545" spans="1:1" ht="14.25">
      <c r="A2545" s="47" t="s">
        <v>11203</v>
      </c>
    </row>
    <row r="2546" spans="1:1" ht="14.25">
      <c r="A2546" s="47" t="s">
        <v>11204</v>
      </c>
    </row>
    <row r="2547" spans="1:1" ht="14.25">
      <c r="A2547" s="47" t="s">
        <v>11205</v>
      </c>
    </row>
    <row r="2548" spans="1:1" ht="14.25">
      <c r="A2548" s="47" t="s">
        <v>11206</v>
      </c>
    </row>
    <row r="2549" spans="1:1" ht="14.25">
      <c r="A2549" s="47" t="s">
        <v>11207</v>
      </c>
    </row>
    <row r="2550" spans="1:1" ht="14.25">
      <c r="A2550" s="47" t="s">
        <v>11208</v>
      </c>
    </row>
    <row r="2551" spans="1:1" ht="14.25">
      <c r="A2551" s="47" t="s">
        <v>11209</v>
      </c>
    </row>
    <row r="2552" spans="1:1" ht="14.25">
      <c r="A2552" s="47" t="s">
        <v>11210</v>
      </c>
    </row>
    <row r="2553" spans="1:1" ht="14.25">
      <c r="A2553" s="47" t="s">
        <v>11211</v>
      </c>
    </row>
    <row r="2554" spans="1:1" ht="14.25">
      <c r="A2554" s="47" t="s">
        <v>11212</v>
      </c>
    </row>
    <row r="2555" spans="1:1" ht="14.25">
      <c r="A2555" s="47" t="s">
        <v>11213</v>
      </c>
    </row>
    <row r="2556" spans="1:1" ht="14.25">
      <c r="A2556" s="47" t="s">
        <v>11214</v>
      </c>
    </row>
    <row r="2557" spans="1:1" ht="14.25">
      <c r="A2557" s="47" t="s">
        <v>11215</v>
      </c>
    </row>
    <row r="2558" spans="1:1" ht="14.25">
      <c r="A2558" s="47" t="s">
        <v>11216</v>
      </c>
    </row>
    <row r="2559" spans="1:1" ht="14.25">
      <c r="A2559" s="47" t="s">
        <v>11217</v>
      </c>
    </row>
    <row r="2560" spans="1:1" ht="14.25">
      <c r="A2560" s="47" t="s">
        <v>11218</v>
      </c>
    </row>
    <row r="2561" spans="1:1" ht="14.25">
      <c r="A2561" s="47" t="s">
        <v>11219</v>
      </c>
    </row>
    <row r="2562" spans="1:1" ht="14.25">
      <c r="A2562" s="47" t="s">
        <v>11220</v>
      </c>
    </row>
    <row r="2563" spans="1:1" ht="14.25">
      <c r="A2563" s="47" t="s">
        <v>11221</v>
      </c>
    </row>
    <row r="2564" spans="1:1" ht="14.25">
      <c r="A2564" s="47" t="s">
        <v>11222</v>
      </c>
    </row>
    <row r="2565" spans="1:1" ht="14.25">
      <c r="A2565" s="47" t="s">
        <v>11223</v>
      </c>
    </row>
    <row r="2566" spans="1:1" ht="14.25">
      <c r="A2566" s="47" t="s">
        <v>11224</v>
      </c>
    </row>
    <row r="2567" spans="1:1" ht="14.25">
      <c r="A2567" s="47" t="s">
        <v>11225</v>
      </c>
    </row>
    <row r="2568" spans="1:1" ht="14.25">
      <c r="A2568" s="47" t="s">
        <v>11226</v>
      </c>
    </row>
    <row r="2569" spans="1:1" ht="14.25">
      <c r="A2569" s="47" t="s">
        <v>11227</v>
      </c>
    </row>
    <row r="2570" spans="1:1" ht="14.25">
      <c r="A2570" s="47" t="s">
        <v>11228</v>
      </c>
    </row>
    <row r="2571" spans="1:1" ht="14.25">
      <c r="A2571" s="47" t="s">
        <v>11229</v>
      </c>
    </row>
    <row r="2572" spans="1:1" ht="14.25">
      <c r="A2572" s="47" t="s">
        <v>11230</v>
      </c>
    </row>
    <row r="2573" spans="1:1" ht="14.25">
      <c r="A2573" s="47" t="s">
        <v>11231</v>
      </c>
    </row>
    <row r="2574" spans="1:1" ht="14.25">
      <c r="A2574" s="47" t="s">
        <v>11232</v>
      </c>
    </row>
    <row r="2575" spans="1:1" ht="14.25">
      <c r="A2575" s="47" t="s">
        <v>11233</v>
      </c>
    </row>
    <row r="2576" spans="1:1" ht="14.25">
      <c r="A2576" s="47" t="s">
        <v>11234</v>
      </c>
    </row>
    <row r="2577" spans="1:1" ht="14.25">
      <c r="A2577" s="47" t="s">
        <v>11235</v>
      </c>
    </row>
    <row r="2578" spans="1:1" ht="14.25">
      <c r="A2578" s="47" t="s">
        <v>11236</v>
      </c>
    </row>
    <row r="2579" spans="1:1" ht="14.25">
      <c r="A2579" s="47" t="s">
        <v>11237</v>
      </c>
    </row>
    <row r="2580" spans="1:1" ht="14.25">
      <c r="A2580" s="47" t="s">
        <v>11238</v>
      </c>
    </row>
    <row r="2581" spans="1:1" ht="14.25">
      <c r="A2581" s="47" t="s">
        <v>11239</v>
      </c>
    </row>
    <row r="2582" spans="1:1" ht="14.25">
      <c r="A2582" s="47" t="s">
        <v>11240</v>
      </c>
    </row>
    <row r="2583" spans="1:1" ht="14.25">
      <c r="A2583" s="47" t="s">
        <v>11241</v>
      </c>
    </row>
    <row r="2584" spans="1:1" ht="14.25">
      <c r="A2584" s="47" t="s">
        <v>11242</v>
      </c>
    </row>
    <row r="2585" spans="1:1" ht="14.25">
      <c r="A2585" s="47" t="s">
        <v>11243</v>
      </c>
    </row>
    <row r="2586" spans="1:1" ht="14.25">
      <c r="A2586" s="47" t="s">
        <v>11244</v>
      </c>
    </row>
    <row r="2587" spans="1:1" ht="14.25">
      <c r="A2587" s="47" t="s">
        <v>11245</v>
      </c>
    </row>
    <row r="2588" spans="1:1" ht="14.25">
      <c r="A2588" s="47" t="s">
        <v>11246</v>
      </c>
    </row>
    <row r="2589" spans="1:1" ht="14.25">
      <c r="A2589" s="47" t="s">
        <v>11247</v>
      </c>
    </row>
    <row r="2590" spans="1:1" ht="14.25">
      <c r="A2590" s="47" t="s">
        <v>11248</v>
      </c>
    </row>
    <row r="2591" spans="1:1" ht="14.25">
      <c r="A2591" s="47" t="s">
        <v>11249</v>
      </c>
    </row>
    <row r="2592" spans="1:1" ht="14.25">
      <c r="A2592" s="47" t="s">
        <v>11250</v>
      </c>
    </row>
    <row r="2593" spans="1:1" ht="14.25">
      <c r="A2593" s="47" t="s">
        <v>11251</v>
      </c>
    </row>
    <row r="2594" spans="1:1" ht="14.25">
      <c r="A2594" s="47" t="s">
        <v>11252</v>
      </c>
    </row>
    <row r="2595" spans="1:1" ht="14.25">
      <c r="A2595" s="47" t="s">
        <v>11253</v>
      </c>
    </row>
    <row r="2596" spans="1:1" ht="14.25">
      <c r="A2596" s="47" t="s">
        <v>11254</v>
      </c>
    </row>
    <row r="2597" spans="1:1" ht="14.25">
      <c r="A2597" s="47" t="s">
        <v>11255</v>
      </c>
    </row>
    <row r="2598" spans="1:1" ht="14.25">
      <c r="A2598" s="47" t="s">
        <v>11256</v>
      </c>
    </row>
    <row r="2599" spans="1:1" ht="25.5">
      <c r="A2599" s="49" t="s">
        <v>11257</v>
      </c>
    </row>
    <row r="2600" spans="1:1" ht="14.25">
      <c r="A2600" s="47" t="s">
        <v>11258</v>
      </c>
    </row>
    <row r="2601" spans="1:1" ht="14.25">
      <c r="A2601" s="47" t="s">
        <v>11259</v>
      </c>
    </row>
    <row r="2602" spans="1:1" ht="14.25">
      <c r="A2602" s="47" t="s">
        <v>11260</v>
      </c>
    </row>
    <row r="2603" spans="1:1" ht="14.25">
      <c r="A2603" s="47" t="s">
        <v>11261</v>
      </c>
    </row>
    <row r="2604" spans="1:1" ht="14.25">
      <c r="A2604" s="47" t="s">
        <v>11262</v>
      </c>
    </row>
    <row r="2605" spans="1:1" ht="14.25">
      <c r="A2605" s="47" t="s">
        <v>11263</v>
      </c>
    </row>
    <row r="2606" spans="1:1" ht="14.25">
      <c r="A2606" s="47" t="s">
        <v>11264</v>
      </c>
    </row>
    <row r="2607" spans="1:1" ht="14.25">
      <c r="A2607" s="47" t="s">
        <v>11265</v>
      </c>
    </row>
    <row r="2608" spans="1:1" ht="14.25">
      <c r="A2608" s="47" t="s">
        <v>11266</v>
      </c>
    </row>
    <row r="2609" spans="1:1" ht="14.25">
      <c r="A2609" s="47" t="s">
        <v>11267</v>
      </c>
    </row>
    <row r="2610" spans="1:1" ht="14.25">
      <c r="A2610" s="47" t="s">
        <v>11268</v>
      </c>
    </row>
    <row r="2611" spans="1:1" ht="14.25">
      <c r="A2611" s="47" t="s">
        <v>11269</v>
      </c>
    </row>
    <row r="2612" spans="1:1" ht="14.25">
      <c r="A2612" s="47" t="s">
        <v>11270</v>
      </c>
    </row>
    <row r="2613" spans="1:1" ht="14.25">
      <c r="A2613" s="47" t="s">
        <v>11271</v>
      </c>
    </row>
    <row r="2614" spans="1:1" ht="14.25">
      <c r="A2614" s="47" t="s">
        <v>11272</v>
      </c>
    </row>
    <row r="2615" spans="1:1" ht="14.25">
      <c r="A2615" s="47" t="s">
        <v>11273</v>
      </c>
    </row>
    <row r="2616" spans="1:1" ht="14.25">
      <c r="A2616" s="47" t="s">
        <v>11274</v>
      </c>
    </row>
    <row r="2617" spans="1:1" ht="14.25">
      <c r="A2617" s="47" t="s">
        <v>11275</v>
      </c>
    </row>
    <row r="2618" spans="1:1" ht="14.25">
      <c r="A2618" s="47" t="s">
        <v>11276</v>
      </c>
    </row>
    <row r="2619" spans="1:1" ht="14.25">
      <c r="A2619" s="47" t="s">
        <v>11277</v>
      </c>
    </row>
    <row r="2620" spans="1:1" ht="14.25">
      <c r="A2620" s="47" t="s">
        <v>11278</v>
      </c>
    </row>
    <row r="2621" spans="1:1" ht="14.25">
      <c r="A2621" s="47" t="s">
        <v>11279</v>
      </c>
    </row>
    <row r="2622" spans="1:1" ht="14.25">
      <c r="A2622" s="47" t="s">
        <v>11280</v>
      </c>
    </row>
    <row r="2623" spans="1:1" ht="14.25">
      <c r="A2623" s="47" t="s">
        <v>11281</v>
      </c>
    </row>
    <row r="2624" spans="1:1" ht="14.25">
      <c r="A2624" s="47" t="s">
        <v>11282</v>
      </c>
    </row>
    <row r="2625" spans="1:1" ht="14.25">
      <c r="A2625" s="47" t="s">
        <v>11283</v>
      </c>
    </row>
    <row r="2626" spans="1:1" ht="14.25">
      <c r="A2626" s="47" t="s">
        <v>11284</v>
      </c>
    </row>
    <row r="2627" spans="1:1" ht="14.25">
      <c r="A2627" s="47" t="s">
        <v>11285</v>
      </c>
    </row>
    <row r="2628" spans="1:1" ht="14.25">
      <c r="A2628" s="47" t="s">
        <v>11286</v>
      </c>
    </row>
    <row r="2629" spans="1:1" ht="14.25">
      <c r="A2629" s="47" t="s">
        <v>11287</v>
      </c>
    </row>
    <row r="2630" spans="1:1" ht="14.25">
      <c r="A2630" s="47" t="s">
        <v>11288</v>
      </c>
    </row>
    <row r="2631" spans="1:1" ht="14.25">
      <c r="A2631" s="47" t="s">
        <v>11289</v>
      </c>
    </row>
    <row r="2632" spans="1:1" ht="14.25">
      <c r="A2632" s="47" t="s">
        <v>11290</v>
      </c>
    </row>
    <row r="2633" spans="1:1" ht="14.25">
      <c r="A2633" s="47" t="s">
        <v>11291</v>
      </c>
    </row>
    <row r="2634" spans="1:1" ht="14.25">
      <c r="A2634" s="47" t="s">
        <v>11292</v>
      </c>
    </row>
    <row r="2635" spans="1:1" ht="14.25">
      <c r="A2635" s="47" t="s">
        <v>11293</v>
      </c>
    </row>
    <row r="2636" spans="1:1" ht="14.25">
      <c r="A2636" s="47" t="s">
        <v>11294</v>
      </c>
    </row>
    <row r="2637" spans="1:1" ht="14.25">
      <c r="A2637" s="47" t="s">
        <v>11295</v>
      </c>
    </row>
    <row r="2638" spans="1:1" ht="14.25">
      <c r="A2638" s="47" t="s">
        <v>11296</v>
      </c>
    </row>
    <row r="2639" spans="1:1" ht="14.25">
      <c r="A2639" s="47" t="s">
        <v>11297</v>
      </c>
    </row>
    <row r="2640" spans="1:1" ht="14.25">
      <c r="A2640" s="47" t="s">
        <v>11298</v>
      </c>
    </row>
    <row r="2641" spans="1:1" ht="14.25">
      <c r="A2641" s="47" t="s">
        <v>11299</v>
      </c>
    </row>
    <row r="2642" spans="1:1" ht="14.25">
      <c r="A2642" s="47" t="s">
        <v>11300</v>
      </c>
    </row>
    <row r="2643" spans="1:1" ht="14.25">
      <c r="A2643" s="47" t="s">
        <v>11301</v>
      </c>
    </row>
    <row r="2644" spans="1:1" ht="14.25">
      <c r="A2644" s="47" t="s">
        <v>11302</v>
      </c>
    </row>
    <row r="2645" spans="1:1" ht="14.25">
      <c r="A2645" s="47" t="s">
        <v>11303</v>
      </c>
    </row>
    <row r="2646" spans="1:1" ht="14.25">
      <c r="A2646" s="47" t="s">
        <v>11304</v>
      </c>
    </row>
    <row r="2647" spans="1:1" ht="14.25">
      <c r="A2647" s="47" t="s">
        <v>11305</v>
      </c>
    </row>
    <row r="2648" spans="1:1" ht="14.25">
      <c r="A2648" s="47" t="s">
        <v>11306</v>
      </c>
    </row>
    <row r="2649" spans="1:1" ht="14.25">
      <c r="A2649" s="47" t="s">
        <v>11307</v>
      </c>
    </row>
    <row r="2650" spans="1:1" ht="14.25">
      <c r="A2650" s="47" t="s">
        <v>11308</v>
      </c>
    </row>
    <row r="2651" spans="1:1" ht="14.25">
      <c r="A2651" s="47" t="s">
        <v>11309</v>
      </c>
    </row>
    <row r="2652" spans="1:1" ht="14.25">
      <c r="A2652" s="47" t="s">
        <v>11310</v>
      </c>
    </row>
    <row r="2653" spans="1:1" ht="14.25">
      <c r="A2653" s="47" t="s">
        <v>11311</v>
      </c>
    </row>
    <row r="2654" spans="1:1" ht="14.25">
      <c r="A2654" s="47" t="s">
        <v>11312</v>
      </c>
    </row>
    <row r="2655" spans="1:1" ht="14.25">
      <c r="A2655" s="47" t="s">
        <v>11313</v>
      </c>
    </row>
    <row r="2656" spans="1:1" ht="14.25">
      <c r="A2656" s="47" t="s">
        <v>11314</v>
      </c>
    </row>
    <row r="2657" spans="1:1" ht="14.25">
      <c r="A2657" s="47" t="s">
        <v>11315</v>
      </c>
    </row>
    <row r="2658" spans="1:1" ht="14.25">
      <c r="A2658" s="47" t="s">
        <v>11316</v>
      </c>
    </row>
    <row r="2659" spans="1:1" ht="14.25">
      <c r="A2659" s="47" t="s">
        <v>11317</v>
      </c>
    </row>
    <row r="2660" spans="1:1" ht="14.25">
      <c r="A2660" s="47" t="s">
        <v>11318</v>
      </c>
    </row>
    <row r="2661" spans="1:1" ht="14.25">
      <c r="A2661" s="47" t="s">
        <v>11319</v>
      </c>
    </row>
    <row r="2662" spans="1:1" ht="14.25">
      <c r="A2662" s="47" t="s">
        <v>11320</v>
      </c>
    </row>
    <row r="2663" spans="1:1" ht="14.25">
      <c r="A2663" s="47" t="s">
        <v>11321</v>
      </c>
    </row>
    <row r="2664" spans="1:1" ht="14.25">
      <c r="A2664" s="47" t="s">
        <v>11322</v>
      </c>
    </row>
    <row r="2665" spans="1:1" ht="14.25">
      <c r="A2665" s="47" t="s">
        <v>11323</v>
      </c>
    </row>
    <row r="2666" spans="1:1" ht="14.25">
      <c r="A2666" s="47" t="s">
        <v>11324</v>
      </c>
    </row>
    <row r="2667" spans="1:1" ht="14.25">
      <c r="A2667" s="47" t="s">
        <v>11325</v>
      </c>
    </row>
    <row r="2668" spans="1:1" ht="14.25">
      <c r="A2668" s="47" t="s">
        <v>11326</v>
      </c>
    </row>
    <row r="2669" spans="1:1" ht="14.25">
      <c r="A2669" s="47" t="s">
        <v>11327</v>
      </c>
    </row>
    <row r="2670" spans="1:1" ht="14.25">
      <c r="A2670" s="47" t="s">
        <v>11328</v>
      </c>
    </row>
    <row r="2671" spans="1:1" ht="14.25">
      <c r="A2671" s="47" t="s">
        <v>11329</v>
      </c>
    </row>
    <row r="2672" spans="1:1" ht="14.25">
      <c r="A2672" s="47" t="s">
        <v>11330</v>
      </c>
    </row>
    <row r="2673" spans="1:1" ht="14.25">
      <c r="A2673" s="47" t="s">
        <v>11331</v>
      </c>
    </row>
    <row r="2674" spans="1:1" ht="14.25">
      <c r="A2674" s="47" t="s">
        <v>11332</v>
      </c>
    </row>
    <row r="2675" spans="1:1" ht="14.25">
      <c r="A2675" s="47" t="s">
        <v>11333</v>
      </c>
    </row>
    <row r="2676" spans="1:1" ht="14.25">
      <c r="A2676" s="47" t="s">
        <v>11334</v>
      </c>
    </row>
    <row r="2677" spans="1:1" ht="14.25">
      <c r="A2677" s="47" t="s">
        <v>11335</v>
      </c>
    </row>
    <row r="2678" spans="1:1" ht="14.25">
      <c r="A2678" s="47" t="s">
        <v>11336</v>
      </c>
    </row>
    <row r="2679" spans="1:1" ht="14.25">
      <c r="A2679" s="47" t="s">
        <v>11337</v>
      </c>
    </row>
    <row r="2680" spans="1:1" ht="14.25">
      <c r="A2680" s="47" t="s">
        <v>11338</v>
      </c>
    </row>
    <row r="2681" spans="1:1" ht="14.25">
      <c r="A2681" s="47" t="s">
        <v>11339</v>
      </c>
    </row>
    <row r="2682" spans="1:1" ht="14.25">
      <c r="A2682" s="47" t="s">
        <v>11340</v>
      </c>
    </row>
    <row r="2683" spans="1:1" ht="14.25">
      <c r="A2683" s="47" t="s">
        <v>11341</v>
      </c>
    </row>
    <row r="2684" spans="1:1" ht="14.25">
      <c r="A2684" s="47" t="s">
        <v>11342</v>
      </c>
    </row>
    <row r="2685" spans="1:1" ht="14.25">
      <c r="A2685" s="47" t="s">
        <v>11343</v>
      </c>
    </row>
    <row r="2686" spans="1:1" ht="14.25">
      <c r="A2686" s="47" t="s">
        <v>11344</v>
      </c>
    </row>
    <row r="2687" spans="1:1" ht="14.25">
      <c r="A2687" s="47" t="s">
        <v>11345</v>
      </c>
    </row>
    <row r="2688" spans="1:1" ht="14.25">
      <c r="A2688" s="47" t="s">
        <v>11346</v>
      </c>
    </row>
    <row r="2689" spans="1:1" ht="14.25">
      <c r="A2689" s="47" t="s">
        <v>11347</v>
      </c>
    </row>
    <row r="2690" spans="1:1" ht="14.25">
      <c r="A2690" s="47" t="s">
        <v>11348</v>
      </c>
    </row>
    <row r="2691" spans="1:1" ht="25.5">
      <c r="A2691" s="49" t="s">
        <v>11349</v>
      </c>
    </row>
    <row r="2692" spans="1:1" ht="14.25">
      <c r="A2692" s="47" t="s">
        <v>11350</v>
      </c>
    </row>
    <row r="2693" spans="1:1" ht="14.25">
      <c r="A2693" s="47" t="s">
        <v>11351</v>
      </c>
    </row>
    <row r="2694" spans="1:1" ht="14.25">
      <c r="A2694" s="47" t="s">
        <v>11352</v>
      </c>
    </row>
    <row r="2695" spans="1:1" ht="14.25">
      <c r="A2695" s="47" t="s">
        <v>11353</v>
      </c>
    </row>
    <row r="2696" spans="1:1" ht="14.25">
      <c r="A2696" s="47" t="s">
        <v>11354</v>
      </c>
    </row>
    <row r="2697" spans="1:1" ht="14.25">
      <c r="A2697" s="47" t="s">
        <v>11355</v>
      </c>
    </row>
    <row r="2698" spans="1:1" ht="14.25">
      <c r="A2698" s="47" t="s">
        <v>11356</v>
      </c>
    </row>
    <row r="2699" spans="1:1" ht="14.25">
      <c r="A2699" s="47" t="s">
        <v>11357</v>
      </c>
    </row>
    <row r="2700" spans="1:1" ht="14.25">
      <c r="A2700" s="47" t="s">
        <v>11358</v>
      </c>
    </row>
    <row r="2701" spans="1:1" ht="14.25">
      <c r="A2701" s="47" t="s">
        <v>11359</v>
      </c>
    </row>
    <row r="2702" spans="1:1" ht="14.25">
      <c r="A2702" s="47" t="s">
        <v>11360</v>
      </c>
    </row>
    <row r="2703" spans="1:1" ht="14.25">
      <c r="A2703" s="47" t="s">
        <v>11361</v>
      </c>
    </row>
    <row r="2704" spans="1:1" ht="14.25">
      <c r="A2704" s="47" t="s">
        <v>11362</v>
      </c>
    </row>
    <row r="2705" spans="1:1" ht="14.25">
      <c r="A2705" s="47" t="s">
        <v>11363</v>
      </c>
    </row>
    <row r="2706" spans="1:1" ht="14.25">
      <c r="A2706" s="47" t="s">
        <v>11364</v>
      </c>
    </row>
    <row r="2707" spans="1:1" ht="14.25">
      <c r="A2707" s="47" t="s">
        <v>11365</v>
      </c>
    </row>
    <row r="2708" spans="1:1" ht="14.25">
      <c r="A2708" s="47" t="s">
        <v>11366</v>
      </c>
    </row>
    <row r="2709" spans="1:1" ht="14.25">
      <c r="A2709" s="47" t="s">
        <v>11367</v>
      </c>
    </row>
    <row r="2710" spans="1:1" ht="14.25">
      <c r="A2710" s="47" t="s">
        <v>11368</v>
      </c>
    </row>
    <row r="2711" spans="1:1" ht="14.25">
      <c r="A2711" s="47" t="s">
        <v>11369</v>
      </c>
    </row>
    <row r="2712" spans="1:1" ht="14.25">
      <c r="A2712" s="47" t="s">
        <v>11370</v>
      </c>
    </row>
    <row r="2713" spans="1:1" ht="14.25">
      <c r="A2713" s="47" t="s">
        <v>11371</v>
      </c>
    </row>
    <row r="2714" spans="1:1" ht="14.25">
      <c r="A2714" s="47" t="s">
        <v>11372</v>
      </c>
    </row>
    <row r="2715" spans="1:1" ht="14.25">
      <c r="A2715" s="47" t="s">
        <v>11373</v>
      </c>
    </row>
    <row r="2716" spans="1:1" ht="14.25">
      <c r="A2716" s="47" t="s">
        <v>11374</v>
      </c>
    </row>
    <row r="2717" spans="1:1" ht="14.25">
      <c r="A2717" s="47" t="s">
        <v>11375</v>
      </c>
    </row>
    <row r="2718" spans="1:1" ht="14.25">
      <c r="A2718" s="47" t="s">
        <v>11376</v>
      </c>
    </row>
    <row r="2719" spans="1:1" ht="14.25">
      <c r="A2719" s="47" t="s">
        <v>11377</v>
      </c>
    </row>
    <row r="2720" spans="1:1" ht="14.25">
      <c r="A2720" s="47" t="s">
        <v>11378</v>
      </c>
    </row>
    <row r="2721" spans="1:1" ht="14.25">
      <c r="A2721" s="47" t="s">
        <v>11379</v>
      </c>
    </row>
    <row r="2722" spans="1:1" ht="14.25">
      <c r="A2722" s="47" t="s">
        <v>11380</v>
      </c>
    </row>
    <row r="2723" spans="1:1" ht="14.25">
      <c r="A2723" s="47" t="s">
        <v>11381</v>
      </c>
    </row>
    <row r="2724" spans="1:1" ht="14.25">
      <c r="A2724" s="47" t="s">
        <v>11382</v>
      </c>
    </row>
    <row r="2725" spans="1:1" ht="14.25">
      <c r="A2725" s="47" t="s">
        <v>11383</v>
      </c>
    </row>
    <row r="2726" spans="1:1" ht="14.25">
      <c r="A2726" s="47" t="s">
        <v>11384</v>
      </c>
    </row>
    <row r="2727" spans="1:1" ht="14.25">
      <c r="A2727" s="47" t="s">
        <v>11385</v>
      </c>
    </row>
    <row r="2728" spans="1:1" ht="14.25">
      <c r="A2728" s="47" t="s">
        <v>11386</v>
      </c>
    </row>
    <row r="2729" spans="1:1" ht="14.25">
      <c r="A2729" s="47" t="s">
        <v>11387</v>
      </c>
    </row>
    <row r="2730" spans="1:1" ht="14.25">
      <c r="A2730" s="47" t="s">
        <v>11388</v>
      </c>
    </row>
    <row r="2731" spans="1:1" ht="14.25">
      <c r="A2731" s="47" t="s">
        <v>11389</v>
      </c>
    </row>
    <row r="2732" spans="1:1" ht="14.25">
      <c r="A2732" s="47" t="s">
        <v>11390</v>
      </c>
    </row>
    <row r="2733" spans="1:1" ht="14.25">
      <c r="A2733" s="47" t="s">
        <v>11391</v>
      </c>
    </row>
    <row r="2734" spans="1:1" ht="14.25">
      <c r="A2734" s="47" t="s">
        <v>11392</v>
      </c>
    </row>
    <row r="2735" spans="1:1" ht="14.25">
      <c r="A2735" s="47" t="s">
        <v>11393</v>
      </c>
    </row>
    <row r="2736" spans="1:1" ht="14.25">
      <c r="A2736" s="47" t="s">
        <v>11394</v>
      </c>
    </row>
    <row r="2737" spans="1:1" ht="14.25">
      <c r="A2737" s="47" t="s">
        <v>11395</v>
      </c>
    </row>
    <row r="2738" spans="1:1" ht="14.25">
      <c r="A2738" s="47" t="s">
        <v>11396</v>
      </c>
    </row>
    <row r="2739" spans="1:1" ht="14.25">
      <c r="A2739" s="47" t="s">
        <v>11397</v>
      </c>
    </row>
    <row r="2740" spans="1:1" ht="14.25">
      <c r="A2740" s="47" t="s">
        <v>11398</v>
      </c>
    </row>
    <row r="2741" spans="1:1" ht="14.25">
      <c r="A2741" s="47" t="s">
        <v>11399</v>
      </c>
    </row>
    <row r="2742" spans="1:1" ht="14.25">
      <c r="A2742" s="47" t="s">
        <v>11400</v>
      </c>
    </row>
    <row r="2743" spans="1:1" ht="14.25">
      <c r="A2743" s="47" t="s">
        <v>11401</v>
      </c>
    </row>
    <row r="2744" spans="1:1" ht="14.25">
      <c r="A2744" s="47" t="s">
        <v>11402</v>
      </c>
    </row>
    <row r="2745" spans="1:1" ht="14.25">
      <c r="A2745" s="47" t="s">
        <v>11403</v>
      </c>
    </row>
    <row r="2746" spans="1:1" ht="14.25">
      <c r="A2746" s="47" t="s">
        <v>11404</v>
      </c>
    </row>
    <row r="2747" spans="1:1" ht="14.25">
      <c r="A2747" s="47" t="s">
        <v>11405</v>
      </c>
    </row>
    <row r="2748" spans="1:1" ht="14.25">
      <c r="A2748" s="47" t="s">
        <v>11406</v>
      </c>
    </row>
    <row r="2749" spans="1:1" ht="14.25">
      <c r="A2749" s="47" t="s">
        <v>11407</v>
      </c>
    </row>
    <row r="2750" spans="1:1" ht="14.25">
      <c r="A2750" s="47" t="s">
        <v>11408</v>
      </c>
    </row>
    <row r="2751" spans="1:1" ht="14.25">
      <c r="A2751" s="47" t="s">
        <v>11409</v>
      </c>
    </row>
    <row r="2752" spans="1:1" ht="14.25">
      <c r="A2752" s="47" t="s">
        <v>11410</v>
      </c>
    </row>
    <row r="2753" spans="1:1" ht="14.25">
      <c r="A2753" s="47" t="s">
        <v>11411</v>
      </c>
    </row>
    <row r="2754" spans="1:1" ht="14.25">
      <c r="A2754" s="47" t="s">
        <v>11412</v>
      </c>
    </row>
    <row r="2755" spans="1:1" ht="14.25">
      <c r="A2755" s="47" t="s">
        <v>11413</v>
      </c>
    </row>
    <row r="2756" spans="1:1" ht="14.25">
      <c r="A2756" s="47" t="s">
        <v>11414</v>
      </c>
    </row>
    <row r="2757" spans="1:1" ht="14.25">
      <c r="A2757" s="47" t="s">
        <v>11415</v>
      </c>
    </row>
    <row r="2758" spans="1:1" ht="14.25">
      <c r="A2758" s="47" t="s">
        <v>11416</v>
      </c>
    </row>
    <row r="2759" spans="1:1" ht="14.25">
      <c r="A2759" s="47" t="s">
        <v>11417</v>
      </c>
    </row>
    <row r="2760" spans="1:1" ht="14.25">
      <c r="A2760" s="47" t="s">
        <v>11418</v>
      </c>
    </row>
    <row r="2761" spans="1:1" ht="14.25">
      <c r="A2761" s="47" t="s">
        <v>11419</v>
      </c>
    </row>
    <row r="2762" spans="1:1" ht="14.25">
      <c r="A2762" s="47" t="s">
        <v>11420</v>
      </c>
    </row>
    <row r="2763" spans="1:1" ht="14.25">
      <c r="A2763" s="47" t="s">
        <v>11421</v>
      </c>
    </row>
    <row r="2764" spans="1:1" ht="14.25">
      <c r="A2764" s="47" t="s">
        <v>11422</v>
      </c>
    </row>
    <row r="2765" spans="1:1" ht="14.25">
      <c r="A2765" s="47" t="s">
        <v>11423</v>
      </c>
    </row>
    <row r="2766" spans="1:1" ht="14.25">
      <c r="A2766" s="47" t="s">
        <v>11424</v>
      </c>
    </row>
    <row r="2767" spans="1:1" ht="14.25">
      <c r="A2767" s="47" t="s">
        <v>11425</v>
      </c>
    </row>
    <row r="2768" spans="1:1" ht="14.25">
      <c r="A2768" s="47" t="s">
        <v>11426</v>
      </c>
    </row>
    <row r="2769" spans="1:1" ht="14.25">
      <c r="A2769" s="47" t="s">
        <v>11427</v>
      </c>
    </row>
    <row r="2770" spans="1:1" ht="14.25">
      <c r="A2770" s="47" t="s">
        <v>11428</v>
      </c>
    </row>
    <row r="2771" spans="1:1" ht="14.25">
      <c r="A2771" s="47" t="s">
        <v>11429</v>
      </c>
    </row>
    <row r="2772" spans="1:1" ht="14.25">
      <c r="A2772" s="47" t="s">
        <v>11430</v>
      </c>
    </row>
    <row r="2773" spans="1:1" ht="14.25">
      <c r="A2773" s="47" t="s">
        <v>11431</v>
      </c>
    </row>
    <row r="2774" spans="1:1" ht="14.25">
      <c r="A2774" s="47" t="s">
        <v>11432</v>
      </c>
    </row>
    <row r="2775" spans="1:1" ht="14.25">
      <c r="A2775" s="47" t="s">
        <v>11433</v>
      </c>
    </row>
    <row r="2776" spans="1:1" ht="14.25">
      <c r="A2776" s="47" t="s">
        <v>11434</v>
      </c>
    </row>
    <row r="2777" spans="1:1" ht="14.25">
      <c r="A2777" s="47" t="s">
        <v>11435</v>
      </c>
    </row>
    <row r="2778" spans="1:1" ht="14.25">
      <c r="A2778" s="47" t="s">
        <v>11436</v>
      </c>
    </row>
    <row r="2779" spans="1:1" ht="14.25">
      <c r="A2779" s="47" t="s">
        <v>11437</v>
      </c>
    </row>
    <row r="2780" spans="1:1" ht="14.25">
      <c r="A2780" s="47" t="s">
        <v>11438</v>
      </c>
    </row>
    <row r="2781" spans="1:1" ht="14.25">
      <c r="A2781" s="47" t="s">
        <v>11439</v>
      </c>
    </row>
    <row r="2782" spans="1:1" ht="14.25">
      <c r="A2782" s="47" t="s">
        <v>11440</v>
      </c>
    </row>
    <row r="2783" spans="1:1" ht="14.25">
      <c r="A2783" s="47" t="s">
        <v>11441</v>
      </c>
    </row>
    <row r="2784" spans="1:1" ht="14.25">
      <c r="A2784" s="47" t="s">
        <v>11442</v>
      </c>
    </row>
    <row r="2785" spans="1:1" ht="14.25">
      <c r="A2785" s="47" t="s">
        <v>11443</v>
      </c>
    </row>
    <row r="2786" spans="1:1" ht="14.25">
      <c r="A2786" s="47" t="s">
        <v>11444</v>
      </c>
    </row>
    <row r="2787" spans="1:1" ht="14.25">
      <c r="A2787" s="47" t="s">
        <v>11445</v>
      </c>
    </row>
    <row r="2788" spans="1:1" ht="14.25">
      <c r="A2788" s="47" t="s">
        <v>11446</v>
      </c>
    </row>
    <row r="2789" spans="1:1" ht="14.25">
      <c r="A2789" s="47" t="s">
        <v>11447</v>
      </c>
    </row>
    <row r="2790" spans="1:1" ht="14.25">
      <c r="A2790" s="47" t="s">
        <v>11448</v>
      </c>
    </row>
    <row r="2791" spans="1:1" ht="14.25">
      <c r="A2791" s="47" t="s">
        <v>11449</v>
      </c>
    </row>
    <row r="2792" spans="1:1" ht="14.25">
      <c r="A2792" s="47" t="s">
        <v>11450</v>
      </c>
    </row>
    <row r="2793" spans="1:1" ht="14.25">
      <c r="A2793" s="47" t="s">
        <v>11451</v>
      </c>
    </row>
    <row r="2794" spans="1:1" ht="14.25">
      <c r="A2794" s="47" t="s">
        <v>11452</v>
      </c>
    </row>
    <row r="2795" spans="1:1" ht="14.25">
      <c r="A2795" s="47" t="s">
        <v>11453</v>
      </c>
    </row>
    <row r="2796" spans="1:1" ht="14.25">
      <c r="A2796" s="47" t="s">
        <v>11454</v>
      </c>
    </row>
    <row r="2797" spans="1:1" ht="14.25">
      <c r="A2797" s="47" t="s">
        <v>11455</v>
      </c>
    </row>
    <row r="2798" spans="1:1" ht="14.25">
      <c r="A2798" s="47" t="s">
        <v>11456</v>
      </c>
    </row>
    <row r="2799" spans="1:1" ht="14.25">
      <c r="A2799" s="47" t="s">
        <v>11457</v>
      </c>
    </row>
    <row r="2800" spans="1:1" ht="14.25">
      <c r="A2800" s="47" t="s">
        <v>11458</v>
      </c>
    </row>
    <row r="2801" spans="1:1" ht="14.25">
      <c r="A2801" s="47" t="s">
        <v>11459</v>
      </c>
    </row>
    <row r="2802" spans="1:1" ht="14.25">
      <c r="A2802" s="47" t="s">
        <v>11460</v>
      </c>
    </row>
    <row r="2803" spans="1:1" ht="14.25">
      <c r="A2803" s="47" t="s">
        <v>11461</v>
      </c>
    </row>
    <row r="2804" spans="1:1" ht="14.25">
      <c r="A2804" s="47" t="s">
        <v>11462</v>
      </c>
    </row>
    <row r="2805" spans="1:1" ht="14.25">
      <c r="A2805" s="47" t="s">
        <v>11463</v>
      </c>
    </row>
    <row r="2806" spans="1:1" ht="14.25">
      <c r="A2806" s="47" t="s">
        <v>11464</v>
      </c>
    </row>
    <row r="2807" spans="1:1" ht="14.25">
      <c r="A2807" s="47" t="s">
        <v>11465</v>
      </c>
    </row>
    <row r="2808" spans="1:1" ht="14.25">
      <c r="A2808" s="47" t="s">
        <v>11466</v>
      </c>
    </row>
    <row r="2809" spans="1:1" ht="14.25">
      <c r="A2809" s="47" t="s">
        <v>11467</v>
      </c>
    </row>
    <row r="2810" spans="1:1" ht="14.25">
      <c r="A2810" s="47" t="s">
        <v>11468</v>
      </c>
    </row>
    <row r="2811" spans="1:1" ht="14.25">
      <c r="A2811" s="47" t="s">
        <v>11469</v>
      </c>
    </row>
    <row r="2812" spans="1:1" ht="14.25">
      <c r="A2812" s="47" t="s">
        <v>11470</v>
      </c>
    </row>
    <row r="2813" spans="1:1" ht="14.25">
      <c r="A2813" s="47" t="s">
        <v>11471</v>
      </c>
    </row>
    <row r="2814" spans="1:1" ht="14.25">
      <c r="A2814" s="47" t="s">
        <v>11472</v>
      </c>
    </row>
    <row r="2815" spans="1:1" ht="14.25">
      <c r="A2815" s="47" t="s">
        <v>11473</v>
      </c>
    </row>
    <row r="2816" spans="1:1" ht="14.25">
      <c r="A2816" s="47" t="s">
        <v>11474</v>
      </c>
    </row>
    <row r="2817" spans="1:1" ht="14.25">
      <c r="A2817" s="47" t="s">
        <v>11475</v>
      </c>
    </row>
    <row r="2818" spans="1:1" ht="14.25">
      <c r="A2818" s="47" t="s">
        <v>11476</v>
      </c>
    </row>
    <row r="2819" spans="1:1" ht="14.25">
      <c r="A2819" s="47" t="s">
        <v>11477</v>
      </c>
    </row>
    <row r="2820" spans="1:1" ht="14.25">
      <c r="A2820" s="47" t="s">
        <v>11478</v>
      </c>
    </row>
    <row r="2821" spans="1:1" ht="14.25">
      <c r="A2821" s="47" t="s">
        <v>11479</v>
      </c>
    </row>
    <row r="2822" spans="1:1" ht="14.25">
      <c r="A2822" s="47" t="s">
        <v>11480</v>
      </c>
    </row>
    <row r="2823" spans="1:1" ht="14.25">
      <c r="A2823" s="47" t="s">
        <v>11481</v>
      </c>
    </row>
    <row r="2824" spans="1:1" ht="14.25">
      <c r="A2824" s="47" t="s">
        <v>11482</v>
      </c>
    </row>
    <row r="2825" spans="1:1" ht="14.25">
      <c r="A2825" s="47" t="s">
        <v>11483</v>
      </c>
    </row>
    <row r="2826" spans="1:1" ht="14.25">
      <c r="A2826" s="47" t="s">
        <v>11484</v>
      </c>
    </row>
    <row r="2827" spans="1:1" ht="14.25">
      <c r="A2827" s="47" t="s">
        <v>11485</v>
      </c>
    </row>
    <row r="2828" spans="1:1" ht="14.25">
      <c r="A2828" s="47" t="s">
        <v>11486</v>
      </c>
    </row>
    <row r="2829" spans="1:1" ht="14.25">
      <c r="A2829" s="47" t="s">
        <v>11487</v>
      </c>
    </row>
    <row r="2830" spans="1:1" ht="14.25">
      <c r="A2830" s="47" t="s">
        <v>11488</v>
      </c>
    </row>
    <row r="2831" spans="1:1" ht="14.25">
      <c r="A2831" s="47" t="s">
        <v>11489</v>
      </c>
    </row>
    <row r="2832" spans="1:1" ht="14.25">
      <c r="A2832" s="47" t="s">
        <v>11490</v>
      </c>
    </row>
    <row r="2833" spans="1:1" ht="14.25">
      <c r="A2833" s="47" t="s">
        <v>11491</v>
      </c>
    </row>
    <row r="2834" spans="1:1" ht="14.25">
      <c r="A2834" s="47" t="s">
        <v>11492</v>
      </c>
    </row>
    <row r="2835" spans="1:1" ht="25.5">
      <c r="A2835" s="49" t="s">
        <v>11493</v>
      </c>
    </row>
    <row r="2836" spans="1:1" ht="14.25">
      <c r="A2836" s="47" t="s">
        <v>11494</v>
      </c>
    </row>
    <row r="2837" spans="1:1" ht="14.25">
      <c r="A2837" s="47" t="s">
        <v>11495</v>
      </c>
    </row>
    <row r="2838" spans="1:1" ht="14.25">
      <c r="A2838" s="47" t="s">
        <v>11496</v>
      </c>
    </row>
    <row r="2839" spans="1:1" ht="14.25">
      <c r="A2839" s="47" t="s">
        <v>11497</v>
      </c>
    </row>
    <row r="2840" spans="1:1" ht="14.25">
      <c r="A2840" s="47" t="s">
        <v>11498</v>
      </c>
    </row>
    <row r="2841" spans="1:1" ht="14.25">
      <c r="A2841" s="47" t="s">
        <v>11499</v>
      </c>
    </row>
    <row r="2842" spans="1:1" ht="14.25">
      <c r="A2842" s="47" t="s">
        <v>11500</v>
      </c>
    </row>
    <row r="2843" spans="1:1" ht="14.25">
      <c r="A2843" s="47" t="s">
        <v>11501</v>
      </c>
    </row>
    <row r="2844" spans="1:1" ht="14.25">
      <c r="A2844" s="47" t="s">
        <v>11502</v>
      </c>
    </row>
    <row r="2845" spans="1:1" ht="14.25">
      <c r="A2845" s="47" t="s">
        <v>11503</v>
      </c>
    </row>
    <row r="2846" spans="1:1" ht="14.25">
      <c r="A2846" s="47" t="s">
        <v>11504</v>
      </c>
    </row>
    <row r="2847" spans="1:1" ht="14.25">
      <c r="A2847" s="47" t="s">
        <v>11505</v>
      </c>
    </row>
    <row r="2848" spans="1:1" ht="14.25">
      <c r="A2848" s="47" t="s">
        <v>11506</v>
      </c>
    </row>
    <row r="2849" spans="1:1" ht="14.25">
      <c r="A2849" s="47" t="s">
        <v>11507</v>
      </c>
    </row>
    <row r="2850" spans="1:1" ht="14.25">
      <c r="A2850" s="47" t="s">
        <v>11508</v>
      </c>
    </row>
    <row r="2851" spans="1:1" ht="14.25">
      <c r="A2851" s="47" t="s">
        <v>11509</v>
      </c>
    </row>
    <row r="2852" spans="1:1" ht="14.25">
      <c r="A2852" s="47" t="s">
        <v>11510</v>
      </c>
    </row>
    <row r="2853" spans="1:1" ht="14.25">
      <c r="A2853" s="47" t="s">
        <v>11511</v>
      </c>
    </row>
    <row r="2854" spans="1:1" ht="14.25">
      <c r="A2854" s="47" t="s">
        <v>11512</v>
      </c>
    </row>
    <row r="2855" spans="1:1" ht="14.25">
      <c r="A2855" s="47" t="s">
        <v>11513</v>
      </c>
    </row>
    <row r="2856" spans="1:1" ht="14.25">
      <c r="A2856" s="47" t="s">
        <v>11514</v>
      </c>
    </row>
    <row r="2857" spans="1:1" ht="14.25">
      <c r="A2857" s="47" t="s">
        <v>11515</v>
      </c>
    </row>
    <row r="2858" spans="1:1" ht="14.25">
      <c r="A2858" s="47" t="s">
        <v>11516</v>
      </c>
    </row>
    <row r="2859" spans="1:1" ht="14.25">
      <c r="A2859" s="47" t="s">
        <v>11517</v>
      </c>
    </row>
    <row r="2860" spans="1:1" ht="14.25">
      <c r="A2860" s="47" t="s">
        <v>11518</v>
      </c>
    </row>
    <row r="2861" spans="1:1" ht="14.25">
      <c r="A2861" s="47" t="s">
        <v>11519</v>
      </c>
    </row>
    <row r="2862" spans="1:1" ht="14.25">
      <c r="A2862" s="47" t="s">
        <v>11520</v>
      </c>
    </row>
    <row r="2863" spans="1:1" ht="14.25">
      <c r="A2863" s="47" t="s">
        <v>11521</v>
      </c>
    </row>
    <row r="2864" spans="1:1" ht="14.25">
      <c r="A2864" s="47" t="s">
        <v>11522</v>
      </c>
    </row>
    <row r="2865" spans="1:1" ht="14.25">
      <c r="A2865" s="47" t="s">
        <v>11523</v>
      </c>
    </row>
    <row r="2866" spans="1:1" ht="14.25">
      <c r="A2866" s="47" t="s">
        <v>11524</v>
      </c>
    </row>
    <row r="2867" spans="1:1" ht="14.25">
      <c r="A2867" s="47" t="s">
        <v>11525</v>
      </c>
    </row>
    <row r="2868" spans="1:1" ht="14.25">
      <c r="A2868" s="47" t="s">
        <v>11526</v>
      </c>
    </row>
    <row r="2869" spans="1:1" ht="14.25">
      <c r="A2869" s="47" t="s">
        <v>11527</v>
      </c>
    </row>
    <row r="2870" spans="1:1" ht="14.25">
      <c r="A2870" s="47" t="s">
        <v>11528</v>
      </c>
    </row>
    <row r="2871" spans="1:1" ht="14.25">
      <c r="A2871" s="47" t="s">
        <v>11529</v>
      </c>
    </row>
    <row r="2872" spans="1:1" ht="14.25">
      <c r="A2872" s="47" t="s">
        <v>11530</v>
      </c>
    </row>
    <row r="2873" spans="1:1" ht="14.25">
      <c r="A2873" s="47" t="s">
        <v>11531</v>
      </c>
    </row>
    <row r="2874" spans="1:1" ht="14.25">
      <c r="A2874" s="47" t="s">
        <v>11532</v>
      </c>
    </row>
    <row r="2875" spans="1:1" ht="14.25">
      <c r="A2875" s="47" t="s">
        <v>11533</v>
      </c>
    </row>
    <row r="2876" spans="1:1" ht="14.25">
      <c r="A2876" s="47" t="s">
        <v>11534</v>
      </c>
    </row>
    <row r="2877" spans="1:1" ht="14.25">
      <c r="A2877" s="47" t="s">
        <v>11535</v>
      </c>
    </row>
    <row r="2878" spans="1:1" ht="14.25">
      <c r="A2878" s="47" t="s">
        <v>11536</v>
      </c>
    </row>
    <row r="2879" spans="1:1" ht="14.25">
      <c r="A2879" s="47" t="s">
        <v>11537</v>
      </c>
    </row>
    <row r="2880" spans="1:1" ht="14.25">
      <c r="A2880" s="47" t="s">
        <v>11538</v>
      </c>
    </row>
    <row r="2881" spans="1:1" ht="14.25">
      <c r="A2881" s="47" t="s">
        <v>11539</v>
      </c>
    </row>
    <row r="2882" spans="1:1" ht="14.25">
      <c r="A2882" s="47" t="s">
        <v>11540</v>
      </c>
    </row>
    <row r="2883" spans="1:1" ht="14.25">
      <c r="A2883" s="47" t="s">
        <v>11541</v>
      </c>
    </row>
    <row r="2884" spans="1:1" ht="14.25">
      <c r="A2884" s="47" t="s">
        <v>11542</v>
      </c>
    </row>
    <row r="2885" spans="1:1" ht="14.25">
      <c r="A2885" s="47" t="s">
        <v>11543</v>
      </c>
    </row>
    <row r="2886" spans="1:1" ht="14.25">
      <c r="A2886" s="47" t="s">
        <v>11544</v>
      </c>
    </row>
    <row r="2887" spans="1:1" ht="14.25">
      <c r="A2887" s="47" t="s">
        <v>11545</v>
      </c>
    </row>
    <row r="2888" spans="1:1" ht="14.25">
      <c r="A2888" s="47" t="s">
        <v>11546</v>
      </c>
    </row>
    <row r="2889" spans="1:1" ht="14.25">
      <c r="A2889" s="47" t="s">
        <v>11547</v>
      </c>
    </row>
    <row r="2890" spans="1:1" ht="14.25">
      <c r="A2890" s="47" t="s">
        <v>11548</v>
      </c>
    </row>
    <row r="2891" spans="1:1" ht="14.25">
      <c r="A2891" s="47" t="s">
        <v>11549</v>
      </c>
    </row>
    <row r="2892" spans="1:1" ht="14.25">
      <c r="A2892" s="47" t="s">
        <v>11550</v>
      </c>
    </row>
    <row r="2893" spans="1:1" ht="14.25">
      <c r="A2893" s="47" t="s">
        <v>11551</v>
      </c>
    </row>
    <row r="2894" spans="1:1" ht="14.25">
      <c r="A2894" s="47" t="s">
        <v>11552</v>
      </c>
    </row>
    <row r="2895" spans="1:1" ht="14.25">
      <c r="A2895" s="47" t="s">
        <v>11553</v>
      </c>
    </row>
    <row r="2896" spans="1:1" ht="14.25">
      <c r="A2896" s="47" t="s">
        <v>11554</v>
      </c>
    </row>
    <row r="2897" spans="1:1" ht="14.25">
      <c r="A2897" s="47" t="s">
        <v>11555</v>
      </c>
    </row>
    <row r="2898" spans="1:1" ht="14.25">
      <c r="A2898" s="47" t="s">
        <v>11556</v>
      </c>
    </row>
    <row r="2899" spans="1:1" ht="14.25">
      <c r="A2899" s="47" t="s">
        <v>11557</v>
      </c>
    </row>
    <row r="2900" spans="1:1" ht="14.25">
      <c r="A2900" s="47" t="s">
        <v>11558</v>
      </c>
    </row>
    <row r="2901" spans="1:1" ht="14.25">
      <c r="A2901" s="47" t="s">
        <v>11559</v>
      </c>
    </row>
    <row r="2902" spans="1:1" ht="14.25">
      <c r="A2902" s="47" t="s">
        <v>11560</v>
      </c>
    </row>
    <row r="2903" spans="1:1" ht="14.25">
      <c r="A2903" s="47" t="s">
        <v>11561</v>
      </c>
    </row>
    <row r="2904" spans="1:1" ht="14.25">
      <c r="A2904" s="47" t="s">
        <v>11562</v>
      </c>
    </row>
    <row r="2905" spans="1:1" ht="14.25">
      <c r="A2905" s="47" t="s">
        <v>11563</v>
      </c>
    </row>
    <row r="2906" spans="1:1" ht="14.25">
      <c r="A2906" s="47" t="s">
        <v>11564</v>
      </c>
    </row>
    <row r="2907" spans="1:1" ht="14.25">
      <c r="A2907" s="47" t="s">
        <v>11565</v>
      </c>
    </row>
    <row r="2908" spans="1:1" ht="14.25">
      <c r="A2908" s="47" t="s">
        <v>11566</v>
      </c>
    </row>
    <row r="2909" spans="1:1" ht="14.25">
      <c r="A2909" s="47" t="s">
        <v>11567</v>
      </c>
    </row>
    <row r="2910" spans="1:1" ht="14.25">
      <c r="A2910" s="47" t="s">
        <v>11568</v>
      </c>
    </row>
    <row r="2911" spans="1:1" ht="14.25">
      <c r="A2911" s="47" t="s">
        <v>11569</v>
      </c>
    </row>
    <row r="2912" spans="1:1" ht="14.25">
      <c r="A2912" s="47" t="s">
        <v>11570</v>
      </c>
    </row>
    <row r="2913" spans="1:1" ht="14.25">
      <c r="A2913" s="47" t="s">
        <v>11571</v>
      </c>
    </row>
    <row r="2914" spans="1:1" ht="14.25">
      <c r="A2914" s="47" t="s">
        <v>11572</v>
      </c>
    </row>
    <row r="2915" spans="1:1" ht="14.25">
      <c r="A2915" s="47" t="s">
        <v>11573</v>
      </c>
    </row>
    <row r="2916" spans="1:1" ht="14.25">
      <c r="A2916" s="47" t="s">
        <v>11574</v>
      </c>
    </row>
    <row r="2917" spans="1:1" ht="25.5">
      <c r="A2917" s="49" t="s">
        <v>11575</v>
      </c>
    </row>
    <row r="2918" spans="1:1" ht="14.25">
      <c r="A2918" s="47" t="s">
        <v>11576</v>
      </c>
    </row>
    <row r="2919" spans="1:1" ht="14.25">
      <c r="A2919" s="47" t="s">
        <v>11577</v>
      </c>
    </row>
    <row r="2920" spans="1:1" ht="14.25">
      <c r="A2920" s="47" t="s">
        <v>11578</v>
      </c>
    </row>
    <row r="2921" spans="1:1" ht="14.25">
      <c r="A2921" s="47" t="s">
        <v>11579</v>
      </c>
    </row>
    <row r="2922" spans="1:1" ht="14.25">
      <c r="A2922" s="47" t="s">
        <v>11580</v>
      </c>
    </row>
    <row r="2923" spans="1:1" ht="14.25">
      <c r="A2923" s="47" t="s">
        <v>11581</v>
      </c>
    </row>
    <row r="2924" spans="1:1" ht="14.25">
      <c r="A2924" s="47" t="s">
        <v>11582</v>
      </c>
    </row>
    <row r="2925" spans="1:1" ht="14.25">
      <c r="A2925" s="47" t="s">
        <v>11583</v>
      </c>
    </row>
    <row r="2926" spans="1:1" ht="14.25">
      <c r="A2926" s="47" t="s">
        <v>11584</v>
      </c>
    </row>
    <row r="2927" spans="1:1" ht="14.25">
      <c r="A2927" s="47" t="s">
        <v>11585</v>
      </c>
    </row>
    <row r="2928" spans="1:1" ht="14.25">
      <c r="A2928" s="47" t="s">
        <v>11586</v>
      </c>
    </row>
    <row r="2929" spans="1:1" ht="14.25">
      <c r="A2929" s="47" t="s">
        <v>11587</v>
      </c>
    </row>
    <row r="2930" spans="1:1" ht="14.25">
      <c r="A2930" s="47" t="s">
        <v>11588</v>
      </c>
    </row>
    <row r="2931" spans="1:1" ht="14.25">
      <c r="A2931" s="47" t="s">
        <v>11589</v>
      </c>
    </row>
    <row r="2932" spans="1:1" ht="14.25">
      <c r="A2932" s="47" t="s">
        <v>11590</v>
      </c>
    </row>
    <row r="2933" spans="1:1" ht="14.25">
      <c r="A2933" s="47" t="s">
        <v>11591</v>
      </c>
    </row>
    <row r="2934" spans="1:1" ht="14.25">
      <c r="A2934" s="47" t="s">
        <v>11592</v>
      </c>
    </row>
    <row r="2935" spans="1:1" ht="14.25">
      <c r="A2935" s="47" t="s">
        <v>11593</v>
      </c>
    </row>
    <row r="2936" spans="1:1" ht="14.25">
      <c r="A2936" s="47" t="s">
        <v>11594</v>
      </c>
    </row>
    <row r="2937" spans="1:1" ht="14.25">
      <c r="A2937" s="47" t="s">
        <v>11595</v>
      </c>
    </row>
    <row r="2938" spans="1:1" ht="14.25">
      <c r="A2938" s="47" t="s">
        <v>11596</v>
      </c>
    </row>
    <row r="2939" spans="1:1" ht="14.25">
      <c r="A2939" s="47" t="s">
        <v>11597</v>
      </c>
    </row>
    <row r="2940" spans="1:1" ht="14.25">
      <c r="A2940" s="47" t="s">
        <v>11598</v>
      </c>
    </row>
    <row r="2941" spans="1:1" ht="14.25">
      <c r="A2941" s="47" t="s">
        <v>11599</v>
      </c>
    </row>
    <row r="2942" spans="1:1" ht="14.25">
      <c r="A2942" s="47" t="s">
        <v>11600</v>
      </c>
    </row>
    <row r="2943" spans="1:1" ht="14.25">
      <c r="A2943" s="47" t="s">
        <v>11601</v>
      </c>
    </row>
    <row r="2944" spans="1:1" ht="14.25">
      <c r="A2944" s="47" t="s">
        <v>11602</v>
      </c>
    </row>
    <row r="2945" spans="1:1" ht="14.25">
      <c r="A2945" s="47" t="s">
        <v>11603</v>
      </c>
    </row>
    <row r="2946" spans="1:1" ht="14.25">
      <c r="A2946" s="47" t="s">
        <v>11604</v>
      </c>
    </row>
    <row r="2947" spans="1:1" ht="14.25">
      <c r="A2947" s="47" t="s">
        <v>11605</v>
      </c>
    </row>
    <row r="2948" spans="1:1" ht="14.25">
      <c r="A2948" s="47" t="s">
        <v>11606</v>
      </c>
    </row>
    <row r="2949" spans="1:1" ht="14.25">
      <c r="A2949" s="47" t="s">
        <v>11607</v>
      </c>
    </row>
    <row r="2950" spans="1:1" ht="14.25">
      <c r="A2950" s="47" t="s">
        <v>11608</v>
      </c>
    </row>
    <row r="2951" spans="1:1" ht="14.25">
      <c r="A2951" s="47" t="s">
        <v>11609</v>
      </c>
    </row>
    <row r="2952" spans="1:1" ht="14.25">
      <c r="A2952" s="47" t="s">
        <v>11610</v>
      </c>
    </row>
    <row r="2953" spans="1:1" ht="14.25">
      <c r="A2953" s="47" t="s">
        <v>11611</v>
      </c>
    </row>
    <row r="2954" spans="1:1" ht="14.25">
      <c r="A2954" s="47" t="s">
        <v>11612</v>
      </c>
    </row>
    <row r="2955" spans="1:1" ht="14.25">
      <c r="A2955" s="47" t="s">
        <v>11613</v>
      </c>
    </row>
    <row r="2956" spans="1:1" ht="14.25">
      <c r="A2956" s="47" t="s">
        <v>11614</v>
      </c>
    </row>
    <row r="2957" spans="1:1" ht="14.25">
      <c r="A2957" s="47" t="s">
        <v>11615</v>
      </c>
    </row>
    <row r="2958" spans="1:1" ht="14.25">
      <c r="A2958" s="47" t="s">
        <v>11616</v>
      </c>
    </row>
    <row r="2959" spans="1:1" ht="14.25">
      <c r="A2959" s="47" t="s">
        <v>11617</v>
      </c>
    </row>
    <row r="2960" spans="1:1" ht="14.25">
      <c r="A2960" s="47" t="s">
        <v>11618</v>
      </c>
    </row>
    <row r="2961" spans="1:1" ht="14.25">
      <c r="A2961" s="47" t="s">
        <v>11619</v>
      </c>
    </row>
    <row r="2962" spans="1:1" ht="14.25">
      <c r="A2962" s="47" t="s">
        <v>11620</v>
      </c>
    </row>
    <row r="2963" spans="1:1" ht="14.25">
      <c r="A2963" s="47" t="s">
        <v>11621</v>
      </c>
    </row>
    <row r="2964" spans="1:1" ht="14.25">
      <c r="A2964" s="47" t="s">
        <v>11622</v>
      </c>
    </row>
    <row r="2965" spans="1:1" ht="14.25">
      <c r="A2965" s="47" t="s">
        <v>11623</v>
      </c>
    </row>
    <row r="2966" spans="1:1" ht="14.25">
      <c r="A2966" s="47" t="s">
        <v>11624</v>
      </c>
    </row>
    <row r="2967" spans="1:1" ht="14.25">
      <c r="A2967" s="47" t="s">
        <v>11625</v>
      </c>
    </row>
    <row r="2968" spans="1:1" ht="14.25">
      <c r="A2968" s="47" t="s">
        <v>11626</v>
      </c>
    </row>
    <row r="2969" spans="1:1" ht="14.25">
      <c r="A2969" s="47" t="s">
        <v>11627</v>
      </c>
    </row>
    <row r="2970" spans="1:1" ht="14.25">
      <c r="A2970" s="47" t="s">
        <v>11628</v>
      </c>
    </row>
    <row r="2971" spans="1:1" ht="14.25">
      <c r="A2971" s="47" t="s">
        <v>11629</v>
      </c>
    </row>
    <row r="2972" spans="1:1" ht="14.25">
      <c r="A2972" s="47" t="s">
        <v>11630</v>
      </c>
    </row>
    <row r="2973" spans="1:1" ht="14.25">
      <c r="A2973" s="47" t="s">
        <v>11631</v>
      </c>
    </row>
    <row r="2974" spans="1:1" ht="14.25">
      <c r="A2974" s="47" t="s">
        <v>11632</v>
      </c>
    </row>
    <row r="2975" spans="1:1" ht="14.25">
      <c r="A2975" s="47" t="s">
        <v>11633</v>
      </c>
    </row>
    <row r="2976" spans="1:1" ht="14.25">
      <c r="A2976" s="47" t="s">
        <v>11634</v>
      </c>
    </row>
    <row r="2977" spans="1:1" ht="14.25">
      <c r="A2977" s="47" t="s">
        <v>11635</v>
      </c>
    </row>
    <row r="2978" spans="1:1" ht="14.25">
      <c r="A2978" s="47" t="s">
        <v>11636</v>
      </c>
    </row>
    <row r="2979" spans="1:1" ht="14.25">
      <c r="A2979" s="47" t="s">
        <v>11637</v>
      </c>
    </row>
    <row r="2980" spans="1:1" ht="14.25">
      <c r="A2980" s="47" t="s">
        <v>11638</v>
      </c>
    </row>
    <row r="2981" spans="1:1" ht="14.25">
      <c r="A2981" s="47" t="s">
        <v>11639</v>
      </c>
    </row>
    <row r="2982" spans="1:1" ht="14.25">
      <c r="A2982" s="47" t="s">
        <v>11640</v>
      </c>
    </row>
    <row r="2983" spans="1:1" ht="14.25">
      <c r="A2983" s="47" t="s">
        <v>11641</v>
      </c>
    </row>
    <row r="2984" spans="1:1" ht="14.25">
      <c r="A2984" s="47" t="s">
        <v>11642</v>
      </c>
    </row>
    <row r="2985" spans="1:1" ht="14.25">
      <c r="A2985" s="47" t="s">
        <v>11643</v>
      </c>
    </row>
    <row r="2986" spans="1:1" ht="14.25">
      <c r="A2986" s="47" t="s">
        <v>11644</v>
      </c>
    </row>
    <row r="2987" spans="1:1" ht="14.25">
      <c r="A2987" s="47" t="s">
        <v>11645</v>
      </c>
    </row>
    <row r="2988" spans="1:1" ht="14.25">
      <c r="A2988" s="47" t="s">
        <v>11646</v>
      </c>
    </row>
    <row r="2989" spans="1:1" ht="14.25">
      <c r="A2989" s="47" t="s">
        <v>11647</v>
      </c>
    </row>
    <row r="2990" spans="1:1" ht="14.25">
      <c r="A2990" s="47" t="s">
        <v>11648</v>
      </c>
    </row>
    <row r="2991" spans="1:1" ht="14.25">
      <c r="A2991" s="47" t="s">
        <v>11649</v>
      </c>
    </row>
    <row r="2992" spans="1:1" ht="14.25">
      <c r="A2992" s="47" t="s">
        <v>11650</v>
      </c>
    </row>
    <row r="2993" spans="1:1" ht="14.25">
      <c r="A2993" s="47" t="s">
        <v>11651</v>
      </c>
    </row>
    <row r="2994" spans="1:1" ht="14.25">
      <c r="A2994" s="47" t="s">
        <v>11652</v>
      </c>
    </row>
    <row r="2995" spans="1:1" ht="14.25">
      <c r="A2995" s="47" t="s">
        <v>11653</v>
      </c>
    </row>
    <row r="2996" spans="1:1" ht="14.25">
      <c r="A2996" s="47" t="s">
        <v>11654</v>
      </c>
    </row>
    <row r="2997" spans="1:1" ht="14.25">
      <c r="A2997" s="47" t="s">
        <v>11655</v>
      </c>
    </row>
    <row r="2998" spans="1:1" ht="14.25">
      <c r="A2998" s="47" t="s">
        <v>11656</v>
      </c>
    </row>
    <row r="2999" spans="1:1" ht="14.25">
      <c r="A2999" s="47" t="s">
        <v>11657</v>
      </c>
    </row>
    <row r="3000" spans="1:1" ht="14.25">
      <c r="A3000" s="47" t="s">
        <v>11658</v>
      </c>
    </row>
    <row r="3001" spans="1:1" ht="14.25">
      <c r="A3001" s="47" t="s">
        <v>11659</v>
      </c>
    </row>
    <row r="3002" spans="1:1" ht="14.25">
      <c r="A3002" s="47" t="s">
        <v>11660</v>
      </c>
    </row>
    <row r="3003" spans="1:1" ht="14.25">
      <c r="A3003" s="47" t="s">
        <v>11661</v>
      </c>
    </row>
    <row r="3004" spans="1:1" ht="14.25">
      <c r="A3004" s="47" t="s">
        <v>11662</v>
      </c>
    </row>
    <row r="3005" spans="1:1" ht="14.25">
      <c r="A3005" s="47" t="s">
        <v>11663</v>
      </c>
    </row>
    <row r="3006" spans="1:1" ht="14.25">
      <c r="A3006" s="47" t="s">
        <v>11664</v>
      </c>
    </row>
    <row r="3007" spans="1:1" ht="14.25">
      <c r="A3007" s="47" t="s">
        <v>11665</v>
      </c>
    </row>
    <row r="3008" spans="1:1" ht="14.25">
      <c r="A3008" s="47" t="s">
        <v>11666</v>
      </c>
    </row>
    <row r="3009" spans="1:1" ht="14.25">
      <c r="A3009" s="47" t="s">
        <v>11667</v>
      </c>
    </row>
    <row r="3010" spans="1:1" ht="14.25">
      <c r="A3010" s="47" t="s">
        <v>11668</v>
      </c>
    </row>
    <row r="3011" spans="1:1" ht="14.25">
      <c r="A3011" s="47" t="s">
        <v>11669</v>
      </c>
    </row>
    <row r="3012" spans="1:1" ht="14.25">
      <c r="A3012" s="47" t="s">
        <v>11670</v>
      </c>
    </row>
    <row r="3013" spans="1:1" ht="14.25">
      <c r="A3013" s="47" t="s">
        <v>11671</v>
      </c>
    </row>
    <row r="3014" spans="1:1" ht="14.25">
      <c r="A3014" s="47" t="s">
        <v>11672</v>
      </c>
    </row>
    <row r="3015" spans="1:1" ht="14.25">
      <c r="A3015" s="47" t="s">
        <v>11673</v>
      </c>
    </row>
    <row r="3016" spans="1:1" ht="14.25">
      <c r="A3016" s="47" t="s">
        <v>11674</v>
      </c>
    </row>
    <row r="3017" spans="1:1" ht="14.25">
      <c r="A3017" s="47" t="s">
        <v>11675</v>
      </c>
    </row>
    <row r="3018" spans="1:1" ht="14.25">
      <c r="A3018" s="47" t="s">
        <v>11676</v>
      </c>
    </row>
    <row r="3019" spans="1:1" ht="14.25">
      <c r="A3019" s="47" t="s">
        <v>11677</v>
      </c>
    </row>
    <row r="3020" spans="1:1" ht="14.25">
      <c r="A3020" s="47" t="s">
        <v>11678</v>
      </c>
    </row>
    <row r="3021" spans="1:1" ht="14.25">
      <c r="A3021" s="47" t="s">
        <v>11679</v>
      </c>
    </row>
    <row r="3022" spans="1:1" ht="14.25">
      <c r="A3022" s="47" t="s">
        <v>11680</v>
      </c>
    </row>
    <row r="3023" spans="1:1" ht="14.25">
      <c r="A3023" s="47" t="s">
        <v>11681</v>
      </c>
    </row>
    <row r="3024" spans="1:1" ht="14.25">
      <c r="A3024" s="47" t="s">
        <v>11682</v>
      </c>
    </row>
    <row r="3025" spans="1:1" ht="14.25">
      <c r="A3025" s="47" t="s">
        <v>11683</v>
      </c>
    </row>
    <row r="3026" spans="1:1" ht="14.25">
      <c r="A3026" s="47" t="s">
        <v>11684</v>
      </c>
    </row>
    <row r="3027" spans="1:1" ht="14.25">
      <c r="A3027" s="47" t="s">
        <v>11685</v>
      </c>
    </row>
    <row r="3028" spans="1:1" ht="14.25">
      <c r="A3028" s="47" t="s">
        <v>11686</v>
      </c>
    </row>
    <row r="3029" spans="1:1" ht="14.25">
      <c r="A3029" s="47" t="s">
        <v>11687</v>
      </c>
    </row>
    <row r="3030" spans="1:1" ht="14.25">
      <c r="A3030" s="47" t="s">
        <v>11688</v>
      </c>
    </row>
    <row r="3031" spans="1:1" ht="14.25">
      <c r="A3031" s="47" t="s">
        <v>11689</v>
      </c>
    </row>
    <row r="3032" spans="1:1" ht="14.25">
      <c r="A3032" s="47" t="s">
        <v>11690</v>
      </c>
    </row>
    <row r="3033" spans="1:1" ht="14.25">
      <c r="A3033" s="47" t="s">
        <v>11691</v>
      </c>
    </row>
    <row r="3034" spans="1:1" ht="14.25">
      <c r="A3034" s="47" t="s">
        <v>11692</v>
      </c>
    </row>
    <row r="3035" spans="1:1" ht="14.25">
      <c r="A3035" s="47" t="s">
        <v>11693</v>
      </c>
    </row>
    <row r="3036" spans="1:1" ht="14.25">
      <c r="A3036" s="47" t="s">
        <v>11694</v>
      </c>
    </row>
    <row r="3037" spans="1:1" ht="14.25">
      <c r="A3037" s="47" t="s">
        <v>11695</v>
      </c>
    </row>
    <row r="3038" spans="1:1" ht="14.25">
      <c r="A3038" s="47" t="s">
        <v>11696</v>
      </c>
    </row>
    <row r="3039" spans="1:1" ht="14.25">
      <c r="A3039" s="47" t="s">
        <v>11697</v>
      </c>
    </row>
    <row r="3040" spans="1:1" ht="14.25">
      <c r="A3040" s="47" t="s">
        <v>11698</v>
      </c>
    </row>
    <row r="3041" spans="1:1" ht="14.25">
      <c r="A3041" s="47" t="s">
        <v>11699</v>
      </c>
    </row>
    <row r="3042" spans="1:1" ht="14.25">
      <c r="A3042" s="47" t="s">
        <v>11700</v>
      </c>
    </row>
    <row r="3043" spans="1:1" ht="14.25">
      <c r="A3043" s="47" t="s">
        <v>11701</v>
      </c>
    </row>
    <row r="3044" spans="1:1" ht="14.25">
      <c r="A3044" s="47" t="s">
        <v>11702</v>
      </c>
    </row>
    <row r="3045" spans="1:1" ht="14.25">
      <c r="A3045" s="47" t="s">
        <v>11703</v>
      </c>
    </row>
    <row r="3046" spans="1:1" ht="14.25">
      <c r="A3046" s="47" t="s">
        <v>11704</v>
      </c>
    </row>
    <row r="3047" spans="1:1" ht="14.25">
      <c r="A3047" s="47" t="s">
        <v>11705</v>
      </c>
    </row>
    <row r="3048" spans="1:1" ht="14.25">
      <c r="A3048" s="47" t="s">
        <v>11706</v>
      </c>
    </row>
    <row r="3049" spans="1:1" ht="14.25">
      <c r="A3049" s="47" t="s">
        <v>11707</v>
      </c>
    </row>
    <row r="3050" spans="1:1" ht="14.25">
      <c r="A3050" s="47" t="s">
        <v>11708</v>
      </c>
    </row>
    <row r="3051" spans="1:1" ht="14.25">
      <c r="A3051" s="47" t="s">
        <v>11709</v>
      </c>
    </row>
    <row r="3052" spans="1:1" ht="14.25">
      <c r="A3052" s="47" t="s">
        <v>11710</v>
      </c>
    </row>
    <row r="3053" spans="1:1" ht="14.25">
      <c r="A3053" s="47" t="s">
        <v>11711</v>
      </c>
    </row>
    <row r="3054" spans="1:1" ht="14.25">
      <c r="A3054" s="47" t="s">
        <v>11712</v>
      </c>
    </row>
    <row r="3055" spans="1:1" ht="14.25">
      <c r="A3055" s="47" t="s">
        <v>11713</v>
      </c>
    </row>
    <row r="3056" spans="1:1" ht="14.25">
      <c r="A3056" s="47" t="s">
        <v>11714</v>
      </c>
    </row>
    <row r="3057" spans="1:1" ht="14.25">
      <c r="A3057" s="47" t="s">
        <v>11715</v>
      </c>
    </row>
    <row r="3058" spans="1:1" ht="14.25">
      <c r="A3058" s="47" t="s">
        <v>11716</v>
      </c>
    </row>
    <row r="3059" spans="1:1" ht="14.25">
      <c r="A3059" s="47" t="s">
        <v>11717</v>
      </c>
    </row>
    <row r="3060" spans="1:1" ht="14.25">
      <c r="A3060" s="47" t="s">
        <v>11718</v>
      </c>
    </row>
    <row r="3061" spans="1:1" ht="14.25">
      <c r="A3061" s="47" t="s">
        <v>11719</v>
      </c>
    </row>
    <row r="3062" spans="1:1" ht="14.25">
      <c r="A3062" s="47" t="s">
        <v>11720</v>
      </c>
    </row>
    <row r="3063" spans="1:1" ht="14.25">
      <c r="A3063" s="47" t="s">
        <v>11721</v>
      </c>
    </row>
    <row r="3064" spans="1:1" ht="14.25">
      <c r="A3064" s="47" t="s">
        <v>11722</v>
      </c>
    </row>
    <row r="3065" spans="1:1" ht="14.25">
      <c r="A3065" s="47" t="s">
        <v>11723</v>
      </c>
    </row>
    <row r="3066" spans="1:1" ht="14.25">
      <c r="A3066" s="47" t="s">
        <v>11724</v>
      </c>
    </row>
    <row r="3067" spans="1:1" ht="14.25">
      <c r="A3067" s="47" t="s">
        <v>11725</v>
      </c>
    </row>
    <row r="3068" spans="1:1" ht="14.25">
      <c r="A3068" s="47" t="s">
        <v>11726</v>
      </c>
    </row>
    <row r="3069" spans="1:1" ht="14.25">
      <c r="A3069" s="47" t="s">
        <v>11727</v>
      </c>
    </row>
    <row r="3070" spans="1:1" ht="14.25">
      <c r="A3070" s="47" t="s">
        <v>11728</v>
      </c>
    </row>
    <row r="3071" spans="1:1" ht="14.25">
      <c r="A3071" s="47" t="s">
        <v>11729</v>
      </c>
    </row>
    <row r="3072" spans="1:1" ht="14.25">
      <c r="A3072" s="47" t="s">
        <v>11730</v>
      </c>
    </row>
    <row r="3073" spans="1:1" ht="14.25">
      <c r="A3073" s="47" t="s">
        <v>11731</v>
      </c>
    </row>
    <row r="3074" spans="1:1" ht="14.25">
      <c r="A3074" s="47" t="s">
        <v>11732</v>
      </c>
    </row>
    <row r="3075" spans="1:1" ht="14.25">
      <c r="A3075" s="47" t="s">
        <v>11733</v>
      </c>
    </row>
    <row r="3076" spans="1:1" ht="14.25">
      <c r="A3076" s="47" t="s">
        <v>11734</v>
      </c>
    </row>
    <row r="3077" spans="1:1" ht="14.25">
      <c r="A3077" s="47" t="s">
        <v>11735</v>
      </c>
    </row>
    <row r="3078" spans="1:1" ht="14.25">
      <c r="A3078" s="47" t="s">
        <v>11736</v>
      </c>
    </row>
    <row r="3079" spans="1:1" ht="14.25">
      <c r="A3079" s="47" t="s">
        <v>11737</v>
      </c>
    </row>
    <row r="3080" spans="1:1" ht="14.25">
      <c r="A3080" s="47" t="s">
        <v>11738</v>
      </c>
    </row>
    <row r="3081" spans="1:1" ht="14.25">
      <c r="A3081" s="47" t="s">
        <v>11739</v>
      </c>
    </row>
    <row r="3082" spans="1:1" ht="14.25">
      <c r="A3082" s="47" t="s">
        <v>11740</v>
      </c>
    </row>
    <row r="3083" spans="1:1" ht="14.25">
      <c r="A3083" s="47" t="s">
        <v>11741</v>
      </c>
    </row>
    <row r="3084" spans="1:1" ht="14.25">
      <c r="A3084" s="47" t="s">
        <v>11742</v>
      </c>
    </row>
    <row r="3085" spans="1:1" ht="14.25">
      <c r="A3085" s="47" t="s">
        <v>11743</v>
      </c>
    </row>
    <row r="3086" spans="1:1" ht="14.25">
      <c r="A3086" s="47" t="s">
        <v>11744</v>
      </c>
    </row>
    <row r="3087" spans="1:1" ht="14.25">
      <c r="A3087" s="47" t="s">
        <v>11745</v>
      </c>
    </row>
    <row r="3088" spans="1:1" ht="14.25">
      <c r="A3088" s="47" t="s">
        <v>11746</v>
      </c>
    </row>
    <row r="3089" spans="1:1" ht="14.25">
      <c r="A3089" s="47" t="s">
        <v>11747</v>
      </c>
    </row>
    <row r="3090" spans="1:1" ht="14.25">
      <c r="A3090" s="47" t="s">
        <v>11748</v>
      </c>
    </row>
    <row r="3091" spans="1:1" ht="14.25">
      <c r="A3091" s="47" t="s">
        <v>11749</v>
      </c>
    </row>
    <row r="3092" spans="1:1" ht="14.25">
      <c r="A3092" s="47" t="s">
        <v>11750</v>
      </c>
    </row>
    <row r="3093" spans="1:1" ht="14.25">
      <c r="A3093" s="47" t="s">
        <v>11751</v>
      </c>
    </row>
    <row r="3094" spans="1:1" ht="14.25">
      <c r="A3094" s="47" t="s">
        <v>11752</v>
      </c>
    </row>
    <row r="3095" spans="1:1" ht="14.25">
      <c r="A3095" s="47" t="s">
        <v>11753</v>
      </c>
    </row>
    <row r="3096" spans="1:1" ht="14.25">
      <c r="A3096" s="47" t="s">
        <v>11754</v>
      </c>
    </row>
    <row r="3097" spans="1:1" ht="14.25">
      <c r="A3097" s="47" t="s">
        <v>11755</v>
      </c>
    </row>
    <row r="3098" spans="1:1" ht="14.25">
      <c r="A3098" s="47" t="s">
        <v>11756</v>
      </c>
    </row>
    <row r="3099" spans="1:1" ht="14.25">
      <c r="A3099" s="47" t="s">
        <v>11757</v>
      </c>
    </row>
    <row r="3100" spans="1:1" ht="14.25">
      <c r="A3100" s="47" t="s">
        <v>11758</v>
      </c>
    </row>
    <row r="3101" spans="1:1" ht="14.25">
      <c r="A3101" s="47" t="s">
        <v>11759</v>
      </c>
    </row>
    <row r="3102" spans="1:1" ht="14.25">
      <c r="A3102" s="47" t="s">
        <v>11760</v>
      </c>
    </row>
    <row r="3103" spans="1:1" ht="14.25">
      <c r="A3103" s="47" t="s">
        <v>11761</v>
      </c>
    </row>
    <row r="3104" spans="1:1" ht="14.25">
      <c r="A3104" s="47" t="s">
        <v>11762</v>
      </c>
    </row>
    <row r="3105" spans="1:1" ht="14.25">
      <c r="A3105" s="47" t="s">
        <v>11763</v>
      </c>
    </row>
    <row r="3106" spans="1:1" ht="14.25">
      <c r="A3106" s="47" t="s">
        <v>11764</v>
      </c>
    </row>
    <row r="3107" spans="1:1" ht="14.25">
      <c r="A3107" s="47" t="s">
        <v>11765</v>
      </c>
    </row>
    <row r="3108" spans="1:1" ht="25.5">
      <c r="A3108" s="49" t="s">
        <v>11766</v>
      </c>
    </row>
    <row r="3109" spans="1:1" ht="14.25">
      <c r="A3109" s="47" t="s">
        <v>11767</v>
      </c>
    </row>
    <row r="3110" spans="1:1" ht="14.25">
      <c r="A3110" s="47" t="s">
        <v>11768</v>
      </c>
    </row>
    <row r="3111" spans="1:1" ht="14.25">
      <c r="A3111" s="47" t="s">
        <v>11769</v>
      </c>
    </row>
    <row r="3112" spans="1:1" ht="14.25">
      <c r="A3112" s="47" t="s">
        <v>11770</v>
      </c>
    </row>
    <row r="3113" spans="1:1" ht="14.25">
      <c r="A3113" s="47" t="s">
        <v>11771</v>
      </c>
    </row>
    <row r="3114" spans="1:1" ht="14.25">
      <c r="A3114" s="47" t="s">
        <v>11772</v>
      </c>
    </row>
    <row r="3115" spans="1:1" ht="14.25">
      <c r="A3115" s="47" t="s">
        <v>11773</v>
      </c>
    </row>
    <row r="3116" spans="1:1" ht="14.25">
      <c r="A3116" s="47" t="s">
        <v>11774</v>
      </c>
    </row>
    <row r="3117" spans="1:1" ht="14.25">
      <c r="A3117" s="47" t="s">
        <v>11775</v>
      </c>
    </row>
    <row r="3118" spans="1:1" ht="14.25">
      <c r="A3118" s="47" t="s">
        <v>11776</v>
      </c>
    </row>
    <row r="3119" spans="1:1" ht="14.25">
      <c r="A3119" s="47" t="s">
        <v>11777</v>
      </c>
    </row>
    <row r="3120" spans="1:1" ht="14.25">
      <c r="A3120" s="47" t="s">
        <v>11778</v>
      </c>
    </row>
    <row r="3121" spans="1:1" ht="14.25">
      <c r="A3121" s="47" t="s">
        <v>11779</v>
      </c>
    </row>
    <row r="3122" spans="1:1" ht="14.25">
      <c r="A3122" s="47" t="s">
        <v>11780</v>
      </c>
    </row>
    <row r="3123" spans="1:1" ht="14.25">
      <c r="A3123" s="47" t="s">
        <v>11781</v>
      </c>
    </row>
    <row r="3124" spans="1:1" ht="14.25">
      <c r="A3124" s="47" t="s">
        <v>11782</v>
      </c>
    </row>
    <row r="3125" spans="1:1" ht="14.25">
      <c r="A3125" s="47" t="s">
        <v>11783</v>
      </c>
    </row>
    <row r="3126" spans="1:1" ht="14.25">
      <c r="A3126" s="47" t="s">
        <v>11784</v>
      </c>
    </row>
    <row r="3127" spans="1:1" ht="14.25">
      <c r="A3127" s="47" t="s">
        <v>11785</v>
      </c>
    </row>
    <row r="3128" spans="1:1" ht="14.25">
      <c r="A3128" s="47" t="s">
        <v>11786</v>
      </c>
    </row>
    <row r="3129" spans="1:1" ht="14.25">
      <c r="A3129" s="47" t="s">
        <v>11787</v>
      </c>
    </row>
    <row r="3130" spans="1:1" ht="14.25">
      <c r="A3130" s="47" t="s">
        <v>11788</v>
      </c>
    </row>
    <row r="3131" spans="1:1" ht="14.25">
      <c r="A3131" s="47" t="s">
        <v>11789</v>
      </c>
    </row>
    <row r="3132" spans="1:1" ht="14.25">
      <c r="A3132" s="47" t="s">
        <v>11790</v>
      </c>
    </row>
    <row r="3133" spans="1:1" ht="14.25">
      <c r="A3133" s="47" t="s">
        <v>11791</v>
      </c>
    </row>
    <row r="3134" spans="1:1" ht="14.25">
      <c r="A3134" s="47" t="s">
        <v>11792</v>
      </c>
    </row>
    <row r="3135" spans="1:1" ht="14.25">
      <c r="A3135" s="47" t="s">
        <v>11793</v>
      </c>
    </row>
    <row r="3136" spans="1:1" ht="14.25">
      <c r="A3136" s="47" t="s">
        <v>11794</v>
      </c>
    </row>
    <row r="3137" spans="1:1" ht="14.25">
      <c r="A3137" s="47" t="s">
        <v>11795</v>
      </c>
    </row>
    <row r="3138" spans="1:1" ht="14.25">
      <c r="A3138" s="47" t="s">
        <v>11796</v>
      </c>
    </row>
    <row r="3139" spans="1:1" ht="14.25">
      <c r="A3139" s="47" t="s">
        <v>11797</v>
      </c>
    </row>
    <row r="3140" spans="1:1" ht="14.25">
      <c r="A3140" s="47" t="s">
        <v>11798</v>
      </c>
    </row>
    <row r="3141" spans="1:1" ht="14.25">
      <c r="A3141" s="47" t="s">
        <v>11799</v>
      </c>
    </row>
    <row r="3142" spans="1:1" ht="14.25">
      <c r="A3142" s="47" t="s">
        <v>11800</v>
      </c>
    </row>
    <row r="3143" spans="1:1" ht="14.25">
      <c r="A3143" s="47" t="s">
        <v>11801</v>
      </c>
    </row>
    <row r="3144" spans="1:1" ht="14.25">
      <c r="A3144" s="47" t="s">
        <v>11802</v>
      </c>
    </row>
    <row r="3145" spans="1:1" ht="14.25">
      <c r="A3145" s="47" t="s">
        <v>11803</v>
      </c>
    </row>
    <row r="3146" spans="1:1" ht="14.25">
      <c r="A3146" s="47" t="s">
        <v>11804</v>
      </c>
    </row>
    <row r="3147" spans="1:1" ht="14.25">
      <c r="A3147" s="47" t="s">
        <v>11805</v>
      </c>
    </row>
    <row r="3148" spans="1:1" ht="14.25">
      <c r="A3148" s="47" t="s">
        <v>11806</v>
      </c>
    </row>
    <row r="3149" spans="1:1" ht="14.25">
      <c r="A3149" s="47" t="s">
        <v>11807</v>
      </c>
    </row>
    <row r="3150" spans="1:1" ht="14.25">
      <c r="A3150" s="47" t="s">
        <v>11808</v>
      </c>
    </row>
    <row r="3151" spans="1:1" ht="14.25">
      <c r="A3151" s="47" t="s">
        <v>11809</v>
      </c>
    </row>
    <row r="3152" spans="1:1" ht="14.25">
      <c r="A3152" s="47" t="s">
        <v>11810</v>
      </c>
    </row>
    <row r="3153" spans="1:1" ht="14.25">
      <c r="A3153" s="47" t="s">
        <v>11811</v>
      </c>
    </row>
    <row r="3154" spans="1:1" ht="14.25">
      <c r="A3154" s="47" t="s">
        <v>11812</v>
      </c>
    </row>
    <row r="3155" spans="1:1" ht="14.25">
      <c r="A3155" s="47" t="s">
        <v>11813</v>
      </c>
    </row>
    <row r="3156" spans="1:1" ht="14.25">
      <c r="A3156" s="47" t="s">
        <v>11814</v>
      </c>
    </row>
    <row r="3157" spans="1:1" ht="14.25">
      <c r="A3157" s="47" t="s">
        <v>11815</v>
      </c>
    </row>
    <row r="3158" spans="1:1" ht="14.25">
      <c r="A3158" s="47" t="s">
        <v>11816</v>
      </c>
    </row>
    <row r="3159" spans="1:1" ht="14.25">
      <c r="A3159" s="47" t="s">
        <v>11817</v>
      </c>
    </row>
    <row r="3160" spans="1:1" ht="14.25">
      <c r="A3160" s="47" t="s">
        <v>11818</v>
      </c>
    </row>
    <row r="3161" spans="1:1" ht="14.25">
      <c r="A3161" s="47" t="s">
        <v>11819</v>
      </c>
    </row>
    <row r="3162" spans="1:1" ht="14.25">
      <c r="A3162" s="47" t="s">
        <v>11820</v>
      </c>
    </row>
    <row r="3163" spans="1:1" ht="14.25">
      <c r="A3163" s="47" t="s">
        <v>11821</v>
      </c>
    </row>
    <row r="3164" spans="1:1" ht="14.25">
      <c r="A3164" s="47" t="s">
        <v>11822</v>
      </c>
    </row>
    <row r="3165" spans="1:1" ht="14.25">
      <c r="A3165" s="47" t="s">
        <v>11823</v>
      </c>
    </row>
    <row r="3166" spans="1:1" ht="14.25">
      <c r="A3166" s="47" t="s">
        <v>11824</v>
      </c>
    </row>
    <row r="3167" spans="1:1" ht="14.25">
      <c r="A3167" s="47" t="s">
        <v>11825</v>
      </c>
    </row>
    <row r="3168" spans="1:1" ht="14.25">
      <c r="A3168" s="47" t="s">
        <v>11826</v>
      </c>
    </row>
    <row r="3169" spans="1:1" ht="14.25">
      <c r="A3169" s="47" t="s">
        <v>11827</v>
      </c>
    </row>
    <row r="3170" spans="1:1" ht="14.25">
      <c r="A3170" s="47" t="s">
        <v>11828</v>
      </c>
    </row>
    <row r="3171" spans="1:1" ht="14.25">
      <c r="A3171" s="47" t="s">
        <v>11829</v>
      </c>
    </row>
    <row r="3172" spans="1:1" ht="14.25">
      <c r="A3172" s="47" t="s">
        <v>11830</v>
      </c>
    </row>
    <row r="3173" spans="1:1" ht="14.25">
      <c r="A3173" s="47" t="s">
        <v>11831</v>
      </c>
    </row>
    <row r="3174" spans="1:1" ht="14.25">
      <c r="A3174" s="47" t="s">
        <v>11832</v>
      </c>
    </row>
    <row r="3175" spans="1:1" ht="14.25">
      <c r="A3175" s="47" t="s">
        <v>11833</v>
      </c>
    </row>
    <row r="3176" spans="1:1" ht="14.25">
      <c r="A3176" s="47" t="s">
        <v>11834</v>
      </c>
    </row>
    <row r="3177" spans="1:1" ht="14.25">
      <c r="A3177" s="47" t="s">
        <v>11835</v>
      </c>
    </row>
    <row r="3178" spans="1:1" ht="14.25">
      <c r="A3178" s="47" t="s">
        <v>11836</v>
      </c>
    </row>
    <row r="3179" spans="1:1" ht="14.25">
      <c r="A3179" s="47" t="s">
        <v>11837</v>
      </c>
    </row>
    <row r="3180" spans="1:1" ht="14.25">
      <c r="A3180" s="47" t="s">
        <v>11838</v>
      </c>
    </row>
    <row r="3181" spans="1:1" ht="14.25">
      <c r="A3181" s="47" t="s">
        <v>11839</v>
      </c>
    </row>
    <row r="3182" spans="1:1" ht="14.25">
      <c r="A3182" s="47" t="s">
        <v>11840</v>
      </c>
    </row>
    <row r="3183" spans="1:1" ht="14.25">
      <c r="A3183" s="47" t="s">
        <v>11841</v>
      </c>
    </row>
    <row r="3184" spans="1:1" ht="14.25">
      <c r="A3184" s="47" t="s">
        <v>11842</v>
      </c>
    </row>
    <row r="3185" spans="1:1" ht="14.25">
      <c r="A3185" s="47" t="s">
        <v>11843</v>
      </c>
    </row>
    <row r="3186" spans="1:1" ht="14.25">
      <c r="A3186" s="47" t="s">
        <v>11844</v>
      </c>
    </row>
    <row r="3187" spans="1:1" ht="14.25">
      <c r="A3187" s="47" t="s">
        <v>11845</v>
      </c>
    </row>
    <row r="3188" spans="1:1" ht="14.25">
      <c r="A3188" s="47" t="s">
        <v>11846</v>
      </c>
    </row>
    <row r="3189" spans="1:1" ht="14.25">
      <c r="A3189" s="47" t="s">
        <v>11847</v>
      </c>
    </row>
    <row r="3190" spans="1:1" ht="14.25">
      <c r="A3190" s="47" t="s">
        <v>11848</v>
      </c>
    </row>
    <row r="3191" spans="1:1" ht="14.25">
      <c r="A3191" s="47" t="s">
        <v>11849</v>
      </c>
    </row>
    <row r="3192" spans="1:1" ht="14.25">
      <c r="A3192" s="47" t="s">
        <v>11850</v>
      </c>
    </row>
    <row r="3193" spans="1:1" ht="14.25">
      <c r="A3193" s="47" t="s">
        <v>11851</v>
      </c>
    </row>
    <row r="3194" spans="1:1" ht="14.25">
      <c r="A3194" s="47" t="s">
        <v>11852</v>
      </c>
    </row>
    <row r="3195" spans="1:1" ht="14.25">
      <c r="A3195" s="47" t="s">
        <v>11853</v>
      </c>
    </row>
    <row r="3196" spans="1:1" ht="14.25">
      <c r="A3196" s="47" t="s">
        <v>11854</v>
      </c>
    </row>
    <row r="3197" spans="1:1" ht="14.25">
      <c r="A3197" s="47" t="s">
        <v>11855</v>
      </c>
    </row>
    <row r="3198" spans="1:1" ht="14.25">
      <c r="A3198" s="47" t="s">
        <v>11856</v>
      </c>
    </row>
    <row r="3199" spans="1:1" ht="14.25">
      <c r="A3199" s="47" t="s">
        <v>11857</v>
      </c>
    </row>
    <row r="3200" spans="1:1" ht="14.25">
      <c r="A3200" s="47" t="s">
        <v>11858</v>
      </c>
    </row>
    <row r="3201" spans="1:1" ht="14.25">
      <c r="A3201" s="47" t="s">
        <v>11859</v>
      </c>
    </row>
    <row r="3202" spans="1:1" ht="14.25">
      <c r="A3202" s="47" t="s">
        <v>11860</v>
      </c>
    </row>
    <row r="3203" spans="1:1" ht="14.25">
      <c r="A3203" s="47" t="s">
        <v>11861</v>
      </c>
    </row>
    <row r="3204" spans="1:1" ht="14.25">
      <c r="A3204" s="47" t="s">
        <v>11862</v>
      </c>
    </row>
    <row r="3205" spans="1:1" ht="14.25">
      <c r="A3205" s="47" t="s">
        <v>11863</v>
      </c>
    </row>
    <row r="3206" spans="1:1" ht="14.25">
      <c r="A3206" s="47" t="s">
        <v>11864</v>
      </c>
    </row>
    <row r="3207" spans="1:1" ht="14.25">
      <c r="A3207" s="47" t="s">
        <v>11865</v>
      </c>
    </row>
    <row r="3208" spans="1:1" ht="14.25">
      <c r="A3208" s="47" t="s">
        <v>11866</v>
      </c>
    </row>
    <row r="3209" spans="1:1" ht="14.25">
      <c r="A3209" s="47" t="s">
        <v>11867</v>
      </c>
    </row>
    <row r="3210" spans="1:1" ht="14.25">
      <c r="A3210" s="47" t="s">
        <v>11868</v>
      </c>
    </row>
    <row r="3211" spans="1:1" ht="14.25">
      <c r="A3211" s="47" t="s">
        <v>11869</v>
      </c>
    </row>
    <row r="3212" spans="1:1" ht="14.25">
      <c r="A3212" s="47" t="s">
        <v>11870</v>
      </c>
    </row>
    <row r="3213" spans="1:1" ht="14.25">
      <c r="A3213" s="47" t="s">
        <v>11871</v>
      </c>
    </row>
    <row r="3214" spans="1:1" ht="14.25">
      <c r="A3214" s="47" t="s">
        <v>11872</v>
      </c>
    </row>
    <row r="3215" spans="1:1" ht="14.25">
      <c r="A3215" s="47" t="s">
        <v>11873</v>
      </c>
    </row>
    <row r="3216" spans="1:1" ht="14.25">
      <c r="A3216" s="47" t="s">
        <v>11874</v>
      </c>
    </row>
    <row r="3217" spans="1:1" ht="14.25">
      <c r="A3217" s="47" t="s">
        <v>11875</v>
      </c>
    </row>
    <row r="3218" spans="1:1" ht="14.25">
      <c r="A3218" s="47" t="s">
        <v>11876</v>
      </c>
    </row>
    <row r="3219" spans="1:1" ht="14.25">
      <c r="A3219" s="47" t="s">
        <v>11877</v>
      </c>
    </row>
    <row r="3220" spans="1:1" ht="14.25">
      <c r="A3220" s="47" t="s">
        <v>11878</v>
      </c>
    </row>
    <row r="3221" spans="1:1" ht="14.25">
      <c r="A3221" s="47" t="s">
        <v>11879</v>
      </c>
    </row>
    <row r="3222" spans="1:1" ht="14.25">
      <c r="A3222" s="47" t="s">
        <v>11880</v>
      </c>
    </row>
    <row r="3223" spans="1:1" ht="14.25">
      <c r="A3223" s="47" t="s">
        <v>11881</v>
      </c>
    </row>
    <row r="3224" spans="1:1" ht="14.25">
      <c r="A3224" s="47" t="s">
        <v>11882</v>
      </c>
    </row>
    <row r="3225" spans="1:1" ht="14.25">
      <c r="A3225" s="47" t="s">
        <v>11883</v>
      </c>
    </row>
    <row r="3226" spans="1:1" ht="14.25">
      <c r="A3226" s="47" t="s">
        <v>11884</v>
      </c>
    </row>
    <row r="3227" spans="1:1" ht="14.25">
      <c r="A3227" s="47" t="s">
        <v>11885</v>
      </c>
    </row>
    <row r="3228" spans="1:1" ht="14.25">
      <c r="A3228" s="47" t="s">
        <v>11886</v>
      </c>
    </row>
    <row r="3229" spans="1:1" ht="14.25">
      <c r="A3229" s="47" t="s">
        <v>11887</v>
      </c>
    </row>
    <row r="3230" spans="1:1" ht="14.25">
      <c r="A3230" s="47" t="s">
        <v>11888</v>
      </c>
    </row>
    <row r="3231" spans="1:1" ht="14.25">
      <c r="A3231" s="47" t="s">
        <v>11889</v>
      </c>
    </row>
    <row r="3232" spans="1:1" ht="14.25">
      <c r="A3232" s="47" t="s">
        <v>11890</v>
      </c>
    </row>
    <row r="3233" spans="1:1" ht="14.25">
      <c r="A3233" s="47" t="s">
        <v>11891</v>
      </c>
    </row>
    <row r="3234" spans="1:1" ht="14.25">
      <c r="A3234" s="47" t="s">
        <v>11892</v>
      </c>
    </row>
    <row r="3235" spans="1:1" ht="14.25">
      <c r="A3235" s="47" t="s">
        <v>11893</v>
      </c>
    </row>
    <row r="3236" spans="1:1" ht="14.25">
      <c r="A3236" s="47" t="s">
        <v>11894</v>
      </c>
    </row>
    <row r="3237" spans="1:1" ht="14.25">
      <c r="A3237" s="47" t="s">
        <v>11895</v>
      </c>
    </row>
    <row r="3238" spans="1:1" ht="14.25">
      <c r="A3238" s="47" t="s">
        <v>11896</v>
      </c>
    </row>
    <row r="3239" spans="1:1" ht="14.25">
      <c r="A3239" s="47" t="s">
        <v>11897</v>
      </c>
    </row>
    <row r="3240" spans="1:1" ht="14.25">
      <c r="A3240" s="47" t="s">
        <v>11898</v>
      </c>
    </row>
    <row r="3241" spans="1:1" ht="14.25">
      <c r="A3241" s="47" t="s">
        <v>11899</v>
      </c>
    </row>
    <row r="3242" spans="1:1" ht="14.25">
      <c r="A3242" s="47" t="s">
        <v>11900</v>
      </c>
    </row>
    <row r="3243" spans="1:1" ht="14.25">
      <c r="A3243" s="47" t="s">
        <v>11901</v>
      </c>
    </row>
    <row r="3244" spans="1:1" ht="14.25">
      <c r="A3244" s="47" t="s">
        <v>11902</v>
      </c>
    </row>
    <row r="3245" spans="1:1" ht="14.25">
      <c r="A3245" s="47" t="s">
        <v>11903</v>
      </c>
    </row>
    <row r="3246" spans="1:1" ht="14.25">
      <c r="A3246" s="47" t="s">
        <v>11904</v>
      </c>
    </row>
    <row r="3247" spans="1:1" ht="14.25">
      <c r="A3247" s="47" t="s">
        <v>11905</v>
      </c>
    </row>
    <row r="3248" spans="1:1" ht="14.25">
      <c r="A3248" s="47" t="s">
        <v>11906</v>
      </c>
    </row>
    <row r="3249" spans="1:1" ht="14.25">
      <c r="A3249" s="47" t="s">
        <v>11907</v>
      </c>
    </row>
    <row r="3250" spans="1:1" ht="14.25">
      <c r="A3250" s="47" t="s">
        <v>11908</v>
      </c>
    </row>
    <row r="3251" spans="1:1" ht="14.25">
      <c r="A3251" s="47" t="s">
        <v>11909</v>
      </c>
    </row>
    <row r="3252" spans="1:1" ht="14.25">
      <c r="A3252" s="47" t="s">
        <v>11910</v>
      </c>
    </row>
    <row r="3253" spans="1:1" ht="14.25">
      <c r="A3253" s="47" t="s">
        <v>11911</v>
      </c>
    </row>
    <row r="3254" spans="1:1" ht="14.25">
      <c r="A3254" s="47" t="s">
        <v>11912</v>
      </c>
    </row>
    <row r="3255" spans="1:1" ht="14.25">
      <c r="A3255" s="47" t="s">
        <v>11913</v>
      </c>
    </row>
    <row r="3256" spans="1:1" ht="14.25">
      <c r="A3256" s="47" t="s">
        <v>11914</v>
      </c>
    </row>
    <row r="3257" spans="1:1" ht="14.25">
      <c r="A3257" s="47" t="s">
        <v>11915</v>
      </c>
    </row>
    <row r="3258" spans="1:1" ht="14.25">
      <c r="A3258" s="47" t="s">
        <v>11916</v>
      </c>
    </row>
    <row r="3259" spans="1:1" ht="14.25">
      <c r="A3259" s="47" t="s">
        <v>11917</v>
      </c>
    </row>
    <row r="3260" spans="1:1" ht="14.25">
      <c r="A3260" s="47" t="s">
        <v>11918</v>
      </c>
    </row>
    <row r="3261" spans="1:1" ht="14.25">
      <c r="A3261" s="47" t="s">
        <v>11919</v>
      </c>
    </row>
    <row r="3262" spans="1:1" ht="14.25">
      <c r="A3262" s="47" t="s">
        <v>11920</v>
      </c>
    </row>
    <row r="3263" spans="1:1" ht="14.25">
      <c r="A3263" s="47" t="s">
        <v>11921</v>
      </c>
    </row>
    <row r="3264" spans="1:1" ht="14.25">
      <c r="A3264" s="47" t="s">
        <v>11922</v>
      </c>
    </row>
    <row r="3265" spans="1:1" ht="14.25">
      <c r="A3265" s="47" t="s">
        <v>11923</v>
      </c>
    </row>
    <row r="3266" spans="1:1" ht="14.25">
      <c r="A3266" s="47" t="s">
        <v>11924</v>
      </c>
    </row>
    <row r="3267" spans="1:1" ht="14.25">
      <c r="A3267" s="47" t="s">
        <v>11925</v>
      </c>
    </row>
    <row r="3268" spans="1:1" ht="14.25">
      <c r="A3268" s="47" t="s">
        <v>11926</v>
      </c>
    </row>
    <row r="3269" spans="1:1" ht="14.25">
      <c r="A3269" s="47" t="s">
        <v>11927</v>
      </c>
    </row>
    <row r="3270" spans="1:1" ht="14.25">
      <c r="A3270" s="47" t="s">
        <v>11928</v>
      </c>
    </row>
    <row r="3271" spans="1:1" ht="14.25">
      <c r="A3271" s="47" t="s">
        <v>11929</v>
      </c>
    </row>
    <row r="3272" spans="1:1" ht="14.25">
      <c r="A3272" s="47" t="s">
        <v>11930</v>
      </c>
    </row>
    <row r="3273" spans="1:1" ht="14.25">
      <c r="A3273" s="47" t="s">
        <v>11931</v>
      </c>
    </row>
    <row r="3274" spans="1:1" ht="14.25">
      <c r="A3274" s="47" t="s">
        <v>11932</v>
      </c>
    </row>
    <row r="3275" spans="1:1" ht="14.25">
      <c r="A3275" s="47" t="s">
        <v>11933</v>
      </c>
    </row>
    <row r="3276" spans="1:1" ht="14.25">
      <c r="A3276" s="47" t="s">
        <v>11934</v>
      </c>
    </row>
    <row r="3277" spans="1:1" ht="14.25">
      <c r="A3277" s="47" t="s">
        <v>11935</v>
      </c>
    </row>
    <row r="3278" spans="1:1" ht="14.25">
      <c r="A3278" s="47" t="s">
        <v>11936</v>
      </c>
    </row>
    <row r="3279" spans="1:1" ht="14.25">
      <c r="A3279" s="47" t="s">
        <v>11937</v>
      </c>
    </row>
    <row r="3280" spans="1:1" ht="14.25">
      <c r="A3280" s="47" t="s">
        <v>11938</v>
      </c>
    </row>
    <row r="3281" spans="1:1" ht="14.25">
      <c r="A3281" s="47" t="s">
        <v>11939</v>
      </c>
    </row>
    <row r="3282" spans="1:1" ht="14.25">
      <c r="A3282" s="47" t="s">
        <v>11940</v>
      </c>
    </row>
    <row r="3283" spans="1:1" ht="14.25">
      <c r="A3283" s="47" t="s">
        <v>11941</v>
      </c>
    </row>
    <row r="3284" spans="1:1" ht="14.25">
      <c r="A3284" s="47" t="s">
        <v>11942</v>
      </c>
    </row>
    <row r="3285" spans="1:1" ht="14.25">
      <c r="A3285" s="47" t="s">
        <v>11943</v>
      </c>
    </row>
    <row r="3286" spans="1:1" ht="14.25">
      <c r="A3286" s="47" t="s">
        <v>11944</v>
      </c>
    </row>
    <row r="3287" spans="1:1" ht="14.25">
      <c r="A3287" s="47" t="s">
        <v>11945</v>
      </c>
    </row>
    <row r="3288" spans="1:1" ht="14.25">
      <c r="A3288" s="47" t="s">
        <v>11946</v>
      </c>
    </row>
    <row r="3289" spans="1:1" ht="14.25">
      <c r="A3289" s="47" t="s">
        <v>11947</v>
      </c>
    </row>
    <row r="3290" spans="1:1" ht="14.25">
      <c r="A3290" s="47" t="s">
        <v>11948</v>
      </c>
    </row>
    <row r="3291" spans="1:1" ht="14.25">
      <c r="A3291" s="47" t="s">
        <v>11949</v>
      </c>
    </row>
    <row r="3292" spans="1:1" ht="14.25">
      <c r="A3292" s="47" t="s">
        <v>11950</v>
      </c>
    </row>
    <row r="3293" spans="1:1" ht="14.25">
      <c r="A3293" s="47" t="s">
        <v>11951</v>
      </c>
    </row>
    <row r="3294" spans="1:1" ht="14.25">
      <c r="A3294" s="47" t="s">
        <v>11952</v>
      </c>
    </row>
    <row r="3295" spans="1:1" ht="14.25">
      <c r="A3295" s="47" t="s">
        <v>11953</v>
      </c>
    </row>
    <row r="3296" spans="1:1" ht="14.25">
      <c r="A3296" s="47" t="s">
        <v>11954</v>
      </c>
    </row>
    <row r="3297" spans="1:1" ht="14.25">
      <c r="A3297" s="47" t="s">
        <v>11955</v>
      </c>
    </row>
    <row r="3298" spans="1:1" ht="14.25">
      <c r="A3298" s="47" t="s">
        <v>11956</v>
      </c>
    </row>
    <row r="3299" spans="1:1" ht="14.25">
      <c r="A3299" s="47" t="s">
        <v>11957</v>
      </c>
    </row>
    <row r="3300" spans="1:1" ht="14.25">
      <c r="A3300" s="47" t="s">
        <v>11958</v>
      </c>
    </row>
    <row r="3301" spans="1:1" ht="14.25">
      <c r="A3301" s="47" t="s">
        <v>11959</v>
      </c>
    </row>
    <row r="3302" spans="1:1" ht="14.25">
      <c r="A3302" s="47" t="s">
        <v>11960</v>
      </c>
    </row>
    <row r="3303" spans="1:1" ht="14.25">
      <c r="A3303" s="47" t="s">
        <v>11961</v>
      </c>
    </row>
    <row r="3304" spans="1:1" ht="14.25">
      <c r="A3304" s="47" t="s">
        <v>11962</v>
      </c>
    </row>
    <row r="3305" spans="1:1" ht="14.25">
      <c r="A3305" s="47" t="s">
        <v>11963</v>
      </c>
    </row>
    <row r="3306" spans="1:1" ht="14.25">
      <c r="A3306" s="47" t="s">
        <v>11964</v>
      </c>
    </row>
    <row r="3307" spans="1:1" ht="14.25">
      <c r="A3307" s="47" t="s">
        <v>11965</v>
      </c>
    </row>
    <row r="3308" spans="1:1" ht="14.25">
      <c r="A3308" s="47" t="s">
        <v>11966</v>
      </c>
    </row>
    <row r="3309" spans="1:1" ht="14.25">
      <c r="A3309" s="47" t="s">
        <v>11967</v>
      </c>
    </row>
    <row r="3310" spans="1:1" ht="14.25">
      <c r="A3310" s="47" t="s">
        <v>11968</v>
      </c>
    </row>
    <row r="3311" spans="1:1" ht="14.25">
      <c r="A3311" s="47" t="s">
        <v>11969</v>
      </c>
    </row>
    <row r="3312" spans="1:1" ht="14.25">
      <c r="A3312" s="47" t="s">
        <v>11970</v>
      </c>
    </row>
    <row r="3313" spans="1:1" ht="14.25">
      <c r="A3313" s="47" t="s">
        <v>11971</v>
      </c>
    </row>
    <row r="3314" spans="1:1" ht="14.25">
      <c r="A3314" s="47" t="s">
        <v>11972</v>
      </c>
    </row>
    <row r="3315" spans="1:1" ht="14.25">
      <c r="A3315" s="47" t="s">
        <v>11973</v>
      </c>
    </row>
    <row r="3316" spans="1:1" ht="14.25">
      <c r="A3316" s="47" t="s">
        <v>11974</v>
      </c>
    </row>
    <row r="3317" spans="1:1" ht="14.25">
      <c r="A3317" s="47" t="s">
        <v>11975</v>
      </c>
    </row>
    <row r="3318" spans="1:1" ht="14.25">
      <c r="A3318" s="47" t="s">
        <v>11976</v>
      </c>
    </row>
    <row r="3319" spans="1:1" ht="14.25">
      <c r="A3319" s="47" t="s">
        <v>11977</v>
      </c>
    </row>
    <row r="3320" spans="1:1" ht="14.25">
      <c r="A3320" s="47" t="s">
        <v>11978</v>
      </c>
    </row>
    <row r="3321" spans="1:1" ht="14.25">
      <c r="A3321" s="47" t="s">
        <v>11979</v>
      </c>
    </row>
    <row r="3322" spans="1:1" ht="14.25">
      <c r="A3322" s="47" t="s">
        <v>11980</v>
      </c>
    </row>
    <row r="3323" spans="1:1" ht="14.25">
      <c r="A3323" s="47" t="s">
        <v>11981</v>
      </c>
    </row>
    <row r="3324" spans="1:1" ht="14.25">
      <c r="A3324" s="47" t="s">
        <v>11982</v>
      </c>
    </row>
    <row r="3325" spans="1:1" ht="14.25">
      <c r="A3325" s="47" t="s">
        <v>11983</v>
      </c>
    </row>
    <row r="3326" spans="1:1" ht="14.25">
      <c r="A3326" s="47" t="s">
        <v>11984</v>
      </c>
    </row>
    <row r="3327" spans="1:1" ht="14.25">
      <c r="A3327" s="47" t="s">
        <v>11985</v>
      </c>
    </row>
    <row r="3328" spans="1:1" ht="14.25">
      <c r="A3328" s="47" t="s">
        <v>11986</v>
      </c>
    </row>
    <row r="3329" spans="1:1" ht="14.25">
      <c r="A3329" s="47" t="s">
        <v>11987</v>
      </c>
    </row>
    <row r="3330" spans="1:1" ht="14.25">
      <c r="A3330" s="47" t="s">
        <v>11988</v>
      </c>
    </row>
    <row r="3331" spans="1:1" ht="14.25">
      <c r="A3331" s="47" t="s">
        <v>11989</v>
      </c>
    </row>
    <row r="3332" spans="1:1" ht="14.25">
      <c r="A3332" s="47" t="s">
        <v>11990</v>
      </c>
    </row>
    <row r="3333" spans="1:1" ht="14.25">
      <c r="A3333" s="47" t="s">
        <v>11991</v>
      </c>
    </row>
    <row r="3334" spans="1:1" ht="14.25">
      <c r="A3334" s="47" t="s">
        <v>11992</v>
      </c>
    </row>
    <row r="3335" spans="1:1" ht="14.25">
      <c r="A3335" s="47" t="s">
        <v>11993</v>
      </c>
    </row>
    <row r="3336" spans="1:1" ht="14.25">
      <c r="A3336" s="47" t="s">
        <v>11994</v>
      </c>
    </row>
    <row r="3337" spans="1:1" ht="14.25">
      <c r="A3337" s="47" t="s">
        <v>11995</v>
      </c>
    </row>
    <row r="3338" spans="1:1" ht="14.25">
      <c r="A3338" s="47" t="s">
        <v>11996</v>
      </c>
    </row>
    <row r="3339" spans="1:1" ht="14.25">
      <c r="A3339" s="47" t="s">
        <v>11997</v>
      </c>
    </row>
    <row r="3340" spans="1:1" ht="14.25">
      <c r="A3340" s="47" t="s">
        <v>11998</v>
      </c>
    </row>
    <row r="3341" spans="1:1" ht="14.25">
      <c r="A3341" s="47" t="s">
        <v>11999</v>
      </c>
    </row>
    <row r="3342" spans="1:1" ht="14.25">
      <c r="A3342" s="47" t="s">
        <v>12000</v>
      </c>
    </row>
    <row r="3343" spans="1:1" ht="14.25">
      <c r="A3343" s="47" t="s">
        <v>12001</v>
      </c>
    </row>
    <row r="3344" spans="1:1" ht="14.25">
      <c r="A3344" s="47" t="s">
        <v>12002</v>
      </c>
    </row>
    <row r="3345" spans="1:1" ht="14.25">
      <c r="A3345" s="47" t="s">
        <v>12003</v>
      </c>
    </row>
    <row r="3346" spans="1:1" ht="14.25">
      <c r="A3346" s="47" t="s">
        <v>12004</v>
      </c>
    </row>
    <row r="3347" spans="1:1" ht="14.25">
      <c r="A3347" s="47" t="s">
        <v>12005</v>
      </c>
    </row>
    <row r="3348" spans="1:1" ht="14.25">
      <c r="A3348" s="47" t="s">
        <v>12006</v>
      </c>
    </row>
    <row r="3349" spans="1:1" ht="14.25">
      <c r="A3349" s="47" t="s">
        <v>12007</v>
      </c>
    </row>
    <row r="3350" spans="1:1" ht="14.25">
      <c r="A3350" s="47" t="s">
        <v>12008</v>
      </c>
    </row>
    <row r="3351" spans="1:1" ht="25.5">
      <c r="A3351" s="49" t="s">
        <v>12009</v>
      </c>
    </row>
    <row r="3352" spans="1:1" ht="14.25">
      <c r="A3352" s="47" t="s">
        <v>12010</v>
      </c>
    </row>
    <row r="3353" spans="1:1" ht="14.25">
      <c r="A3353" s="47" t="s">
        <v>12011</v>
      </c>
    </row>
    <row r="3354" spans="1:1" ht="14.25">
      <c r="A3354" s="47" t="s">
        <v>12012</v>
      </c>
    </row>
    <row r="3355" spans="1:1" ht="14.25">
      <c r="A3355" s="47" t="s">
        <v>12013</v>
      </c>
    </row>
    <row r="3356" spans="1:1" ht="14.25">
      <c r="A3356" s="47" t="s">
        <v>12014</v>
      </c>
    </row>
    <row r="3357" spans="1:1" ht="14.25">
      <c r="A3357" s="47" t="s">
        <v>12015</v>
      </c>
    </row>
    <row r="3358" spans="1:1" ht="14.25">
      <c r="A3358" s="47" t="s">
        <v>12016</v>
      </c>
    </row>
    <row r="3359" spans="1:1" ht="14.25">
      <c r="A3359" s="47" t="s">
        <v>12017</v>
      </c>
    </row>
    <row r="3360" spans="1:1" ht="14.25">
      <c r="A3360" s="47" t="s">
        <v>12018</v>
      </c>
    </row>
    <row r="3361" spans="1:1" ht="14.25">
      <c r="A3361" s="47" t="s">
        <v>12019</v>
      </c>
    </row>
    <row r="3362" spans="1:1" ht="14.25">
      <c r="A3362" s="47" t="s">
        <v>12020</v>
      </c>
    </row>
    <row r="3363" spans="1:1" ht="14.25">
      <c r="A3363" s="47" t="s">
        <v>12021</v>
      </c>
    </row>
    <row r="3364" spans="1:1" ht="14.25">
      <c r="A3364" s="47" t="s">
        <v>12022</v>
      </c>
    </row>
    <row r="3365" spans="1:1" ht="14.25">
      <c r="A3365" s="47" t="s">
        <v>12023</v>
      </c>
    </row>
    <row r="3366" spans="1:1" ht="14.25">
      <c r="A3366" s="47" t="s">
        <v>12024</v>
      </c>
    </row>
    <row r="3367" spans="1:1" ht="14.25">
      <c r="A3367" s="47" t="s">
        <v>12025</v>
      </c>
    </row>
    <row r="3368" spans="1:1" ht="14.25">
      <c r="A3368" s="47" t="s">
        <v>12026</v>
      </c>
    </row>
    <row r="3369" spans="1:1" ht="14.25">
      <c r="A3369" s="47" t="s">
        <v>12027</v>
      </c>
    </row>
    <row r="3370" spans="1:1" ht="14.25">
      <c r="A3370" s="47" t="s">
        <v>12028</v>
      </c>
    </row>
    <row r="3371" spans="1:1" ht="14.25">
      <c r="A3371" s="47" t="s">
        <v>12029</v>
      </c>
    </row>
    <row r="3372" spans="1:1" ht="14.25">
      <c r="A3372" s="47" t="s">
        <v>12030</v>
      </c>
    </row>
    <row r="3373" spans="1:1" ht="14.25">
      <c r="A3373" s="47" t="s">
        <v>12031</v>
      </c>
    </row>
    <row r="3374" spans="1:1" ht="14.25">
      <c r="A3374" s="47" t="s">
        <v>12032</v>
      </c>
    </row>
    <row r="3375" spans="1:1" ht="14.25">
      <c r="A3375" s="47" t="s">
        <v>12033</v>
      </c>
    </row>
    <row r="3376" spans="1:1" ht="14.25">
      <c r="A3376" s="47" t="s">
        <v>12034</v>
      </c>
    </row>
    <row r="3377" spans="1:1" ht="14.25">
      <c r="A3377" s="47" t="s">
        <v>12035</v>
      </c>
    </row>
    <row r="3378" spans="1:1" ht="14.25">
      <c r="A3378" s="47" t="s">
        <v>12036</v>
      </c>
    </row>
    <row r="3379" spans="1:1" ht="14.25">
      <c r="A3379" s="47" t="s">
        <v>12037</v>
      </c>
    </row>
    <row r="3380" spans="1:1" ht="14.25">
      <c r="A3380" s="47" t="s">
        <v>12038</v>
      </c>
    </row>
    <row r="3381" spans="1:1" ht="14.25">
      <c r="A3381" s="47" t="s">
        <v>12039</v>
      </c>
    </row>
    <row r="3382" spans="1:1" ht="14.25">
      <c r="A3382" s="47" t="s">
        <v>12040</v>
      </c>
    </row>
    <row r="3383" spans="1:1" ht="14.25">
      <c r="A3383" s="47" t="s">
        <v>12041</v>
      </c>
    </row>
    <row r="3384" spans="1:1" ht="14.25">
      <c r="A3384" s="47" t="s">
        <v>12042</v>
      </c>
    </row>
    <row r="3385" spans="1:1" ht="14.25">
      <c r="A3385" s="47" t="s">
        <v>12043</v>
      </c>
    </row>
    <row r="3386" spans="1:1" ht="14.25">
      <c r="A3386" s="47" t="s">
        <v>12044</v>
      </c>
    </row>
    <row r="3387" spans="1:1" ht="14.25">
      <c r="A3387" s="47" t="s">
        <v>12045</v>
      </c>
    </row>
    <row r="3388" spans="1:1" ht="14.25">
      <c r="A3388" s="47" t="s">
        <v>12046</v>
      </c>
    </row>
    <row r="3389" spans="1:1" ht="14.25">
      <c r="A3389" s="47" t="s">
        <v>12047</v>
      </c>
    </row>
    <row r="3390" spans="1:1" ht="14.25">
      <c r="A3390" s="47" t="s">
        <v>12048</v>
      </c>
    </row>
    <row r="3391" spans="1:1" ht="14.25">
      <c r="A3391" s="47" t="s">
        <v>12049</v>
      </c>
    </row>
    <row r="3392" spans="1:1" ht="14.25">
      <c r="A3392" s="47" t="s">
        <v>12050</v>
      </c>
    </row>
    <row r="3393" spans="1:1" ht="14.25">
      <c r="A3393" s="47" t="s">
        <v>12051</v>
      </c>
    </row>
    <row r="3394" spans="1:1" ht="14.25">
      <c r="A3394" s="47" t="s">
        <v>12052</v>
      </c>
    </row>
    <row r="3395" spans="1:1" ht="14.25">
      <c r="A3395" s="47" t="s">
        <v>12053</v>
      </c>
    </row>
    <row r="3396" spans="1:1" ht="14.25">
      <c r="A3396" s="47" t="s">
        <v>12054</v>
      </c>
    </row>
    <row r="3397" spans="1:1" ht="14.25">
      <c r="A3397" s="47" t="s">
        <v>12055</v>
      </c>
    </row>
    <row r="3398" spans="1:1" ht="14.25">
      <c r="A3398" s="47" t="s">
        <v>12056</v>
      </c>
    </row>
    <row r="3399" spans="1:1" ht="14.25">
      <c r="A3399" s="47" t="s">
        <v>12057</v>
      </c>
    </row>
    <row r="3400" spans="1:1" ht="14.25">
      <c r="A3400" s="47" t="s">
        <v>12058</v>
      </c>
    </row>
    <row r="3401" spans="1:1" ht="14.25">
      <c r="A3401" s="47" t="s">
        <v>12059</v>
      </c>
    </row>
    <row r="3402" spans="1:1" ht="14.25">
      <c r="A3402" s="47" t="s">
        <v>12060</v>
      </c>
    </row>
    <row r="3403" spans="1:1" ht="14.25">
      <c r="A3403" s="47" t="s">
        <v>12061</v>
      </c>
    </row>
    <row r="3404" spans="1:1" ht="14.25">
      <c r="A3404" s="47" t="s">
        <v>12062</v>
      </c>
    </row>
    <row r="3405" spans="1:1" ht="14.25">
      <c r="A3405" s="47" t="s">
        <v>12063</v>
      </c>
    </row>
    <row r="3406" spans="1:1" ht="14.25">
      <c r="A3406" s="47" t="s">
        <v>12064</v>
      </c>
    </row>
    <row r="3407" spans="1:1" ht="14.25">
      <c r="A3407" s="47" t="s">
        <v>12065</v>
      </c>
    </row>
    <row r="3408" spans="1:1" ht="14.25">
      <c r="A3408" s="47" t="s">
        <v>12066</v>
      </c>
    </row>
    <row r="3409" spans="1:1" ht="14.25">
      <c r="A3409" s="47" t="s">
        <v>12067</v>
      </c>
    </row>
    <row r="3410" spans="1:1" ht="14.25">
      <c r="A3410" s="47" t="s">
        <v>12068</v>
      </c>
    </row>
    <row r="3411" spans="1:1" ht="14.25">
      <c r="A3411" s="47" t="s">
        <v>12069</v>
      </c>
    </row>
    <row r="3412" spans="1:1" ht="14.25">
      <c r="A3412" s="47" t="s">
        <v>12070</v>
      </c>
    </row>
    <row r="3413" spans="1:1" ht="14.25">
      <c r="A3413" s="47" t="s">
        <v>12071</v>
      </c>
    </row>
    <row r="3414" spans="1:1" ht="14.25">
      <c r="A3414" s="47" t="s">
        <v>12072</v>
      </c>
    </row>
    <row r="3415" spans="1:1" ht="14.25">
      <c r="A3415" s="47" t="s">
        <v>12073</v>
      </c>
    </row>
    <row r="3416" spans="1:1" ht="14.25">
      <c r="A3416" s="47" t="s">
        <v>12074</v>
      </c>
    </row>
    <row r="3417" spans="1:1" ht="14.25">
      <c r="A3417" s="47" t="s">
        <v>12075</v>
      </c>
    </row>
    <row r="3418" spans="1:1" ht="14.25">
      <c r="A3418" s="47" t="s">
        <v>12076</v>
      </c>
    </row>
    <row r="3419" spans="1:1" ht="14.25">
      <c r="A3419" s="47" t="s">
        <v>12077</v>
      </c>
    </row>
    <row r="3420" spans="1:1" ht="14.25">
      <c r="A3420" s="47" t="s">
        <v>12078</v>
      </c>
    </row>
    <row r="3421" spans="1:1" ht="14.25">
      <c r="A3421" s="47" t="s">
        <v>12079</v>
      </c>
    </row>
    <row r="3422" spans="1:1" ht="14.25">
      <c r="A3422" s="47" t="s">
        <v>12080</v>
      </c>
    </row>
    <row r="3423" spans="1:1" ht="14.25">
      <c r="A3423" s="47" t="s">
        <v>12081</v>
      </c>
    </row>
    <row r="3424" spans="1:1" ht="14.25">
      <c r="A3424" s="47" t="s">
        <v>12082</v>
      </c>
    </row>
    <row r="3425" spans="1:1" ht="14.25">
      <c r="A3425" s="47" t="s">
        <v>12083</v>
      </c>
    </row>
    <row r="3426" spans="1:1" ht="14.25">
      <c r="A3426" s="47" t="s">
        <v>12084</v>
      </c>
    </row>
    <row r="3427" spans="1:1" ht="14.25">
      <c r="A3427" s="47" t="s">
        <v>12085</v>
      </c>
    </row>
    <row r="3428" spans="1:1" ht="14.25">
      <c r="A3428" s="47" t="s">
        <v>12086</v>
      </c>
    </row>
    <row r="3429" spans="1:1" ht="14.25">
      <c r="A3429" s="47" t="s">
        <v>12087</v>
      </c>
    </row>
    <row r="3430" spans="1:1" ht="14.25">
      <c r="A3430" s="47" t="s">
        <v>12088</v>
      </c>
    </row>
    <row r="3431" spans="1:1" ht="14.25">
      <c r="A3431" s="47" t="s">
        <v>12089</v>
      </c>
    </row>
    <row r="3432" spans="1:1" ht="14.25">
      <c r="A3432" s="47" t="s">
        <v>12090</v>
      </c>
    </row>
    <row r="3433" spans="1:1" ht="14.25">
      <c r="A3433" s="47" t="s">
        <v>12091</v>
      </c>
    </row>
    <row r="3434" spans="1:1" ht="14.25">
      <c r="A3434" s="47" t="s">
        <v>12092</v>
      </c>
    </row>
    <row r="3435" spans="1:1" ht="14.25">
      <c r="A3435" s="47" t="s">
        <v>12093</v>
      </c>
    </row>
    <row r="3436" spans="1:1" ht="14.25">
      <c r="A3436" s="47" t="s">
        <v>12094</v>
      </c>
    </row>
    <row r="3437" spans="1:1" ht="14.25">
      <c r="A3437" s="47" t="s">
        <v>12095</v>
      </c>
    </row>
    <row r="3438" spans="1:1" ht="14.25">
      <c r="A3438" s="47" t="s">
        <v>12096</v>
      </c>
    </row>
    <row r="3439" spans="1:1" ht="14.25">
      <c r="A3439" s="47" t="s">
        <v>12097</v>
      </c>
    </row>
    <row r="3440" spans="1:1" ht="14.25">
      <c r="A3440" s="47" t="s">
        <v>12098</v>
      </c>
    </row>
    <row r="3441" spans="1:1" ht="14.25">
      <c r="A3441" s="47" t="s">
        <v>12099</v>
      </c>
    </row>
    <row r="3442" spans="1:1" ht="14.25">
      <c r="A3442" s="47" t="s">
        <v>12100</v>
      </c>
    </row>
    <row r="3443" spans="1:1" ht="14.25">
      <c r="A3443" s="47" t="s">
        <v>12101</v>
      </c>
    </row>
    <row r="3444" spans="1:1" ht="14.25">
      <c r="A3444" s="47" t="s">
        <v>12102</v>
      </c>
    </row>
    <row r="3445" spans="1:1" ht="14.25">
      <c r="A3445" s="47" t="s">
        <v>12103</v>
      </c>
    </row>
    <row r="3446" spans="1:1" ht="14.25">
      <c r="A3446" s="47" t="s">
        <v>12104</v>
      </c>
    </row>
    <row r="3447" spans="1:1" ht="14.25">
      <c r="A3447" s="47" t="s">
        <v>12105</v>
      </c>
    </row>
    <row r="3448" spans="1:1" ht="14.25">
      <c r="A3448" s="47" t="s">
        <v>12106</v>
      </c>
    </row>
    <row r="3449" spans="1:1" ht="14.25">
      <c r="A3449" s="47" t="s">
        <v>12107</v>
      </c>
    </row>
    <row r="3450" spans="1:1" ht="14.25">
      <c r="A3450" s="47" t="s">
        <v>12108</v>
      </c>
    </row>
    <row r="3451" spans="1:1" ht="14.25">
      <c r="A3451" s="47" t="s">
        <v>12109</v>
      </c>
    </row>
    <row r="3452" spans="1:1" ht="14.25">
      <c r="A3452" s="47" t="s">
        <v>12110</v>
      </c>
    </row>
    <row r="3453" spans="1:1" ht="14.25">
      <c r="A3453" s="47" t="s">
        <v>12111</v>
      </c>
    </row>
    <row r="3454" spans="1:1" ht="14.25">
      <c r="A3454" s="47" t="s">
        <v>12112</v>
      </c>
    </row>
    <row r="3455" spans="1:1" ht="14.25">
      <c r="A3455" s="47" t="s">
        <v>12113</v>
      </c>
    </row>
    <row r="3456" spans="1:1" ht="14.25">
      <c r="A3456" s="47" t="s">
        <v>12114</v>
      </c>
    </row>
    <row r="3457" spans="1:1" ht="14.25">
      <c r="A3457" s="47" t="s">
        <v>12115</v>
      </c>
    </row>
    <row r="3458" spans="1:1" ht="14.25">
      <c r="A3458" s="47" t="s">
        <v>12116</v>
      </c>
    </row>
    <row r="3459" spans="1:1" ht="14.25">
      <c r="A3459" s="47" t="s">
        <v>12117</v>
      </c>
    </row>
    <row r="3460" spans="1:1" ht="14.25">
      <c r="A3460" s="47" t="s">
        <v>12118</v>
      </c>
    </row>
    <row r="3461" spans="1:1" ht="14.25">
      <c r="A3461" s="47" t="s">
        <v>12119</v>
      </c>
    </row>
    <row r="3462" spans="1:1" ht="14.25">
      <c r="A3462" s="47" t="s">
        <v>12120</v>
      </c>
    </row>
    <row r="3463" spans="1:1" ht="14.25">
      <c r="A3463" s="47" t="s">
        <v>12121</v>
      </c>
    </row>
    <row r="3464" spans="1:1" ht="14.25">
      <c r="A3464" s="47" t="s">
        <v>12122</v>
      </c>
    </row>
    <row r="3465" spans="1:1" ht="14.25">
      <c r="A3465" s="47" t="s">
        <v>12123</v>
      </c>
    </row>
    <row r="3466" spans="1:1" ht="14.25">
      <c r="A3466" s="47" t="s">
        <v>12124</v>
      </c>
    </row>
    <row r="3467" spans="1:1" ht="14.25">
      <c r="A3467" s="47" t="s">
        <v>12125</v>
      </c>
    </row>
    <row r="3468" spans="1:1" ht="14.25">
      <c r="A3468" s="47" t="s">
        <v>12126</v>
      </c>
    </row>
    <row r="3469" spans="1:1" ht="14.25">
      <c r="A3469" s="47" t="s">
        <v>12127</v>
      </c>
    </row>
    <row r="3470" spans="1:1" ht="14.25">
      <c r="A3470" s="47" t="s">
        <v>12128</v>
      </c>
    </row>
    <row r="3471" spans="1:1" ht="14.25">
      <c r="A3471" s="47" t="s">
        <v>12129</v>
      </c>
    </row>
    <row r="3472" spans="1:1" ht="14.25">
      <c r="A3472" s="47" t="s">
        <v>12130</v>
      </c>
    </row>
    <row r="3473" spans="1:1" ht="14.25">
      <c r="A3473" s="47" t="s">
        <v>12131</v>
      </c>
    </row>
    <row r="3474" spans="1:1" ht="14.25">
      <c r="A3474" s="47" t="s">
        <v>12132</v>
      </c>
    </row>
    <row r="3475" spans="1:1" ht="14.25">
      <c r="A3475" s="47" t="s">
        <v>12133</v>
      </c>
    </row>
    <row r="3476" spans="1:1" ht="14.25">
      <c r="A3476" s="47" t="s">
        <v>12134</v>
      </c>
    </row>
    <row r="3477" spans="1:1" ht="14.25">
      <c r="A3477" s="47" t="s">
        <v>12135</v>
      </c>
    </row>
    <row r="3478" spans="1:1" ht="14.25">
      <c r="A3478" s="47" t="s">
        <v>12136</v>
      </c>
    </row>
    <row r="3479" spans="1:1" ht="14.25">
      <c r="A3479" s="47" t="s">
        <v>12137</v>
      </c>
    </row>
    <row r="3480" spans="1:1" ht="14.25">
      <c r="A3480" s="47" t="s">
        <v>12138</v>
      </c>
    </row>
    <row r="3481" spans="1:1" ht="14.25">
      <c r="A3481" s="47" t="s">
        <v>12139</v>
      </c>
    </row>
    <row r="3482" spans="1:1" ht="14.25">
      <c r="A3482" s="47" t="s">
        <v>12140</v>
      </c>
    </row>
    <row r="3483" spans="1:1" ht="14.25">
      <c r="A3483" s="47" t="s">
        <v>12141</v>
      </c>
    </row>
    <row r="3484" spans="1:1" ht="14.25">
      <c r="A3484" s="47" t="s">
        <v>12142</v>
      </c>
    </row>
    <row r="3485" spans="1:1" ht="14.25">
      <c r="A3485" s="47" t="s">
        <v>12143</v>
      </c>
    </row>
    <row r="3486" spans="1:1" ht="14.25">
      <c r="A3486" s="47" t="s">
        <v>12144</v>
      </c>
    </row>
    <row r="3487" spans="1:1" ht="14.25">
      <c r="A3487" s="47" t="s">
        <v>12145</v>
      </c>
    </row>
    <row r="3488" spans="1:1" ht="14.25">
      <c r="A3488" s="47" t="s">
        <v>12146</v>
      </c>
    </row>
    <row r="3489" spans="1:1" ht="14.25">
      <c r="A3489" s="47" t="s">
        <v>12147</v>
      </c>
    </row>
    <row r="3490" spans="1:1" ht="14.25">
      <c r="A3490" s="47" t="s">
        <v>12148</v>
      </c>
    </row>
    <row r="3491" spans="1:1" ht="14.25">
      <c r="A3491" s="47" t="s">
        <v>12149</v>
      </c>
    </row>
    <row r="3492" spans="1:1" ht="14.25">
      <c r="A3492" s="47" t="s">
        <v>12150</v>
      </c>
    </row>
    <row r="3493" spans="1:1" ht="14.25">
      <c r="A3493" s="47" t="s">
        <v>12151</v>
      </c>
    </row>
    <row r="3494" spans="1:1" ht="14.25">
      <c r="A3494" s="47" t="s">
        <v>12152</v>
      </c>
    </row>
    <row r="3495" spans="1:1" ht="14.25">
      <c r="A3495" s="47" t="s">
        <v>12153</v>
      </c>
    </row>
    <row r="3496" spans="1:1" ht="14.25">
      <c r="A3496" s="47" t="s">
        <v>12154</v>
      </c>
    </row>
    <row r="3497" spans="1:1" ht="14.25">
      <c r="A3497" s="47" t="s">
        <v>12155</v>
      </c>
    </row>
    <row r="3498" spans="1:1" ht="14.25">
      <c r="A3498" s="47" t="s">
        <v>12156</v>
      </c>
    </row>
    <row r="3499" spans="1:1" ht="14.25">
      <c r="A3499" s="47" t="s">
        <v>12157</v>
      </c>
    </row>
    <row r="3500" spans="1:1" ht="14.25">
      <c r="A3500" s="47" t="s">
        <v>12158</v>
      </c>
    </row>
    <row r="3501" spans="1:1" ht="14.25">
      <c r="A3501" s="47" t="s">
        <v>12159</v>
      </c>
    </row>
    <row r="3502" spans="1:1" ht="14.25">
      <c r="A3502" s="47" t="s">
        <v>12160</v>
      </c>
    </row>
    <row r="3503" spans="1:1" ht="14.25">
      <c r="A3503" s="47" t="s">
        <v>12161</v>
      </c>
    </row>
    <row r="3504" spans="1:1" ht="14.25">
      <c r="A3504" s="47" t="s">
        <v>12162</v>
      </c>
    </row>
    <row r="3505" spans="1:1" ht="14.25">
      <c r="A3505" s="47" t="s">
        <v>12163</v>
      </c>
    </row>
    <row r="3506" spans="1:1" ht="14.25">
      <c r="A3506" s="47" t="s">
        <v>12164</v>
      </c>
    </row>
    <row r="3507" spans="1:1" ht="14.25">
      <c r="A3507" s="47" t="s">
        <v>12165</v>
      </c>
    </row>
    <row r="3508" spans="1:1" ht="14.25">
      <c r="A3508" s="47" t="s">
        <v>12166</v>
      </c>
    </row>
    <row r="3509" spans="1:1" ht="14.25">
      <c r="A3509" s="47" t="s">
        <v>12167</v>
      </c>
    </row>
    <row r="3510" spans="1:1" ht="14.25">
      <c r="A3510" s="47" t="s">
        <v>12168</v>
      </c>
    </row>
    <row r="3511" spans="1:1" ht="14.25">
      <c r="A3511" s="47" t="s">
        <v>12169</v>
      </c>
    </row>
    <row r="3512" spans="1:1" ht="14.25">
      <c r="A3512" s="47" t="s">
        <v>12170</v>
      </c>
    </row>
    <row r="3513" spans="1:1" ht="14.25">
      <c r="A3513" s="47" t="s">
        <v>12171</v>
      </c>
    </row>
    <row r="3514" spans="1:1" ht="14.25">
      <c r="A3514" s="47" t="s">
        <v>12172</v>
      </c>
    </row>
    <row r="3515" spans="1:1" ht="14.25">
      <c r="A3515" s="47" t="s">
        <v>12173</v>
      </c>
    </row>
    <row r="3516" spans="1:1" ht="14.25">
      <c r="A3516" s="47" t="s">
        <v>12174</v>
      </c>
    </row>
    <row r="3517" spans="1:1" ht="14.25">
      <c r="A3517" s="47" t="s">
        <v>12175</v>
      </c>
    </row>
    <row r="3518" spans="1:1" ht="14.25">
      <c r="A3518" s="47" t="s">
        <v>12176</v>
      </c>
    </row>
    <row r="3519" spans="1:1" ht="14.25">
      <c r="A3519" s="47" t="s">
        <v>12177</v>
      </c>
    </row>
    <row r="3520" spans="1:1" ht="14.25">
      <c r="A3520" s="47" t="s">
        <v>12178</v>
      </c>
    </row>
    <row r="3521" spans="1:1" ht="14.25">
      <c r="A3521" s="47" t="s">
        <v>12179</v>
      </c>
    </row>
    <row r="3522" spans="1:1" ht="14.25">
      <c r="A3522" s="47" t="s">
        <v>12180</v>
      </c>
    </row>
    <row r="3523" spans="1:1" ht="14.25">
      <c r="A3523" s="47" t="s">
        <v>12181</v>
      </c>
    </row>
    <row r="3524" spans="1:1" ht="14.25">
      <c r="A3524" s="47" t="s">
        <v>12182</v>
      </c>
    </row>
    <row r="3525" spans="1:1" ht="14.25">
      <c r="A3525" s="47" t="s">
        <v>12183</v>
      </c>
    </row>
    <row r="3526" spans="1:1" ht="14.25">
      <c r="A3526" s="47" t="s">
        <v>12184</v>
      </c>
    </row>
    <row r="3527" spans="1:1" ht="14.25">
      <c r="A3527" s="47" t="s">
        <v>12185</v>
      </c>
    </row>
    <row r="3528" spans="1:1" ht="14.25">
      <c r="A3528" s="47" t="s">
        <v>12186</v>
      </c>
    </row>
    <row r="3529" spans="1:1" ht="14.25">
      <c r="A3529" s="47" t="s">
        <v>12187</v>
      </c>
    </row>
    <row r="3530" spans="1:1" ht="14.25">
      <c r="A3530" s="47" t="s">
        <v>12188</v>
      </c>
    </row>
    <row r="3531" spans="1:1" ht="14.25">
      <c r="A3531" s="47" t="s">
        <v>12189</v>
      </c>
    </row>
    <row r="3532" spans="1:1" ht="14.25">
      <c r="A3532" s="47" t="s">
        <v>12190</v>
      </c>
    </row>
    <row r="3533" spans="1:1" ht="14.25">
      <c r="A3533" s="47" t="s">
        <v>12191</v>
      </c>
    </row>
    <row r="3534" spans="1:1" ht="14.25">
      <c r="A3534" s="47" t="s">
        <v>12192</v>
      </c>
    </row>
    <row r="3535" spans="1:1" ht="14.25">
      <c r="A3535" s="47" t="s">
        <v>12193</v>
      </c>
    </row>
    <row r="3536" spans="1:1" ht="14.25">
      <c r="A3536" s="47" t="s">
        <v>12194</v>
      </c>
    </row>
    <row r="3537" spans="1:1" ht="14.25">
      <c r="A3537" s="47" t="s">
        <v>12195</v>
      </c>
    </row>
    <row r="3538" spans="1:1" ht="14.25">
      <c r="A3538" s="47" t="s">
        <v>12196</v>
      </c>
    </row>
    <row r="3539" spans="1:1" ht="14.25">
      <c r="A3539" s="47" t="s">
        <v>12197</v>
      </c>
    </row>
    <row r="3540" spans="1:1" ht="14.25">
      <c r="A3540" s="47" t="s">
        <v>12198</v>
      </c>
    </row>
    <row r="3541" spans="1:1" ht="14.25">
      <c r="A3541" s="47" t="s">
        <v>12199</v>
      </c>
    </row>
    <row r="3542" spans="1:1" ht="14.25">
      <c r="A3542" s="47" t="s">
        <v>12200</v>
      </c>
    </row>
    <row r="3543" spans="1:1" ht="14.25">
      <c r="A3543" s="47" t="s">
        <v>12201</v>
      </c>
    </row>
    <row r="3544" spans="1:1" ht="14.25">
      <c r="A3544" s="47" t="s">
        <v>12202</v>
      </c>
    </row>
    <row r="3545" spans="1:1" ht="14.25">
      <c r="A3545" s="47" t="s">
        <v>12203</v>
      </c>
    </row>
    <row r="3546" spans="1:1" ht="14.25">
      <c r="A3546" s="47" t="s">
        <v>12204</v>
      </c>
    </row>
    <row r="3547" spans="1:1" ht="14.25">
      <c r="A3547" s="47" t="s">
        <v>12205</v>
      </c>
    </row>
    <row r="3548" spans="1:1" ht="14.25">
      <c r="A3548" s="47" t="s">
        <v>12206</v>
      </c>
    </row>
    <row r="3549" spans="1:1" ht="14.25">
      <c r="A3549" s="47" t="s">
        <v>12207</v>
      </c>
    </row>
    <row r="3550" spans="1:1" ht="14.25">
      <c r="A3550" s="47" t="s">
        <v>12208</v>
      </c>
    </row>
    <row r="3551" spans="1:1" ht="14.25">
      <c r="A3551" s="47" t="s">
        <v>12209</v>
      </c>
    </row>
    <row r="3552" spans="1:1" ht="14.25">
      <c r="A3552" s="47" t="s">
        <v>12210</v>
      </c>
    </row>
    <row r="3553" spans="1:1" ht="14.25">
      <c r="A3553" s="47" t="s">
        <v>12211</v>
      </c>
    </row>
    <row r="3554" spans="1:1" ht="14.25">
      <c r="A3554" s="47" t="s">
        <v>12212</v>
      </c>
    </row>
    <row r="3555" spans="1:1" ht="14.25">
      <c r="A3555" s="47" t="s">
        <v>12213</v>
      </c>
    </row>
    <row r="3556" spans="1:1" ht="14.25">
      <c r="A3556" s="47" t="s">
        <v>12214</v>
      </c>
    </row>
    <row r="3557" spans="1:1" ht="14.25">
      <c r="A3557" s="47" t="s">
        <v>12215</v>
      </c>
    </row>
    <row r="3558" spans="1:1" ht="14.25">
      <c r="A3558" s="47" t="s">
        <v>12216</v>
      </c>
    </row>
    <row r="3559" spans="1:1" ht="14.25">
      <c r="A3559" s="47" t="s">
        <v>12217</v>
      </c>
    </row>
    <row r="3560" spans="1:1" ht="14.25">
      <c r="A3560" s="47" t="s">
        <v>12218</v>
      </c>
    </row>
    <row r="3561" spans="1:1" ht="14.25">
      <c r="A3561" s="47" t="s">
        <v>12219</v>
      </c>
    </row>
    <row r="3562" spans="1:1" ht="25.5">
      <c r="A3562" s="49" t="s">
        <v>12220</v>
      </c>
    </row>
    <row r="3563" spans="1:1" ht="14.25">
      <c r="A3563" s="47" t="s">
        <v>12221</v>
      </c>
    </row>
    <row r="3564" spans="1:1" ht="14.25">
      <c r="A3564" s="47" t="s">
        <v>12222</v>
      </c>
    </row>
    <row r="3565" spans="1:1" ht="14.25">
      <c r="A3565" s="47" t="s">
        <v>12223</v>
      </c>
    </row>
    <row r="3566" spans="1:1" ht="14.25">
      <c r="A3566" s="47" t="s">
        <v>12224</v>
      </c>
    </row>
    <row r="3567" spans="1:1" ht="14.25">
      <c r="A3567" s="47" t="s">
        <v>12225</v>
      </c>
    </row>
    <row r="3568" spans="1:1" ht="14.25">
      <c r="A3568" s="47" t="s">
        <v>12226</v>
      </c>
    </row>
    <row r="3569" spans="1:1" ht="14.25">
      <c r="A3569" s="47" t="s">
        <v>12227</v>
      </c>
    </row>
    <row r="3570" spans="1:1" ht="14.25">
      <c r="A3570" s="47" t="s">
        <v>12228</v>
      </c>
    </row>
    <row r="3571" spans="1:1" ht="14.25">
      <c r="A3571" s="47" t="s">
        <v>12229</v>
      </c>
    </row>
    <row r="3572" spans="1:1" ht="14.25">
      <c r="A3572" s="47" t="s">
        <v>12230</v>
      </c>
    </row>
    <row r="3573" spans="1:1" ht="14.25">
      <c r="A3573" s="47" t="s">
        <v>12231</v>
      </c>
    </row>
    <row r="3574" spans="1:1" ht="14.25">
      <c r="A3574" s="47" t="s">
        <v>12232</v>
      </c>
    </row>
    <row r="3575" spans="1:1" ht="14.25">
      <c r="A3575" s="47" t="s">
        <v>12233</v>
      </c>
    </row>
    <row r="3576" spans="1:1" ht="14.25">
      <c r="A3576" s="47" t="s">
        <v>12234</v>
      </c>
    </row>
    <row r="3577" spans="1:1" ht="14.25">
      <c r="A3577" s="47" t="s">
        <v>12235</v>
      </c>
    </row>
    <row r="3578" spans="1:1" ht="14.25">
      <c r="A3578" s="47" t="s">
        <v>12236</v>
      </c>
    </row>
    <row r="3579" spans="1:1" ht="14.25">
      <c r="A3579" s="47" t="s">
        <v>12237</v>
      </c>
    </row>
    <row r="3580" spans="1:1" ht="14.25">
      <c r="A3580" s="47" t="s">
        <v>12238</v>
      </c>
    </row>
    <row r="3581" spans="1:1" ht="14.25">
      <c r="A3581" s="47" t="s">
        <v>12239</v>
      </c>
    </row>
    <row r="3582" spans="1:1" ht="14.25">
      <c r="A3582" s="47" t="s">
        <v>12240</v>
      </c>
    </row>
    <row r="3583" spans="1:1" ht="14.25">
      <c r="A3583" s="47" t="s">
        <v>12241</v>
      </c>
    </row>
    <row r="3584" spans="1:1" ht="14.25">
      <c r="A3584" s="47" t="s">
        <v>12242</v>
      </c>
    </row>
    <row r="3585" spans="1:1" ht="14.25">
      <c r="A3585" s="47" t="s">
        <v>12243</v>
      </c>
    </row>
    <row r="3586" spans="1:1" ht="14.25">
      <c r="A3586" s="47" t="s">
        <v>12244</v>
      </c>
    </row>
    <row r="3587" spans="1:1" ht="14.25">
      <c r="A3587" s="47" t="s">
        <v>12245</v>
      </c>
    </row>
    <row r="3588" spans="1:1" ht="14.25">
      <c r="A3588" s="47" t="s">
        <v>12246</v>
      </c>
    </row>
    <row r="3589" spans="1:1" ht="14.25">
      <c r="A3589" s="47" t="s">
        <v>12247</v>
      </c>
    </row>
    <row r="3590" spans="1:1" ht="14.25">
      <c r="A3590" s="47" t="s">
        <v>12248</v>
      </c>
    </row>
    <row r="3591" spans="1:1" ht="14.25">
      <c r="A3591" s="47" t="s">
        <v>12249</v>
      </c>
    </row>
    <row r="3592" spans="1:1" ht="14.25">
      <c r="A3592" s="47" t="s">
        <v>12250</v>
      </c>
    </row>
    <row r="3593" spans="1:1" ht="14.25">
      <c r="A3593" s="47" t="s">
        <v>12251</v>
      </c>
    </row>
    <row r="3594" spans="1:1" ht="14.25">
      <c r="A3594" s="47" t="s">
        <v>12252</v>
      </c>
    </row>
    <row r="3595" spans="1:1" ht="14.25">
      <c r="A3595" s="47" t="s">
        <v>12253</v>
      </c>
    </row>
    <row r="3596" spans="1:1" ht="14.25">
      <c r="A3596" s="47" t="s">
        <v>12254</v>
      </c>
    </row>
    <row r="3597" spans="1:1" ht="14.25">
      <c r="A3597" s="47" t="s">
        <v>12255</v>
      </c>
    </row>
    <row r="3598" spans="1:1" ht="14.25">
      <c r="A3598" s="47" t="s">
        <v>12256</v>
      </c>
    </row>
    <row r="3599" spans="1:1" ht="14.25">
      <c r="A3599" s="47" t="s">
        <v>12257</v>
      </c>
    </row>
    <row r="3600" spans="1:1" ht="14.25">
      <c r="A3600" s="47" t="s">
        <v>12258</v>
      </c>
    </row>
    <row r="3601" spans="1:1" ht="14.25">
      <c r="A3601" s="47" t="s">
        <v>12259</v>
      </c>
    </row>
    <row r="3602" spans="1:1" ht="14.25">
      <c r="A3602" s="47" t="s">
        <v>12260</v>
      </c>
    </row>
    <row r="3603" spans="1:1" ht="14.25">
      <c r="A3603" s="47" t="s">
        <v>12261</v>
      </c>
    </row>
    <row r="3604" spans="1:1" ht="14.25">
      <c r="A3604" s="47" t="s">
        <v>12262</v>
      </c>
    </row>
    <row r="3605" spans="1:1" ht="14.25">
      <c r="A3605" s="47" t="s">
        <v>12263</v>
      </c>
    </row>
    <row r="3606" spans="1:1" ht="14.25">
      <c r="A3606" s="47" t="s">
        <v>12264</v>
      </c>
    </row>
    <row r="3607" spans="1:1" ht="14.25">
      <c r="A3607" s="47" t="s">
        <v>12265</v>
      </c>
    </row>
    <row r="3608" spans="1:1" ht="14.25">
      <c r="A3608" s="47" t="s">
        <v>12266</v>
      </c>
    </row>
    <row r="3609" spans="1:1" ht="14.25">
      <c r="A3609" s="47" t="s">
        <v>12267</v>
      </c>
    </row>
    <row r="3610" spans="1:1" ht="14.25">
      <c r="A3610" s="47" t="s">
        <v>12268</v>
      </c>
    </row>
    <row r="3611" spans="1:1" ht="14.25">
      <c r="A3611" s="47" t="s">
        <v>12269</v>
      </c>
    </row>
    <row r="3612" spans="1:1" ht="14.25">
      <c r="A3612" s="47" t="s">
        <v>12270</v>
      </c>
    </row>
    <row r="3613" spans="1:1" ht="14.25">
      <c r="A3613" s="47" t="s">
        <v>12271</v>
      </c>
    </row>
    <row r="3614" spans="1:1" ht="14.25">
      <c r="A3614" s="47" t="s">
        <v>12272</v>
      </c>
    </row>
    <row r="3615" spans="1:1" ht="14.25">
      <c r="A3615" s="47" t="s">
        <v>12273</v>
      </c>
    </row>
    <row r="3616" spans="1:1" ht="14.25">
      <c r="A3616" s="47" t="s">
        <v>12274</v>
      </c>
    </row>
    <row r="3617" spans="1:1" ht="14.25">
      <c r="A3617" s="47" t="s">
        <v>12275</v>
      </c>
    </row>
    <row r="3618" spans="1:1" ht="14.25">
      <c r="A3618" s="47" t="s">
        <v>12276</v>
      </c>
    </row>
    <row r="3619" spans="1:1" ht="14.25">
      <c r="A3619" s="47" t="s">
        <v>12277</v>
      </c>
    </row>
    <row r="3620" spans="1:1" ht="14.25">
      <c r="A3620" s="47" t="s">
        <v>12278</v>
      </c>
    </row>
    <row r="3621" spans="1:1" ht="14.25">
      <c r="A3621" s="47" t="s">
        <v>12279</v>
      </c>
    </row>
    <row r="3622" spans="1:1" ht="14.25">
      <c r="A3622" s="47" t="s">
        <v>12280</v>
      </c>
    </row>
    <row r="3623" spans="1:1" ht="14.25">
      <c r="A3623" s="47" t="s">
        <v>12281</v>
      </c>
    </row>
    <row r="3624" spans="1:1" ht="14.25">
      <c r="A3624" s="47" t="s">
        <v>12282</v>
      </c>
    </row>
    <row r="3625" spans="1:1" ht="14.25">
      <c r="A3625" s="47" t="s">
        <v>12283</v>
      </c>
    </row>
    <row r="3626" spans="1:1" ht="14.25">
      <c r="A3626" s="47" t="s">
        <v>12284</v>
      </c>
    </row>
    <row r="3627" spans="1:1" ht="14.25">
      <c r="A3627" s="47" t="s">
        <v>12285</v>
      </c>
    </row>
    <row r="3628" spans="1:1" ht="14.25">
      <c r="A3628" s="47" t="s">
        <v>12286</v>
      </c>
    </row>
    <row r="3629" spans="1:1" ht="14.25">
      <c r="A3629" s="47" t="s">
        <v>12287</v>
      </c>
    </row>
    <row r="3630" spans="1:1" ht="14.25">
      <c r="A3630" s="47" t="s">
        <v>12288</v>
      </c>
    </row>
    <row r="3631" spans="1:1" ht="14.25">
      <c r="A3631" s="47" t="s">
        <v>12289</v>
      </c>
    </row>
    <row r="3632" spans="1:1" ht="14.25">
      <c r="A3632" s="47" t="s">
        <v>12290</v>
      </c>
    </row>
    <row r="3633" spans="1:1" ht="14.25">
      <c r="A3633" s="47" t="s">
        <v>12291</v>
      </c>
    </row>
    <row r="3634" spans="1:1" ht="14.25">
      <c r="A3634" s="47" t="s">
        <v>12292</v>
      </c>
    </row>
    <row r="3635" spans="1:1" ht="14.25">
      <c r="A3635" s="47" t="s">
        <v>12293</v>
      </c>
    </row>
    <row r="3636" spans="1:1" ht="14.25">
      <c r="A3636" s="47" t="s">
        <v>12294</v>
      </c>
    </row>
    <row r="3637" spans="1:1" ht="14.25">
      <c r="A3637" s="47" t="s">
        <v>12295</v>
      </c>
    </row>
    <row r="3638" spans="1:1" ht="14.25">
      <c r="A3638" s="47" t="s">
        <v>12296</v>
      </c>
    </row>
    <row r="3639" spans="1:1" ht="14.25">
      <c r="A3639" s="47" t="s">
        <v>12297</v>
      </c>
    </row>
    <row r="3640" spans="1:1" ht="14.25">
      <c r="A3640" s="47" t="s">
        <v>12298</v>
      </c>
    </row>
    <row r="3641" spans="1:1" ht="25.5">
      <c r="A3641" s="49" t="s">
        <v>12299</v>
      </c>
    </row>
    <row r="3642" spans="1:1" ht="14.25">
      <c r="A3642" s="47" t="s">
        <v>12300</v>
      </c>
    </row>
    <row r="3643" spans="1:1" ht="14.25">
      <c r="A3643" s="47" t="s">
        <v>12301</v>
      </c>
    </row>
    <row r="3644" spans="1:1" ht="14.25">
      <c r="A3644" s="47" t="s">
        <v>12302</v>
      </c>
    </row>
    <row r="3645" spans="1:1" ht="14.25">
      <c r="A3645" s="47" t="s">
        <v>12303</v>
      </c>
    </row>
    <row r="3646" spans="1:1" ht="14.25">
      <c r="A3646" s="47" t="s">
        <v>12304</v>
      </c>
    </row>
    <row r="3647" spans="1:1" ht="14.25">
      <c r="A3647" s="47" t="s">
        <v>12305</v>
      </c>
    </row>
    <row r="3648" spans="1:1" ht="14.25">
      <c r="A3648" s="47" t="s">
        <v>12306</v>
      </c>
    </row>
    <row r="3649" spans="1:1" ht="14.25">
      <c r="A3649" s="47" t="s">
        <v>12307</v>
      </c>
    </row>
    <row r="3650" spans="1:1" ht="14.25">
      <c r="A3650" s="47" t="s">
        <v>12308</v>
      </c>
    </row>
    <row r="3651" spans="1:1" ht="14.25">
      <c r="A3651" s="47" t="s">
        <v>12309</v>
      </c>
    </row>
    <row r="3652" spans="1:1" ht="14.25">
      <c r="A3652" s="47" t="s">
        <v>12310</v>
      </c>
    </row>
    <row r="3653" spans="1:1" ht="14.25">
      <c r="A3653" s="47" t="s">
        <v>12311</v>
      </c>
    </row>
    <row r="3654" spans="1:1" ht="14.25">
      <c r="A3654" s="47" t="s">
        <v>12312</v>
      </c>
    </row>
    <row r="3655" spans="1:1" ht="14.25">
      <c r="A3655" s="47" t="s">
        <v>12313</v>
      </c>
    </row>
    <row r="3656" spans="1:1" ht="14.25">
      <c r="A3656" s="47" t="s">
        <v>12314</v>
      </c>
    </row>
    <row r="3657" spans="1:1" ht="14.25">
      <c r="A3657" s="47" t="s">
        <v>12315</v>
      </c>
    </row>
    <row r="3658" spans="1:1" ht="14.25">
      <c r="A3658" s="47" t="s">
        <v>12316</v>
      </c>
    </row>
    <row r="3659" spans="1:1" ht="14.25">
      <c r="A3659" s="47" t="s">
        <v>12317</v>
      </c>
    </row>
    <row r="3660" spans="1:1" ht="14.25">
      <c r="A3660" s="47" t="s">
        <v>12318</v>
      </c>
    </row>
    <row r="3661" spans="1:1" ht="14.25">
      <c r="A3661" s="47" t="s">
        <v>12319</v>
      </c>
    </row>
    <row r="3662" spans="1:1" ht="14.25">
      <c r="A3662" s="47" t="s">
        <v>12320</v>
      </c>
    </row>
    <row r="3663" spans="1:1" ht="14.25">
      <c r="A3663" s="47" t="s">
        <v>12321</v>
      </c>
    </row>
    <row r="3664" spans="1:1" ht="14.25">
      <c r="A3664" s="47" t="s">
        <v>12322</v>
      </c>
    </row>
    <row r="3665" spans="1:1" ht="14.25">
      <c r="A3665" s="47" t="s">
        <v>12323</v>
      </c>
    </row>
    <row r="3666" spans="1:1" ht="14.25">
      <c r="A3666" s="47" t="s">
        <v>12324</v>
      </c>
    </row>
    <row r="3667" spans="1:1" ht="14.25">
      <c r="A3667" s="47" t="s">
        <v>12325</v>
      </c>
    </row>
    <row r="3668" spans="1:1" ht="14.25">
      <c r="A3668" s="47" t="s">
        <v>12326</v>
      </c>
    </row>
    <row r="3669" spans="1:1" ht="14.25">
      <c r="A3669" s="47" t="s">
        <v>12327</v>
      </c>
    </row>
    <row r="3670" spans="1:1" ht="14.25">
      <c r="A3670" s="47" t="s">
        <v>12328</v>
      </c>
    </row>
    <row r="3671" spans="1:1" ht="14.25">
      <c r="A3671" s="47" t="s">
        <v>12329</v>
      </c>
    </row>
    <row r="3672" spans="1:1" ht="14.25">
      <c r="A3672" s="47" t="s">
        <v>12330</v>
      </c>
    </row>
    <row r="3673" spans="1:1" ht="14.25">
      <c r="A3673" s="47" t="s">
        <v>12331</v>
      </c>
    </row>
    <row r="3674" spans="1:1" ht="14.25">
      <c r="A3674" s="47" t="s">
        <v>12332</v>
      </c>
    </row>
    <row r="3675" spans="1:1" ht="14.25">
      <c r="A3675" s="47" t="s">
        <v>12333</v>
      </c>
    </row>
    <row r="3676" spans="1:1" ht="14.25">
      <c r="A3676" s="47" t="s">
        <v>12334</v>
      </c>
    </row>
    <row r="3677" spans="1:1" ht="14.25">
      <c r="A3677" s="47" t="s">
        <v>12335</v>
      </c>
    </row>
    <row r="3678" spans="1:1" ht="14.25">
      <c r="A3678" s="47" t="s">
        <v>12336</v>
      </c>
    </row>
    <row r="3679" spans="1:1" ht="14.25">
      <c r="A3679" s="47" t="s">
        <v>12337</v>
      </c>
    </row>
    <row r="3680" spans="1:1" ht="14.25">
      <c r="A3680" s="47" t="s">
        <v>12338</v>
      </c>
    </row>
    <row r="3681" spans="1:1" ht="14.25">
      <c r="A3681" s="47" t="s">
        <v>12339</v>
      </c>
    </row>
    <row r="3682" spans="1:1" ht="14.25">
      <c r="A3682" s="47" t="s">
        <v>12340</v>
      </c>
    </row>
    <row r="3683" spans="1:1" ht="14.25">
      <c r="A3683" s="47" t="s">
        <v>12341</v>
      </c>
    </row>
    <row r="3684" spans="1:1" ht="14.25">
      <c r="A3684" s="47" t="s">
        <v>12342</v>
      </c>
    </row>
    <row r="3685" spans="1:1" ht="14.25">
      <c r="A3685" s="47" t="s">
        <v>12343</v>
      </c>
    </row>
    <row r="3686" spans="1:1" ht="14.25">
      <c r="A3686" s="47" t="s">
        <v>12344</v>
      </c>
    </row>
    <row r="3687" spans="1:1" ht="14.25">
      <c r="A3687" s="47" t="s">
        <v>12345</v>
      </c>
    </row>
    <row r="3688" spans="1:1" ht="14.25">
      <c r="A3688" s="47" t="s">
        <v>12346</v>
      </c>
    </row>
    <row r="3689" spans="1:1" ht="14.25">
      <c r="A3689" s="47" t="s">
        <v>12347</v>
      </c>
    </row>
    <row r="3690" spans="1:1" ht="14.25">
      <c r="A3690" s="47" t="s">
        <v>12348</v>
      </c>
    </row>
    <row r="3691" spans="1:1" ht="14.25">
      <c r="A3691" s="47" t="s">
        <v>12349</v>
      </c>
    </row>
    <row r="3692" spans="1:1" ht="14.25">
      <c r="A3692" s="47" t="s">
        <v>12350</v>
      </c>
    </row>
    <row r="3693" spans="1:1" ht="14.25">
      <c r="A3693" s="47" t="s">
        <v>12351</v>
      </c>
    </row>
    <row r="3694" spans="1:1" ht="14.25">
      <c r="A3694" s="47" t="s">
        <v>12352</v>
      </c>
    </row>
    <row r="3695" spans="1:1" ht="14.25">
      <c r="A3695" s="47" t="s">
        <v>12353</v>
      </c>
    </row>
    <row r="3696" spans="1:1" ht="14.25">
      <c r="A3696" s="47" t="s">
        <v>12354</v>
      </c>
    </row>
    <row r="3697" spans="1:1" ht="14.25">
      <c r="A3697" s="47" t="s">
        <v>12355</v>
      </c>
    </row>
    <row r="3698" spans="1:1" ht="25.5">
      <c r="A3698" s="49" t="s">
        <v>12356</v>
      </c>
    </row>
    <row r="3699" spans="1:1" ht="14.25">
      <c r="A3699" s="47" t="s">
        <v>12357</v>
      </c>
    </row>
    <row r="3700" spans="1:1" ht="14.25">
      <c r="A3700" s="47" t="s">
        <v>12358</v>
      </c>
    </row>
    <row r="3701" spans="1:1" ht="14.25">
      <c r="A3701" s="47" t="s">
        <v>12359</v>
      </c>
    </row>
    <row r="3702" spans="1:1" ht="14.25">
      <c r="A3702" s="47" t="s">
        <v>12360</v>
      </c>
    </row>
    <row r="3703" spans="1:1" ht="14.25">
      <c r="A3703" s="47" t="s">
        <v>12361</v>
      </c>
    </row>
    <row r="3704" spans="1:1" ht="14.25">
      <c r="A3704" s="47" t="s">
        <v>12362</v>
      </c>
    </row>
    <row r="3705" spans="1:1" ht="14.25">
      <c r="A3705" s="47" t="s">
        <v>12363</v>
      </c>
    </row>
    <row r="3706" spans="1:1" ht="14.25">
      <c r="A3706" s="47" t="s">
        <v>12364</v>
      </c>
    </row>
    <row r="3707" spans="1:1" ht="14.25">
      <c r="A3707" s="47" t="s">
        <v>12365</v>
      </c>
    </row>
    <row r="3708" spans="1:1" ht="14.25">
      <c r="A3708" s="47" t="s">
        <v>12366</v>
      </c>
    </row>
    <row r="3709" spans="1:1" ht="14.25">
      <c r="A3709" s="47" t="s">
        <v>12367</v>
      </c>
    </row>
    <row r="3710" spans="1:1" ht="14.25">
      <c r="A3710" s="47" t="s">
        <v>12368</v>
      </c>
    </row>
    <row r="3711" spans="1:1" ht="14.25">
      <c r="A3711" s="47" t="s">
        <v>12369</v>
      </c>
    </row>
    <row r="3712" spans="1:1" ht="14.25">
      <c r="A3712" s="47" t="s">
        <v>12370</v>
      </c>
    </row>
    <row r="3713" spans="1:1" ht="14.25">
      <c r="A3713" s="47" t="s">
        <v>12371</v>
      </c>
    </row>
    <row r="3714" spans="1:1" ht="14.25">
      <c r="A3714" s="47" t="s">
        <v>12372</v>
      </c>
    </row>
    <row r="3715" spans="1:1" ht="14.25">
      <c r="A3715" s="47" t="s">
        <v>12373</v>
      </c>
    </row>
    <row r="3716" spans="1:1" ht="14.25">
      <c r="A3716" s="47" t="s">
        <v>12374</v>
      </c>
    </row>
    <row r="3717" spans="1:1" ht="14.25">
      <c r="A3717" s="47" t="s">
        <v>12375</v>
      </c>
    </row>
    <row r="3718" spans="1:1" ht="14.25">
      <c r="A3718" s="47" t="s">
        <v>12376</v>
      </c>
    </row>
    <row r="3719" spans="1:1" ht="14.25">
      <c r="A3719" s="47" t="s">
        <v>12377</v>
      </c>
    </row>
    <row r="3720" spans="1:1" ht="14.25">
      <c r="A3720" s="47" t="s">
        <v>12378</v>
      </c>
    </row>
    <row r="3721" spans="1:1" ht="14.25">
      <c r="A3721" s="47" t="s">
        <v>12379</v>
      </c>
    </row>
    <row r="3722" spans="1:1" ht="14.25">
      <c r="A3722" s="47" t="s">
        <v>12380</v>
      </c>
    </row>
    <row r="3723" spans="1:1" ht="14.25">
      <c r="A3723" s="47" t="s">
        <v>12381</v>
      </c>
    </row>
    <row r="3724" spans="1:1" ht="14.25">
      <c r="A3724" s="47" t="s">
        <v>12382</v>
      </c>
    </row>
    <row r="3725" spans="1:1" ht="14.25">
      <c r="A3725" s="47" t="s">
        <v>12383</v>
      </c>
    </row>
    <row r="3726" spans="1:1" ht="25.5">
      <c r="A3726" s="49" t="s">
        <v>12384</v>
      </c>
    </row>
    <row r="3727" spans="1:1" ht="14.25">
      <c r="A3727" s="47" t="s">
        <v>12385</v>
      </c>
    </row>
    <row r="3728" spans="1:1" ht="14.25">
      <c r="A3728" s="47" t="s">
        <v>12386</v>
      </c>
    </row>
    <row r="3729" spans="1:1" ht="14.25">
      <c r="A3729" s="47" t="s">
        <v>12387</v>
      </c>
    </row>
    <row r="3730" spans="1:1" ht="14.25">
      <c r="A3730" s="47" t="s">
        <v>12388</v>
      </c>
    </row>
    <row r="3731" spans="1:1" ht="14.25">
      <c r="A3731" s="47" t="s">
        <v>12389</v>
      </c>
    </row>
    <row r="3732" spans="1:1" ht="14.25">
      <c r="A3732" s="47" t="s">
        <v>12390</v>
      </c>
    </row>
    <row r="3733" spans="1:1" ht="14.25">
      <c r="A3733" s="47" t="s">
        <v>12391</v>
      </c>
    </row>
    <row r="3734" spans="1:1" ht="14.25">
      <c r="A3734" s="47" t="s">
        <v>12392</v>
      </c>
    </row>
    <row r="3735" spans="1:1" ht="14.25">
      <c r="A3735" s="47" t="s">
        <v>12393</v>
      </c>
    </row>
    <row r="3736" spans="1:1" ht="14.25">
      <c r="A3736" s="47" t="s">
        <v>12394</v>
      </c>
    </row>
    <row r="3737" spans="1:1" ht="14.25">
      <c r="A3737" s="47" t="s">
        <v>12395</v>
      </c>
    </row>
    <row r="3738" spans="1:1" ht="14.25">
      <c r="A3738" s="47" t="s">
        <v>12396</v>
      </c>
    </row>
    <row r="3739" spans="1:1" ht="14.25">
      <c r="A3739" s="47" t="s">
        <v>12397</v>
      </c>
    </row>
    <row r="3740" spans="1:1" ht="14.25">
      <c r="A3740" s="47" t="s">
        <v>12398</v>
      </c>
    </row>
    <row r="3741" spans="1:1" ht="14.25">
      <c r="A3741" s="47" t="s">
        <v>12399</v>
      </c>
    </row>
    <row r="3742" spans="1:1" ht="14.25">
      <c r="A3742" s="47" t="s">
        <v>12400</v>
      </c>
    </row>
    <row r="3743" spans="1:1" ht="14.25">
      <c r="A3743" s="47" t="s">
        <v>12401</v>
      </c>
    </row>
    <row r="3744" spans="1:1" ht="14.25">
      <c r="A3744" s="47" t="s">
        <v>12402</v>
      </c>
    </row>
    <row r="3745" spans="1:1" ht="14.25">
      <c r="A3745" s="47" t="s">
        <v>12403</v>
      </c>
    </row>
    <row r="3746" spans="1:1" ht="14.25">
      <c r="A3746" s="47" t="s">
        <v>12404</v>
      </c>
    </row>
    <row r="3747" spans="1:1" ht="14.25">
      <c r="A3747" s="47" t="s">
        <v>12405</v>
      </c>
    </row>
    <row r="3748" spans="1:1" ht="14.25">
      <c r="A3748" s="47" t="s">
        <v>12406</v>
      </c>
    </row>
    <row r="3749" spans="1:1" ht="14.25">
      <c r="A3749" s="47" t="s">
        <v>12407</v>
      </c>
    </row>
    <row r="3750" spans="1:1" ht="14.25">
      <c r="A3750" s="47" t="s">
        <v>12408</v>
      </c>
    </row>
    <row r="3751" spans="1:1" ht="14.25">
      <c r="A3751" s="47" t="s">
        <v>12409</v>
      </c>
    </row>
    <row r="3752" spans="1:1" ht="14.25">
      <c r="A3752" s="47" t="s">
        <v>12410</v>
      </c>
    </row>
    <row r="3753" spans="1:1" ht="14.25">
      <c r="A3753" s="47" t="s">
        <v>12411</v>
      </c>
    </row>
    <row r="3754" spans="1:1" ht="14.25">
      <c r="A3754" s="47" t="s">
        <v>12412</v>
      </c>
    </row>
    <row r="3755" spans="1:1" ht="14.25">
      <c r="A3755" s="47" t="s">
        <v>12413</v>
      </c>
    </row>
    <row r="3756" spans="1:1" ht="14.25">
      <c r="A3756" s="47" t="s">
        <v>12414</v>
      </c>
    </row>
    <row r="3757" spans="1:1" ht="14.25">
      <c r="A3757" s="47" t="s">
        <v>12415</v>
      </c>
    </row>
    <row r="3758" spans="1:1" ht="14.25">
      <c r="A3758" s="47" t="s">
        <v>12416</v>
      </c>
    </row>
    <row r="3759" spans="1:1" ht="14.25">
      <c r="A3759" s="47" t="s">
        <v>12417</v>
      </c>
    </row>
    <row r="3760" spans="1:1" ht="14.25">
      <c r="A3760" s="47" t="s">
        <v>12418</v>
      </c>
    </row>
    <row r="3761" spans="1:1" ht="14.25">
      <c r="A3761" s="47" t="s">
        <v>12419</v>
      </c>
    </row>
    <row r="3762" spans="1:1" ht="14.25">
      <c r="A3762" s="47" t="s">
        <v>12420</v>
      </c>
    </row>
    <row r="3763" spans="1:1" ht="14.25">
      <c r="A3763" s="47" t="s">
        <v>12421</v>
      </c>
    </row>
    <row r="3764" spans="1:1" ht="14.25">
      <c r="A3764" s="47" t="s">
        <v>12422</v>
      </c>
    </row>
    <row r="3765" spans="1:1" ht="14.25">
      <c r="A3765" s="47" t="s">
        <v>12423</v>
      </c>
    </row>
    <row r="3766" spans="1:1" ht="14.25">
      <c r="A3766" s="47" t="s">
        <v>12424</v>
      </c>
    </row>
    <row r="3767" spans="1:1" ht="14.25">
      <c r="A3767" s="47" t="s">
        <v>12425</v>
      </c>
    </row>
    <row r="3768" spans="1:1" ht="14.25">
      <c r="A3768" s="47" t="s">
        <v>12426</v>
      </c>
    </row>
    <row r="3769" spans="1:1" ht="14.25">
      <c r="A3769" s="47" t="s">
        <v>12427</v>
      </c>
    </row>
    <row r="3770" spans="1:1" ht="14.25">
      <c r="A3770" s="47" t="s">
        <v>12428</v>
      </c>
    </row>
    <row r="3771" spans="1:1" ht="14.25">
      <c r="A3771" s="47" t="s">
        <v>12429</v>
      </c>
    </row>
    <row r="3772" spans="1:1" ht="14.25">
      <c r="A3772" s="47" t="s">
        <v>12430</v>
      </c>
    </row>
    <row r="3773" spans="1:1" ht="14.25">
      <c r="A3773" s="47" t="s">
        <v>12431</v>
      </c>
    </row>
    <row r="3774" spans="1:1" ht="14.25">
      <c r="A3774" s="47" t="s">
        <v>12432</v>
      </c>
    </row>
    <row r="3775" spans="1:1" ht="14.25">
      <c r="A3775" s="47" t="s">
        <v>12433</v>
      </c>
    </row>
    <row r="3776" spans="1:1" ht="14.25">
      <c r="A3776" s="47" t="s">
        <v>12434</v>
      </c>
    </row>
    <row r="3777" spans="1:1" ht="14.25">
      <c r="A3777" s="47" t="s">
        <v>12435</v>
      </c>
    </row>
    <row r="3778" spans="1:1" ht="14.25">
      <c r="A3778" s="47" t="s">
        <v>12436</v>
      </c>
    </row>
    <row r="3779" spans="1:1" ht="14.25">
      <c r="A3779" s="47" t="s">
        <v>12437</v>
      </c>
    </row>
    <row r="3780" spans="1:1" ht="14.25">
      <c r="A3780" s="47" t="s">
        <v>12438</v>
      </c>
    </row>
    <row r="3781" spans="1:1" ht="14.25">
      <c r="A3781" s="47" t="s">
        <v>12439</v>
      </c>
    </row>
    <row r="3782" spans="1:1" ht="14.25">
      <c r="A3782" s="47" t="s">
        <v>12440</v>
      </c>
    </row>
    <row r="3783" spans="1:1" ht="14.25">
      <c r="A3783" s="47" t="s">
        <v>12441</v>
      </c>
    </row>
    <row r="3784" spans="1:1" ht="14.25">
      <c r="A3784" s="47" t="s">
        <v>12442</v>
      </c>
    </row>
    <row r="3785" spans="1:1" ht="14.25">
      <c r="A3785" s="47" t="s">
        <v>12443</v>
      </c>
    </row>
    <row r="3786" spans="1:1" ht="14.25">
      <c r="A3786" s="47" t="s">
        <v>12444</v>
      </c>
    </row>
    <row r="3787" spans="1:1" ht="14.25">
      <c r="A3787" s="47" t="s">
        <v>12445</v>
      </c>
    </row>
    <row r="3788" spans="1:1" ht="14.25">
      <c r="A3788" s="47" t="s">
        <v>12446</v>
      </c>
    </row>
    <row r="3789" spans="1:1" ht="14.25">
      <c r="A3789" s="47" t="s">
        <v>12447</v>
      </c>
    </row>
    <row r="3790" spans="1:1" ht="14.25">
      <c r="A3790" s="47" t="s">
        <v>12448</v>
      </c>
    </row>
    <row r="3791" spans="1:1" ht="14.25">
      <c r="A3791" s="47" t="s">
        <v>12449</v>
      </c>
    </row>
    <row r="3792" spans="1:1" ht="14.25">
      <c r="A3792" s="47" t="s">
        <v>12450</v>
      </c>
    </row>
    <row r="3793" spans="1:1" ht="14.25">
      <c r="A3793" s="47" t="s">
        <v>12451</v>
      </c>
    </row>
    <row r="3794" spans="1:1" ht="14.25">
      <c r="A3794" s="47" t="s">
        <v>12452</v>
      </c>
    </row>
    <row r="3795" spans="1:1" ht="14.25">
      <c r="A3795" s="47" t="s">
        <v>12453</v>
      </c>
    </row>
    <row r="3796" spans="1:1" ht="14.25">
      <c r="A3796" s="47" t="s">
        <v>12454</v>
      </c>
    </row>
    <row r="3797" spans="1:1" ht="14.25">
      <c r="A3797" s="47" t="s">
        <v>12455</v>
      </c>
    </row>
    <row r="3798" spans="1:1" ht="14.25">
      <c r="A3798" s="47" t="s">
        <v>12456</v>
      </c>
    </row>
    <row r="3799" spans="1:1" ht="14.25">
      <c r="A3799" s="47" t="s">
        <v>12457</v>
      </c>
    </row>
    <row r="3800" spans="1:1" ht="14.25">
      <c r="A3800" s="47" t="s">
        <v>12458</v>
      </c>
    </row>
    <row r="3801" spans="1:1" ht="14.25">
      <c r="A3801" s="47" t="s">
        <v>12459</v>
      </c>
    </row>
    <row r="3802" spans="1:1" ht="14.25">
      <c r="A3802" s="47" t="s">
        <v>12460</v>
      </c>
    </row>
    <row r="3803" spans="1:1" ht="14.25">
      <c r="A3803" s="47" t="s">
        <v>12461</v>
      </c>
    </row>
    <row r="3804" spans="1:1" ht="14.25">
      <c r="A3804" s="47" t="s">
        <v>12462</v>
      </c>
    </row>
    <row r="3805" spans="1:1" ht="14.25">
      <c r="A3805" s="47" t="s">
        <v>12463</v>
      </c>
    </row>
    <row r="3806" spans="1:1" ht="14.25">
      <c r="A3806" s="47" t="s">
        <v>12464</v>
      </c>
    </row>
    <row r="3807" spans="1:1" ht="14.25">
      <c r="A3807" s="47" t="s">
        <v>12465</v>
      </c>
    </row>
    <row r="3808" spans="1:1" ht="25.5">
      <c r="A3808" s="49" t="s">
        <v>12466</v>
      </c>
    </row>
    <row r="3809" spans="1:1" ht="14.25">
      <c r="A3809" s="47" t="s">
        <v>12467</v>
      </c>
    </row>
    <row r="3810" spans="1:1" ht="14.25">
      <c r="A3810" s="47" t="s">
        <v>12468</v>
      </c>
    </row>
    <row r="3811" spans="1:1" ht="14.25">
      <c r="A3811" s="47" t="s">
        <v>12469</v>
      </c>
    </row>
    <row r="3812" spans="1:1" ht="14.25">
      <c r="A3812" s="47" t="s">
        <v>12470</v>
      </c>
    </row>
    <row r="3813" spans="1:1" ht="14.25">
      <c r="A3813" s="47" t="s">
        <v>12471</v>
      </c>
    </row>
    <row r="3814" spans="1:1" ht="14.25">
      <c r="A3814" s="47" t="s">
        <v>12472</v>
      </c>
    </row>
    <row r="3815" spans="1:1" ht="14.25">
      <c r="A3815" s="47" t="s">
        <v>12473</v>
      </c>
    </row>
    <row r="3816" spans="1:1" ht="14.25">
      <c r="A3816" s="47" t="s">
        <v>12474</v>
      </c>
    </row>
    <row r="3817" spans="1:1" ht="14.25">
      <c r="A3817" s="47" t="s">
        <v>12475</v>
      </c>
    </row>
    <row r="3818" spans="1:1" ht="14.25">
      <c r="A3818" s="47" t="s">
        <v>12476</v>
      </c>
    </row>
    <row r="3819" spans="1:1" ht="14.25">
      <c r="A3819" s="47" t="s">
        <v>12477</v>
      </c>
    </row>
    <row r="3820" spans="1:1" ht="14.25">
      <c r="A3820" s="47" t="s">
        <v>12478</v>
      </c>
    </row>
    <row r="3821" spans="1:1" ht="14.25">
      <c r="A3821" s="47" t="s">
        <v>12479</v>
      </c>
    </row>
    <row r="3822" spans="1:1" ht="14.25">
      <c r="A3822" s="47" t="s">
        <v>12480</v>
      </c>
    </row>
    <row r="3823" spans="1:1" ht="14.25">
      <c r="A3823" s="47" t="s">
        <v>12481</v>
      </c>
    </row>
    <row r="3824" spans="1:1" ht="14.25">
      <c r="A3824" s="47" t="s">
        <v>12482</v>
      </c>
    </row>
    <row r="3825" spans="1:1" ht="14.25">
      <c r="A3825" s="47" t="s">
        <v>12483</v>
      </c>
    </row>
    <row r="3826" spans="1:1" ht="14.25">
      <c r="A3826" s="47" t="s">
        <v>12484</v>
      </c>
    </row>
    <row r="3827" spans="1:1" ht="14.25">
      <c r="A3827" s="47" t="s">
        <v>12485</v>
      </c>
    </row>
    <row r="3828" spans="1:1" ht="14.25">
      <c r="A3828" s="47" t="s">
        <v>12486</v>
      </c>
    </row>
    <row r="3829" spans="1:1" ht="14.25">
      <c r="A3829" s="47" t="s">
        <v>12487</v>
      </c>
    </row>
    <row r="3830" spans="1:1" ht="14.25">
      <c r="A3830" s="47" t="s">
        <v>12488</v>
      </c>
    </row>
    <row r="3831" spans="1:1" ht="14.25">
      <c r="A3831" s="47" t="s">
        <v>12489</v>
      </c>
    </row>
    <row r="3832" spans="1:1" ht="14.25">
      <c r="A3832" s="47" t="s">
        <v>12490</v>
      </c>
    </row>
    <row r="3833" spans="1:1" ht="14.25">
      <c r="A3833" s="47" t="s">
        <v>12491</v>
      </c>
    </row>
    <row r="3834" spans="1:1" ht="14.25">
      <c r="A3834" s="47" t="s">
        <v>12492</v>
      </c>
    </row>
    <row r="3835" spans="1:1" ht="14.25">
      <c r="A3835" s="47" t="s">
        <v>12493</v>
      </c>
    </row>
    <row r="3836" spans="1:1" ht="14.25">
      <c r="A3836" s="47" t="s">
        <v>12494</v>
      </c>
    </row>
    <row r="3837" spans="1:1" ht="14.25">
      <c r="A3837" s="47" t="s">
        <v>12495</v>
      </c>
    </row>
    <row r="3838" spans="1:1" ht="14.25">
      <c r="A3838" s="47" t="s">
        <v>12496</v>
      </c>
    </row>
    <row r="3839" spans="1:1" ht="14.25">
      <c r="A3839" s="47" t="s">
        <v>12497</v>
      </c>
    </row>
    <row r="3840" spans="1:1" ht="14.25">
      <c r="A3840" s="47" t="s">
        <v>12498</v>
      </c>
    </row>
    <row r="3841" spans="1:1" ht="14.25">
      <c r="A3841" s="47" t="s">
        <v>12499</v>
      </c>
    </row>
    <row r="3842" spans="1:1" ht="14.25">
      <c r="A3842" s="47" t="s">
        <v>12500</v>
      </c>
    </row>
    <row r="3843" spans="1:1" ht="14.25">
      <c r="A3843" s="47" t="s">
        <v>12501</v>
      </c>
    </row>
    <row r="3844" spans="1:1" ht="14.25">
      <c r="A3844" s="47" t="s">
        <v>12502</v>
      </c>
    </row>
    <row r="3845" spans="1:1" ht="14.25">
      <c r="A3845" s="47" t="s">
        <v>12503</v>
      </c>
    </row>
    <row r="3846" spans="1:1" ht="14.25">
      <c r="A3846" s="47" t="s">
        <v>12504</v>
      </c>
    </row>
    <row r="3847" spans="1:1" ht="14.25">
      <c r="A3847" s="47" t="s">
        <v>12505</v>
      </c>
    </row>
    <row r="3848" spans="1:1" ht="14.25">
      <c r="A3848" s="47" t="s">
        <v>12506</v>
      </c>
    </row>
    <row r="3849" spans="1:1" ht="14.25">
      <c r="A3849" s="47" t="s">
        <v>12507</v>
      </c>
    </row>
    <row r="3850" spans="1:1" ht="14.25">
      <c r="A3850" s="47" t="s">
        <v>12508</v>
      </c>
    </row>
    <row r="3851" spans="1:1" ht="14.25">
      <c r="A3851" s="47" t="s">
        <v>12509</v>
      </c>
    </row>
    <row r="3852" spans="1:1" ht="14.25">
      <c r="A3852" s="47" t="s">
        <v>12510</v>
      </c>
    </row>
    <row r="3853" spans="1:1" ht="14.25">
      <c r="A3853" s="47" t="s">
        <v>12511</v>
      </c>
    </row>
    <row r="3854" spans="1:1" ht="14.25">
      <c r="A3854" s="47" t="s">
        <v>12512</v>
      </c>
    </row>
    <row r="3855" spans="1:1" ht="14.25">
      <c r="A3855" s="47" t="s">
        <v>12513</v>
      </c>
    </row>
    <row r="3856" spans="1:1" ht="14.25">
      <c r="A3856" s="47" t="s">
        <v>12514</v>
      </c>
    </row>
    <row r="3857" spans="1:1" ht="14.25">
      <c r="A3857" s="47" t="s">
        <v>12515</v>
      </c>
    </row>
    <row r="3858" spans="1:1" ht="14.25">
      <c r="A3858" s="47" t="s">
        <v>12516</v>
      </c>
    </row>
    <row r="3859" spans="1:1" ht="14.25">
      <c r="A3859" s="47" t="s">
        <v>12517</v>
      </c>
    </row>
    <row r="3860" spans="1:1" ht="14.25">
      <c r="A3860" s="47" t="s">
        <v>12518</v>
      </c>
    </row>
    <row r="3861" spans="1:1" ht="14.25">
      <c r="A3861" s="47" t="s">
        <v>12519</v>
      </c>
    </row>
    <row r="3862" spans="1:1" ht="14.25">
      <c r="A3862" s="47" t="s">
        <v>12520</v>
      </c>
    </row>
    <row r="3863" spans="1:1" ht="14.25">
      <c r="A3863" s="47" t="s">
        <v>12521</v>
      </c>
    </row>
    <row r="3864" spans="1:1" ht="14.25">
      <c r="A3864" s="47" t="s">
        <v>12522</v>
      </c>
    </row>
    <row r="3865" spans="1:1" ht="14.25">
      <c r="A3865" s="47" t="s">
        <v>12523</v>
      </c>
    </row>
    <row r="3866" spans="1:1" ht="14.25">
      <c r="A3866" s="47" t="s">
        <v>12524</v>
      </c>
    </row>
    <row r="3867" spans="1:1" ht="14.25">
      <c r="A3867" s="47" t="s">
        <v>12525</v>
      </c>
    </row>
    <row r="3868" spans="1:1" ht="14.25">
      <c r="A3868" s="47" t="s">
        <v>12526</v>
      </c>
    </row>
    <row r="3869" spans="1:1" ht="14.25">
      <c r="A3869" s="47" t="s">
        <v>12527</v>
      </c>
    </row>
    <row r="3870" spans="1:1" ht="14.25">
      <c r="A3870" s="47" t="s">
        <v>12528</v>
      </c>
    </row>
    <row r="3871" spans="1:1" ht="14.25">
      <c r="A3871" s="47" t="s">
        <v>12529</v>
      </c>
    </row>
    <row r="3872" spans="1:1" ht="14.25">
      <c r="A3872" s="47" t="s">
        <v>12530</v>
      </c>
    </row>
    <row r="3873" spans="1:1" ht="14.25">
      <c r="A3873" s="47" t="s">
        <v>12531</v>
      </c>
    </row>
    <row r="3874" spans="1:1" ht="14.25">
      <c r="A3874" s="47" t="s">
        <v>12532</v>
      </c>
    </row>
    <row r="3875" spans="1:1" ht="14.25">
      <c r="A3875" s="47" t="s">
        <v>12533</v>
      </c>
    </row>
    <row r="3876" spans="1:1" ht="14.25">
      <c r="A3876" s="47" t="s">
        <v>12534</v>
      </c>
    </row>
    <row r="3877" spans="1:1" ht="14.25">
      <c r="A3877" s="47" t="s">
        <v>12535</v>
      </c>
    </row>
    <row r="3878" spans="1:1" ht="14.25">
      <c r="A3878" s="47" t="s">
        <v>12536</v>
      </c>
    </row>
    <row r="3879" spans="1:1" ht="14.25">
      <c r="A3879" s="47" t="s">
        <v>12537</v>
      </c>
    </row>
    <row r="3880" spans="1:1" ht="25.5">
      <c r="A3880" s="49" t="s">
        <v>12538</v>
      </c>
    </row>
    <row r="3881" spans="1:1" ht="14.25">
      <c r="A3881" s="47" t="s">
        <v>12539</v>
      </c>
    </row>
    <row r="3882" spans="1:1" ht="14.25">
      <c r="A3882" s="47" t="s">
        <v>12540</v>
      </c>
    </row>
    <row r="3883" spans="1:1" ht="14.25">
      <c r="A3883" s="47" t="s">
        <v>12541</v>
      </c>
    </row>
    <row r="3884" spans="1:1" ht="14.25">
      <c r="A3884" s="47" t="s">
        <v>12542</v>
      </c>
    </row>
    <row r="3885" spans="1:1" ht="14.25">
      <c r="A3885" s="47" t="s">
        <v>12543</v>
      </c>
    </row>
    <row r="3886" spans="1:1" ht="14.25">
      <c r="A3886" s="47" t="s">
        <v>12544</v>
      </c>
    </row>
    <row r="3887" spans="1:1" ht="14.25">
      <c r="A3887" s="47" t="s">
        <v>12545</v>
      </c>
    </row>
    <row r="3888" spans="1:1" ht="14.25">
      <c r="A3888" s="47" t="s">
        <v>12546</v>
      </c>
    </row>
    <row r="3889" spans="1:1" ht="14.25">
      <c r="A3889" s="47" t="s">
        <v>12547</v>
      </c>
    </row>
    <row r="3890" spans="1:1" ht="14.25">
      <c r="A3890" s="47" t="s">
        <v>12548</v>
      </c>
    </row>
    <row r="3891" spans="1:1" ht="14.25">
      <c r="A3891" s="47" t="s">
        <v>12549</v>
      </c>
    </row>
    <row r="3892" spans="1:1" ht="14.25">
      <c r="A3892" s="47" t="s">
        <v>12550</v>
      </c>
    </row>
    <row r="3893" spans="1:1" ht="14.25">
      <c r="A3893" s="47" t="s">
        <v>12551</v>
      </c>
    </row>
    <row r="3894" spans="1:1" ht="14.25">
      <c r="A3894" s="47" t="s">
        <v>12552</v>
      </c>
    </row>
    <row r="3895" spans="1:1" ht="14.25">
      <c r="A3895" s="47" t="s">
        <v>12553</v>
      </c>
    </row>
    <row r="3896" spans="1:1" ht="14.25">
      <c r="A3896" s="47" t="s">
        <v>12554</v>
      </c>
    </row>
    <row r="3897" spans="1:1" ht="14.25">
      <c r="A3897" s="47" t="s">
        <v>12555</v>
      </c>
    </row>
    <row r="3898" spans="1:1" ht="14.25">
      <c r="A3898" s="47" t="s">
        <v>12556</v>
      </c>
    </row>
    <row r="3899" spans="1:1" ht="14.25">
      <c r="A3899" s="47" t="s">
        <v>12557</v>
      </c>
    </row>
    <row r="3900" spans="1:1" ht="14.25">
      <c r="A3900" s="47" t="s">
        <v>12558</v>
      </c>
    </row>
    <row r="3901" spans="1:1" ht="14.25">
      <c r="A3901" s="47" t="s">
        <v>12559</v>
      </c>
    </row>
    <row r="3902" spans="1:1" ht="14.25">
      <c r="A3902" s="47" t="s">
        <v>12560</v>
      </c>
    </row>
    <row r="3903" spans="1:1" ht="14.25">
      <c r="A3903" s="47" t="s">
        <v>12561</v>
      </c>
    </row>
    <row r="3904" spans="1:1" ht="14.25">
      <c r="A3904" s="47" t="s">
        <v>12562</v>
      </c>
    </row>
    <row r="3905" spans="1:1" ht="14.25">
      <c r="A3905" s="47" t="s">
        <v>12563</v>
      </c>
    </row>
    <row r="3906" spans="1:1" ht="14.25">
      <c r="A3906" s="47" t="s">
        <v>12564</v>
      </c>
    </row>
    <row r="3907" spans="1:1" ht="14.25">
      <c r="A3907" s="47" t="s">
        <v>12565</v>
      </c>
    </row>
    <row r="3908" spans="1:1" ht="14.25">
      <c r="A3908" s="47" t="s">
        <v>12566</v>
      </c>
    </row>
    <row r="3909" spans="1:1" ht="14.25">
      <c r="A3909" s="47" t="s">
        <v>12567</v>
      </c>
    </row>
    <row r="3910" spans="1:1" ht="14.25">
      <c r="A3910" s="47" t="s">
        <v>12568</v>
      </c>
    </row>
    <row r="3911" spans="1:1" ht="14.25">
      <c r="A3911" s="47" t="s">
        <v>12569</v>
      </c>
    </row>
    <row r="3912" spans="1:1" ht="14.25">
      <c r="A3912" s="47" t="s">
        <v>12570</v>
      </c>
    </row>
    <row r="3913" spans="1:1" ht="14.25">
      <c r="A3913" s="47" t="s">
        <v>12571</v>
      </c>
    </row>
    <row r="3914" spans="1:1" ht="14.25">
      <c r="A3914" s="47" t="s">
        <v>12572</v>
      </c>
    </row>
    <row r="3915" spans="1:1" ht="14.25">
      <c r="A3915" s="47" t="s">
        <v>12573</v>
      </c>
    </row>
    <row r="3916" spans="1:1" ht="14.25">
      <c r="A3916" s="47" t="s">
        <v>12574</v>
      </c>
    </row>
    <row r="3917" spans="1:1" ht="14.25">
      <c r="A3917" s="47" t="s">
        <v>12575</v>
      </c>
    </row>
    <row r="3918" spans="1:1" ht="14.25">
      <c r="A3918" s="47" t="s">
        <v>12576</v>
      </c>
    </row>
    <row r="3919" spans="1:1" ht="14.25">
      <c r="A3919" s="47" t="s">
        <v>12577</v>
      </c>
    </row>
    <row r="3920" spans="1:1" ht="14.25">
      <c r="A3920" s="47" t="s">
        <v>12578</v>
      </c>
    </row>
    <row r="3921" spans="1:1" ht="14.25">
      <c r="A3921" s="47" t="s">
        <v>12579</v>
      </c>
    </row>
    <row r="3922" spans="1:1" ht="14.25">
      <c r="A3922" s="47" t="s">
        <v>12580</v>
      </c>
    </row>
    <row r="3923" spans="1:1" ht="14.25">
      <c r="A3923" s="47" t="s">
        <v>12581</v>
      </c>
    </row>
    <row r="3924" spans="1:1" ht="14.25">
      <c r="A3924" s="47" t="s">
        <v>12582</v>
      </c>
    </row>
    <row r="3925" spans="1:1" ht="14.25">
      <c r="A3925" s="47" t="s">
        <v>12583</v>
      </c>
    </row>
    <row r="3926" spans="1:1" ht="14.25">
      <c r="A3926" s="47" t="s">
        <v>12584</v>
      </c>
    </row>
    <row r="3927" spans="1:1" ht="14.25">
      <c r="A3927" s="47" t="s">
        <v>12585</v>
      </c>
    </row>
    <row r="3928" spans="1:1" ht="14.25">
      <c r="A3928" s="47" t="s">
        <v>12586</v>
      </c>
    </row>
    <row r="3929" spans="1:1" ht="14.25">
      <c r="A3929" s="47" t="s">
        <v>12587</v>
      </c>
    </row>
    <row r="3930" spans="1:1" ht="14.25">
      <c r="A3930" s="47" t="s">
        <v>12588</v>
      </c>
    </row>
    <row r="3931" spans="1:1" ht="14.25">
      <c r="A3931" s="47" t="s">
        <v>12589</v>
      </c>
    </row>
    <row r="3932" spans="1:1" ht="14.25">
      <c r="A3932" s="47" t="s">
        <v>12590</v>
      </c>
    </row>
    <row r="3933" spans="1:1" ht="14.25">
      <c r="A3933" s="47" t="s">
        <v>12591</v>
      </c>
    </row>
    <row r="3934" spans="1:1" ht="14.25">
      <c r="A3934" s="47" t="s">
        <v>12592</v>
      </c>
    </row>
    <row r="3935" spans="1:1" ht="14.25">
      <c r="A3935" s="47" t="s">
        <v>12593</v>
      </c>
    </row>
    <row r="3936" spans="1:1" ht="14.25">
      <c r="A3936" s="47" t="s">
        <v>12594</v>
      </c>
    </row>
    <row r="3937" spans="1:1" ht="14.25">
      <c r="A3937" s="47" t="s">
        <v>12595</v>
      </c>
    </row>
    <row r="3938" spans="1:1" ht="25.5">
      <c r="A3938" s="49" t="s">
        <v>12596</v>
      </c>
    </row>
    <row r="3939" spans="1:1" ht="14.25">
      <c r="A3939" s="47" t="s">
        <v>12597</v>
      </c>
    </row>
    <row r="3940" spans="1:1" ht="14.25">
      <c r="A3940" s="47" t="s">
        <v>12598</v>
      </c>
    </row>
    <row r="3941" spans="1:1" ht="14.25">
      <c r="A3941" s="47" t="s">
        <v>12599</v>
      </c>
    </row>
    <row r="3942" spans="1:1" ht="14.25">
      <c r="A3942" s="47" t="s">
        <v>12600</v>
      </c>
    </row>
    <row r="3943" spans="1:1" ht="14.25">
      <c r="A3943" s="47" t="s">
        <v>12601</v>
      </c>
    </row>
    <row r="3944" spans="1:1" ht="14.25">
      <c r="A3944" s="47" t="s">
        <v>12602</v>
      </c>
    </row>
    <row r="3945" spans="1:1" ht="14.25">
      <c r="A3945" s="47" t="s">
        <v>12603</v>
      </c>
    </row>
    <row r="3946" spans="1:1" ht="14.25">
      <c r="A3946" s="47" t="s">
        <v>12604</v>
      </c>
    </row>
    <row r="3947" spans="1:1" ht="14.25">
      <c r="A3947" s="47" t="s">
        <v>12605</v>
      </c>
    </row>
    <row r="3948" spans="1:1" ht="14.25">
      <c r="A3948" s="47" t="s">
        <v>12606</v>
      </c>
    </row>
    <row r="3949" spans="1:1" ht="14.25">
      <c r="A3949" s="47" t="s">
        <v>12607</v>
      </c>
    </row>
    <row r="3950" spans="1:1" ht="14.25">
      <c r="A3950" s="47" t="s">
        <v>12608</v>
      </c>
    </row>
    <row r="3951" spans="1:1" ht="14.25">
      <c r="A3951" s="47" t="s">
        <v>12609</v>
      </c>
    </row>
    <row r="3952" spans="1:1" ht="14.25">
      <c r="A3952" s="47" t="s">
        <v>12610</v>
      </c>
    </row>
    <row r="3953" spans="1:1" ht="14.25">
      <c r="A3953" s="47" t="s">
        <v>12611</v>
      </c>
    </row>
    <row r="3954" spans="1:1" ht="14.25">
      <c r="A3954" s="47" t="s">
        <v>12612</v>
      </c>
    </row>
    <row r="3955" spans="1:1" ht="14.25">
      <c r="A3955" s="47" t="s">
        <v>12613</v>
      </c>
    </row>
    <row r="3956" spans="1:1" ht="14.25">
      <c r="A3956" s="47" t="s">
        <v>12614</v>
      </c>
    </row>
    <row r="3957" spans="1:1" ht="14.25">
      <c r="A3957" s="47" t="s">
        <v>12615</v>
      </c>
    </row>
    <row r="3958" spans="1:1" ht="14.25">
      <c r="A3958" s="47" t="s">
        <v>12616</v>
      </c>
    </row>
    <row r="3959" spans="1:1" ht="14.25">
      <c r="A3959" s="47" t="s">
        <v>12617</v>
      </c>
    </row>
    <row r="3960" spans="1:1" ht="14.25">
      <c r="A3960" s="47" t="s">
        <v>12618</v>
      </c>
    </row>
    <row r="3961" spans="1:1" ht="14.25">
      <c r="A3961" s="47" t="s">
        <v>12619</v>
      </c>
    </row>
    <row r="3962" spans="1:1" ht="14.25">
      <c r="A3962" s="47" t="s">
        <v>12620</v>
      </c>
    </row>
    <row r="3963" spans="1:1" ht="14.25">
      <c r="A3963" s="47" t="s">
        <v>12621</v>
      </c>
    </row>
    <row r="3964" spans="1:1" ht="14.25">
      <c r="A3964" s="47" t="s">
        <v>12622</v>
      </c>
    </row>
    <row r="3965" spans="1:1" ht="14.25">
      <c r="A3965" s="47" t="s">
        <v>12623</v>
      </c>
    </row>
    <row r="3966" spans="1:1" ht="14.25">
      <c r="A3966" s="47" t="s">
        <v>12624</v>
      </c>
    </row>
    <row r="3967" spans="1:1" ht="14.25">
      <c r="A3967" s="47" t="s">
        <v>12625</v>
      </c>
    </row>
    <row r="3968" spans="1:1" ht="14.25">
      <c r="A3968" s="47" t="s">
        <v>12626</v>
      </c>
    </row>
    <row r="3969" spans="1:1" ht="14.25">
      <c r="A3969" s="47" t="s">
        <v>12627</v>
      </c>
    </row>
    <row r="3970" spans="1:1" ht="14.25">
      <c r="A3970" s="47" t="s">
        <v>12628</v>
      </c>
    </row>
    <row r="3971" spans="1:1" ht="14.25">
      <c r="A3971" s="47" t="s">
        <v>12629</v>
      </c>
    </row>
    <row r="3972" spans="1:1" ht="14.25">
      <c r="A3972" s="47" t="s">
        <v>12630</v>
      </c>
    </row>
    <row r="3973" spans="1:1" ht="14.25">
      <c r="A3973" s="47" t="s">
        <v>12631</v>
      </c>
    </row>
    <row r="3974" spans="1:1" ht="14.25">
      <c r="A3974" s="47" t="s">
        <v>12632</v>
      </c>
    </row>
    <row r="3975" spans="1:1" ht="14.25">
      <c r="A3975" s="47" t="s">
        <v>12633</v>
      </c>
    </row>
    <row r="3976" spans="1:1" ht="14.25">
      <c r="A3976" s="47" t="s">
        <v>12634</v>
      </c>
    </row>
    <row r="3977" spans="1:1" ht="14.25">
      <c r="A3977" s="47" t="s">
        <v>12635</v>
      </c>
    </row>
    <row r="3978" spans="1:1" ht="14.25">
      <c r="A3978" s="47" t="s">
        <v>12636</v>
      </c>
    </row>
    <row r="3979" spans="1:1" ht="14.25">
      <c r="A3979" s="47" t="s">
        <v>12637</v>
      </c>
    </row>
    <row r="3980" spans="1:1" ht="14.25">
      <c r="A3980" s="47" t="s">
        <v>12638</v>
      </c>
    </row>
    <row r="3981" spans="1:1" ht="14.25">
      <c r="A3981" s="47" t="s">
        <v>12639</v>
      </c>
    </row>
    <row r="3982" spans="1:1" ht="14.25">
      <c r="A3982" s="47" t="s">
        <v>12640</v>
      </c>
    </row>
    <row r="3983" spans="1:1" ht="14.25">
      <c r="A3983" s="47" t="s">
        <v>12641</v>
      </c>
    </row>
    <row r="3984" spans="1:1" ht="14.25">
      <c r="A3984" s="47" t="s">
        <v>12642</v>
      </c>
    </row>
    <row r="3985" spans="1:1" ht="14.25">
      <c r="A3985" s="47" t="s">
        <v>12643</v>
      </c>
    </row>
    <row r="3986" spans="1:1" ht="14.25">
      <c r="A3986" s="47" t="s">
        <v>12644</v>
      </c>
    </row>
    <row r="3987" spans="1:1" ht="14.25">
      <c r="A3987" s="47" t="s">
        <v>12645</v>
      </c>
    </row>
    <row r="3988" spans="1:1" ht="14.25">
      <c r="A3988" s="47" t="s">
        <v>12646</v>
      </c>
    </row>
    <row r="3989" spans="1:1" ht="14.25">
      <c r="A3989" s="47" t="s">
        <v>12647</v>
      </c>
    </row>
    <row r="3990" spans="1:1" ht="14.25">
      <c r="A3990" s="47" t="s">
        <v>12648</v>
      </c>
    </row>
    <row r="3991" spans="1:1" ht="14.25">
      <c r="A3991" s="47" t="s">
        <v>12649</v>
      </c>
    </row>
    <row r="3992" spans="1:1" ht="14.25">
      <c r="A3992" s="47" t="s">
        <v>12650</v>
      </c>
    </row>
    <row r="3993" spans="1:1" ht="14.25">
      <c r="A3993" s="47" t="s">
        <v>12651</v>
      </c>
    </row>
    <row r="3994" spans="1:1" ht="14.25">
      <c r="A3994" s="47" t="s">
        <v>12652</v>
      </c>
    </row>
    <row r="3995" spans="1:1" ht="14.25">
      <c r="A3995" s="47" t="s">
        <v>12653</v>
      </c>
    </row>
    <row r="3996" spans="1:1" ht="14.25">
      <c r="A3996" s="47" t="s">
        <v>12654</v>
      </c>
    </row>
    <row r="3997" spans="1:1" ht="14.25">
      <c r="A3997" s="47" t="s">
        <v>12655</v>
      </c>
    </row>
    <row r="3998" spans="1:1" ht="14.25">
      <c r="A3998" s="47" t="s">
        <v>12656</v>
      </c>
    </row>
    <row r="3999" spans="1:1" ht="14.25">
      <c r="A3999" s="47" t="s">
        <v>12657</v>
      </c>
    </row>
    <row r="4000" spans="1:1" ht="14.25">
      <c r="A4000" s="47" t="s">
        <v>12658</v>
      </c>
    </row>
    <row r="4001" spans="1:1" ht="14.25">
      <c r="A4001" s="47" t="s">
        <v>12659</v>
      </c>
    </row>
    <row r="4002" spans="1:1" ht="14.25">
      <c r="A4002" s="47" t="s">
        <v>12660</v>
      </c>
    </row>
    <row r="4003" spans="1:1" ht="25.5">
      <c r="A4003" s="49" t="s">
        <v>12661</v>
      </c>
    </row>
    <row r="4004" spans="1:1" ht="14.25">
      <c r="A4004" s="47" t="s">
        <v>12662</v>
      </c>
    </row>
    <row r="4005" spans="1:1" ht="14.25">
      <c r="A4005" s="47" t="s">
        <v>12663</v>
      </c>
    </row>
    <row r="4006" spans="1:1" ht="14.25">
      <c r="A4006" s="47" t="s">
        <v>12664</v>
      </c>
    </row>
    <row r="4007" spans="1:1" ht="14.25">
      <c r="A4007" s="47" t="s">
        <v>12665</v>
      </c>
    </row>
    <row r="4008" spans="1:1" ht="14.25">
      <c r="A4008" s="47" t="s">
        <v>12666</v>
      </c>
    </row>
    <row r="4009" spans="1:1" ht="14.25">
      <c r="A4009" s="47" t="s">
        <v>12667</v>
      </c>
    </row>
    <row r="4010" spans="1:1" ht="14.25">
      <c r="A4010" s="47" t="s">
        <v>12668</v>
      </c>
    </row>
    <row r="4011" spans="1:1" ht="14.25">
      <c r="A4011" s="47" t="s">
        <v>12669</v>
      </c>
    </row>
    <row r="4012" spans="1:1" ht="14.25">
      <c r="A4012" s="47" t="s">
        <v>12670</v>
      </c>
    </row>
    <row r="4013" spans="1:1" ht="14.25">
      <c r="A4013" s="47" t="s">
        <v>12671</v>
      </c>
    </row>
    <row r="4014" spans="1:1" ht="14.25">
      <c r="A4014" s="47" t="s">
        <v>12672</v>
      </c>
    </row>
    <row r="4015" spans="1:1" ht="14.25">
      <c r="A4015" s="47" t="s">
        <v>12673</v>
      </c>
    </row>
    <row r="4016" spans="1:1" ht="14.25">
      <c r="A4016" s="47" t="s">
        <v>12674</v>
      </c>
    </row>
    <row r="4017" spans="1:1" ht="14.25">
      <c r="A4017" s="47" t="s">
        <v>12675</v>
      </c>
    </row>
    <row r="4018" spans="1:1" ht="14.25">
      <c r="A4018" s="47" t="s">
        <v>12676</v>
      </c>
    </row>
    <row r="4019" spans="1:1" ht="14.25">
      <c r="A4019" s="47" t="s">
        <v>12677</v>
      </c>
    </row>
    <row r="4020" spans="1:1" ht="14.25">
      <c r="A4020" s="47" t="s">
        <v>12678</v>
      </c>
    </row>
    <row r="4021" spans="1:1" ht="14.25">
      <c r="A4021" s="47" t="s">
        <v>12679</v>
      </c>
    </row>
    <row r="4022" spans="1:1" ht="14.25">
      <c r="A4022" s="47" t="s">
        <v>12680</v>
      </c>
    </row>
    <row r="4023" spans="1:1" ht="14.25">
      <c r="A4023" s="47" t="s">
        <v>12681</v>
      </c>
    </row>
    <row r="4024" spans="1:1" ht="14.25">
      <c r="A4024" s="47" t="s">
        <v>12682</v>
      </c>
    </row>
    <row r="4025" spans="1:1" ht="14.25">
      <c r="A4025" s="47" t="s">
        <v>12683</v>
      </c>
    </row>
    <row r="4026" spans="1:1" ht="14.25">
      <c r="A4026" s="47" t="s">
        <v>12684</v>
      </c>
    </row>
    <row r="4027" spans="1:1" ht="14.25">
      <c r="A4027" s="47" t="s">
        <v>12685</v>
      </c>
    </row>
    <row r="4028" spans="1:1" ht="14.25">
      <c r="A4028" s="47" t="s">
        <v>12686</v>
      </c>
    </row>
    <row r="4029" spans="1:1" ht="14.25">
      <c r="A4029" s="47" t="s">
        <v>12687</v>
      </c>
    </row>
    <row r="4030" spans="1:1" ht="14.25">
      <c r="A4030" s="47" t="s">
        <v>12688</v>
      </c>
    </row>
    <row r="4031" spans="1:1" ht="14.25">
      <c r="A4031" s="47" t="s">
        <v>12689</v>
      </c>
    </row>
    <row r="4032" spans="1:1" ht="14.25">
      <c r="A4032" s="47" t="s">
        <v>12690</v>
      </c>
    </row>
    <row r="4033" spans="1:1" ht="14.25">
      <c r="A4033" s="47" t="s">
        <v>12691</v>
      </c>
    </row>
    <row r="4034" spans="1:1" ht="14.25">
      <c r="A4034" s="47" t="s">
        <v>12692</v>
      </c>
    </row>
    <row r="4035" spans="1:1" ht="14.25">
      <c r="A4035" s="47" t="s">
        <v>12693</v>
      </c>
    </row>
    <row r="4036" spans="1:1" ht="14.25">
      <c r="A4036" s="47" t="s">
        <v>12694</v>
      </c>
    </row>
    <row r="4037" spans="1:1" ht="14.25">
      <c r="A4037" s="47" t="s">
        <v>12695</v>
      </c>
    </row>
    <row r="4038" spans="1:1" ht="14.25">
      <c r="A4038" s="47" t="s">
        <v>12696</v>
      </c>
    </row>
    <row r="4039" spans="1:1" ht="14.25">
      <c r="A4039" s="47" t="s">
        <v>12697</v>
      </c>
    </row>
    <row r="4040" spans="1:1" ht="14.25">
      <c r="A4040" s="47" t="s">
        <v>12698</v>
      </c>
    </row>
    <row r="4041" spans="1:1" ht="14.25">
      <c r="A4041" s="47" t="s">
        <v>12699</v>
      </c>
    </row>
    <row r="4042" spans="1:1" ht="14.25">
      <c r="A4042" s="47" t="s">
        <v>12700</v>
      </c>
    </row>
    <row r="4043" spans="1:1" ht="25.5">
      <c r="A4043" s="49" t="s">
        <v>12701</v>
      </c>
    </row>
    <row r="4044" spans="1:1" ht="14.25">
      <c r="A4044" s="47" t="s">
        <v>12702</v>
      </c>
    </row>
    <row r="4045" spans="1:1" ht="14.25">
      <c r="A4045" s="47" t="s">
        <v>12703</v>
      </c>
    </row>
    <row r="4046" spans="1:1" ht="14.25">
      <c r="A4046" s="47" t="s">
        <v>12704</v>
      </c>
    </row>
    <row r="4047" spans="1:1" ht="14.25">
      <c r="A4047" s="47" t="s">
        <v>12705</v>
      </c>
    </row>
    <row r="4048" spans="1:1" ht="14.25">
      <c r="A4048" s="47" t="s">
        <v>12706</v>
      </c>
    </row>
    <row r="4049" spans="1:1" ht="14.25">
      <c r="A4049" s="47" t="s">
        <v>12707</v>
      </c>
    </row>
    <row r="4050" spans="1:1" ht="14.25">
      <c r="A4050" s="47" t="s">
        <v>12708</v>
      </c>
    </row>
    <row r="4051" spans="1:1" ht="14.25">
      <c r="A4051" s="47" t="s">
        <v>12709</v>
      </c>
    </row>
    <row r="4052" spans="1:1" ht="14.25">
      <c r="A4052" s="47" t="s">
        <v>12710</v>
      </c>
    </row>
    <row r="4053" spans="1:1" ht="14.25">
      <c r="A4053" s="47" t="s">
        <v>12711</v>
      </c>
    </row>
    <row r="4054" spans="1:1" ht="14.25">
      <c r="A4054" s="47" t="s">
        <v>12712</v>
      </c>
    </row>
    <row r="4055" spans="1:1" ht="14.25">
      <c r="A4055" s="47" t="s">
        <v>12713</v>
      </c>
    </row>
    <row r="4056" spans="1:1" ht="14.25">
      <c r="A4056" s="47" t="s">
        <v>12714</v>
      </c>
    </row>
    <row r="4057" spans="1:1" ht="14.25">
      <c r="A4057" s="47" t="s">
        <v>12715</v>
      </c>
    </row>
    <row r="4058" spans="1:1" ht="14.25">
      <c r="A4058" s="47" t="s">
        <v>12716</v>
      </c>
    </row>
    <row r="4059" spans="1:1" ht="14.25">
      <c r="A4059" s="47" t="s">
        <v>12717</v>
      </c>
    </row>
    <row r="4060" spans="1:1" ht="14.25">
      <c r="A4060" s="47" t="s">
        <v>12718</v>
      </c>
    </row>
    <row r="4061" spans="1:1" ht="14.25">
      <c r="A4061" s="47" t="s">
        <v>12719</v>
      </c>
    </row>
    <row r="4062" spans="1:1" ht="14.25">
      <c r="A4062" s="47" t="s">
        <v>12720</v>
      </c>
    </row>
    <row r="4063" spans="1:1" ht="14.25">
      <c r="A4063" s="47" t="s">
        <v>12721</v>
      </c>
    </row>
    <row r="4064" spans="1:1" ht="14.25">
      <c r="A4064" s="47" t="s">
        <v>12722</v>
      </c>
    </row>
    <row r="4065" spans="1:1" ht="14.25">
      <c r="A4065" s="47" t="s">
        <v>12723</v>
      </c>
    </row>
    <row r="4066" spans="1:1" ht="14.25">
      <c r="A4066" s="47" t="s">
        <v>12724</v>
      </c>
    </row>
    <row r="4067" spans="1:1" ht="14.25">
      <c r="A4067" s="47" t="s">
        <v>12725</v>
      </c>
    </row>
    <row r="4068" spans="1:1" ht="14.25">
      <c r="A4068" s="47" t="s">
        <v>12726</v>
      </c>
    </row>
    <row r="4069" spans="1:1" ht="14.25">
      <c r="A4069" s="47" t="s">
        <v>12727</v>
      </c>
    </row>
    <row r="4070" spans="1:1" ht="14.25">
      <c r="A4070" s="47" t="s">
        <v>12728</v>
      </c>
    </row>
    <row r="4071" spans="1:1" ht="14.25">
      <c r="A4071" s="47" t="s">
        <v>12729</v>
      </c>
    </row>
    <row r="4072" spans="1:1" ht="14.25">
      <c r="A4072" s="47" t="s">
        <v>12730</v>
      </c>
    </row>
    <row r="4073" spans="1:1" ht="14.25">
      <c r="A4073" s="47" t="s">
        <v>12731</v>
      </c>
    </row>
    <row r="4074" spans="1:1" ht="14.25">
      <c r="A4074" s="47" t="s">
        <v>12732</v>
      </c>
    </row>
    <row r="4075" spans="1:1" ht="14.25">
      <c r="A4075" s="47" t="s">
        <v>12733</v>
      </c>
    </row>
    <row r="4076" spans="1:1" ht="14.25">
      <c r="A4076" s="47" t="s">
        <v>12734</v>
      </c>
    </row>
    <row r="4077" spans="1:1" ht="14.25">
      <c r="A4077" s="47" t="s">
        <v>12735</v>
      </c>
    </row>
    <row r="4078" spans="1:1" ht="14.25">
      <c r="A4078" s="47" t="s">
        <v>12736</v>
      </c>
    </row>
    <row r="4079" spans="1:1" ht="14.25">
      <c r="A4079" s="47" t="s">
        <v>12737</v>
      </c>
    </row>
    <row r="4080" spans="1:1" ht="14.25">
      <c r="A4080" s="47" t="s">
        <v>12738</v>
      </c>
    </row>
    <row r="4081" spans="1:1" ht="14.25">
      <c r="A4081" s="47" t="s">
        <v>12739</v>
      </c>
    </row>
    <row r="4082" spans="1:1" ht="14.25">
      <c r="A4082" s="47" t="s">
        <v>12740</v>
      </c>
    </row>
    <row r="4083" spans="1:1" ht="14.25">
      <c r="A4083" s="47" t="s">
        <v>12741</v>
      </c>
    </row>
    <row r="4084" spans="1:1" ht="14.25">
      <c r="A4084" s="47" t="s">
        <v>12742</v>
      </c>
    </row>
    <row r="4085" spans="1:1" ht="14.25">
      <c r="A4085" s="47" t="s">
        <v>12743</v>
      </c>
    </row>
    <row r="4086" spans="1:1" ht="14.25">
      <c r="A4086" s="47" t="s">
        <v>12744</v>
      </c>
    </row>
    <row r="4087" spans="1:1" ht="14.25">
      <c r="A4087" s="47" t="s">
        <v>12745</v>
      </c>
    </row>
    <row r="4088" spans="1:1" ht="14.25">
      <c r="A4088" s="47" t="s">
        <v>12746</v>
      </c>
    </row>
    <row r="4089" spans="1:1" ht="14.25">
      <c r="A4089" s="47" t="s">
        <v>12747</v>
      </c>
    </row>
    <row r="4090" spans="1:1" ht="14.25">
      <c r="A4090" s="47" t="s">
        <v>12748</v>
      </c>
    </row>
    <row r="4091" spans="1:1" ht="14.25">
      <c r="A4091" s="47" t="s">
        <v>12749</v>
      </c>
    </row>
    <row r="4092" spans="1:1" ht="14.25">
      <c r="A4092" s="47" t="s">
        <v>12750</v>
      </c>
    </row>
    <row r="4093" spans="1:1" ht="25.5">
      <c r="A4093" s="49" t="s">
        <v>12751</v>
      </c>
    </row>
    <row r="4094" spans="1:1" ht="14.25">
      <c r="A4094" s="47" t="s">
        <v>12752</v>
      </c>
    </row>
    <row r="4095" spans="1:1" ht="14.25">
      <c r="A4095" s="47" t="s">
        <v>12753</v>
      </c>
    </row>
    <row r="4096" spans="1:1" ht="14.25">
      <c r="A4096" s="47" t="s">
        <v>12754</v>
      </c>
    </row>
    <row r="4097" spans="1:1" ht="14.25">
      <c r="A4097" s="47" t="s">
        <v>12755</v>
      </c>
    </row>
    <row r="4098" spans="1:1" ht="14.25">
      <c r="A4098" s="47" t="s">
        <v>12756</v>
      </c>
    </row>
    <row r="4099" spans="1:1" ht="14.25">
      <c r="A4099" s="47" t="s">
        <v>12757</v>
      </c>
    </row>
    <row r="4100" spans="1:1" ht="14.25">
      <c r="A4100" s="47" t="s">
        <v>12758</v>
      </c>
    </row>
    <row r="4101" spans="1:1" ht="14.25">
      <c r="A4101" s="47" t="s">
        <v>12759</v>
      </c>
    </row>
    <row r="4102" spans="1:1" ht="14.25">
      <c r="A4102" s="47" t="s">
        <v>12760</v>
      </c>
    </row>
    <row r="4103" spans="1:1" ht="14.25">
      <c r="A4103" s="47" t="s">
        <v>12761</v>
      </c>
    </row>
    <row r="4104" spans="1:1" ht="14.25">
      <c r="A4104" s="47" t="s">
        <v>12762</v>
      </c>
    </row>
    <row r="4105" spans="1:1" ht="14.25">
      <c r="A4105" s="47" t="s">
        <v>12763</v>
      </c>
    </row>
    <row r="4106" spans="1:1" ht="14.25">
      <c r="A4106" s="47" t="s">
        <v>12764</v>
      </c>
    </row>
    <row r="4107" spans="1:1" ht="14.25">
      <c r="A4107" s="47" t="s">
        <v>12765</v>
      </c>
    </row>
    <row r="4108" spans="1:1" ht="14.25">
      <c r="A4108" s="47" t="s">
        <v>12766</v>
      </c>
    </row>
    <row r="4109" spans="1:1" ht="14.25">
      <c r="A4109" s="47" t="s">
        <v>12767</v>
      </c>
    </row>
    <row r="4110" spans="1:1" ht="14.25">
      <c r="A4110" s="47" t="s">
        <v>12768</v>
      </c>
    </row>
    <row r="4111" spans="1:1" ht="14.25">
      <c r="A4111" s="47" t="s">
        <v>12769</v>
      </c>
    </row>
    <row r="4112" spans="1:1" ht="14.25">
      <c r="A4112" s="47" t="s">
        <v>12770</v>
      </c>
    </row>
    <row r="4113" spans="1:1" ht="14.25">
      <c r="A4113" s="47" t="s">
        <v>12771</v>
      </c>
    </row>
    <row r="4114" spans="1:1" ht="14.25">
      <c r="A4114" s="47" t="s">
        <v>12772</v>
      </c>
    </row>
    <row r="4115" spans="1:1" ht="14.25">
      <c r="A4115" s="47" t="s">
        <v>12773</v>
      </c>
    </row>
    <row r="4116" spans="1:1" ht="14.25">
      <c r="A4116" s="47" t="s">
        <v>12774</v>
      </c>
    </row>
    <row r="4117" spans="1:1" ht="25.5">
      <c r="A4117" s="49" t="s">
        <v>12775</v>
      </c>
    </row>
    <row r="4118" spans="1:1" ht="14.25">
      <c r="A4118" s="47" t="s">
        <v>12776</v>
      </c>
    </row>
    <row r="4119" spans="1:1" ht="14.25">
      <c r="A4119" s="47" t="s">
        <v>12777</v>
      </c>
    </row>
    <row r="4120" spans="1:1" ht="14.25">
      <c r="A4120" s="47" t="s">
        <v>12778</v>
      </c>
    </row>
    <row r="4121" spans="1:1" ht="14.25">
      <c r="A4121" s="47" t="s">
        <v>12779</v>
      </c>
    </row>
    <row r="4122" spans="1:1" ht="14.25">
      <c r="A4122" s="47" t="s">
        <v>12780</v>
      </c>
    </row>
    <row r="4123" spans="1:1" ht="14.25">
      <c r="A4123" s="47" t="s">
        <v>12781</v>
      </c>
    </row>
    <row r="4124" spans="1:1" ht="14.25">
      <c r="A4124" s="47" t="s">
        <v>12782</v>
      </c>
    </row>
    <row r="4125" spans="1:1" ht="14.25">
      <c r="A4125" s="47" t="s">
        <v>12783</v>
      </c>
    </row>
    <row r="4126" spans="1:1" ht="14.25">
      <c r="A4126" s="47" t="s">
        <v>12784</v>
      </c>
    </row>
    <row r="4127" spans="1:1" ht="14.25">
      <c r="A4127" s="47" t="s">
        <v>12785</v>
      </c>
    </row>
    <row r="4128" spans="1:1" ht="14.25">
      <c r="A4128" s="47" t="s">
        <v>12786</v>
      </c>
    </row>
    <row r="4129" spans="1:1" ht="14.25">
      <c r="A4129" s="47" t="s">
        <v>12787</v>
      </c>
    </row>
    <row r="4130" spans="1:1" ht="14.25">
      <c r="A4130" s="47" t="s">
        <v>12788</v>
      </c>
    </row>
    <row r="4131" spans="1:1" ht="14.25">
      <c r="A4131" s="47" t="s">
        <v>12789</v>
      </c>
    </row>
    <row r="4132" spans="1:1" ht="14.25">
      <c r="A4132" s="47" t="s">
        <v>12790</v>
      </c>
    </row>
  </sheetData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5"/>
  <sheetViews>
    <sheetView zoomScaleNormal="100" workbookViewId="0">
      <pane ySplit="4" topLeftCell="A5" activePane="bottomLeft" state="frozen"/>
      <selection pane="bottomLeft"/>
    </sheetView>
  </sheetViews>
  <sheetFormatPr defaultColWidth="8.5" defaultRowHeight="13.5"/>
  <cols>
    <col min="1" max="1" width="7" customWidth="1"/>
    <col min="2" max="2" width="11" customWidth="1"/>
    <col min="3" max="3" width="40" customWidth="1"/>
    <col min="4" max="4" width="8" customWidth="1"/>
    <col min="5" max="5" width="44" customWidth="1"/>
    <col min="6" max="6" width="9" customWidth="1"/>
    <col min="7" max="7" width="60" customWidth="1"/>
  </cols>
  <sheetData>
    <row r="1" spans="1:7" ht="21.75">
      <c r="A1" s="37" t="s">
        <v>12791</v>
      </c>
    </row>
    <row r="2" spans="1:7" ht="48" customHeight="1">
      <c r="A2" s="1" t="s">
        <v>12792</v>
      </c>
      <c r="B2" s="1"/>
      <c r="C2" s="1"/>
      <c r="D2" s="1"/>
      <c r="E2" s="1"/>
      <c r="F2" s="1"/>
      <c r="G2" s="1"/>
    </row>
    <row r="4" spans="1:7" ht="16.5">
      <c r="A4" s="10" t="s">
        <v>12793</v>
      </c>
      <c r="B4" s="10" t="s">
        <v>12794</v>
      </c>
      <c r="C4" s="10" t="s">
        <v>12795</v>
      </c>
      <c r="D4" s="10" t="s">
        <v>12796</v>
      </c>
      <c r="E4" s="38" t="s">
        <v>12797</v>
      </c>
      <c r="F4" s="38" t="s">
        <v>12798</v>
      </c>
      <c r="G4" s="10" t="s">
        <v>12799</v>
      </c>
    </row>
    <row r="5" spans="1:7" ht="33">
      <c r="A5" s="27">
        <v>2</v>
      </c>
      <c r="B5" s="9" t="s">
        <v>12800</v>
      </c>
      <c r="C5" s="6" t="s">
        <v>12801</v>
      </c>
      <c r="D5" s="36" t="s">
        <v>12802</v>
      </c>
      <c r="E5" s="6" t="s">
        <v>12803</v>
      </c>
      <c r="F5" s="27" t="s">
        <v>3986</v>
      </c>
      <c r="G5" s="5"/>
    </row>
    <row r="6" spans="1:7" ht="33">
      <c r="A6" s="29">
        <v>3</v>
      </c>
      <c r="B6" s="30" t="s">
        <v>12800</v>
      </c>
      <c r="C6" s="31" t="s">
        <v>12804</v>
      </c>
      <c r="D6" s="36" t="s">
        <v>12802</v>
      </c>
      <c r="E6" s="31" t="s">
        <v>12805</v>
      </c>
      <c r="F6" s="29" t="s">
        <v>3990</v>
      </c>
      <c r="G6" s="32"/>
    </row>
    <row r="7" spans="1:7" ht="16.5">
      <c r="A7" s="27">
        <v>4</v>
      </c>
      <c r="B7" s="9" t="s">
        <v>12800</v>
      </c>
      <c r="C7" s="6" t="s">
        <v>12806</v>
      </c>
      <c r="D7" s="36" t="s">
        <v>12802</v>
      </c>
      <c r="E7" s="6" t="s">
        <v>12807</v>
      </c>
      <c r="F7" s="27" t="s">
        <v>4086</v>
      </c>
      <c r="G7" s="5"/>
    </row>
    <row r="8" spans="1:7" ht="16.5">
      <c r="A8" s="29">
        <v>5</v>
      </c>
      <c r="B8" s="30" t="s">
        <v>12800</v>
      </c>
      <c r="C8" s="31" t="s">
        <v>12808</v>
      </c>
      <c r="D8" s="36" t="s">
        <v>12802</v>
      </c>
      <c r="E8" s="31" t="s">
        <v>12809</v>
      </c>
      <c r="F8" s="29" t="s">
        <v>4089</v>
      </c>
      <c r="G8" s="32"/>
    </row>
    <row r="9" spans="1:7" ht="16.5">
      <c r="A9" s="27">
        <v>6</v>
      </c>
      <c r="B9" s="9" t="s">
        <v>12800</v>
      </c>
      <c r="C9" s="6" t="s">
        <v>12810</v>
      </c>
      <c r="D9" s="36" t="s">
        <v>12802</v>
      </c>
      <c r="E9" s="6" t="s">
        <v>12811</v>
      </c>
      <c r="F9" s="27" t="s">
        <v>4093</v>
      </c>
      <c r="G9" s="5"/>
    </row>
    <row r="10" spans="1:7" ht="16.5">
      <c r="A10" s="29">
        <v>7</v>
      </c>
      <c r="B10" s="30" t="s">
        <v>12800</v>
      </c>
      <c r="C10" s="31" t="s">
        <v>12812</v>
      </c>
      <c r="D10" s="36" t="s">
        <v>12802</v>
      </c>
      <c r="E10" s="31" t="s">
        <v>12813</v>
      </c>
      <c r="F10" s="29" t="s">
        <v>4098</v>
      </c>
      <c r="G10" s="31" t="s">
        <v>12814</v>
      </c>
    </row>
    <row r="11" spans="1:7" ht="16.5">
      <c r="A11" s="27">
        <v>8</v>
      </c>
      <c r="B11" s="9" t="s">
        <v>12800</v>
      </c>
      <c r="C11" s="5" t="s">
        <v>12815</v>
      </c>
      <c r="D11" s="36" t="s">
        <v>12802</v>
      </c>
      <c r="E11" s="6" t="s">
        <v>12816</v>
      </c>
      <c r="F11" s="27" t="s">
        <v>3381</v>
      </c>
      <c r="G11" s="6" t="s">
        <v>12817</v>
      </c>
    </row>
    <row r="12" spans="1:7" ht="16.5">
      <c r="A12" s="29">
        <v>9</v>
      </c>
      <c r="B12" s="30" t="s">
        <v>12800</v>
      </c>
      <c r="C12" s="32" t="s">
        <v>12818</v>
      </c>
      <c r="D12" s="36" t="s">
        <v>12802</v>
      </c>
      <c r="E12" s="31" t="s">
        <v>12819</v>
      </c>
      <c r="F12" s="29" t="s">
        <v>3387</v>
      </c>
      <c r="G12" s="31" t="s">
        <v>12817</v>
      </c>
    </row>
    <row r="13" spans="1:7" ht="16.5">
      <c r="A13" s="27">
        <v>10</v>
      </c>
      <c r="B13" s="9" t="s">
        <v>12800</v>
      </c>
      <c r="C13" s="6" t="s">
        <v>12820</v>
      </c>
      <c r="D13" s="40" t="s">
        <v>12821</v>
      </c>
      <c r="E13" s="6" t="s">
        <v>12820</v>
      </c>
      <c r="F13" s="27" t="s">
        <v>3846</v>
      </c>
      <c r="G13" s="6" t="s">
        <v>12822</v>
      </c>
    </row>
    <row r="14" spans="1:7" ht="16.5">
      <c r="A14" s="29">
        <v>11</v>
      </c>
      <c r="B14" s="30" t="s">
        <v>12800</v>
      </c>
      <c r="C14" s="31" t="s">
        <v>12823</v>
      </c>
      <c r="D14" s="39" t="s">
        <v>12821</v>
      </c>
      <c r="E14" s="31" t="s">
        <v>12823</v>
      </c>
      <c r="F14" s="29" t="s">
        <v>3851</v>
      </c>
      <c r="G14" s="31" t="s">
        <v>12822</v>
      </c>
    </row>
    <row r="15" spans="1:7" ht="16.5">
      <c r="A15" s="27">
        <v>12</v>
      </c>
      <c r="B15" s="9" t="s">
        <v>12800</v>
      </c>
      <c r="C15" s="6" t="s">
        <v>12824</v>
      </c>
      <c r="D15" s="36" t="s">
        <v>12802</v>
      </c>
      <c r="E15" s="6" t="s">
        <v>12825</v>
      </c>
      <c r="F15" s="27" t="s">
        <v>3857</v>
      </c>
      <c r="G15" s="5"/>
    </row>
    <row r="16" spans="1:7" ht="33">
      <c r="A16" s="29">
        <v>13</v>
      </c>
      <c r="B16" s="30" t="s">
        <v>12800</v>
      </c>
      <c r="C16" s="32" t="s">
        <v>12826</v>
      </c>
      <c r="D16" s="36" t="s">
        <v>12802</v>
      </c>
      <c r="E16" s="31" t="s">
        <v>12827</v>
      </c>
      <c r="F16" s="29" t="s">
        <v>4431</v>
      </c>
      <c r="G16" s="32"/>
    </row>
    <row r="17" spans="1:7" ht="16.5">
      <c r="A17" s="27">
        <v>14</v>
      </c>
      <c r="B17" s="9" t="s">
        <v>12800</v>
      </c>
      <c r="C17" s="6" t="s">
        <v>12828</v>
      </c>
      <c r="D17" s="36" t="s">
        <v>12802</v>
      </c>
      <c r="E17" s="6" t="s">
        <v>12829</v>
      </c>
      <c r="F17" s="27" t="s">
        <v>4436</v>
      </c>
      <c r="G17" s="5"/>
    </row>
    <row r="18" spans="1:7" ht="29.25">
      <c r="A18" s="29">
        <v>15</v>
      </c>
      <c r="B18" s="30" t="s">
        <v>12800</v>
      </c>
      <c r="C18" s="31" t="s">
        <v>12830</v>
      </c>
      <c r="D18" s="36" t="s">
        <v>12802</v>
      </c>
      <c r="E18" s="31" t="s">
        <v>12831</v>
      </c>
      <c r="F18" s="29" t="s">
        <v>4442</v>
      </c>
      <c r="G18" s="32"/>
    </row>
    <row r="19" spans="1:7" ht="16.5">
      <c r="A19" s="27">
        <v>16</v>
      </c>
      <c r="B19" s="9" t="s">
        <v>12800</v>
      </c>
      <c r="C19" s="6" t="s">
        <v>12832</v>
      </c>
      <c r="D19" s="36" t="s">
        <v>12802</v>
      </c>
      <c r="E19" s="6" t="s">
        <v>12833</v>
      </c>
      <c r="F19" s="27" t="s">
        <v>4447</v>
      </c>
      <c r="G19" s="5"/>
    </row>
    <row r="20" spans="1:7" ht="29.25">
      <c r="A20" s="29">
        <v>17</v>
      </c>
      <c r="B20" s="30" t="s">
        <v>12800</v>
      </c>
      <c r="C20" s="31" t="s">
        <v>12834</v>
      </c>
      <c r="D20" s="39" t="s">
        <v>12821</v>
      </c>
      <c r="E20" s="31" t="s">
        <v>12834</v>
      </c>
      <c r="F20" s="29" t="s">
        <v>4505</v>
      </c>
      <c r="G20" s="31" t="s">
        <v>12822</v>
      </c>
    </row>
    <row r="21" spans="1:7" ht="16.5">
      <c r="A21" s="27">
        <v>18</v>
      </c>
      <c r="B21" s="9" t="s">
        <v>12800</v>
      </c>
      <c r="C21" s="5" t="s">
        <v>12835</v>
      </c>
      <c r="D21" s="36" t="s">
        <v>12802</v>
      </c>
      <c r="E21" s="6" t="s">
        <v>12836</v>
      </c>
      <c r="F21" s="27" t="s">
        <v>4527</v>
      </c>
      <c r="G21" s="6" t="s">
        <v>12817</v>
      </c>
    </row>
    <row r="22" spans="1:7" ht="16.5">
      <c r="A22" s="29">
        <v>19</v>
      </c>
      <c r="B22" s="30" t="s">
        <v>12800</v>
      </c>
      <c r="C22" s="31" t="s">
        <v>12837</v>
      </c>
      <c r="D22" s="36" t="s">
        <v>12802</v>
      </c>
      <c r="E22" s="31" t="s">
        <v>12838</v>
      </c>
      <c r="F22" s="29" t="s">
        <v>4529</v>
      </c>
      <c r="G22" s="32"/>
    </row>
    <row r="23" spans="1:7" ht="16.5">
      <c r="A23" s="27">
        <v>20</v>
      </c>
      <c r="B23" s="9" t="s">
        <v>12800</v>
      </c>
      <c r="C23" s="6" t="s">
        <v>12839</v>
      </c>
      <c r="D23" s="36" t="s">
        <v>12802</v>
      </c>
      <c r="E23" s="6" t="s">
        <v>12840</v>
      </c>
      <c r="F23" s="27" t="s">
        <v>4532</v>
      </c>
      <c r="G23" s="5"/>
    </row>
    <row r="24" spans="1:7" ht="16.5">
      <c r="A24" s="29">
        <v>21</v>
      </c>
      <c r="B24" s="30" t="s">
        <v>12800</v>
      </c>
      <c r="C24" s="31" t="s">
        <v>12841</v>
      </c>
      <c r="D24" s="36" t="s">
        <v>12802</v>
      </c>
      <c r="E24" s="31" t="s">
        <v>12842</v>
      </c>
      <c r="F24" s="29" t="s">
        <v>4540</v>
      </c>
      <c r="G24" s="32"/>
    </row>
    <row r="25" spans="1:7" ht="16.5">
      <c r="A25" s="27">
        <v>22</v>
      </c>
      <c r="B25" s="9" t="s">
        <v>12800</v>
      </c>
      <c r="C25" s="6" t="s">
        <v>12843</v>
      </c>
      <c r="D25" s="36" t="s">
        <v>12802</v>
      </c>
      <c r="E25" s="6" t="s">
        <v>12844</v>
      </c>
      <c r="F25" s="27" t="s">
        <v>4542</v>
      </c>
      <c r="G25" s="6" t="s">
        <v>12845</v>
      </c>
    </row>
    <row r="26" spans="1:7" ht="16.5">
      <c r="A26" s="29">
        <v>23</v>
      </c>
      <c r="B26" s="30" t="s">
        <v>12800</v>
      </c>
      <c r="C26" s="31" t="s">
        <v>12846</v>
      </c>
      <c r="D26" s="39" t="s">
        <v>12821</v>
      </c>
      <c r="E26" s="31" t="s">
        <v>12846</v>
      </c>
      <c r="F26" s="29" t="s">
        <v>4548</v>
      </c>
      <c r="G26" s="31" t="s">
        <v>12822</v>
      </c>
    </row>
    <row r="27" spans="1:7" ht="16.5">
      <c r="A27" s="27">
        <v>24</v>
      </c>
      <c r="B27" s="9" t="s">
        <v>12800</v>
      </c>
      <c r="C27" s="5" t="s">
        <v>12847</v>
      </c>
      <c r="D27" s="40" t="s">
        <v>12821</v>
      </c>
      <c r="E27" s="5" t="s">
        <v>12847</v>
      </c>
      <c r="F27" s="27" t="s">
        <v>4551</v>
      </c>
      <c r="G27" s="6" t="s">
        <v>12822</v>
      </c>
    </row>
    <row r="28" spans="1:7" ht="16.5">
      <c r="A28" s="29">
        <v>25</v>
      </c>
      <c r="B28" s="30" t="s">
        <v>12800</v>
      </c>
      <c r="C28" s="31" t="s">
        <v>12848</v>
      </c>
      <c r="D28" s="39" t="s">
        <v>12821</v>
      </c>
      <c r="E28" s="31" t="s">
        <v>12848</v>
      </c>
      <c r="F28" s="29" t="s">
        <v>3934</v>
      </c>
      <c r="G28" s="31" t="s">
        <v>12822</v>
      </c>
    </row>
    <row r="29" spans="1:7" ht="16.5">
      <c r="A29" s="27">
        <v>26</v>
      </c>
      <c r="B29" s="9" t="s">
        <v>12800</v>
      </c>
      <c r="C29" s="6" t="s">
        <v>12849</v>
      </c>
      <c r="D29" s="36" t="s">
        <v>12802</v>
      </c>
      <c r="E29" s="6" t="s">
        <v>12850</v>
      </c>
      <c r="F29" s="27" t="s">
        <v>4585</v>
      </c>
      <c r="G29" s="5"/>
    </row>
    <row r="30" spans="1:7" ht="16.5">
      <c r="A30" s="29">
        <v>27</v>
      </c>
      <c r="B30" s="30" t="s">
        <v>12800</v>
      </c>
      <c r="C30" s="31" t="s">
        <v>12851</v>
      </c>
      <c r="D30" s="39" t="s">
        <v>12821</v>
      </c>
      <c r="E30" s="31" t="s">
        <v>12851</v>
      </c>
      <c r="F30" s="29" t="s">
        <v>4554</v>
      </c>
      <c r="G30" s="31" t="s">
        <v>12822</v>
      </c>
    </row>
    <row r="31" spans="1:7" ht="16.5">
      <c r="A31" s="27">
        <v>28</v>
      </c>
      <c r="B31" s="9" t="s">
        <v>12800</v>
      </c>
      <c r="C31" s="6" t="s">
        <v>12852</v>
      </c>
      <c r="D31" s="40" t="s">
        <v>12821</v>
      </c>
      <c r="E31" s="6" t="s">
        <v>12852</v>
      </c>
      <c r="F31" s="27" t="s">
        <v>4557</v>
      </c>
      <c r="G31" s="6" t="s">
        <v>12822</v>
      </c>
    </row>
    <row r="32" spans="1:7" ht="16.5">
      <c r="A32" s="29">
        <v>29</v>
      </c>
      <c r="B32" s="30" t="s">
        <v>12800</v>
      </c>
      <c r="C32" s="31" t="s">
        <v>12853</v>
      </c>
      <c r="D32" s="36" t="s">
        <v>12802</v>
      </c>
      <c r="E32" s="31" t="s">
        <v>12854</v>
      </c>
      <c r="F32" s="29" t="s">
        <v>4565</v>
      </c>
      <c r="G32" s="32"/>
    </row>
    <row r="33" spans="1:7" ht="16.5">
      <c r="A33" s="27">
        <v>30</v>
      </c>
      <c r="B33" s="9" t="s">
        <v>12800</v>
      </c>
      <c r="C33" s="6" t="s">
        <v>12855</v>
      </c>
      <c r="D33" s="36" t="s">
        <v>12802</v>
      </c>
      <c r="E33" s="6" t="s">
        <v>12856</v>
      </c>
      <c r="F33" s="27" t="s">
        <v>4561</v>
      </c>
      <c r="G33" s="5" t="s">
        <v>12857</v>
      </c>
    </row>
    <row r="34" spans="1:7" ht="16.5">
      <c r="A34" s="29">
        <v>31</v>
      </c>
      <c r="B34" s="30" t="s">
        <v>12800</v>
      </c>
      <c r="C34" s="31" t="s">
        <v>12858</v>
      </c>
      <c r="D34" s="36" t="s">
        <v>12802</v>
      </c>
      <c r="E34" s="31" t="s">
        <v>12859</v>
      </c>
      <c r="F34" s="29" t="s">
        <v>4575</v>
      </c>
      <c r="G34" s="31" t="s">
        <v>12814</v>
      </c>
    </row>
    <row r="35" spans="1:7" ht="16.5">
      <c r="A35" s="27">
        <v>32</v>
      </c>
      <c r="B35" s="9" t="s">
        <v>12800</v>
      </c>
      <c r="C35" s="6" t="s">
        <v>12860</v>
      </c>
      <c r="D35" s="36" t="s">
        <v>12802</v>
      </c>
      <c r="E35" s="6" t="s">
        <v>12861</v>
      </c>
      <c r="F35" s="27" t="s">
        <v>4577</v>
      </c>
      <c r="G35" s="6" t="s">
        <v>12814</v>
      </c>
    </row>
    <row r="36" spans="1:7" ht="16.5">
      <c r="A36" s="29">
        <v>33</v>
      </c>
      <c r="B36" s="30" t="s">
        <v>12800</v>
      </c>
      <c r="C36" s="31" t="s">
        <v>12862</v>
      </c>
      <c r="D36" s="39" t="s">
        <v>12821</v>
      </c>
      <c r="E36" s="31" t="s">
        <v>12862</v>
      </c>
      <c r="F36" s="29" t="s">
        <v>4587</v>
      </c>
      <c r="G36" s="31" t="s">
        <v>12822</v>
      </c>
    </row>
    <row r="37" spans="1:7" ht="16.5">
      <c r="A37" s="27">
        <v>34</v>
      </c>
      <c r="B37" s="9" t="s">
        <v>12800</v>
      </c>
      <c r="C37" s="6" t="s">
        <v>12863</v>
      </c>
      <c r="D37" s="40" t="s">
        <v>12821</v>
      </c>
      <c r="E37" s="6" t="s">
        <v>12863</v>
      </c>
      <c r="F37" s="27" t="s">
        <v>4589</v>
      </c>
      <c r="G37" s="6" t="s">
        <v>12822</v>
      </c>
    </row>
    <row r="38" spans="1:7" ht="16.5">
      <c r="A38" s="29">
        <v>35</v>
      </c>
      <c r="B38" s="30" t="s">
        <v>12800</v>
      </c>
      <c r="C38" s="31" t="s">
        <v>12864</v>
      </c>
      <c r="D38" s="39" t="s">
        <v>12821</v>
      </c>
      <c r="E38" s="31" t="s">
        <v>12864</v>
      </c>
      <c r="F38" s="29" t="s">
        <v>4596</v>
      </c>
      <c r="G38" s="31" t="s">
        <v>12822</v>
      </c>
    </row>
    <row r="39" spans="1:7" ht="33">
      <c r="A39" s="27">
        <v>36</v>
      </c>
      <c r="B39" s="9" t="s">
        <v>12865</v>
      </c>
      <c r="C39" s="6" t="s">
        <v>12866</v>
      </c>
      <c r="D39" s="36" t="s">
        <v>12802</v>
      </c>
      <c r="E39" s="6" t="s">
        <v>12867</v>
      </c>
      <c r="F39" s="27" t="s">
        <v>4695</v>
      </c>
      <c r="G39" s="6" t="s">
        <v>12868</v>
      </c>
    </row>
    <row r="40" spans="1:7" ht="33">
      <c r="A40" s="29">
        <v>37</v>
      </c>
      <c r="B40" s="30" t="s">
        <v>12865</v>
      </c>
      <c r="C40" s="31" t="s">
        <v>12869</v>
      </c>
      <c r="D40" s="36" t="s">
        <v>12802</v>
      </c>
      <c r="E40" s="31" t="s">
        <v>12870</v>
      </c>
      <c r="F40" s="29" t="s">
        <v>4972</v>
      </c>
      <c r="G40" s="31" t="s">
        <v>12868</v>
      </c>
    </row>
    <row r="41" spans="1:7" ht="33">
      <c r="A41" s="27">
        <v>38</v>
      </c>
      <c r="B41" s="9" t="s">
        <v>12865</v>
      </c>
      <c r="C41" s="6" t="s">
        <v>12871</v>
      </c>
      <c r="D41" s="36" t="s">
        <v>12802</v>
      </c>
      <c r="E41" s="6" t="s">
        <v>12872</v>
      </c>
      <c r="F41" s="27" t="s">
        <v>4976</v>
      </c>
      <c r="G41" s="6" t="s">
        <v>12868</v>
      </c>
    </row>
    <row r="42" spans="1:7" ht="33">
      <c r="A42" s="29">
        <v>39</v>
      </c>
      <c r="B42" s="30" t="s">
        <v>12865</v>
      </c>
      <c r="C42" s="31" t="s">
        <v>12873</v>
      </c>
      <c r="D42" s="36" t="s">
        <v>12802</v>
      </c>
      <c r="E42" s="31" t="s">
        <v>12874</v>
      </c>
      <c r="F42" s="29" t="s">
        <v>4980</v>
      </c>
      <c r="G42" s="31" t="s">
        <v>12868</v>
      </c>
    </row>
    <row r="43" spans="1:7" ht="16.5">
      <c r="A43" s="27">
        <v>40</v>
      </c>
      <c r="B43" s="9" t="s">
        <v>12865</v>
      </c>
      <c r="C43" s="6" t="s">
        <v>12875</v>
      </c>
      <c r="D43" s="36" t="s">
        <v>12802</v>
      </c>
      <c r="E43" s="6" t="s">
        <v>12876</v>
      </c>
      <c r="F43" s="27" t="s">
        <v>4823</v>
      </c>
      <c r="G43" s="5"/>
    </row>
    <row r="44" spans="1:7" ht="16.5">
      <c r="A44" s="29">
        <v>41</v>
      </c>
      <c r="B44" s="30" t="s">
        <v>12865</v>
      </c>
      <c r="C44" s="31" t="s">
        <v>12877</v>
      </c>
      <c r="D44" s="36" t="s">
        <v>12802</v>
      </c>
      <c r="E44" s="31" t="s">
        <v>12878</v>
      </c>
      <c r="F44" s="29" t="s">
        <v>4815</v>
      </c>
      <c r="G44" s="32"/>
    </row>
    <row r="45" spans="1:7" ht="16.5">
      <c r="A45" s="27">
        <v>42</v>
      </c>
      <c r="B45" s="9" t="s">
        <v>12865</v>
      </c>
      <c r="C45" s="6" t="s">
        <v>12879</v>
      </c>
      <c r="D45" s="36" t="s">
        <v>12802</v>
      </c>
      <c r="E45" s="6" t="s">
        <v>12880</v>
      </c>
      <c r="F45" s="27" t="s">
        <v>4992</v>
      </c>
      <c r="G45" s="6" t="s">
        <v>12881</v>
      </c>
    </row>
    <row r="46" spans="1:7" ht="16.5">
      <c r="A46" s="29">
        <v>43</v>
      </c>
      <c r="B46" s="30" t="s">
        <v>12865</v>
      </c>
      <c r="C46" s="31" t="s">
        <v>12882</v>
      </c>
      <c r="D46" s="36" t="s">
        <v>12802</v>
      </c>
      <c r="E46" s="31" t="s">
        <v>12883</v>
      </c>
      <c r="F46" s="29" t="s">
        <v>4150</v>
      </c>
      <c r="G46" s="32"/>
    </row>
    <row r="47" spans="1:7" ht="33">
      <c r="A47" s="27">
        <v>44</v>
      </c>
      <c r="B47" s="9" t="s">
        <v>12865</v>
      </c>
      <c r="C47" s="6" t="s">
        <v>12884</v>
      </c>
      <c r="D47" s="36" t="s">
        <v>12802</v>
      </c>
      <c r="E47" s="6" t="s">
        <v>12885</v>
      </c>
      <c r="F47" s="27" t="s">
        <v>1343</v>
      </c>
      <c r="G47" s="6" t="s">
        <v>12886</v>
      </c>
    </row>
    <row r="48" spans="1:7" ht="33">
      <c r="A48" s="29">
        <v>45</v>
      </c>
      <c r="B48" s="30" t="s">
        <v>12865</v>
      </c>
      <c r="C48" s="31" t="s">
        <v>12887</v>
      </c>
      <c r="D48" s="36" t="s">
        <v>12802</v>
      </c>
      <c r="E48" s="31" t="s">
        <v>12888</v>
      </c>
      <c r="F48" s="29" t="s">
        <v>5200</v>
      </c>
      <c r="G48" s="31" t="s">
        <v>12889</v>
      </c>
    </row>
    <row r="49" spans="1:7" ht="16.5">
      <c r="A49" s="27">
        <v>46</v>
      </c>
      <c r="B49" s="9" t="s">
        <v>12865</v>
      </c>
      <c r="C49" s="6" t="s">
        <v>12890</v>
      </c>
      <c r="D49" s="36" t="s">
        <v>12802</v>
      </c>
      <c r="E49" s="6" t="s">
        <v>12891</v>
      </c>
      <c r="F49" s="27" t="s">
        <v>5205</v>
      </c>
      <c r="G49" s="5"/>
    </row>
    <row r="50" spans="1:7" ht="33">
      <c r="A50" s="29">
        <v>47</v>
      </c>
      <c r="B50" s="30" t="s">
        <v>12865</v>
      </c>
      <c r="C50" s="31" t="s">
        <v>12892</v>
      </c>
      <c r="D50" s="36" t="s">
        <v>12802</v>
      </c>
      <c r="E50" s="31" t="s">
        <v>12893</v>
      </c>
      <c r="F50" s="29" t="s">
        <v>5169</v>
      </c>
      <c r="G50" s="32"/>
    </row>
    <row r="51" spans="1:7" ht="29.25">
      <c r="A51" s="27">
        <v>48</v>
      </c>
      <c r="B51" s="9" t="s">
        <v>12865</v>
      </c>
      <c r="C51" s="6" t="s">
        <v>12894</v>
      </c>
      <c r="D51" s="36" t="s">
        <v>12802</v>
      </c>
      <c r="E51" s="6" t="s">
        <v>12895</v>
      </c>
      <c r="F51" s="27" t="s">
        <v>5174</v>
      </c>
      <c r="G51" s="5"/>
    </row>
    <row r="52" spans="1:7" ht="33">
      <c r="A52" s="29">
        <v>49</v>
      </c>
      <c r="B52" s="30" t="s">
        <v>12865</v>
      </c>
      <c r="C52" s="31" t="s">
        <v>12896</v>
      </c>
      <c r="D52" s="36" t="s">
        <v>12802</v>
      </c>
      <c r="E52" s="31" t="s">
        <v>12897</v>
      </c>
      <c r="F52" s="29" t="s">
        <v>5211</v>
      </c>
      <c r="G52" s="32"/>
    </row>
    <row r="53" spans="1:7" ht="16.5">
      <c r="A53" s="27">
        <v>50</v>
      </c>
      <c r="B53" s="9" t="s">
        <v>12865</v>
      </c>
      <c r="C53" s="6" t="s">
        <v>12898</v>
      </c>
      <c r="D53" s="36" t="s">
        <v>12802</v>
      </c>
      <c r="E53" s="6" t="s">
        <v>12899</v>
      </c>
      <c r="F53" s="27" t="s">
        <v>5355</v>
      </c>
      <c r="G53" s="5"/>
    </row>
    <row r="54" spans="1:7" ht="16.5">
      <c r="A54" s="29">
        <v>51</v>
      </c>
      <c r="B54" s="30" t="s">
        <v>12865</v>
      </c>
      <c r="C54" s="31" t="s">
        <v>12900</v>
      </c>
      <c r="D54" s="36" t="s">
        <v>12802</v>
      </c>
      <c r="E54" s="31" t="s">
        <v>12901</v>
      </c>
      <c r="F54" s="29" t="s">
        <v>5307</v>
      </c>
      <c r="G54" s="32"/>
    </row>
    <row r="55" spans="1:7" ht="16.5">
      <c r="A55" s="27">
        <v>52</v>
      </c>
      <c r="B55" s="9" t="s">
        <v>12865</v>
      </c>
      <c r="C55" s="6" t="s">
        <v>12902</v>
      </c>
      <c r="D55" s="36" t="s">
        <v>12802</v>
      </c>
      <c r="E55" s="6" t="s">
        <v>12903</v>
      </c>
      <c r="F55" s="27" t="s">
        <v>5310</v>
      </c>
      <c r="G55" s="6" t="s">
        <v>12904</v>
      </c>
    </row>
    <row r="56" spans="1:7" ht="33">
      <c r="A56" s="29">
        <v>53</v>
      </c>
      <c r="B56" s="30" t="s">
        <v>12865</v>
      </c>
      <c r="C56" s="31" t="s">
        <v>12905</v>
      </c>
      <c r="D56" s="36" t="s">
        <v>12802</v>
      </c>
      <c r="E56" s="31" t="s">
        <v>12906</v>
      </c>
      <c r="F56" s="29" t="s">
        <v>5316</v>
      </c>
      <c r="G56" s="31" t="s">
        <v>12868</v>
      </c>
    </row>
    <row r="57" spans="1:7" ht="45.75">
      <c r="A57" s="27">
        <v>54</v>
      </c>
      <c r="B57" s="9" t="s">
        <v>12865</v>
      </c>
      <c r="C57" s="6" t="s">
        <v>12907</v>
      </c>
      <c r="D57" s="36" t="s">
        <v>12802</v>
      </c>
      <c r="E57" s="6" t="s">
        <v>12908</v>
      </c>
      <c r="F57" s="27" t="s">
        <v>5312</v>
      </c>
      <c r="G57" s="6" t="s">
        <v>12909</v>
      </c>
    </row>
    <row r="58" spans="1:7" ht="33">
      <c r="A58" s="29">
        <v>55</v>
      </c>
      <c r="B58" s="30" t="s">
        <v>12865</v>
      </c>
      <c r="C58" s="31" t="s">
        <v>12910</v>
      </c>
      <c r="D58" s="36" t="s">
        <v>12802</v>
      </c>
      <c r="E58" s="31" t="s">
        <v>12911</v>
      </c>
      <c r="F58" s="29" t="s">
        <v>5321</v>
      </c>
      <c r="G58" s="31" t="s">
        <v>12912</v>
      </c>
    </row>
    <row r="59" spans="1:7" ht="33">
      <c r="A59" s="27">
        <v>56</v>
      </c>
      <c r="B59" s="9" t="s">
        <v>12865</v>
      </c>
      <c r="C59" s="6" t="s">
        <v>12913</v>
      </c>
      <c r="D59" s="36" t="s">
        <v>12802</v>
      </c>
      <c r="E59" s="6" t="s">
        <v>12914</v>
      </c>
      <c r="F59" s="27" t="s">
        <v>5327</v>
      </c>
      <c r="G59" s="5" t="s">
        <v>12915</v>
      </c>
    </row>
    <row r="60" spans="1:7" ht="16.5">
      <c r="A60" s="29">
        <v>57</v>
      </c>
      <c r="B60" s="30" t="s">
        <v>12865</v>
      </c>
      <c r="C60" s="31" t="s">
        <v>12916</v>
      </c>
      <c r="D60" s="36" t="s">
        <v>12802</v>
      </c>
      <c r="E60" s="31" t="s">
        <v>12917</v>
      </c>
      <c r="F60" s="29" t="s">
        <v>5386</v>
      </c>
      <c r="G60" s="32"/>
    </row>
    <row r="61" spans="1:7" ht="16.5">
      <c r="A61" s="27">
        <v>58</v>
      </c>
      <c r="B61" s="9" t="s">
        <v>12865</v>
      </c>
      <c r="C61" s="6" t="s">
        <v>12918</v>
      </c>
      <c r="D61" s="40" t="s">
        <v>12821</v>
      </c>
      <c r="E61" s="6" t="s">
        <v>12918</v>
      </c>
      <c r="F61" s="27" t="s">
        <v>5359</v>
      </c>
      <c r="G61" s="6" t="s">
        <v>12822</v>
      </c>
    </row>
    <row r="62" spans="1:7" ht="16.5">
      <c r="A62" s="29">
        <v>59</v>
      </c>
      <c r="B62" s="30" t="s">
        <v>12865</v>
      </c>
      <c r="C62" s="31" t="s">
        <v>12919</v>
      </c>
      <c r="D62" s="36" t="s">
        <v>12802</v>
      </c>
      <c r="E62" s="31" t="s">
        <v>12920</v>
      </c>
      <c r="F62" s="29" t="s">
        <v>5362</v>
      </c>
      <c r="G62" s="31" t="s">
        <v>12921</v>
      </c>
    </row>
    <row r="63" spans="1:7" ht="16.5">
      <c r="A63" s="27">
        <v>60</v>
      </c>
      <c r="B63" s="9" t="s">
        <v>12865</v>
      </c>
      <c r="C63" s="6" t="s">
        <v>12922</v>
      </c>
      <c r="D63" s="40" t="s">
        <v>12821</v>
      </c>
      <c r="E63" s="6" t="s">
        <v>12922</v>
      </c>
      <c r="F63" s="27" t="s">
        <v>5365</v>
      </c>
      <c r="G63" s="6" t="s">
        <v>12822</v>
      </c>
    </row>
    <row r="64" spans="1:7" ht="16.5">
      <c r="A64" s="29">
        <v>61</v>
      </c>
      <c r="B64" s="30" t="s">
        <v>12865</v>
      </c>
      <c r="C64" s="31" t="s">
        <v>12923</v>
      </c>
      <c r="D64" s="36" t="s">
        <v>12802</v>
      </c>
      <c r="E64" s="31" t="s">
        <v>12924</v>
      </c>
      <c r="F64" s="29" t="s">
        <v>5369</v>
      </c>
      <c r="G64" s="32"/>
    </row>
    <row r="65" spans="1:7" ht="16.5">
      <c r="A65" s="27">
        <v>62</v>
      </c>
      <c r="B65" s="9" t="s">
        <v>12865</v>
      </c>
      <c r="C65" s="6" t="s">
        <v>12925</v>
      </c>
      <c r="D65" s="40" t="s">
        <v>12821</v>
      </c>
      <c r="E65" s="6" t="s">
        <v>12925</v>
      </c>
      <c r="F65" s="27" t="s">
        <v>5372</v>
      </c>
      <c r="G65" s="6" t="s">
        <v>12822</v>
      </c>
    </row>
    <row r="66" spans="1:7" ht="16.5">
      <c r="A66" s="29">
        <v>63</v>
      </c>
      <c r="B66" s="30" t="s">
        <v>12865</v>
      </c>
      <c r="C66" s="31" t="s">
        <v>12926</v>
      </c>
      <c r="D66" s="36" t="s">
        <v>12802</v>
      </c>
      <c r="E66" s="31" t="s">
        <v>12927</v>
      </c>
      <c r="F66" s="29" t="s">
        <v>672</v>
      </c>
      <c r="G66" s="31" t="s">
        <v>12928</v>
      </c>
    </row>
    <row r="67" spans="1:7" ht="16.5">
      <c r="A67" s="27">
        <v>64</v>
      </c>
      <c r="B67" s="9" t="s">
        <v>12865</v>
      </c>
      <c r="C67" s="6" t="s">
        <v>12929</v>
      </c>
      <c r="D67" s="36" t="s">
        <v>12802</v>
      </c>
      <c r="E67" s="6" t="s">
        <v>12930</v>
      </c>
      <c r="F67" s="27" t="s">
        <v>5388</v>
      </c>
      <c r="G67" s="5"/>
    </row>
    <row r="68" spans="1:7" ht="16.5">
      <c r="A68" s="29">
        <v>65</v>
      </c>
      <c r="B68" s="30" t="s">
        <v>12865</v>
      </c>
      <c r="C68" s="31" t="s">
        <v>12931</v>
      </c>
      <c r="D68" s="39" t="s">
        <v>12821</v>
      </c>
      <c r="E68" s="31" t="s">
        <v>12931</v>
      </c>
      <c r="F68" s="29" t="s">
        <v>5376</v>
      </c>
      <c r="G68" s="31" t="s">
        <v>12822</v>
      </c>
    </row>
    <row r="69" spans="1:7" ht="29.25">
      <c r="A69" s="27">
        <v>66</v>
      </c>
      <c r="B69" s="9" t="s">
        <v>12865</v>
      </c>
      <c r="C69" s="6" t="s">
        <v>12932</v>
      </c>
      <c r="D69" s="40" t="s">
        <v>12821</v>
      </c>
      <c r="E69" s="6" t="s">
        <v>12932</v>
      </c>
      <c r="F69" s="27" t="s">
        <v>5378</v>
      </c>
      <c r="G69" s="6" t="s">
        <v>12822</v>
      </c>
    </row>
    <row r="70" spans="1:7" ht="29.25">
      <c r="A70" s="29">
        <v>67</v>
      </c>
      <c r="B70" s="30" t="s">
        <v>12865</v>
      </c>
      <c r="C70" s="31" t="s">
        <v>12933</v>
      </c>
      <c r="D70" s="39" t="s">
        <v>12821</v>
      </c>
      <c r="E70" s="31" t="s">
        <v>12933</v>
      </c>
      <c r="F70" s="29" t="s">
        <v>5396</v>
      </c>
      <c r="G70" s="31" t="s">
        <v>12822</v>
      </c>
    </row>
    <row r="71" spans="1:7" ht="45.75">
      <c r="A71" s="27">
        <v>68</v>
      </c>
      <c r="B71" s="9" t="s">
        <v>8069</v>
      </c>
      <c r="C71" s="6" t="s">
        <v>12934</v>
      </c>
      <c r="D71" s="36" t="s">
        <v>12802</v>
      </c>
      <c r="E71" s="6" t="s">
        <v>12935</v>
      </c>
      <c r="F71" s="27" t="s">
        <v>8076</v>
      </c>
      <c r="G71" s="6" t="s">
        <v>12936</v>
      </c>
    </row>
    <row r="72" spans="1:7" ht="49.5">
      <c r="A72" s="29">
        <v>69</v>
      </c>
      <c r="B72" s="30" t="s">
        <v>8069</v>
      </c>
      <c r="C72" s="31" t="s">
        <v>12937</v>
      </c>
      <c r="D72" s="36" t="s">
        <v>12802</v>
      </c>
      <c r="E72" s="31" t="s">
        <v>12938</v>
      </c>
      <c r="F72" s="29" t="s">
        <v>5335</v>
      </c>
      <c r="G72" s="31" t="s">
        <v>12939</v>
      </c>
    </row>
    <row r="73" spans="1:7" ht="45.75">
      <c r="A73" s="27">
        <v>70</v>
      </c>
      <c r="B73" s="9" t="s">
        <v>8069</v>
      </c>
      <c r="C73" s="6" t="s">
        <v>12940</v>
      </c>
      <c r="D73" s="36" t="s">
        <v>12802</v>
      </c>
      <c r="E73" s="6" t="s">
        <v>12941</v>
      </c>
      <c r="F73" s="27" t="s">
        <v>8084</v>
      </c>
      <c r="G73" s="6" t="s">
        <v>12942</v>
      </c>
    </row>
    <row r="74" spans="1:7" ht="16.5">
      <c r="A74" s="29">
        <v>71</v>
      </c>
      <c r="B74" s="30" t="s">
        <v>8069</v>
      </c>
      <c r="C74" s="31" t="s">
        <v>12943</v>
      </c>
      <c r="D74" s="39" t="s">
        <v>12821</v>
      </c>
      <c r="E74" s="31" t="s">
        <v>12943</v>
      </c>
      <c r="F74" s="29" t="s">
        <v>8091</v>
      </c>
      <c r="G74" s="31" t="s">
        <v>12822</v>
      </c>
    </row>
    <row r="75" spans="1:7" ht="29.25">
      <c r="A75" s="27">
        <v>72</v>
      </c>
      <c r="B75" s="9" t="s">
        <v>8069</v>
      </c>
      <c r="C75" s="6" t="s">
        <v>12944</v>
      </c>
      <c r="D75" s="40" t="s">
        <v>12821</v>
      </c>
      <c r="E75" s="6" t="s">
        <v>12944</v>
      </c>
      <c r="F75" s="27" t="s">
        <v>8093</v>
      </c>
      <c r="G75" s="6" t="s">
        <v>12822</v>
      </c>
    </row>
  </sheetData>
  <mergeCells count="1">
    <mergeCell ref="A2:G2"/>
  </mergeCells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2"/>
  <sheetViews>
    <sheetView zoomScaleNormal="100" workbookViewId="0">
      <pane ySplit="1" topLeftCell="A2" activePane="bottomLeft" state="frozen"/>
      <selection pane="bottomLeft"/>
    </sheetView>
  </sheetViews>
  <sheetFormatPr defaultColWidth="8.5" defaultRowHeight="13.5"/>
  <cols>
    <col min="1" max="1" width="14" customWidth="1"/>
    <col min="2" max="3" width="16" customWidth="1"/>
    <col min="4" max="4" width="22" customWidth="1"/>
    <col min="5" max="5" width="20" customWidth="1"/>
    <col min="6" max="6" width="16" customWidth="1"/>
    <col min="7" max="7" width="22" customWidth="1"/>
    <col min="8" max="8" width="48" customWidth="1"/>
    <col min="9" max="9" width="14" customWidth="1"/>
    <col min="10" max="10" width="10" customWidth="1"/>
  </cols>
  <sheetData>
    <row r="1" spans="1:10" ht="30" customHeight="1">
      <c r="A1" s="50" t="s">
        <v>12945</v>
      </c>
      <c r="B1" s="50" t="s">
        <v>12946</v>
      </c>
      <c r="C1" s="50" t="s">
        <v>12947</v>
      </c>
      <c r="D1" s="50" t="s">
        <v>12948</v>
      </c>
      <c r="E1" s="50" t="s">
        <v>12949</v>
      </c>
      <c r="F1" s="50" t="s">
        <v>12950</v>
      </c>
      <c r="G1" s="50" t="s">
        <v>12951</v>
      </c>
      <c r="H1" s="50" t="s">
        <v>12952</v>
      </c>
      <c r="I1" s="50" t="s">
        <v>31</v>
      </c>
      <c r="J1" s="50" t="s">
        <v>32</v>
      </c>
    </row>
    <row r="2" spans="1:10" ht="16.5" customHeight="1">
      <c r="A2" s="51" t="s">
        <v>12800</v>
      </c>
      <c r="B2" s="51" t="s">
        <v>60</v>
      </c>
      <c r="C2" s="51" t="s">
        <v>62</v>
      </c>
      <c r="D2" s="52" t="s">
        <v>12953</v>
      </c>
      <c r="E2" s="51" t="s">
        <v>81</v>
      </c>
      <c r="F2" s="51" t="s">
        <v>82</v>
      </c>
      <c r="G2" s="52" t="s">
        <v>8393</v>
      </c>
      <c r="H2" s="52" t="s">
        <v>12954</v>
      </c>
      <c r="I2" s="51" t="s">
        <v>65</v>
      </c>
      <c r="J2" s="51">
        <v>1</v>
      </c>
    </row>
    <row r="3" spans="1:10" ht="16.5" customHeight="1">
      <c r="A3" s="53" t="s">
        <v>12800</v>
      </c>
      <c r="B3" s="53" t="s">
        <v>60</v>
      </c>
      <c r="C3" s="53" t="s">
        <v>62</v>
      </c>
      <c r="D3" s="54" t="s">
        <v>12953</v>
      </c>
      <c r="E3" s="53" t="s">
        <v>81</v>
      </c>
      <c r="F3" s="53" t="s">
        <v>82</v>
      </c>
      <c r="G3" s="54" t="s">
        <v>8394</v>
      </c>
      <c r="H3" s="54" t="s">
        <v>12955</v>
      </c>
      <c r="I3" s="53" t="s">
        <v>65</v>
      </c>
      <c r="J3" s="53">
        <v>1</v>
      </c>
    </row>
    <row r="4" spans="1:10" ht="16.5" customHeight="1">
      <c r="A4" s="51" t="s">
        <v>12800</v>
      </c>
      <c r="B4" s="51" t="s">
        <v>60</v>
      </c>
      <c r="C4" s="51" t="s">
        <v>62</v>
      </c>
      <c r="D4" s="52" t="s">
        <v>12953</v>
      </c>
      <c r="E4" s="51" t="s">
        <v>203</v>
      </c>
      <c r="F4" s="51" t="s">
        <v>204</v>
      </c>
      <c r="G4" s="52" t="s">
        <v>3932</v>
      </c>
      <c r="H4" s="52" t="s">
        <v>12956</v>
      </c>
      <c r="I4" s="51" t="s">
        <v>65</v>
      </c>
      <c r="J4" s="51">
        <v>1</v>
      </c>
    </row>
    <row r="5" spans="1:10" ht="16.5" customHeight="1">
      <c r="A5" s="53" t="s">
        <v>12800</v>
      </c>
      <c r="B5" s="53" t="s">
        <v>60</v>
      </c>
      <c r="C5" s="53" t="s">
        <v>62</v>
      </c>
      <c r="D5" s="54" t="s">
        <v>12953</v>
      </c>
      <c r="E5" s="53" t="s">
        <v>203</v>
      </c>
      <c r="F5" s="53" t="s">
        <v>204</v>
      </c>
      <c r="G5" s="54" t="s">
        <v>12957</v>
      </c>
      <c r="H5" s="54" t="s">
        <v>12958</v>
      </c>
      <c r="I5" s="53" t="s">
        <v>65</v>
      </c>
      <c r="J5" s="53">
        <v>1</v>
      </c>
    </row>
    <row r="6" spans="1:10" ht="16.5" customHeight="1">
      <c r="A6" s="51" t="s">
        <v>12800</v>
      </c>
      <c r="B6" s="51" t="s">
        <v>60</v>
      </c>
      <c r="C6" s="51" t="s">
        <v>62</v>
      </c>
      <c r="D6" s="52" t="s">
        <v>12953</v>
      </c>
      <c r="E6" s="51" t="s">
        <v>203</v>
      </c>
      <c r="F6" s="51" t="s">
        <v>204</v>
      </c>
      <c r="G6" s="52" t="s">
        <v>4091</v>
      </c>
      <c r="H6" s="52" t="s">
        <v>12959</v>
      </c>
      <c r="I6" s="51" t="s">
        <v>65</v>
      </c>
      <c r="J6" s="51">
        <v>1</v>
      </c>
    </row>
    <row r="7" spans="1:10" ht="16.5" customHeight="1">
      <c r="A7" s="53" t="s">
        <v>12800</v>
      </c>
      <c r="B7" s="53" t="s">
        <v>60</v>
      </c>
      <c r="C7" s="53" t="s">
        <v>62</v>
      </c>
      <c r="D7" s="54" t="s">
        <v>12953</v>
      </c>
      <c r="E7" s="53" t="s">
        <v>203</v>
      </c>
      <c r="F7" s="53" t="s">
        <v>204</v>
      </c>
      <c r="G7" s="54" t="s">
        <v>12960</v>
      </c>
      <c r="H7" s="54" t="s">
        <v>12961</v>
      </c>
      <c r="I7" s="53" t="s">
        <v>65</v>
      </c>
      <c r="J7" s="53">
        <v>1</v>
      </c>
    </row>
    <row r="8" spans="1:10" ht="16.5" customHeight="1">
      <c r="A8" s="51" t="s">
        <v>12800</v>
      </c>
      <c r="B8" s="51" t="s">
        <v>60</v>
      </c>
      <c r="C8" s="51" t="s">
        <v>300</v>
      </c>
      <c r="D8" s="55" t="s">
        <v>12962</v>
      </c>
      <c r="E8" s="51" t="s">
        <v>203</v>
      </c>
      <c r="F8" s="51" t="s">
        <v>204</v>
      </c>
      <c r="G8" s="55" t="s">
        <v>12963</v>
      </c>
      <c r="H8" s="52" t="s">
        <v>12964</v>
      </c>
      <c r="I8" s="51" t="s">
        <v>65</v>
      </c>
      <c r="J8" s="51">
        <v>1</v>
      </c>
    </row>
    <row r="9" spans="1:10" ht="16.5" customHeight="1">
      <c r="A9" s="53" t="s">
        <v>12800</v>
      </c>
      <c r="B9" s="53" t="s">
        <v>60</v>
      </c>
      <c r="C9" s="53" t="s">
        <v>300</v>
      </c>
      <c r="D9" s="56" t="s">
        <v>12962</v>
      </c>
      <c r="E9" s="53" t="s">
        <v>203</v>
      </c>
      <c r="F9" s="53" t="s">
        <v>204</v>
      </c>
      <c r="G9" s="56" t="s">
        <v>12965</v>
      </c>
      <c r="H9" s="54" t="s">
        <v>12966</v>
      </c>
      <c r="I9" s="53" t="s">
        <v>65</v>
      </c>
      <c r="J9" s="53">
        <v>1</v>
      </c>
    </row>
    <row r="10" spans="1:10" ht="16.5" customHeight="1">
      <c r="A10" s="51" t="s">
        <v>12800</v>
      </c>
      <c r="B10" s="51" t="s">
        <v>60</v>
      </c>
      <c r="C10" s="51" t="s">
        <v>300</v>
      </c>
      <c r="D10" s="52" t="s">
        <v>3844</v>
      </c>
      <c r="E10" s="51" t="s">
        <v>203</v>
      </c>
      <c r="F10" s="51" t="s">
        <v>204</v>
      </c>
      <c r="G10" s="52" t="s">
        <v>3830</v>
      </c>
      <c r="H10" s="52" t="s">
        <v>12967</v>
      </c>
      <c r="I10" s="51" t="s">
        <v>65</v>
      </c>
      <c r="J10" s="51">
        <v>1</v>
      </c>
    </row>
    <row r="11" spans="1:10" ht="16.5" customHeight="1">
      <c r="A11" s="53" t="s">
        <v>12800</v>
      </c>
      <c r="B11" s="53" t="s">
        <v>60</v>
      </c>
      <c r="C11" s="53" t="s">
        <v>300</v>
      </c>
      <c r="D11" s="54" t="s">
        <v>3844</v>
      </c>
      <c r="E11" s="53" t="s">
        <v>203</v>
      </c>
      <c r="F11" s="53" t="s">
        <v>204</v>
      </c>
      <c r="G11" s="54" t="s">
        <v>3849</v>
      </c>
      <c r="H11" s="54" t="s">
        <v>12968</v>
      </c>
      <c r="I11" s="53" t="s">
        <v>65</v>
      </c>
      <c r="J11" s="53">
        <v>1</v>
      </c>
    </row>
    <row r="12" spans="1:10" ht="16.5" customHeight="1">
      <c r="A12" s="51" t="s">
        <v>12800</v>
      </c>
      <c r="B12" s="51" t="s">
        <v>60</v>
      </c>
      <c r="C12" s="51" t="s">
        <v>300</v>
      </c>
      <c r="D12" s="52" t="s">
        <v>3854</v>
      </c>
      <c r="E12" s="51" t="s">
        <v>203</v>
      </c>
      <c r="F12" s="51" t="s">
        <v>204</v>
      </c>
      <c r="G12" s="52" t="s">
        <v>12969</v>
      </c>
      <c r="H12" s="55" t="s">
        <v>12970</v>
      </c>
      <c r="I12" s="51" t="s">
        <v>65</v>
      </c>
      <c r="J12" s="51">
        <v>1</v>
      </c>
    </row>
    <row r="13" spans="1:10" ht="16.5" customHeight="1">
      <c r="A13" s="53" t="s">
        <v>12800</v>
      </c>
      <c r="B13" s="53" t="s">
        <v>487</v>
      </c>
      <c r="C13" s="53" t="s">
        <v>488</v>
      </c>
      <c r="D13" s="56" t="s">
        <v>12971</v>
      </c>
      <c r="E13" s="53" t="s">
        <v>490</v>
      </c>
      <c r="F13" s="53" t="s">
        <v>491</v>
      </c>
      <c r="G13" s="54" t="s">
        <v>12972</v>
      </c>
      <c r="H13" s="56" t="s">
        <v>12973</v>
      </c>
      <c r="I13" s="53" t="s">
        <v>494</v>
      </c>
      <c r="J13" s="53">
        <v>1</v>
      </c>
    </row>
    <row r="14" spans="1:10" ht="16.5" customHeight="1">
      <c r="A14" s="51" t="s">
        <v>12800</v>
      </c>
      <c r="B14" s="51" t="s">
        <v>487</v>
      </c>
      <c r="C14" s="51" t="s">
        <v>204</v>
      </c>
      <c r="D14" s="52" t="s">
        <v>12957</v>
      </c>
      <c r="E14" s="51" t="s">
        <v>501</v>
      </c>
      <c r="F14" s="51" t="s">
        <v>488</v>
      </c>
      <c r="G14" s="55" t="s">
        <v>12971</v>
      </c>
      <c r="H14" s="52" t="s">
        <v>12974</v>
      </c>
      <c r="I14" s="51" t="s">
        <v>494</v>
      </c>
      <c r="J14" s="51">
        <v>1</v>
      </c>
    </row>
    <row r="15" spans="1:10" ht="16.5" customHeight="1">
      <c r="A15" s="53" t="s">
        <v>12800</v>
      </c>
      <c r="B15" s="53" t="s">
        <v>487</v>
      </c>
      <c r="C15" s="53" t="s">
        <v>488</v>
      </c>
      <c r="D15" s="54" t="s">
        <v>12975</v>
      </c>
      <c r="E15" s="53" t="s">
        <v>490</v>
      </c>
      <c r="F15" s="53" t="s">
        <v>491</v>
      </c>
      <c r="G15" s="54" t="s">
        <v>12976</v>
      </c>
      <c r="H15" s="54" t="s">
        <v>12977</v>
      </c>
      <c r="I15" s="53" t="s">
        <v>494</v>
      </c>
      <c r="J15" s="53">
        <v>1</v>
      </c>
    </row>
    <row r="16" spans="1:10" ht="16.5" customHeight="1">
      <c r="A16" s="51" t="s">
        <v>12800</v>
      </c>
      <c r="B16" s="51" t="s">
        <v>487</v>
      </c>
      <c r="C16" s="51" t="s">
        <v>204</v>
      </c>
      <c r="D16" s="52" t="s">
        <v>3932</v>
      </c>
      <c r="E16" s="51" t="s">
        <v>501</v>
      </c>
      <c r="F16" s="51" t="s">
        <v>488</v>
      </c>
      <c r="G16" s="52" t="s">
        <v>12975</v>
      </c>
      <c r="H16" s="52" t="s">
        <v>12978</v>
      </c>
      <c r="I16" s="51" t="s">
        <v>494</v>
      </c>
      <c r="J16" s="51">
        <v>1</v>
      </c>
    </row>
    <row r="17" spans="1:10" ht="16.5" customHeight="1">
      <c r="A17" s="53" t="s">
        <v>12800</v>
      </c>
      <c r="B17" s="53" t="s">
        <v>487</v>
      </c>
      <c r="C17" s="53" t="s">
        <v>491</v>
      </c>
      <c r="D17" s="54" t="s">
        <v>4502</v>
      </c>
      <c r="E17" s="53" t="s">
        <v>555</v>
      </c>
      <c r="F17" s="53" t="s">
        <v>556</v>
      </c>
      <c r="G17" s="54" t="s">
        <v>12979</v>
      </c>
      <c r="H17" s="54" t="s">
        <v>12980</v>
      </c>
      <c r="I17" s="53" t="s">
        <v>559</v>
      </c>
      <c r="J17" s="53">
        <v>1</v>
      </c>
    </row>
    <row r="18" spans="1:10" ht="16.5" customHeight="1">
      <c r="A18" s="51" t="s">
        <v>12800</v>
      </c>
      <c r="B18" s="51" t="s">
        <v>578</v>
      </c>
      <c r="C18" s="51" t="s">
        <v>300</v>
      </c>
      <c r="D18" s="55" t="s">
        <v>12962</v>
      </c>
      <c r="E18" s="51" t="s">
        <v>579</v>
      </c>
      <c r="F18" s="51" t="s">
        <v>62</v>
      </c>
      <c r="G18" s="52" t="s">
        <v>12953</v>
      </c>
      <c r="H18" s="52" t="s">
        <v>4526</v>
      </c>
      <c r="I18" s="51" t="s">
        <v>581</v>
      </c>
      <c r="J18" s="51">
        <v>1</v>
      </c>
    </row>
    <row r="19" spans="1:10" ht="16.5" customHeight="1">
      <c r="A19" s="53" t="s">
        <v>12800</v>
      </c>
      <c r="B19" s="53" t="s">
        <v>578</v>
      </c>
      <c r="C19" s="53" t="s">
        <v>300</v>
      </c>
      <c r="D19" s="54" t="s">
        <v>3844</v>
      </c>
      <c r="E19" s="53" t="s">
        <v>579</v>
      </c>
      <c r="F19" s="53" t="s">
        <v>62</v>
      </c>
      <c r="G19" s="54" t="s">
        <v>12953</v>
      </c>
      <c r="H19" s="54" t="s">
        <v>4528</v>
      </c>
      <c r="I19" s="53" t="s">
        <v>581</v>
      </c>
      <c r="J19" s="53">
        <v>1</v>
      </c>
    </row>
    <row r="20" spans="1:10" ht="16.5" customHeight="1">
      <c r="A20" s="51" t="s">
        <v>12800</v>
      </c>
      <c r="B20" s="51" t="s">
        <v>578</v>
      </c>
      <c r="C20" s="51" t="s">
        <v>300</v>
      </c>
      <c r="D20" s="52" t="s">
        <v>3854</v>
      </c>
      <c r="E20" s="51" t="s">
        <v>4530</v>
      </c>
      <c r="F20" s="51" t="s">
        <v>62</v>
      </c>
      <c r="G20" s="52" t="s">
        <v>12953</v>
      </c>
      <c r="H20" s="52" t="s">
        <v>12981</v>
      </c>
      <c r="I20" s="51" t="s">
        <v>632</v>
      </c>
      <c r="J20" s="51">
        <v>1</v>
      </c>
    </row>
    <row r="21" spans="1:10" ht="16.5" customHeight="1">
      <c r="A21" s="53" t="s">
        <v>12800</v>
      </c>
      <c r="B21" s="53" t="s">
        <v>578</v>
      </c>
      <c r="C21" s="53" t="s">
        <v>62</v>
      </c>
      <c r="D21" s="54" t="s">
        <v>12953</v>
      </c>
      <c r="E21" s="53" t="s">
        <v>635</v>
      </c>
      <c r="F21" s="53" t="s">
        <v>300</v>
      </c>
      <c r="G21" s="54" t="s">
        <v>4147</v>
      </c>
      <c r="H21" s="54" t="s">
        <v>12982</v>
      </c>
      <c r="I21" s="53" t="s">
        <v>4537</v>
      </c>
      <c r="J21" s="53">
        <v>1</v>
      </c>
    </row>
    <row r="22" spans="1:10" ht="16.5" customHeight="1">
      <c r="A22" s="51" t="s">
        <v>12800</v>
      </c>
      <c r="B22" s="51" t="s">
        <v>578</v>
      </c>
      <c r="C22" s="51" t="s">
        <v>300</v>
      </c>
      <c r="D22" s="52" t="s">
        <v>4147</v>
      </c>
      <c r="E22" s="51" t="s">
        <v>579</v>
      </c>
      <c r="F22" s="51" t="s">
        <v>62</v>
      </c>
      <c r="G22" s="52" t="s">
        <v>12983</v>
      </c>
      <c r="H22" s="52" t="s">
        <v>12984</v>
      </c>
      <c r="I22" s="51" t="s">
        <v>3613</v>
      </c>
      <c r="J22" s="51">
        <v>1</v>
      </c>
    </row>
    <row r="23" spans="1:10" ht="16.5" customHeight="1">
      <c r="A23" s="53" t="s">
        <v>12800</v>
      </c>
      <c r="B23" s="53" t="s">
        <v>650</v>
      </c>
      <c r="C23" s="53" t="s">
        <v>204</v>
      </c>
      <c r="D23" s="54" t="s">
        <v>3353</v>
      </c>
      <c r="E23" s="57" t="s">
        <v>667</v>
      </c>
      <c r="F23" s="53" t="s">
        <v>204</v>
      </c>
      <c r="G23" s="56" t="s">
        <v>12963</v>
      </c>
      <c r="H23" s="54" t="s">
        <v>12985</v>
      </c>
      <c r="I23" s="53" t="s">
        <v>680</v>
      </c>
      <c r="J23" s="53">
        <v>2</v>
      </c>
    </row>
    <row r="24" spans="1:10" ht="16.5" customHeight="1">
      <c r="A24" s="51" t="s">
        <v>12800</v>
      </c>
      <c r="B24" s="51" t="s">
        <v>650</v>
      </c>
      <c r="C24" s="51" t="s">
        <v>204</v>
      </c>
      <c r="D24" s="55" t="s">
        <v>12963</v>
      </c>
      <c r="E24" s="58" t="s">
        <v>667</v>
      </c>
      <c r="F24" s="51" t="s">
        <v>204</v>
      </c>
      <c r="G24" s="52" t="s">
        <v>3932</v>
      </c>
      <c r="H24" s="52" t="s">
        <v>12986</v>
      </c>
      <c r="I24" s="51" t="s">
        <v>680</v>
      </c>
      <c r="J24" s="51">
        <v>1</v>
      </c>
    </row>
    <row r="25" spans="1:10" ht="16.5" customHeight="1">
      <c r="A25" s="53" t="s">
        <v>12800</v>
      </c>
      <c r="B25" s="53" t="s">
        <v>650</v>
      </c>
      <c r="C25" s="53" t="s">
        <v>204</v>
      </c>
      <c r="D25" s="54" t="s">
        <v>3830</v>
      </c>
      <c r="E25" s="57" t="s">
        <v>667</v>
      </c>
      <c r="F25" s="53" t="s">
        <v>204</v>
      </c>
      <c r="G25" s="54" t="s">
        <v>3932</v>
      </c>
      <c r="H25" s="54" t="s">
        <v>3933</v>
      </c>
      <c r="I25" s="53" t="s">
        <v>680</v>
      </c>
      <c r="J25" s="53">
        <v>2</v>
      </c>
    </row>
    <row r="26" spans="1:10" ht="16.5" customHeight="1">
      <c r="A26" s="51" t="s">
        <v>12800</v>
      </c>
      <c r="B26" s="51" t="s">
        <v>650</v>
      </c>
      <c r="C26" s="51" t="s">
        <v>204</v>
      </c>
      <c r="D26" s="52" t="s">
        <v>12987</v>
      </c>
      <c r="E26" s="58" t="s">
        <v>667</v>
      </c>
      <c r="F26" s="51" t="s">
        <v>204</v>
      </c>
      <c r="G26" s="52" t="s">
        <v>3932</v>
      </c>
      <c r="H26" s="52" t="s">
        <v>12988</v>
      </c>
      <c r="I26" s="51" t="s">
        <v>507</v>
      </c>
      <c r="J26" s="51">
        <v>1</v>
      </c>
    </row>
    <row r="27" spans="1:10" ht="16.5" customHeight="1">
      <c r="A27" s="53" t="s">
        <v>12800</v>
      </c>
      <c r="B27" s="53" t="s">
        <v>650</v>
      </c>
      <c r="C27" s="53" t="s">
        <v>204</v>
      </c>
      <c r="D27" s="54" t="s">
        <v>3932</v>
      </c>
      <c r="E27" s="59" t="s">
        <v>654</v>
      </c>
      <c r="F27" s="53" t="s">
        <v>204</v>
      </c>
      <c r="G27" s="54" t="s">
        <v>3642</v>
      </c>
      <c r="H27" s="54" t="s">
        <v>12989</v>
      </c>
      <c r="I27" s="53" t="s">
        <v>652</v>
      </c>
      <c r="J27" s="53">
        <v>1</v>
      </c>
    </row>
    <row r="28" spans="1:10" ht="16.5" customHeight="1">
      <c r="A28" s="51" t="s">
        <v>12800</v>
      </c>
      <c r="B28" s="51" t="s">
        <v>650</v>
      </c>
      <c r="C28" s="51" t="s">
        <v>204</v>
      </c>
      <c r="D28" s="52" t="s">
        <v>3932</v>
      </c>
      <c r="E28" s="60" t="s">
        <v>654</v>
      </c>
      <c r="F28" s="51" t="s">
        <v>295</v>
      </c>
      <c r="G28" s="55" t="s">
        <v>12990</v>
      </c>
      <c r="H28" s="52" t="s">
        <v>12991</v>
      </c>
      <c r="I28" s="51" t="s">
        <v>652</v>
      </c>
      <c r="J28" s="51">
        <v>1</v>
      </c>
    </row>
    <row r="29" spans="1:10" ht="16.5" customHeight="1">
      <c r="A29" s="53" t="s">
        <v>12800</v>
      </c>
      <c r="B29" s="53" t="s">
        <v>650</v>
      </c>
      <c r="C29" s="53" t="s">
        <v>204</v>
      </c>
      <c r="D29" s="54" t="s">
        <v>12969</v>
      </c>
      <c r="E29" s="57" t="s">
        <v>667</v>
      </c>
      <c r="F29" s="53" t="s">
        <v>204</v>
      </c>
      <c r="G29" s="54" t="s">
        <v>12957</v>
      </c>
      <c r="H29" s="54" t="s">
        <v>12992</v>
      </c>
      <c r="I29" s="53" t="s">
        <v>507</v>
      </c>
      <c r="J29" s="53">
        <v>1</v>
      </c>
    </row>
    <row r="30" spans="1:10" ht="16.5" customHeight="1">
      <c r="A30" s="51" t="s">
        <v>12800</v>
      </c>
      <c r="B30" s="51" t="s">
        <v>650</v>
      </c>
      <c r="C30" s="51" t="s">
        <v>204</v>
      </c>
      <c r="D30" s="52" t="s">
        <v>12957</v>
      </c>
      <c r="E30" s="58" t="s">
        <v>667</v>
      </c>
      <c r="F30" s="51" t="s">
        <v>204</v>
      </c>
      <c r="G30" s="52" t="s">
        <v>4119</v>
      </c>
      <c r="H30" s="52" t="s">
        <v>12993</v>
      </c>
      <c r="I30" s="51" t="s">
        <v>652</v>
      </c>
      <c r="J30" s="51">
        <v>1</v>
      </c>
    </row>
    <row r="31" spans="1:10" ht="16.5" customHeight="1">
      <c r="A31" s="53" t="s">
        <v>12800</v>
      </c>
      <c r="B31" s="53" t="s">
        <v>650</v>
      </c>
      <c r="C31" s="53" t="s">
        <v>204</v>
      </c>
      <c r="D31" s="54" t="s">
        <v>12960</v>
      </c>
      <c r="E31" s="57" t="s">
        <v>667</v>
      </c>
      <c r="F31" s="53" t="s">
        <v>204</v>
      </c>
      <c r="G31" s="54" t="s">
        <v>4123</v>
      </c>
      <c r="H31" s="54" t="s">
        <v>12994</v>
      </c>
      <c r="I31" s="53" t="s">
        <v>652</v>
      </c>
      <c r="J31" s="53">
        <v>2</v>
      </c>
    </row>
    <row r="32" spans="1:10" ht="16.5" customHeight="1">
      <c r="A32" s="51" t="s">
        <v>12800</v>
      </c>
      <c r="B32" s="51" t="s">
        <v>650</v>
      </c>
      <c r="C32" s="51" t="s">
        <v>204</v>
      </c>
      <c r="D32" s="52" t="s">
        <v>12960</v>
      </c>
      <c r="E32" s="60" t="s">
        <v>654</v>
      </c>
      <c r="F32" s="51" t="s">
        <v>204</v>
      </c>
      <c r="G32" s="52" t="s">
        <v>4127</v>
      </c>
      <c r="H32" s="52" t="s">
        <v>12995</v>
      </c>
      <c r="I32" s="51" t="s">
        <v>652</v>
      </c>
      <c r="J32" s="51">
        <v>2</v>
      </c>
    </row>
    <row r="33" spans="1:10" ht="16.5" customHeight="1">
      <c r="A33" s="53" t="s">
        <v>12800</v>
      </c>
      <c r="B33" s="53" t="s">
        <v>695</v>
      </c>
      <c r="C33" s="53" t="s">
        <v>204</v>
      </c>
      <c r="D33" s="54" t="s">
        <v>4119</v>
      </c>
      <c r="E33" s="57" t="s">
        <v>667</v>
      </c>
      <c r="F33" s="53" t="s">
        <v>295</v>
      </c>
      <c r="G33" s="54" t="s">
        <v>3648</v>
      </c>
      <c r="H33" s="54" t="s">
        <v>12996</v>
      </c>
      <c r="I33" s="53" t="s">
        <v>696</v>
      </c>
      <c r="J33" s="53">
        <v>1</v>
      </c>
    </row>
    <row r="34" spans="1:10" ht="16.5" customHeight="1">
      <c r="A34" s="51" t="s">
        <v>12800</v>
      </c>
      <c r="B34" s="51" t="s">
        <v>695</v>
      </c>
      <c r="C34" s="51" t="s">
        <v>204</v>
      </c>
      <c r="D34" s="52" t="s">
        <v>3642</v>
      </c>
      <c r="E34" s="58" t="s">
        <v>667</v>
      </c>
      <c r="F34" s="51" t="s">
        <v>295</v>
      </c>
      <c r="G34" s="52" t="s">
        <v>3648</v>
      </c>
      <c r="H34" s="52" t="s">
        <v>12997</v>
      </c>
      <c r="I34" s="51" t="s">
        <v>696</v>
      </c>
      <c r="J34" s="51">
        <v>1</v>
      </c>
    </row>
    <row r="35" spans="1:10" ht="16.5" customHeight="1">
      <c r="A35" s="53" t="s">
        <v>12800</v>
      </c>
      <c r="B35" s="53" t="s">
        <v>695</v>
      </c>
      <c r="C35" s="53" t="s">
        <v>295</v>
      </c>
      <c r="D35" s="54" t="s">
        <v>3648</v>
      </c>
      <c r="E35" s="57" t="s">
        <v>667</v>
      </c>
      <c r="F35" s="53" t="s">
        <v>698</v>
      </c>
      <c r="G35" s="54" t="s">
        <v>2167</v>
      </c>
      <c r="H35" s="54" t="s">
        <v>12998</v>
      </c>
      <c r="I35" s="53" t="s">
        <v>701</v>
      </c>
      <c r="J35" s="53">
        <v>1</v>
      </c>
    </row>
    <row r="36" spans="1:10" ht="16.5" customHeight="1">
      <c r="A36" s="51" t="s">
        <v>12865</v>
      </c>
      <c r="B36" s="51" t="s">
        <v>60</v>
      </c>
      <c r="C36" s="51" t="s">
        <v>62</v>
      </c>
      <c r="D36" s="52" t="s">
        <v>12999</v>
      </c>
      <c r="E36" s="51" t="s">
        <v>81</v>
      </c>
      <c r="F36" s="51" t="s">
        <v>82</v>
      </c>
      <c r="G36" s="52" t="s">
        <v>8190</v>
      </c>
      <c r="H36" s="52" t="s">
        <v>13000</v>
      </c>
      <c r="I36" s="51" t="s">
        <v>65</v>
      </c>
      <c r="J36" s="51">
        <v>1</v>
      </c>
    </row>
    <row r="37" spans="1:10" ht="16.5" customHeight="1">
      <c r="A37" s="53" t="s">
        <v>12865</v>
      </c>
      <c r="B37" s="53" t="s">
        <v>60</v>
      </c>
      <c r="C37" s="53" t="s">
        <v>62</v>
      </c>
      <c r="D37" s="54" t="s">
        <v>12999</v>
      </c>
      <c r="E37" s="53" t="s">
        <v>203</v>
      </c>
      <c r="F37" s="53" t="s">
        <v>204</v>
      </c>
      <c r="G37" s="54" t="s">
        <v>13001</v>
      </c>
      <c r="H37" s="54" t="s">
        <v>13002</v>
      </c>
      <c r="I37" s="53" t="s">
        <v>65</v>
      </c>
      <c r="J37" s="53">
        <v>1</v>
      </c>
    </row>
    <row r="38" spans="1:10" ht="16.5" customHeight="1">
      <c r="A38" s="51" t="s">
        <v>12865</v>
      </c>
      <c r="B38" s="51" t="s">
        <v>60</v>
      </c>
      <c r="C38" s="51" t="s">
        <v>62</v>
      </c>
      <c r="D38" s="52" t="s">
        <v>12999</v>
      </c>
      <c r="E38" s="51" t="s">
        <v>203</v>
      </c>
      <c r="F38" s="51" t="s">
        <v>204</v>
      </c>
      <c r="G38" s="52" t="s">
        <v>13003</v>
      </c>
      <c r="H38" s="52" t="s">
        <v>13004</v>
      </c>
      <c r="I38" s="51" t="s">
        <v>65</v>
      </c>
      <c r="J38" s="51">
        <v>1</v>
      </c>
    </row>
    <row r="39" spans="1:10" ht="16.5" customHeight="1">
      <c r="A39" s="53" t="s">
        <v>12865</v>
      </c>
      <c r="B39" s="53" t="s">
        <v>60</v>
      </c>
      <c r="C39" s="53" t="s">
        <v>62</v>
      </c>
      <c r="D39" s="54" t="s">
        <v>12999</v>
      </c>
      <c r="E39" s="53" t="s">
        <v>203</v>
      </c>
      <c r="F39" s="53" t="s">
        <v>204</v>
      </c>
      <c r="G39" s="54" t="s">
        <v>13005</v>
      </c>
      <c r="H39" s="54" t="s">
        <v>13006</v>
      </c>
      <c r="I39" s="53" t="s">
        <v>65</v>
      </c>
      <c r="J39" s="53">
        <v>1</v>
      </c>
    </row>
    <row r="40" spans="1:10" ht="16.5" customHeight="1">
      <c r="A40" s="51" t="s">
        <v>12865</v>
      </c>
      <c r="B40" s="51" t="s">
        <v>60</v>
      </c>
      <c r="C40" s="51" t="s">
        <v>62</v>
      </c>
      <c r="D40" s="52" t="s">
        <v>13007</v>
      </c>
      <c r="E40" s="51" t="s">
        <v>203</v>
      </c>
      <c r="F40" s="51" t="s">
        <v>204</v>
      </c>
      <c r="G40" s="52" t="s">
        <v>13008</v>
      </c>
      <c r="H40" s="52" t="s">
        <v>13009</v>
      </c>
      <c r="I40" s="51" t="s">
        <v>65</v>
      </c>
      <c r="J40" s="51">
        <v>1</v>
      </c>
    </row>
    <row r="41" spans="1:10" ht="16.5" customHeight="1">
      <c r="A41" s="53" t="s">
        <v>12865</v>
      </c>
      <c r="B41" s="53" t="s">
        <v>60</v>
      </c>
      <c r="C41" s="53" t="s">
        <v>62</v>
      </c>
      <c r="D41" s="54" t="s">
        <v>13010</v>
      </c>
      <c r="E41" s="53" t="s">
        <v>203</v>
      </c>
      <c r="F41" s="53" t="s">
        <v>204</v>
      </c>
      <c r="G41" s="54" t="s">
        <v>4154</v>
      </c>
      <c r="H41" s="54" t="s">
        <v>13011</v>
      </c>
      <c r="I41" s="53" t="s">
        <v>65</v>
      </c>
      <c r="J41" s="53">
        <v>1</v>
      </c>
    </row>
    <row r="42" spans="1:10" ht="16.5" customHeight="1">
      <c r="A42" s="51" t="s">
        <v>12865</v>
      </c>
      <c r="B42" s="51" t="s">
        <v>60</v>
      </c>
      <c r="C42" s="51" t="s">
        <v>300</v>
      </c>
      <c r="D42" s="52" t="s">
        <v>13012</v>
      </c>
      <c r="E42" s="51" t="s">
        <v>203</v>
      </c>
      <c r="F42" s="51" t="s">
        <v>204</v>
      </c>
      <c r="G42" s="52" t="s">
        <v>13013</v>
      </c>
      <c r="H42" s="52" t="s">
        <v>13014</v>
      </c>
      <c r="I42" s="51" t="s">
        <v>65</v>
      </c>
      <c r="J42" s="51">
        <v>1</v>
      </c>
    </row>
    <row r="43" spans="1:10" ht="16.5" customHeight="1">
      <c r="A43" s="53" t="s">
        <v>12865</v>
      </c>
      <c r="B43" s="53" t="s">
        <v>60</v>
      </c>
      <c r="C43" s="53" t="s">
        <v>300</v>
      </c>
      <c r="D43" s="54" t="s">
        <v>13015</v>
      </c>
      <c r="E43" s="53" t="s">
        <v>203</v>
      </c>
      <c r="F43" s="53" t="s">
        <v>204</v>
      </c>
      <c r="G43" s="54" t="s">
        <v>13016</v>
      </c>
      <c r="H43" s="54" t="s">
        <v>13017</v>
      </c>
      <c r="I43" s="53" t="s">
        <v>65</v>
      </c>
      <c r="J43" s="53">
        <v>1</v>
      </c>
    </row>
    <row r="44" spans="1:10" ht="16.5" customHeight="1">
      <c r="A44" s="51" t="s">
        <v>12865</v>
      </c>
      <c r="B44" s="51" t="s">
        <v>60</v>
      </c>
      <c r="C44" s="51" t="s">
        <v>300</v>
      </c>
      <c r="D44" s="52" t="s">
        <v>597</v>
      </c>
      <c r="E44" s="51" t="s">
        <v>203</v>
      </c>
      <c r="F44" s="51" t="s">
        <v>204</v>
      </c>
      <c r="G44" s="52" t="s">
        <v>13018</v>
      </c>
      <c r="H44" s="52" t="s">
        <v>13019</v>
      </c>
      <c r="I44" s="51" t="s">
        <v>65</v>
      </c>
      <c r="J44" s="51">
        <v>1</v>
      </c>
    </row>
    <row r="45" spans="1:10" ht="16.5" customHeight="1">
      <c r="A45" s="53" t="s">
        <v>12865</v>
      </c>
      <c r="B45" s="53" t="s">
        <v>487</v>
      </c>
      <c r="C45" s="53" t="s">
        <v>488</v>
      </c>
      <c r="D45" s="54" t="s">
        <v>13020</v>
      </c>
      <c r="E45" s="53" t="s">
        <v>490</v>
      </c>
      <c r="F45" s="53" t="s">
        <v>491</v>
      </c>
      <c r="G45" s="54" t="s">
        <v>13021</v>
      </c>
      <c r="H45" s="54" t="s">
        <v>13022</v>
      </c>
      <c r="I45" s="53" t="s">
        <v>494</v>
      </c>
      <c r="J45" s="53">
        <v>1</v>
      </c>
    </row>
    <row r="46" spans="1:10" ht="16.5" customHeight="1">
      <c r="A46" s="51" t="s">
        <v>12865</v>
      </c>
      <c r="B46" s="51" t="s">
        <v>487</v>
      </c>
      <c r="C46" s="51" t="s">
        <v>204</v>
      </c>
      <c r="D46" s="52" t="s">
        <v>13008</v>
      </c>
      <c r="E46" s="51" t="s">
        <v>501</v>
      </c>
      <c r="F46" s="51" t="s">
        <v>488</v>
      </c>
      <c r="G46" s="52" t="s">
        <v>13020</v>
      </c>
      <c r="H46" s="52" t="s">
        <v>13023</v>
      </c>
      <c r="I46" s="51" t="s">
        <v>494</v>
      </c>
      <c r="J46" s="51">
        <v>1</v>
      </c>
    </row>
    <row r="47" spans="1:10" ht="16.5" customHeight="1">
      <c r="A47" s="53" t="s">
        <v>12865</v>
      </c>
      <c r="B47" s="53" t="s">
        <v>487</v>
      </c>
      <c r="C47" s="53" t="s">
        <v>488</v>
      </c>
      <c r="D47" s="54" t="s">
        <v>12975</v>
      </c>
      <c r="E47" s="53" t="s">
        <v>490</v>
      </c>
      <c r="F47" s="53" t="s">
        <v>491</v>
      </c>
      <c r="G47" s="54" t="s">
        <v>13024</v>
      </c>
      <c r="H47" s="54" t="s">
        <v>5168</v>
      </c>
      <c r="I47" s="53" t="s">
        <v>494</v>
      </c>
      <c r="J47" s="53">
        <v>1</v>
      </c>
    </row>
    <row r="48" spans="1:10" ht="16.5" customHeight="1">
      <c r="A48" s="51" t="s">
        <v>12865</v>
      </c>
      <c r="B48" s="51" t="s">
        <v>487</v>
      </c>
      <c r="C48" s="51" t="s">
        <v>204</v>
      </c>
      <c r="D48" s="52" t="s">
        <v>4154</v>
      </c>
      <c r="E48" s="51" t="s">
        <v>501</v>
      </c>
      <c r="F48" s="51" t="s">
        <v>488</v>
      </c>
      <c r="G48" s="52" t="s">
        <v>12975</v>
      </c>
      <c r="H48" s="52" t="s">
        <v>13025</v>
      </c>
      <c r="I48" s="51" t="s">
        <v>494</v>
      </c>
      <c r="J48" s="51">
        <v>1</v>
      </c>
    </row>
    <row r="49" spans="1:10" ht="16.5" customHeight="1">
      <c r="A49" s="53" t="s">
        <v>12865</v>
      </c>
      <c r="B49" s="53" t="s">
        <v>487</v>
      </c>
      <c r="C49" s="53" t="s">
        <v>488</v>
      </c>
      <c r="D49" s="54" t="s">
        <v>13026</v>
      </c>
      <c r="E49" s="53" t="s">
        <v>490</v>
      </c>
      <c r="F49" s="53" t="s">
        <v>491</v>
      </c>
      <c r="G49" s="54" t="s">
        <v>13027</v>
      </c>
      <c r="H49" s="54" t="s">
        <v>13028</v>
      </c>
      <c r="I49" s="53" t="s">
        <v>513</v>
      </c>
      <c r="J49" s="53">
        <v>1</v>
      </c>
    </row>
    <row r="50" spans="1:10" ht="16.5" customHeight="1">
      <c r="A50" s="51" t="s">
        <v>12865</v>
      </c>
      <c r="B50" s="51" t="s">
        <v>578</v>
      </c>
      <c r="C50" s="51" t="s">
        <v>300</v>
      </c>
      <c r="D50" s="52" t="s">
        <v>4147</v>
      </c>
      <c r="E50" s="51" t="s">
        <v>579</v>
      </c>
      <c r="F50" s="51" t="s">
        <v>62</v>
      </c>
      <c r="G50" s="52" t="s">
        <v>13010</v>
      </c>
      <c r="H50" s="52" t="s">
        <v>5354</v>
      </c>
      <c r="I50" s="51" t="s">
        <v>5302</v>
      </c>
      <c r="J50" s="51">
        <v>1</v>
      </c>
    </row>
    <row r="51" spans="1:10" ht="16.5" customHeight="1">
      <c r="A51" s="53" t="s">
        <v>12865</v>
      </c>
      <c r="B51" s="53" t="s">
        <v>578</v>
      </c>
      <c r="C51" s="53" t="s">
        <v>300</v>
      </c>
      <c r="D51" s="54" t="s">
        <v>13029</v>
      </c>
      <c r="E51" s="53" t="s">
        <v>579</v>
      </c>
      <c r="F51" s="53" t="s">
        <v>62</v>
      </c>
      <c r="G51" s="54" t="s">
        <v>13007</v>
      </c>
      <c r="H51" s="54" t="s">
        <v>13030</v>
      </c>
      <c r="I51" s="53" t="s">
        <v>2767</v>
      </c>
      <c r="J51" s="53">
        <v>1</v>
      </c>
    </row>
    <row r="52" spans="1:10" ht="16.5" customHeight="1">
      <c r="A52" s="51" t="s">
        <v>12865</v>
      </c>
      <c r="B52" s="51" t="s">
        <v>578</v>
      </c>
      <c r="C52" s="51" t="s">
        <v>300</v>
      </c>
      <c r="D52" s="52" t="s">
        <v>13031</v>
      </c>
      <c r="E52" s="51" t="s">
        <v>589</v>
      </c>
      <c r="F52" s="51" t="s">
        <v>62</v>
      </c>
      <c r="G52" s="52" t="s">
        <v>13007</v>
      </c>
      <c r="H52" s="52" t="s">
        <v>13032</v>
      </c>
      <c r="I52" s="51" t="s">
        <v>591</v>
      </c>
      <c r="J52" s="51">
        <v>1</v>
      </c>
    </row>
    <row r="53" spans="1:10" ht="16.5" customHeight="1">
      <c r="A53" s="53" t="s">
        <v>12865</v>
      </c>
      <c r="B53" s="53" t="s">
        <v>578</v>
      </c>
      <c r="C53" s="53" t="s">
        <v>300</v>
      </c>
      <c r="D53" s="54" t="s">
        <v>13033</v>
      </c>
      <c r="E53" s="53" t="s">
        <v>579</v>
      </c>
      <c r="F53" s="53" t="s">
        <v>62</v>
      </c>
      <c r="G53" s="54" t="s">
        <v>12999</v>
      </c>
      <c r="H53" s="54" t="s">
        <v>13034</v>
      </c>
      <c r="I53" s="53" t="s">
        <v>2771</v>
      </c>
      <c r="J53" s="53">
        <v>1</v>
      </c>
    </row>
    <row r="54" spans="1:10" ht="16.5" customHeight="1">
      <c r="A54" s="51" t="s">
        <v>12865</v>
      </c>
      <c r="B54" s="51" t="s">
        <v>578</v>
      </c>
      <c r="C54" s="51" t="s">
        <v>300</v>
      </c>
      <c r="D54" s="52" t="s">
        <v>13012</v>
      </c>
      <c r="E54" s="51" t="s">
        <v>579</v>
      </c>
      <c r="F54" s="51" t="s">
        <v>62</v>
      </c>
      <c r="G54" s="52" t="s">
        <v>12999</v>
      </c>
      <c r="H54" s="52" t="s">
        <v>13035</v>
      </c>
      <c r="I54" s="51" t="s">
        <v>2771</v>
      </c>
      <c r="J54" s="51">
        <v>1</v>
      </c>
    </row>
    <row r="55" spans="1:10" ht="16.5" customHeight="1">
      <c r="A55" s="53" t="s">
        <v>12865</v>
      </c>
      <c r="B55" s="53" t="s">
        <v>578</v>
      </c>
      <c r="C55" s="53" t="s">
        <v>62</v>
      </c>
      <c r="D55" s="54" t="s">
        <v>12999</v>
      </c>
      <c r="E55" s="53" t="s">
        <v>612</v>
      </c>
      <c r="F55" s="53" t="s">
        <v>300</v>
      </c>
      <c r="G55" s="54" t="s">
        <v>13036</v>
      </c>
      <c r="H55" s="54" t="s">
        <v>13037</v>
      </c>
      <c r="I55" s="53" t="s">
        <v>614</v>
      </c>
      <c r="J55" s="53">
        <v>1</v>
      </c>
    </row>
    <row r="56" spans="1:10" ht="16.5" customHeight="1">
      <c r="A56" s="51" t="s">
        <v>12865</v>
      </c>
      <c r="B56" s="51" t="s">
        <v>578</v>
      </c>
      <c r="C56" s="51" t="s">
        <v>62</v>
      </c>
      <c r="D56" s="52" t="s">
        <v>12999</v>
      </c>
      <c r="E56" s="51" t="s">
        <v>612</v>
      </c>
      <c r="F56" s="51" t="s">
        <v>300</v>
      </c>
      <c r="G56" s="55" t="s">
        <v>13038</v>
      </c>
      <c r="H56" s="52" t="s">
        <v>13039</v>
      </c>
      <c r="I56" s="51" t="s">
        <v>614</v>
      </c>
      <c r="J56" s="51">
        <v>1</v>
      </c>
    </row>
    <row r="57" spans="1:10" ht="16.5" customHeight="1">
      <c r="A57" s="53" t="s">
        <v>12865</v>
      </c>
      <c r="B57" s="53" t="s">
        <v>650</v>
      </c>
      <c r="C57" s="53" t="s">
        <v>204</v>
      </c>
      <c r="D57" s="54" t="s">
        <v>13040</v>
      </c>
      <c r="E57" s="59" t="s">
        <v>654</v>
      </c>
      <c r="F57" s="53" t="s">
        <v>204</v>
      </c>
      <c r="G57" s="54" t="s">
        <v>4154</v>
      </c>
      <c r="H57" s="54" t="s">
        <v>5385</v>
      </c>
      <c r="I57" s="53" t="s">
        <v>507</v>
      </c>
      <c r="J57" s="53">
        <v>1</v>
      </c>
    </row>
    <row r="58" spans="1:10" ht="16.5" customHeight="1">
      <c r="A58" s="51" t="s">
        <v>12865</v>
      </c>
      <c r="B58" s="51" t="s">
        <v>650</v>
      </c>
      <c r="C58" s="51" t="s">
        <v>204</v>
      </c>
      <c r="D58" s="52" t="s">
        <v>4154</v>
      </c>
      <c r="E58" s="58" t="s">
        <v>667</v>
      </c>
      <c r="F58" s="51" t="s">
        <v>204</v>
      </c>
      <c r="G58" s="52" t="s">
        <v>4948</v>
      </c>
      <c r="H58" s="52" t="s">
        <v>13041</v>
      </c>
      <c r="I58" s="51" t="s">
        <v>652</v>
      </c>
      <c r="J58" s="51">
        <v>1</v>
      </c>
    </row>
    <row r="59" spans="1:10" ht="16.5" customHeight="1">
      <c r="A59" s="53" t="s">
        <v>12865</v>
      </c>
      <c r="B59" s="53" t="s">
        <v>650</v>
      </c>
      <c r="C59" s="53" t="s">
        <v>204</v>
      </c>
      <c r="D59" s="54" t="s">
        <v>13042</v>
      </c>
      <c r="E59" s="59" t="s">
        <v>654</v>
      </c>
      <c r="F59" s="53" t="s">
        <v>204</v>
      </c>
      <c r="G59" s="54" t="s">
        <v>13008</v>
      </c>
      <c r="H59" s="54" t="s">
        <v>13043</v>
      </c>
      <c r="I59" s="53" t="s">
        <v>507</v>
      </c>
      <c r="J59" s="53">
        <v>1</v>
      </c>
    </row>
    <row r="60" spans="1:10" ht="16.5" customHeight="1">
      <c r="A60" s="51" t="s">
        <v>12865</v>
      </c>
      <c r="B60" s="51" t="s">
        <v>650</v>
      </c>
      <c r="C60" s="51" t="s">
        <v>204</v>
      </c>
      <c r="D60" s="52" t="s">
        <v>13008</v>
      </c>
      <c r="E60" s="51" t="s">
        <v>505</v>
      </c>
      <c r="F60" s="51" t="s">
        <v>204</v>
      </c>
      <c r="G60" s="52" t="s">
        <v>4938</v>
      </c>
      <c r="H60" s="55" t="s">
        <v>13044</v>
      </c>
      <c r="I60" s="51" t="s">
        <v>652</v>
      </c>
      <c r="J60" s="51">
        <v>1</v>
      </c>
    </row>
    <row r="61" spans="1:10" ht="16.5" customHeight="1">
      <c r="A61" s="53" t="s">
        <v>12865</v>
      </c>
      <c r="B61" s="53" t="s">
        <v>650</v>
      </c>
      <c r="C61" s="53" t="s">
        <v>204</v>
      </c>
      <c r="D61" s="54" t="s">
        <v>13013</v>
      </c>
      <c r="E61" s="57" t="s">
        <v>667</v>
      </c>
      <c r="F61" s="53" t="s">
        <v>204</v>
      </c>
      <c r="G61" s="54" t="s">
        <v>13045</v>
      </c>
      <c r="H61" s="54" t="s">
        <v>13046</v>
      </c>
      <c r="I61" s="53" t="s">
        <v>680</v>
      </c>
      <c r="J61" s="53">
        <v>1</v>
      </c>
    </row>
    <row r="62" spans="1:10" ht="16.5" customHeight="1">
      <c r="A62" s="51" t="s">
        <v>12865</v>
      </c>
      <c r="B62" s="51" t="s">
        <v>650</v>
      </c>
      <c r="C62" s="51" t="s">
        <v>204</v>
      </c>
      <c r="D62" s="52" t="s">
        <v>13045</v>
      </c>
      <c r="E62" s="51" t="s">
        <v>505</v>
      </c>
      <c r="F62" s="51" t="s">
        <v>204</v>
      </c>
      <c r="G62" s="52" t="s">
        <v>4944</v>
      </c>
      <c r="H62" s="52" t="s">
        <v>13047</v>
      </c>
      <c r="I62" s="51" t="s">
        <v>652</v>
      </c>
      <c r="J62" s="51">
        <v>1</v>
      </c>
    </row>
    <row r="63" spans="1:10" ht="16.5" customHeight="1">
      <c r="A63" s="53" t="s">
        <v>12865</v>
      </c>
      <c r="B63" s="53" t="s">
        <v>650</v>
      </c>
      <c r="C63" s="53" t="s">
        <v>204</v>
      </c>
      <c r="D63" s="54" t="s">
        <v>13018</v>
      </c>
      <c r="E63" s="59" t="s">
        <v>654</v>
      </c>
      <c r="F63" s="53" t="s">
        <v>204</v>
      </c>
      <c r="G63" s="54" t="s">
        <v>291</v>
      </c>
      <c r="H63" s="54" t="s">
        <v>13048</v>
      </c>
      <c r="I63" s="53" t="s">
        <v>652</v>
      </c>
      <c r="J63" s="53">
        <v>1</v>
      </c>
    </row>
    <row r="64" spans="1:10" ht="16.5" customHeight="1">
      <c r="A64" s="51" t="s">
        <v>12865</v>
      </c>
      <c r="B64" s="51" t="s">
        <v>650</v>
      </c>
      <c r="C64" s="51" t="s">
        <v>204</v>
      </c>
      <c r="D64" s="52" t="s">
        <v>13049</v>
      </c>
      <c r="E64" s="51" t="s">
        <v>505</v>
      </c>
      <c r="F64" s="51" t="s">
        <v>204</v>
      </c>
      <c r="G64" s="52" t="s">
        <v>683</v>
      </c>
      <c r="H64" s="52" t="s">
        <v>13050</v>
      </c>
      <c r="I64" s="51" t="s">
        <v>507</v>
      </c>
      <c r="J64" s="51">
        <v>1</v>
      </c>
    </row>
    <row r="65" spans="1:10" ht="16.5" customHeight="1">
      <c r="A65" s="53" t="s">
        <v>12865</v>
      </c>
      <c r="B65" s="53" t="s">
        <v>650</v>
      </c>
      <c r="C65" s="53" t="s">
        <v>204</v>
      </c>
      <c r="D65" s="54" t="s">
        <v>4948</v>
      </c>
      <c r="E65" s="59" t="s">
        <v>654</v>
      </c>
      <c r="F65" s="53" t="s">
        <v>295</v>
      </c>
      <c r="G65" s="54" t="s">
        <v>674</v>
      </c>
      <c r="H65" s="54" t="s">
        <v>13051</v>
      </c>
      <c r="I65" s="53" t="s">
        <v>652</v>
      </c>
      <c r="J65" s="53">
        <v>1</v>
      </c>
    </row>
    <row r="66" spans="1:10" ht="16.5" customHeight="1">
      <c r="A66" s="51" t="s">
        <v>12865</v>
      </c>
      <c r="B66" s="51" t="s">
        <v>650</v>
      </c>
      <c r="C66" s="51" t="s">
        <v>295</v>
      </c>
      <c r="D66" s="52" t="s">
        <v>674</v>
      </c>
      <c r="E66" s="60" t="s">
        <v>654</v>
      </c>
      <c r="F66" s="51" t="s">
        <v>295</v>
      </c>
      <c r="G66" s="52" t="s">
        <v>13052</v>
      </c>
      <c r="H66" s="52" t="s">
        <v>13053</v>
      </c>
      <c r="I66" s="51" t="s">
        <v>652</v>
      </c>
      <c r="J66" s="51">
        <v>1</v>
      </c>
    </row>
    <row r="67" spans="1:10" ht="16.5" customHeight="1">
      <c r="A67" s="53" t="s">
        <v>12865</v>
      </c>
      <c r="B67" s="53" t="s">
        <v>695</v>
      </c>
      <c r="C67" s="53" t="s">
        <v>295</v>
      </c>
      <c r="D67" s="54" t="s">
        <v>13052</v>
      </c>
      <c r="E67" s="59" t="s">
        <v>654</v>
      </c>
      <c r="F67" s="53" t="s">
        <v>698</v>
      </c>
      <c r="G67" s="54" t="s">
        <v>2167</v>
      </c>
      <c r="H67" s="54" t="s">
        <v>13054</v>
      </c>
      <c r="I67" s="53" t="s">
        <v>701</v>
      </c>
      <c r="J67" s="53">
        <v>1</v>
      </c>
    </row>
    <row r="68" spans="1:10" ht="16.5" customHeight="1">
      <c r="A68" s="51" t="s">
        <v>8069</v>
      </c>
      <c r="B68" s="51" t="s">
        <v>578</v>
      </c>
      <c r="C68" s="51" t="s">
        <v>62</v>
      </c>
      <c r="D68" s="52" t="s">
        <v>12953</v>
      </c>
      <c r="E68" s="51" t="s">
        <v>45</v>
      </c>
      <c r="F68" s="51" t="s">
        <v>62</v>
      </c>
      <c r="G68" s="52" t="s">
        <v>12999</v>
      </c>
      <c r="H68" s="52" t="s">
        <v>13055</v>
      </c>
      <c r="I68" s="51" t="s">
        <v>43</v>
      </c>
      <c r="J68" s="51">
        <v>1</v>
      </c>
    </row>
    <row r="69" spans="1:10" ht="16.5" customHeight="1">
      <c r="A69" s="53" t="s">
        <v>8069</v>
      </c>
      <c r="B69" s="53" t="s">
        <v>578</v>
      </c>
      <c r="C69" s="53" t="s">
        <v>62</v>
      </c>
      <c r="D69" s="54" t="s">
        <v>12999</v>
      </c>
      <c r="E69" s="53" t="s">
        <v>45</v>
      </c>
      <c r="F69" s="53" t="s">
        <v>62</v>
      </c>
      <c r="G69" s="56" t="s">
        <v>13056</v>
      </c>
      <c r="H69" s="54" t="s">
        <v>13057</v>
      </c>
      <c r="I69" s="53" t="s">
        <v>43</v>
      </c>
      <c r="J69" s="53">
        <v>1</v>
      </c>
    </row>
    <row r="70" spans="1:10" ht="16.5" customHeight="1">
      <c r="A70" s="51" t="s">
        <v>8069</v>
      </c>
      <c r="B70" s="51" t="s">
        <v>578</v>
      </c>
      <c r="C70" s="51" t="s">
        <v>62</v>
      </c>
      <c r="D70" s="52" t="s">
        <v>12999</v>
      </c>
      <c r="E70" s="51" t="s">
        <v>45</v>
      </c>
      <c r="F70" s="51" t="s">
        <v>62</v>
      </c>
      <c r="G70" s="52" t="s">
        <v>13058</v>
      </c>
      <c r="H70" s="52" t="s">
        <v>13059</v>
      </c>
      <c r="I70" s="51" t="s">
        <v>43</v>
      </c>
      <c r="J70" s="51">
        <v>1</v>
      </c>
    </row>
    <row r="71" spans="1:10" ht="16.5" customHeight="1">
      <c r="A71" s="53" t="s">
        <v>8069</v>
      </c>
      <c r="B71" s="53" t="s">
        <v>695</v>
      </c>
      <c r="C71" s="53" t="s">
        <v>295</v>
      </c>
      <c r="D71" s="54" t="s">
        <v>3648</v>
      </c>
      <c r="E71" s="57" t="s">
        <v>667</v>
      </c>
      <c r="F71" s="53" t="s">
        <v>698</v>
      </c>
      <c r="G71" s="54" t="s">
        <v>6686</v>
      </c>
      <c r="H71" s="54" t="s">
        <v>13060</v>
      </c>
      <c r="I71" s="53" t="s">
        <v>6688</v>
      </c>
      <c r="J71" s="53">
        <v>1</v>
      </c>
    </row>
    <row r="72" spans="1:10" ht="16.5" customHeight="1">
      <c r="A72" s="51" t="s">
        <v>8069</v>
      </c>
      <c r="B72" s="51" t="s">
        <v>695</v>
      </c>
      <c r="C72" s="51" t="s">
        <v>295</v>
      </c>
      <c r="D72" s="52" t="s">
        <v>13052</v>
      </c>
      <c r="E72" s="60" t="s">
        <v>654</v>
      </c>
      <c r="F72" s="51" t="s">
        <v>698</v>
      </c>
      <c r="G72" s="52" t="s">
        <v>6686</v>
      </c>
      <c r="H72" s="52" t="s">
        <v>8092</v>
      </c>
      <c r="I72" s="51" t="s">
        <v>6688</v>
      </c>
      <c r="J72" s="51">
        <v>1</v>
      </c>
    </row>
  </sheetData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关系明细</vt:lpstr>
      <vt:lpstr>说明</vt:lpstr>
      <vt:lpstr>全流程工段衔接</vt:lpstr>
      <vt:lpstr>实体字典</vt:lpstr>
      <vt:lpstr>关系分类与统计(Overview)</vt:lpstr>
      <vt:lpstr>OWL_Turtle代码规范</vt:lpstr>
      <vt:lpstr>v1→v2修订记录</vt:lpstr>
      <vt:lpstr>原关系明细(v1存档)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gzh</cp:lastModifiedBy>
  <cp:revision>0</cp:revision>
  <dcterms:created xsi:type="dcterms:W3CDTF">2026-09-18T07:58:08Z</dcterms:created>
  <dcterms:modified xsi:type="dcterms:W3CDTF">2026-09-28T03:40:48Z</dcterms:modified>
  <dc:language>en-US</dc:language>
</cp:coreProperties>
</file>